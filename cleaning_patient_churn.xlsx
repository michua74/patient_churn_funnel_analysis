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patient_demographics" sheetId="1" r:id="rId5"/>
    <sheet state="visible" name="cleaning_patient_demographics" sheetId="2" r:id="rId6"/>
    <sheet state="visible" name="cleaned_patient_demographics" sheetId="3" r:id="rId7"/>
    <sheet state="visible" name="raw_patient_appointment_metrics" sheetId="4" r:id="rId8"/>
    <sheet state="visible" name="cleaning_patient_appointment_me" sheetId="5" r:id="rId9"/>
    <sheet state="visible" name="cleaned_patient_appointment_met" sheetId="6" r:id="rId10"/>
    <sheet state="visible" name="raw_patient_contact" sheetId="7" r:id="rId11"/>
    <sheet state="visible" name="cleaning_patient_contact" sheetId="8" r:id="rId12"/>
    <sheet state="visible" name="cleaned_patient_contact" sheetId="9" r:id="rId13"/>
  </sheets>
  <definedNames>
    <definedName hidden="1" localSheetId="1" name="_xlnm._FilterDatabase">cleaning_patient_demographics!$A$1:$V$806</definedName>
    <definedName hidden="1" localSheetId="2" name="_xlnm._FilterDatabase">cleaned_patient_demographics!$A$1:$K$806</definedName>
    <definedName hidden="1" localSheetId="4" name="_xlnm._FilterDatabase">cleaning_patient_appointment_me!$A$1:$R$806</definedName>
    <definedName hidden="1" localSheetId="5" name="_xlnm._FilterDatabase">cleaned_patient_appointment_met!$A$1:$M$806</definedName>
  </definedNames>
  <calcPr/>
</workbook>
</file>

<file path=xl/sharedStrings.xml><?xml version="1.0" encoding="utf-8"?>
<sst xmlns="http://schemas.openxmlformats.org/spreadsheetml/2006/main" count="49236" uniqueCount="5408">
  <si>
    <t>Patient_ID</t>
  </si>
  <si>
    <t>Referral_Sources</t>
  </si>
  <si>
    <t>First_Name</t>
  </si>
  <si>
    <t>Website_Visits</t>
  </si>
  <si>
    <t>Last_Name</t>
  </si>
  <si>
    <t>Page_Views</t>
  </si>
  <si>
    <t>Age</t>
  </si>
  <si>
    <t>Booking_Time_Mins</t>
  </si>
  <si>
    <t>Gender</t>
  </si>
  <si>
    <t>Avg_Wait_Time_Mins</t>
  </si>
  <si>
    <t>Avg_Appointment_Time_Mins</t>
  </si>
  <si>
    <t>State</t>
  </si>
  <si>
    <t>Total_Visits</t>
  </si>
  <si>
    <t>Primary_Diagnosis</t>
  </si>
  <si>
    <t>Missed_Appointments</t>
  </si>
  <si>
    <t>Department_Specialty</t>
  </si>
  <si>
    <t>Last_Visit_Date</t>
  </si>
  <si>
    <t>Satisfaction_Score</t>
  </si>
  <si>
    <t>Insurance_Provider</t>
  </si>
  <si>
    <t>Churn_Status</t>
  </si>
  <si>
    <t>Out_of_Pocket_YTD</t>
  </si>
  <si>
    <t>P0002</t>
  </si>
  <si>
    <t>Online Search</t>
  </si>
  <si>
    <t>6</t>
  </si>
  <si>
    <t>Charlotte</t>
  </si>
  <si>
    <t>Garcia</t>
  </si>
  <si>
    <t>32.0</t>
  </si>
  <si>
    <t>14</t>
  </si>
  <si>
    <t>female</t>
  </si>
  <si>
    <t>10.4</t>
  </si>
  <si>
    <t>TX</t>
  </si>
  <si>
    <t>13</t>
  </si>
  <si>
    <t>COPD</t>
  </si>
  <si>
    <t>17</t>
  </si>
  <si>
    <t>Pulmonolgy</t>
  </si>
  <si>
    <t>BlueCross</t>
  </si>
  <si>
    <t>7.0</t>
  </si>
  <si>
    <t>1804</t>
  </si>
  <si>
    <t>4</t>
  </si>
  <si>
    <t>2025-06-30</t>
  </si>
  <si>
    <t>P0003</t>
  </si>
  <si>
    <t>reBeccA</t>
  </si>
  <si>
    <t>Lopez</t>
  </si>
  <si>
    <t>45.0</t>
  </si>
  <si>
    <t>Friend Referral</t>
  </si>
  <si>
    <t>fEmale</t>
  </si>
  <si>
    <t>5</t>
  </si>
  <si>
    <t>CA</t>
  </si>
  <si>
    <t>28</t>
  </si>
  <si>
    <t>Lupas</t>
  </si>
  <si>
    <t>Rheumatolgy</t>
  </si>
  <si>
    <t>9.2</t>
  </si>
  <si>
    <t>UnitedHealth</t>
  </si>
  <si>
    <t>44</t>
  </si>
  <si>
    <t>30</t>
  </si>
  <si>
    <t>2858</t>
  </si>
  <si>
    <t>13.0</t>
  </si>
  <si>
    <t>P0004</t>
  </si>
  <si>
    <t>1</t>
  </si>
  <si>
    <t>MarY</t>
  </si>
  <si>
    <t>2026-01-05</t>
  </si>
  <si>
    <t>lee</t>
  </si>
  <si>
    <t>No</t>
  </si>
  <si>
    <t>50.0</t>
  </si>
  <si>
    <t>IL</t>
  </si>
  <si>
    <t>Physician Referral</t>
  </si>
  <si>
    <t>Joint  Pain</t>
  </si>
  <si>
    <t>Orthopedcis</t>
  </si>
  <si>
    <t>24</t>
  </si>
  <si>
    <t>12.9</t>
  </si>
  <si>
    <t>2524</t>
  </si>
  <si>
    <t>29</t>
  </si>
  <si>
    <t>P0005</t>
  </si>
  <si>
    <t>31</t>
  </si>
  <si>
    <t>harry</t>
  </si>
  <si>
    <t>10.0</t>
  </si>
  <si>
    <t>Brown</t>
  </si>
  <si>
    <t>2</t>
  </si>
  <si>
    <t>-21.0</t>
  </si>
  <si>
    <t>2025-09-28</t>
  </si>
  <si>
    <t>mALE</t>
  </si>
  <si>
    <t>NJ</t>
  </si>
  <si>
    <t>C O P D</t>
  </si>
  <si>
    <t>Pulmonology</t>
  </si>
  <si>
    <t>Zocdoc</t>
  </si>
  <si>
    <t>2429</t>
  </si>
  <si>
    <t>34</t>
  </si>
  <si>
    <t>P0006</t>
  </si>
  <si>
    <t>7.3</t>
  </si>
  <si>
    <t>Wendy</t>
  </si>
  <si>
    <t>Davis</t>
  </si>
  <si>
    <t>63.0</t>
  </si>
  <si>
    <t>18.0</t>
  </si>
  <si>
    <t>2024-10-26</t>
  </si>
  <si>
    <t>Arthritiss</t>
  </si>
  <si>
    <t>7</t>
  </si>
  <si>
    <t>General Practice</t>
  </si>
  <si>
    <t>Medicare</t>
  </si>
  <si>
    <t>1269</t>
  </si>
  <si>
    <t>P0007</t>
  </si>
  <si>
    <t>nancy</t>
  </si>
  <si>
    <t>Ferguson</t>
  </si>
  <si>
    <t>5.9</t>
  </si>
  <si>
    <t>69.0</t>
  </si>
  <si>
    <t>32</t>
  </si>
  <si>
    <t>Female</t>
  </si>
  <si>
    <t>20</t>
  </si>
  <si>
    <t>PA</t>
  </si>
  <si>
    <t>11.0</t>
  </si>
  <si>
    <t>Arrhythmiaa</t>
  </si>
  <si>
    <t>Cardiolgy</t>
  </si>
  <si>
    <t>2024-01-12</t>
  </si>
  <si>
    <t>3839</t>
  </si>
  <si>
    <t>Yes</t>
  </si>
  <si>
    <t>8.0</t>
  </si>
  <si>
    <t>36</t>
  </si>
  <si>
    <t>1.0</t>
  </si>
  <si>
    <t>3</t>
  </si>
  <si>
    <t>2022-04-02</t>
  </si>
  <si>
    <t>P0008</t>
  </si>
  <si>
    <t>claiRe</t>
  </si>
  <si>
    <t>ChaN</t>
  </si>
  <si>
    <t>48.0</t>
  </si>
  <si>
    <t>Bronchitis</t>
  </si>
  <si>
    <t>Pulm</t>
  </si>
  <si>
    <t>1819</t>
  </si>
  <si>
    <t>P0009</t>
  </si>
  <si>
    <t>John</t>
  </si>
  <si>
    <t>Rodriguez</t>
  </si>
  <si>
    <t>65.0</t>
  </si>
  <si>
    <t>MALE</t>
  </si>
  <si>
    <t>MN</t>
  </si>
  <si>
    <t>Arthrits</t>
  </si>
  <si>
    <t>3827</t>
  </si>
  <si>
    <t>P0010</t>
  </si>
  <si>
    <t>35</t>
  </si>
  <si>
    <t>Alice</t>
  </si>
  <si>
    <t>ng</t>
  </si>
  <si>
    <t>0</t>
  </si>
  <si>
    <t>68.0</t>
  </si>
  <si>
    <t>2023-08-05</t>
  </si>
  <si>
    <t>MA</t>
  </si>
  <si>
    <t>Hypertnsion</t>
  </si>
  <si>
    <t>Gen Practice</t>
  </si>
  <si>
    <t>454</t>
  </si>
  <si>
    <t>P0011</t>
  </si>
  <si>
    <t>6.3</t>
  </si>
  <si>
    <t>Greg</t>
  </si>
  <si>
    <t>Johnson</t>
  </si>
  <si>
    <t>21</t>
  </si>
  <si>
    <t>71.0</t>
  </si>
  <si>
    <t>15.0</t>
  </si>
  <si>
    <t>Male</t>
  </si>
  <si>
    <t>2025/02/22</t>
  </si>
  <si>
    <t>10</t>
  </si>
  <si>
    <t>4437</t>
  </si>
  <si>
    <t>P0012</t>
  </si>
  <si>
    <t>8</t>
  </si>
  <si>
    <t>Eva</t>
  </si>
  <si>
    <t>Young</t>
  </si>
  <si>
    <t>8.5</t>
  </si>
  <si>
    <t>56.0</t>
  </si>
  <si>
    <t>33</t>
  </si>
  <si>
    <t>16.0</t>
  </si>
  <si>
    <t>Arthritis</t>
  </si>
  <si>
    <t>Rheumatolog</t>
  </si>
  <si>
    <t>2026/02/16</t>
  </si>
  <si>
    <t>9</t>
  </si>
  <si>
    <t>2421</t>
  </si>
  <si>
    <t>P0013</t>
  </si>
  <si>
    <t>Social Media</t>
  </si>
  <si>
    <t>Frank</t>
  </si>
  <si>
    <t>Little</t>
  </si>
  <si>
    <t>73.0</t>
  </si>
  <si>
    <t>11.9</t>
  </si>
  <si>
    <t>46</t>
  </si>
  <si>
    <t>TN</t>
  </si>
  <si>
    <t>HyperTension</t>
  </si>
  <si>
    <t>3.0</t>
  </si>
  <si>
    <t>Cardiology</t>
  </si>
  <si>
    <t>2026-03-23</t>
  </si>
  <si>
    <t>3557</t>
  </si>
  <si>
    <t>P0014</t>
  </si>
  <si>
    <t>Victor</t>
  </si>
  <si>
    <t>PEREz</t>
  </si>
  <si>
    <t>90.0</t>
  </si>
  <si>
    <t>22</t>
  </si>
  <si>
    <t>9.3</t>
  </si>
  <si>
    <t>Anxeity</t>
  </si>
  <si>
    <t>Psych iatry</t>
  </si>
  <si>
    <t>962</t>
  </si>
  <si>
    <t>2026-06-27</t>
  </si>
  <si>
    <t>P0015</t>
  </si>
  <si>
    <t>Fiona</t>
  </si>
  <si>
    <t>Chen</t>
  </si>
  <si>
    <t>81.0</t>
  </si>
  <si>
    <t>Hyper thyroidism</t>
  </si>
  <si>
    <t>Endo</t>
  </si>
  <si>
    <t>4.2</t>
  </si>
  <si>
    <t>38</t>
  </si>
  <si>
    <t>2711</t>
  </si>
  <si>
    <t>16</t>
  </si>
  <si>
    <t>P0016</t>
  </si>
  <si>
    <t>12.0</t>
  </si>
  <si>
    <t>TiNA</t>
  </si>
  <si>
    <t>zu</t>
  </si>
  <si>
    <t>2025-04-29</t>
  </si>
  <si>
    <t>0.0</t>
  </si>
  <si>
    <t>GA</t>
  </si>
  <si>
    <t>Depressionn</t>
  </si>
  <si>
    <t>Psychiatry</t>
  </si>
  <si>
    <t>Aetna</t>
  </si>
  <si>
    <t>1062</t>
  </si>
  <si>
    <t>19</t>
  </si>
  <si>
    <t>P0017</t>
  </si>
  <si>
    <t>10.8</t>
  </si>
  <si>
    <t>Williams</t>
  </si>
  <si>
    <t>57.0</t>
  </si>
  <si>
    <t>19.0</t>
  </si>
  <si>
    <t>2022-03-27</t>
  </si>
  <si>
    <t>Migrane</t>
  </si>
  <si>
    <t>Neuro</t>
  </si>
  <si>
    <t>Cigna</t>
  </si>
  <si>
    <t>2057</t>
  </si>
  <si>
    <t>12</t>
  </si>
  <si>
    <t>P0018</t>
  </si>
  <si>
    <t>15.9</t>
  </si>
  <si>
    <t>Frnk</t>
  </si>
  <si>
    <t>47</t>
  </si>
  <si>
    <t>66.0</t>
  </si>
  <si>
    <t>Osteoporosis</t>
  </si>
  <si>
    <t>Ortho</t>
  </si>
  <si>
    <t>2822</t>
  </si>
  <si>
    <t>P0019</t>
  </si>
  <si>
    <t>kylie</t>
  </si>
  <si>
    <t>12.1</t>
  </si>
  <si>
    <t>55.0</t>
  </si>
  <si>
    <t>NY</t>
  </si>
  <si>
    <t>Eczema</t>
  </si>
  <si>
    <t>2022-01-12</t>
  </si>
  <si>
    <t>Dermatolgy</t>
  </si>
  <si>
    <t>923</t>
  </si>
  <si>
    <t>P0020</t>
  </si>
  <si>
    <t>keiith</t>
  </si>
  <si>
    <t>Jackson</t>
  </si>
  <si>
    <t>18</t>
  </si>
  <si>
    <t>2.7</t>
  </si>
  <si>
    <t>52</t>
  </si>
  <si>
    <t>42</t>
  </si>
  <si>
    <t>C.O.P.D</t>
  </si>
  <si>
    <t>17.0</t>
  </si>
  <si>
    <t>2022-10-27</t>
  </si>
  <si>
    <t>2187</t>
  </si>
  <si>
    <t>P0021</t>
  </si>
  <si>
    <t>Doe</t>
  </si>
  <si>
    <t>150.0</t>
  </si>
  <si>
    <t>VA</t>
  </si>
  <si>
    <t>58</t>
  </si>
  <si>
    <t>G E R D</t>
  </si>
  <si>
    <t>2026-05-29</t>
  </si>
  <si>
    <t>GI</t>
  </si>
  <si>
    <t>2932</t>
  </si>
  <si>
    <t>P0022</t>
  </si>
  <si>
    <t>natalie</t>
  </si>
  <si>
    <t>Wu</t>
  </si>
  <si>
    <t>27</t>
  </si>
  <si>
    <t>64.0</t>
  </si>
  <si>
    <t>60</t>
  </si>
  <si>
    <t>AZ</t>
  </si>
  <si>
    <t>Osteoporsis</t>
  </si>
  <si>
    <t>4.0</t>
  </si>
  <si>
    <t>Orthopedic</t>
  </si>
  <si>
    <t>2022-07-19</t>
  </si>
  <si>
    <t>3324</t>
  </si>
  <si>
    <t>P0023</t>
  </si>
  <si>
    <t>Charli</t>
  </si>
  <si>
    <t>21.0</t>
  </si>
  <si>
    <t>Hypothyroidism</t>
  </si>
  <si>
    <t>5.6</t>
  </si>
  <si>
    <t>Endocrinlogy</t>
  </si>
  <si>
    <t>1756</t>
  </si>
  <si>
    <t>P0024</t>
  </si>
  <si>
    <t>2024-11-18</t>
  </si>
  <si>
    <t>victor</t>
  </si>
  <si>
    <t>Lim</t>
  </si>
  <si>
    <t>88.0</t>
  </si>
  <si>
    <t>Rheum</t>
  </si>
  <si>
    <t>45</t>
  </si>
  <si>
    <t>8.4</t>
  </si>
  <si>
    <t>2527</t>
  </si>
  <si>
    <t>11</t>
  </si>
  <si>
    <t>P0025</t>
  </si>
  <si>
    <t>ava</t>
  </si>
  <si>
    <t>Miler</t>
  </si>
  <si>
    <t>2024-11-01</t>
  </si>
  <si>
    <t>85.0</t>
  </si>
  <si>
    <t>1111</t>
  </si>
  <si>
    <t>7.7</t>
  </si>
  <si>
    <t>P0026</t>
  </si>
  <si>
    <t>Evan</t>
  </si>
  <si>
    <t>15</t>
  </si>
  <si>
    <t>Lee</t>
  </si>
  <si>
    <t>999.0</t>
  </si>
  <si>
    <t>2022-07-25</t>
  </si>
  <si>
    <t>Gastro enterology</t>
  </si>
  <si>
    <t>3007</t>
  </si>
  <si>
    <t>P0027</t>
  </si>
  <si>
    <t>Hannah</t>
  </si>
  <si>
    <t>-76.0</t>
  </si>
  <si>
    <t>MI</t>
  </si>
  <si>
    <t>5.0</t>
  </si>
  <si>
    <t>GERD</t>
  </si>
  <si>
    <t>2021/11/02</t>
  </si>
  <si>
    <t>573</t>
  </si>
  <si>
    <t>P0028</t>
  </si>
  <si>
    <t>silvia</t>
  </si>
  <si>
    <t>Baker</t>
  </si>
  <si>
    <t>86.0</t>
  </si>
  <si>
    <t>Hyperthyroidsm</t>
  </si>
  <si>
    <t>Endocrinolog</t>
  </si>
  <si>
    <t>1950</t>
  </si>
  <si>
    <t>P0029</t>
  </si>
  <si>
    <t>2025-11-04</t>
  </si>
  <si>
    <t>Betty</t>
  </si>
  <si>
    <t>Cooper</t>
  </si>
  <si>
    <t>46.0</t>
  </si>
  <si>
    <t>Coronary Artery Disease</t>
  </si>
  <si>
    <t>4247</t>
  </si>
  <si>
    <t>8.9</t>
  </si>
  <si>
    <t>P0030</t>
  </si>
  <si>
    <t>gale</t>
  </si>
  <si>
    <t>52.0</t>
  </si>
  <si>
    <t>2026-02-24</t>
  </si>
  <si>
    <t>Jiont Pain</t>
  </si>
  <si>
    <t>4451</t>
  </si>
  <si>
    <t>P0031</t>
  </si>
  <si>
    <t>79.0</t>
  </si>
  <si>
    <t>5.3</t>
  </si>
  <si>
    <t>41</t>
  </si>
  <si>
    <t>26</t>
  </si>
  <si>
    <t>546</t>
  </si>
  <si>
    <t>P0032</t>
  </si>
  <si>
    <t>Mar-5-2026</t>
  </si>
  <si>
    <t>Bob</t>
  </si>
  <si>
    <t>40.0</t>
  </si>
  <si>
    <t>Diabets</t>
  </si>
  <si>
    <t>Genral Practice</t>
  </si>
  <si>
    <t>1021</t>
  </si>
  <si>
    <t>1.5</t>
  </si>
  <si>
    <t>P0033</t>
  </si>
  <si>
    <t>lisa</t>
  </si>
  <si>
    <t>25</t>
  </si>
  <si>
    <t>Kim</t>
  </si>
  <si>
    <t>38.0</t>
  </si>
  <si>
    <t>2025-09-08</t>
  </si>
  <si>
    <t>3750</t>
  </si>
  <si>
    <t>P0034</t>
  </si>
  <si>
    <t>13.6</t>
  </si>
  <si>
    <t>Migraine</t>
  </si>
  <si>
    <t>Neurolog</t>
  </si>
  <si>
    <t>19/46/2025</t>
  </si>
  <si>
    <t>4906</t>
  </si>
  <si>
    <t>P0035</t>
  </si>
  <si>
    <t>Smith</t>
  </si>
  <si>
    <t>OH</t>
  </si>
  <si>
    <t>37</t>
  </si>
  <si>
    <t>1225</t>
  </si>
  <si>
    <t>P0036</t>
  </si>
  <si>
    <t>Grace</t>
  </si>
  <si>
    <t>2021-12-20</t>
  </si>
  <si>
    <t>Hypo thyroidism</t>
  </si>
  <si>
    <t>1667</t>
  </si>
  <si>
    <t>6.5</t>
  </si>
  <si>
    <t>P0037</t>
  </si>
  <si>
    <t>Miller</t>
  </si>
  <si>
    <t>39</t>
  </si>
  <si>
    <t>OR</t>
  </si>
  <si>
    <t>Diabetes</t>
  </si>
  <si>
    <t>2025-06-25</t>
  </si>
  <si>
    <t>2788</t>
  </si>
  <si>
    <t>P0038</t>
  </si>
  <si>
    <t>zachary</t>
  </si>
  <si>
    <t>Jonez</t>
  </si>
  <si>
    <t>49.0</t>
  </si>
  <si>
    <t>6.8</t>
  </si>
  <si>
    <t>Anxietty</t>
  </si>
  <si>
    <t>Psych</t>
  </si>
  <si>
    <t>54</t>
  </si>
  <si>
    <t>446</t>
  </si>
  <si>
    <t>P0039</t>
  </si>
  <si>
    <t>joshua</t>
  </si>
  <si>
    <t>2023-09-15</t>
  </si>
  <si>
    <t>43.0</t>
  </si>
  <si>
    <t>FL</t>
  </si>
  <si>
    <t>Psychiatri</t>
  </si>
  <si>
    <t>23</t>
  </si>
  <si>
    <t>8.6</t>
  </si>
  <si>
    <t>1336</t>
  </si>
  <si>
    <t>P0040</t>
  </si>
  <si>
    <t>paul</t>
  </si>
  <si>
    <t>2026-05-28</t>
  </si>
  <si>
    <t>WA</t>
  </si>
  <si>
    <t>Endocrinology</t>
  </si>
  <si>
    <t>2235</t>
  </si>
  <si>
    <t>P0041</t>
  </si>
  <si>
    <t>8.8</t>
  </si>
  <si>
    <t>75.0</t>
  </si>
  <si>
    <t>2025-08-16</t>
  </si>
  <si>
    <t>Epilepsyy</t>
  </si>
  <si>
    <t>3247</t>
  </si>
  <si>
    <t>P0042</t>
  </si>
  <si>
    <t>Jane</t>
  </si>
  <si>
    <t>9.0</t>
  </si>
  <si>
    <t>2022-09-29</t>
  </si>
  <si>
    <t>3298</t>
  </si>
  <si>
    <t>P0043</t>
  </si>
  <si>
    <t>katherine</t>
  </si>
  <si>
    <t>55.5</t>
  </si>
  <si>
    <t>Depression</t>
  </si>
  <si>
    <t>596</t>
  </si>
  <si>
    <t>2022-09-03</t>
  </si>
  <si>
    <t>P0044</t>
  </si>
  <si>
    <t>pauline</t>
  </si>
  <si>
    <t>62.0</t>
  </si>
  <si>
    <t>4.5</t>
  </si>
  <si>
    <t>4542</t>
  </si>
  <si>
    <t>P0045</t>
  </si>
  <si>
    <t>2026-05-03</t>
  </si>
  <si>
    <t>Bush</t>
  </si>
  <si>
    <t>41.0</t>
  </si>
  <si>
    <t>1126</t>
  </si>
  <si>
    <t>P0046</t>
  </si>
  <si>
    <t>keith</t>
  </si>
  <si>
    <t>Volkov</t>
  </si>
  <si>
    <t>80.0</t>
  </si>
  <si>
    <t>2021-08-31</t>
  </si>
  <si>
    <t>Epilepsy</t>
  </si>
  <si>
    <t>3207</t>
  </si>
  <si>
    <t>P0047</t>
  </si>
  <si>
    <t>Anxiety</t>
  </si>
  <si>
    <t>2025-09-23</t>
  </si>
  <si>
    <t>825</t>
  </si>
  <si>
    <t>First_Name_Fix</t>
  </si>
  <si>
    <t>P0048</t>
  </si>
  <si>
    <t>william</t>
  </si>
  <si>
    <t>74.0</t>
  </si>
  <si>
    <t>6.2</t>
  </si>
  <si>
    <t>First_Name_Values</t>
  </si>
  <si>
    <t>40</t>
  </si>
  <si>
    <t>1751</t>
  </si>
  <si>
    <t>P0049</t>
  </si>
  <si>
    <t>2024-11-14</t>
  </si>
  <si>
    <t>Orthopedics</t>
  </si>
  <si>
    <t>Age_Groups</t>
  </si>
  <si>
    <t>4316</t>
  </si>
  <si>
    <t>P0050</t>
  </si>
  <si>
    <t>tina</t>
  </si>
  <si>
    <t>3.6</t>
  </si>
  <si>
    <t>Smirnov</t>
  </si>
  <si>
    <t>Last_Name_Fix</t>
  </si>
  <si>
    <t>76.0</t>
  </si>
  <si>
    <t>51</t>
  </si>
  <si>
    <t>Osteoperosis</t>
  </si>
  <si>
    <t>6.0</t>
  </si>
  <si>
    <t>4999</t>
  </si>
  <si>
    <t>2026-07-25</t>
  </si>
  <si>
    <t>Last_Name_Values</t>
  </si>
  <si>
    <t>P0051</t>
  </si>
  <si>
    <t>DALE</t>
  </si>
  <si>
    <t>Perez</t>
  </si>
  <si>
    <t>Hypertension</t>
  </si>
  <si>
    <t>1309</t>
  </si>
  <si>
    <t>P0052</t>
  </si>
  <si>
    <t>Ailce</t>
  </si>
  <si>
    <t>Wiliams</t>
  </si>
  <si>
    <t>2026-06-06</t>
  </si>
  <si>
    <t>Age_Fix</t>
  </si>
  <si>
    <t>Cardio</t>
  </si>
  <si>
    <t>3805</t>
  </si>
  <si>
    <t>P0053</t>
  </si>
  <si>
    <t>Age_Values</t>
  </si>
  <si>
    <t>27.0</t>
  </si>
  <si>
    <t>Arrhythmia</t>
  </si>
  <si>
    <t>4065</t>
  </si>
  <si>
    <t>P0054</t>
  </si>
  <si>
    <t>2025-02-23</t>
  </si>
  <si>
    <t>michelle</t>
  </si>
  <si>
    <t>JOHNSON</t>
  </si>
  <si>
    <t>77.0</t>
  </si>
  <si>
    <t>CAD</t>
  </si>
  <si>
    <t>3502</t>
  </si>
  <si>
    <t>50</t>
  </si>
  <si>
    <t>Age_Groups_Values</t>
  </si>
  <si>
    <t>P0055</t>
  </si>
  <si>
    <t>2.8</t>
  </si>
  <si>
    <t>Sharp</t>
  </si>
  <si>
    <t>41.5</t>
  </si>
  <si>
    <t>14.0</t>
  </si>
  <si>
    <t>2025-06-12</t>
  </si>
  <si>
    <t>Soriasis</t>
  </si>
  <si>
    <t>Derm</t>
  </si>
  <si>
    <t>1567</t>
  </si>
  <si>
    <t>P0056</t>
  </si>
  <si>
    <t>melanie</t>
  </si>
  <si>
    <t>Gender_Fix</t>
  </si>
  <si>
    <t>7.1</t>
  </si>
  <si>
    <t>100</t>
  </si>
  <si>
    <t>P0057</t>
  </si>
  <si>
    <t>2023-09-01</t>
  </si>
  <si>
    <t>60.0</t>
  </si>
  <si>
    <t>Gender_Values</t>
  </si>
  <si>
    <t>I.B.S</t>
  </si>
  <si>
    <t>2538</t>
  </si>
  <si>
    <t>P0058</t>
  </si>
  <si>
    <t>48</t>
  </si>
  <si>
    <t>Ng</t>
  </si>
  <si>
    <t>2022-05-15</t>
  </si>
  <si>
    <t>Asthmaa</t>
  </si>
  <si>
    <t>1705</t>
  </si>
  <si>
    <t>P0059</t>
  </si>
  <si>
    <t>JONES</t>
  </si>
  <si>
    <t>53.0</t>
  </si>
  <si>
    <t>8.7</t>
  </si>
  <si>
    <t>3009</t>
  </si>
  <si>
    <t>P0060</t>
  </si>
  <si>
    <t>2024-05-29</t>
  </si>
  <si>
    <t>Davidson</t>
  </si>
  <si>
    <t>Cardiolog</t>
  </si>
  <si>
    <t>Young Adult</t>
  </si>
  <si>
    <t>2920</t>
  </si>
  <si>
    <t>P0061</t>
  </si>
  <si>
    <t>vanessa</t>
  </si>
  <si>
    <t>2026-08-16</t>
  </si>
  <si>
    <t>Dermatology</t>
  </si>
  <si>
    <t>1124</t>
  </si>
  <si>
    <t>P0062</t>
  </si>
  <si>
    <t>Christopher</t>
  </si>
  <si>
    <t>Out_of_Pocket_YTD_Fix</t>
  </si>
  <si>
    <t>1.8</t>
  </si>
  <si>
    <t>CO</t>
  </si>
  <si>
    <t>2899</t>
  </si>
  <si>
    <t>P0063</t>
  </si>
  <si>
    <t>David</t>
  </si>
  <si>
    <t>2024-05-08</t>
  </si>
  <si>
    <t>Out_of_Pocket_YTD_Values</t>
  </si>
  <si>
    <t>Ibs</t>
  </si>
  <si>
    <t>Gastroenterology</t>
  </si>
  <si>
    <t>2231</t>
  </si>
  <si>
    <t>P0064</t>
  </si>
  <si>
    <t>Grace#</t>
  </si>
  <si>
    <t>84.0</t>
  </si>
  <si>
    <t>Asthma</t>
  </si>
  <si>
    <t>2025-04-02</t>
  </si>
  <si>
    <t>2560</t>
  </si>
  <si>
    <t>P0065</t>
  </si>
  <si>
    <t>grace</t>
  </si>
  <si>
    <t>Jones</t>
  </si>
  <si>
    <t>82.0</t>
  </si>
  <si>
    <t>Epilipsy</t>
  </si>
  <si>
    <t>BCBS</t>
  </si>
  <si>
    <t>5.1</t>
  </si>
  <si>
    <t>Neurology</t>
  </si>
  <si>
    <t>3039</t>
  </si>
  <si>
    <t>P0066</t>
  </si>
  <si>
    <t>2022-02-13</t>
  </si>
  <si>
    <t>22.0</t>
  </si>
  <si>
    <t>2552</t>
  </si>
  <si>
    <t>2.6</t>
  </si>
  <si>
    <t>P0067</t>
  </si>
  <si>
    <t>daniella</t>
  </si>
  <si>
    <t>2024-03-15</t>
  </si>
  <si>
    <t>NC</t>
  </si>
  <si>
    <t>Bronchtis</t>
  </si>
  <si>
    <t>1688</t>
  </si>
  <si>
    <t>P0068</t>
  </si>
  <si>
    <t>2.0</t>
  </si>
  <si>
    <t>Lupus</t>
  </si>
  <si>
    <t>Rebecca</t>
  </si>
  <si>
    <t>2023/09/15</t>
  </si>
  <si>
    <t>3794</t>
  </si>
  <si>
    <t>P0069</t>
  </si>
  <si>
    <t>ruby</t>
  </si>
  <si>
    <t>44.0</t>
  </si>
  <si>
    <t>Diabetis</t>
  </si>
  <si>
    <t>3.4</t>
  </si>
  <si>
    <t>2531</t>
  </si>
  <si>
    <t>P0070</t>
  </si>
  <si>
    <t>2025-04-17</t>
  </si>
  <si>
    <t>601</t>
  </si>
  <si>
    <t>P0071</t>
  </si>
  <si>
    <t>Roger</t>
  </si>
  <si>
    <t>Middle Age</t>
  </si>
  <si>
    <t>General  Practice</t>
  </si>
  <si>
    <t>929</t>
  </si>
  <si>
    <t>2025-02-02</t>
  </si>
  <si>
    <t>P0072</t>
  </si>
  <si>
    <t>Daneil</t>
  </si>
  <si>
    <t>Smih</t>
  </si>
  <si>
    <t>1683</t>
  </si>
  <si>
    <t>11.5</t>
  </si>
  <si>
    <t>P0073</t>
  </si>
  <si>
    <t>2023-11-25</t>
  </si>
  <si>
    <t>4399</t>
  </si>
  <si>
    <t>P0074</t>
  </si>
  <si>
    <t>36.0</t>
  </si>
  <si>
    <t>4230</t>
  </si>
  <si>
    <t>P0075</t>
  </si>
  <si>
    <t>Rheumatology</t>
  </si>
  <si>
    <t>Hyper tension</t>
  </si>
  <si>
    <t>2646</t>
  </si>
  <si>
    <t>P0076</t>
  </si>
  <si>
    <t>3.1</t>
  </si>
  <si>
    <t>Eczma</t>
  </si>
  <si>
    <t>1637</t>
  </si>
  <si>
    <t>Aug-24-2025</t>
  </si>
  <si>
    <t>P0077</t>
  </si>
  <si>
    <t>wendy</t>
  </si>
  <si>
    <t>1874</t>
  </si>
  <si>
    <t>5.4</t>
  </si>
  <si>
    <t>P0078</t>
  </si>
  <si>
    <t>Michelle</t>
  </si>
  <si>
    <t>2025-08-07</t>
  </si>
  <si>
    <t>3612</t>
  </si>
  <si>
    <t>P0079</t>
  </si>
  <si>
    <t>Jasmine</t>
  </si>
  <si>
    <t>Mary</t>
  </si>
  <si>
    <t>2.9</t>
  </si>
  <si>
    <t>365</t>
  </si>
  <si>
    <t>P0080</t>
  </si>
  <si>
    <t>Richardson</t>
  </si>
  <si>
    <t>2023/06/05</t>
  </si>
  <si>
    <t>87.0</t>
  </si>
  <si>
    <t>698</t>
  </si>
  <si>
    <t>P0081</t>
  </si>
  <si>
    <t>786</t>
  </si>
  <si>
    <t>2025-01-11</t>
  </si>
  <si>
    <t>P0082</t>
  </si>
  <si>
    <t>IBS</t>
  </si>
  <si>
    <t>3127</t>
  </si>
  <si>
    <t>17.3</t>
  </si>
  <si>
    <t>P0083</t>
  </si>
  <si>
    <t>2022-08-17</t>
  </si>
  <si>
    <t>Gerd</t>
  </si>
  <si>
    <t>1665</t>
  </si>
  <si>
    <t>P0084</t>
  </si>
  <si>
    <t>josephine</t>
  </si>
  <si>
    <t>2024-06-01</t>
  </si>
  <si>
    <t>Migraines</t>
  </si>
  <si>
    <t>2580</t>
  </si>
  <si>
    <t>P0085</t>
  </si>
  <si>
    <t>-52.0</t>
  </si>
  <si>
    <t>4.4</t>
  </si>
  <si>
    <t>956</t>
  </si>
  <si>
    <t>P0086</t>
  </si>
  <si>
    <t>2023/10/24</t>
  </si>
  <si>
    <t>54.0</t>
  </si>
  <si>
    <t>2558</t>
  </si>
  <si>
    <t>P0087</t>
  </si>
  <si>
    <t>timothy</t>
  </si>
  <si>
    <t>2024/11/25</t>
  </si>
  <si>
    <t>2010</t>
  </si>
  <si>
    <t>P0088</t>
  </si>
  <si>
    <t>Peter</t>
  </si>
  <si>
    <t>1214</t>
  </si>
  <si>
    <t>1.6</t>
  </si>
  <si>
    <t>P0089</t>
  </si>
  <si>
    <t>roger</t>
  </si>
  <si>
    <t>39.0</t>
  </si>
  <si>
    <t>2023/07/21</t>
  </si>
  <si>
    <t>Joint Pain</t>
  </si>
  <si>
    <t>1065</t>
  </si>
  <si>
    <t>P0090</t>
  </si>
  <si>
    <t>7.5</t>
  </si>
  <si>
    <t>2621</t>
  </si>
  <si>
    <t>P0091</t>
  </si>
  <si>
    <t>34.0</t>
  </si>
  <si>
    <t>2026-06-11</t>
  </si>
  <si>
    <t>Astma</t>
  </si>
  <si>
    <t>3312</t>
  </si>
  <si>
    <t>P0092</t>
  </si>
  <si>
    <t>WHITE</t>
  </si>
  <si>
    <t>3442</t>
  </si>
  <si>
    <t>Aug-26-2021</t>
  </si>
  <si>
    <t>P0093</t>
  </si>
  <si>
    <t>-120</t>
  </si>
  <si>
    <t>3.5</t>
  </si>
  <si>
    <t>55</t>
  </si>
  <si>
    <t>P0094</t>
  </si>
  <si>
    <t>robert</t>
  </si>
  <si>
    <t>Harry</t>
  </si>
  <si>
    <t>2024-10-30</t>
  </si>
  <si>
    <t>Dermatolog</t>
  </si>
  <si>
    <t>1189</t>
  </si>
  <si>
    <t>P0095</t>
  </si>
  <si>
    <t>4.3</t>
  </si>
  <si>
    <t>P0096</t>
  </si>
  <si>
    <t>Charlie</t>
  </si>
  <si>
    <t>2026-01-27</t>
  </si>
  <si>
    <t>11.1</t>
  </si>
  <si>
    <t>Pulmonolog</t>
  </si>
  <si>
    <t>1903</t>
  </si>
  <si>
    <t>P0097</t>
  </si>
  <si>
    <t>2026/07/05</t>
  </si>
  <si>
    <t>1528</t>
  </si>
  <si>
    <t>P0098</t>
  </si>
  <si>
    <t>2025-06-19</t>
  </si>
  <si>
    <t>1631</t>
  </si>
  <si>
    <t>P0099</t>
  </si>
  <si>
    <t>16.1</t>
  </si>
  <si>
    <t>SmiTH</t>
  </si>
  <si>
    <t>2025-05-31</t>
  </si>
  <si>
    <t>993</t>
  </si>
  <si>
    <t>P0100</t>
  </si>
  <si>
    <t>White</t>
  </si>
  <si>
    <t>24.0</t>
  </si>
  <si>
    <t>2025-03-17</t>
  </si>
  <si>
    <t>1623</t>
  </si>
  <si>
    <t>P0101</t>
  </si>
  <si>
    <t>thalia</t>
  </si>
  <si>
    <t>1.9</t>
  </si>
  <si>
    <t>Gastroenterolgy</t>
  </si>
  <si>
    <t>2135</t>
  </si>
  <si>
    <t>P0102</t>
  </si>
  <si>
    <t>jasmine</t>
  </si>
  <si>
    <t>2026-06-30</t>
  </si>
  <si>
    <t>4.7</t>
  </si>
  <si>
    <t>1523</t>
  </si>
  <si>
    <t>P0103</t>
  </si>
  <si>
    <t>2022/11/18</t>
  </si>
  <si>
    <t>586</t>
  </si>
  <si>
    <t>P0104</t>
  </si>
  <si>
    <t>eva</t>
  </si>
  <si>
    <t>3.2</t>
  </si>
  <si>
    <t>47.0</t>
  </si>
  <si>
    <t>Senior</t>
  </si>
  <si>
    <t>Mar-15-2024</t>
  </si>
  <si>
    <t>1027</t>
  </si>
  <si>
    <t>P0105</t>
  </si>
  <si>
    <t>30.0</t>
  </si>
  <si>
    <t>10.3</t>
  </si>
  <si>
    <t>3840</t>
  </si>
  <si>
    <t>P0106</t>
  </si>
  <si>
    <t>2024-10-16</t>
  </si>
  <si>
    <t>947</t>
  </si>
  <si>
    <t>P0107</t>
  </si>
  <si>
    <t>evan</t>
  </si>
  <si>
    <t>7.9</t>
  </si>
  <si>
    <t>2025-05-25</t>
  </si>
  <si>
    <t>1848</t>
  </si>
  <si>
    <t>P0108</t>
  </si>
  <si>
    <t>2931</t>
  </si>
  <si>
    <t>P0109</t>
  </si>
  <si>
    <t>RYAN</t>
  </si>
  <si>
    <t>KIM</t>
  </si>
  <si>
    <t>2024/09/03</t>
  </si>
  <si>
    <t>1862</t>
  </si>
  <si>
    <t>P0110</t>
  </si>
  <si>
    <t>christine</t>
  </si>
  <si>
    <t>3.8</t>
  </si>
  <si>
    <t>WI</t>
  </si>
  <si>
    <t>1139</t>
  </si>
  <si>
    <t>2025-03-22</t>
  </si>
  <si>
    <t>P0111</t>
  </si>
  <si>
    <t>olivia</t>
  </si>
  <si>
    <t>Nancy</t>
  </si>
  <si>
    <t>2144</t>
  </si>
  <si>
    <t>P0112</t>
  </si>
  <si>
    <t>1142</t>
  </si>
  <si>
    <t>P0113</t>
  </si>
  <si>
    <t>DAVID</t>
  </si>
  <si>
    <t>793</t>
  </si>
  <si>
    <t>P0114</t>
  </si>
  <si>
    <t>ian</t>
  </si>
  <si>
    <t>2026-01-03</t>
  </si>
  <si>
    <t>1799</t>
  </si>
  <si>
    <t>P0115</t>
  </si>
  <si>
    <t>LEE</t>
  </si>
  <si>
    <t>23.0</t>
  </si>
  <si>
    <t>3358</t>
  </si>
  <si>
    <t>1.3</t>
  </si>
  <si>
    <t>P0116</t>
  </si>
  <si>
    <t>2026-02-19</t>
  </si>
  <si>
    <t>1954</t>
  </si>
  <si>
    <t>P0117</t>
  </si>
  <si>
    <t>louis</t>
  </si>
  <si>
    <t>2503</t>
  </si>
  <si>
    <t>P0118</t>
  </si>
  <si>
    <t>2022/02/06</t>
  </si>
  <si>
    <t>davidson</t>
  </si>
  <si>
    <t>Lupuss</t>
  </si>
  <si>
    <t>2165</t>
  </si>
  <si>
    <t>P0119</t>
  </si>
  <si>
    <t>17.9</t>
  </si>
  <si>
    <t>2022-12-24</t>
  </si>
  <si>
    <t>439</t>
  </si>
  <si>
    <t>P0120</t>
  </si>
  <si>
    <t>11.7</t>
  </si>
  <si>
    <t>4536</t>
  </si>
  <si>
    <t>P0121</t>
  </si>
  <si>
    <t>2024-12-31</t>
  </si>
  <si>
    <t>2838</t>
  </si>
  <si>
    <t>P0122</t>
  </si>
  <si>
    <t>Claire</t>
  </si>
  <si>
    <t>craig</t>
  </si>
  <si>
    <t>3378</t>
  </si>
  <si>
    <t>P0123</t>
  </si>
  <si>
    <t>Chan</t>
  </si>
  <si>
    <t>2024-11-09</t>
  </si>
  <si>
    <t>43</t>
  </si>
  <si>
    <t>7.4</t>
  </si>
  <si>
    <t>1160</t>
  </si>
  <si>
    <t>P0124</t>
  </si>
  <si>
    <t>Keith#</t>
  </si>
  <si>
    <t>2022-02-20</t>
  </si>
  <si>
    <t>4153</t>
  </si>
  <si>
    <t>P0125</t>
  </si>
  <si>
    <t>11.3</t>
  </si>
  <si>
    <t>4277</t>
  </si>
  <si>
    <t>2023-04-26</t>
  </si>
  <si>
    <t>P0126</t>
  </si>
  <si>
    <t>Olivia</t>
  </si>
  <si>
    <t>2382</t>
  </si>
  <si>
    <t>P0127</t>
  </si>
  <si>
    <t>26.0</t>
  </si>
  <si>
    <t>2022-04-10</t>
  </si>
  <si>
    <t>2510</t>
  </si>
  <si>
    <t>P0128</t>
  </si>
  <si>
    <t>Ryan</t>
  </si>
  <si>
    <t>Chang</t>
  </si>
  <si>
    <t>715</t>
  </si>
  <si>
    <t>P0129</t>
  </si>
  <si>
    <t>Sally</t>
  </si>
  <si>
    <t>2021-11-28</t>
  </si>
  <si>
    <t>2258</t>
  </si>
  <si>
    <t>P0130</t>
  </si>
  <si>
    <t>2024-10-15</t>
  </si>
  <si>
    <t>504</t>
  </si>
  <si>
    <t>P0131</t>
  </si>
  <si>
    <t>jack</t>
  </si>
  <si>
    <t>4.1</t>
  </si>
  <si>
    <t>161</t>
  </si>
  <si>
    <t>P0132</t>
  </si>
  <si>
    <t>2026-03-27</t>
  </si>
  <si>
    <t>FRANk</t>
  </si>
  <si>
    <t>4381</t>
  </si>
  <si>
    <t>P0133</t>
  </si>
  <si>
    <t>9.4</t>
  </si>
  <si>
    <t>2025-01-25</t>
  </si>
  <si>
    <t>3979</t>
  </si>
  <si>
    <t>P0134</t>
  </si>
  <si>
    <t>83.0</t>
  </si>
  <si>
    <t>Neurolgy</t>
  </si>
  <si>
    <t>2024-12-17</t>
  </si>
  <si>
    <t>3092</t>
  </si>
  <si>
    <t>P0135</t>
  </si>
  <si>
    <t>8.3</t>
  </si>
  <si>
    <t>2079</t>
  </si>
  <si>
    <t>P0136</t>
  </si>
  <si>
    <t>will</t>
  </si>
  <si>
    <t>2025-02-28</t>
  </si>
  <si>
    <t>481</t>
  </si>
  <si>
    <t>P0137</t>
  </si>
  <si>
    <t>2263</t>
  </si>
  <si>
    <t>2025-12-04</t>
  </si>
  <si>
    <t>P0138</t>
  </si>
  <si>
    <t>Ava</t>
  </si>
  <si>
    <t>25.0</t>
  </si>
  <si>
    <t>Eczemaa</t>
  </si>
  <si>
    <t>3.7</t>
  </si>
  <si>
    <t>53</t>
  </si>
  <si>
    <t>1108</t>
  </si>
  <si>
    <t>P0139</t>
  </si>
  <si>
    <t>Paul</t>
  </si>
  <si>
    <t>42.0</t>
  </si>
  <si>
    <t>Hypothyroidsm</t>
  </si>
  <si>
    <t>922</t>
  </si>
  <si>
    <t>P0140</t>
  </si>
  <si>
    <t>Ian</t>
  </si>
  <si>
    <t>59.0</t>
  </si>
  <si>
    <t>2024-08-09</t>
  </si>
  <si>
    <t>2110</t>
  </si>
  <si>
    <t>P0141</t>
  </si>
  <si>
    <t>5.7</t>
  </si>
  <si>
    <t>3101</t>
  </si>
  <si>
    <t>P0142</t>
  </si>
  <si>
    <t>DAVIS</t>
  </si>
  <si>
    <t>33.0</t>
  </si>
  <si>
    <t>2024-10-21</t>
  </si>
  <si>
    <t>2483</t>
  </si>
  <si>
    <t>P0143</t>
  </si>
  <si>
    <t>6.9</t>
  </si>
  <si>
    <t>1554</t>
  </si>
  <si>
    <t>P0144</t>
  </si>
  <si>
    <t>2025-08-21</t>
  </si>
  <si>
    <t>GARCIA</t>
  </si>
  <si>
    <t>982</t>
  </si>
  <si>
    <t>9.8</t>
  </si>
  <si>
    <t>P0145</t>
  </si>
  <si>
    <t>Tina</t>
  </si>
  <si>
    <t>2024-03-23</t>
  </si>
  <si>
    <t>1658</t>
  </si>
  <si>
    <t>P0146</t>
  </si>
  <si>
    <t>Chris</t>
  </si>
  <si>
    <t>78.0</t>
  </si>
  <si>
    <t>18.1</t>
  </si>
  <si>
    <t>3584</t>
  </si>
  <si>
    <t>P0147</t>
  </si>
  <si>
    <t>LOUIS</t>
  </si>
  <si>
    <t>Dec-7-2022</t>
  </si>
  <si>
    <t>4742</t>
  </si>
  <si>
    <t>P0148</t>
  </si>
  <si>
    <t>fiona</t>
  </si>
  <si>
    <t>51.0</t>
  </si>
  <si>
    <t>1012</t>
  </si>
  <si>
    <t>2022-08-16</t>
  </si>
  <si>
    <t>P0149</t>
  </si>
  <si>
    <t>Hyperthyroidism</t>
  </si>
  <si>
    <t>9.7</t>
  </si>
  <si>
    <t>999</t>
  </si>
  <si>
    <t>P0150</t>
  </si>
  <si>
    <t>2024-12-23</t>
  </si>
  <si>
    <t>1755</t>
  </si>
  <si>
    <t>P0151</t>
  </si>
  <si>
    <t>690</t>
  </si>
  <si>
    <t>P0152</t>
  </si>
  <si>
    <t>James</t>
  </si>
  <si>
    <t>2024-11-30</t>
  </si>
  <si>
    <t>3293</t>
  </si>
  <si>
    <t>P0153</t>
  </si>
  <si>
    <t>10.1</t>
  </si>
  <si>
    <t>262</t>
  </si>
  <si>
    <t>P0154</t>
  </si>
  <si>
    <t>Feb-21-2023</t>
  </si>
  <si>
    <t>3906</t>
  </si>
  <si>
    <t>P0155</t>
  </si>
  <si>
    <t>612</t>
  </si>
  <si>
    <t>P0156</t>
  </si>
  <si>
    <t>sally</t>
  </si>
  <si>
    <t>Jun-17-2024</t>
  </si>
  <si>
    <t>852</t>
  </si>
  <si>
    <t>P0157</t>
  </si>
  <si>
    <t>beatrice</t>
  </si>
  <si>
    <t>2475</t>
  </si>
  <si>
    <t>P0158</t>
  </si>
  <si>
    <t>13.9</t>
  </si>
  <si>
    <t>37.0</t>
  </si>
  <si>
    <t>2484</t>
  </si>
  <si>
    <t>P0159</t>
  </si>
  <si>
    <t>2022-07-21</t>
  </si>
  <si>
    <t>3885</t>
  </si>
  <si>
    <t>P0160</t>
  </si>
  <si>
    <t>12.7</t>
  </si>
  <si>
    <t>662</t>
  </si>
  <si>
    <t>2023-11-04</t>
  </si>
  <si>
    <t>P0161</t>
  </si>
  <si>
    <t>7.2</t>
  </si>
  <si>
    <t>1424</t>
  </si>
  <si>
    <t>P0162</t>
  </si>
  <si>
    <t>greG</t>
  </si>
  <si>
    <t>Glover</t>
  </si>
  <si>
    <t>2023-12-17</t>
  </si>
  <si>
    <t>1222</t>
  </si>
  <si>
    <t>P0163</t>
  </si>
  <si>
    <t>Bob#</t>
  </si>
  <si>
    <t>694</t>
  </si>
  <si>
    <t>P0164</t>
  </si>
  <si>
    <t>61.0</t>
  </si>
  <si>
    <t>Coronary Artery Diseas</t>
  </si>
  <si>
    <t>3032</t>
  </si>
  <si>
    <t>P0165</t>
  </si>
  <si>
    <t>27/38/2022</t>
  </si>
  <si>
    <t>2.1</t>
  </si>
  <si>
    <t>2025-12-24</t>
  </si>
  <si>
    <t>14.9</t>
  </si>
  <si>
    <t>2025/08/07</t>
  </si>
  <si>
    <t>P0166</t>
  </si>
  <si>
    <t>2021-12-31</t>
  </si>
  <si>
    <t>Depresion</t>
  </si>
  <si>
    <t>1559</t>
  </si>
  <si>
    <t>P0167</t>
  </si>
  <si>
    <t>2214</t>
  </si>
  <si>
    <t>2023-03-03</t>
  </si>
  <si>
    <t>P0168</t>
  </si>
  <si>
    <t>Thomas</t>
  </si>
  <si>
    <t>14.3</t>
  </si>
  <si>
    <t>3104</t>
  </si>
  <si>
    <t>P0169</t>
  </si>
  <si>
    <t>Jul-12-2026</t>
  </si>
  <si>
    <t>1982</t>
  </si>
  <si>
    <t>P0170</t>
  </si>
  <si>
    <t>13.4</t>
  </si>
  <si>
    <t>1282</t>
  </si>
  <si>
    <t>P0171</t>
  </si>
  <si>
    <t>2024-07-15</t>
  </si>
  <si>
    <t>1725</t>
  </si>
  <si>
    <t>P0172</t>
  </si>
  <si>
    <t>8.1</t>
  </si>
  <si>
    <t>1270</t>
  </si>
  <si>
    <t>P0173</t>
  </si>
  <si>
    <t>donald</t>
  </si>
  <si>
    <t>2022-06-29</t>
  </si>
  <si>
    <t>2578</t>
  </si>
  <si>
    <t>P0174</t>
  </si>
  <si>
    <t>P0175</t>
  </si>
  <si>
    <t>Tom</t>
  </si>
  <si>
    <t>3892</t>
  </si>
  <si>
    <t>P0176</t>
  </si>
  <si>
    <t>2023-03-25</t>
  </si>
  <si>
    <t>3287</t>
  </si>
  <si>
    <t>2022-05-28</t>
  </si>
  <si>
    <t>P0177</t>
  </si>
  <si>
    <t>2223</t>
  </si>
  <si>
    <t>P0178</t>
  </si>
  <si>
    <t>28.0</t>
  </si>
  <si>
    <t>Dec-8-2024</t>
  </si>
  <si>
    <t>2595</t>
  </si>
  <si>
    <t>P0179</t>
  </si>
  <si>
    <t>young</t>
  </si>
  <si>
    <t>637</t>
  </si>
  <si>
    <t>P0180</t>
  </si>
  <si>
    <t>miles</t>
  </si>
  <si>
    <t>WU</t>
  </si>
  <si>
    <t>2023-04-29</t>
  </si>
  <si>
    <t>P0181</t>
  </si>
  <si>
    <t>12.2</t>
  </si>
  <si>
    <t>72.0</t>
  </si>
  <si>
    <t>57</t>
  </si>
  <si>
    <t>2473</t>
  </si>
  <si>
    <t>28/25/2024</t>
  </si>
  <si>
    <t>P0182</t>
  </si>
  <si>
    <t>626</t>
  </si>
  <si>
    <t>P0183</t>
  </si>
  <si>
    <t>2021/10/05</t>
  </si>
  <si>
    <t>286</t>
  </si>
  <si>
    <t>P0184</t>
  </si>
  <si>
    <t>WALES</t>
  </si>
  <si>
    <t>16.8</t>
  </si>
  <si>
    <t>2988</t>
  </si>
  <si>
    <t>P0185</t>
  </si>
  <si>
    <t>14/18/2023</t>
  </si>
  <si>
    <t>DANIEL</t>
  </si>
  <si>
    <t>35.0</t>
  </si>
  <si>
    <t>1092</t>
  </si>
  <si>
    <t>P0186</t>
  </si>
  <si>
    <t>6.7</t>
  </si>
  <si>
    <t>2025-01-14</t>
  </si>
  <si>
    <t>1797</t>
  </si>
  <si>
    <t>P0187</t>
  </si>
  <si>
    <t>19.3</t>
  </si>
  <si>
    <t>56</t>
  </si>
  <si>
    <t>4383</t>
  </si>
  <si>
    <t>P0188</t>
  </si>
  <si>
    <t>2024-12-06</t>
  </si>
  <si>
    <t>1589</t>
  </si>
  <si>
    <t>P0189</t>
  </si>
  <si>
    <t>3.3</t>
  </si>
  <si>
    <t>P0190</t>
  </si>
  <si>
    <t>2025-11-18</t>
  </si>
  <si>
    <t>1043</t>
  </si>
  <si>
    <t>P0191</t>
  </si>
  <si>
    <t>tom</t>
  </si>
  <si>
    <t>6.4</t>
  </si>
  <si>
    <t>283</t>
  </si>
  <si>
    <t>P0192</t>
  </si>
  <si>
    <t>2023/03/21</t>
  </si>
  <si>
    <t>4922</t>
  </si>
  <si>
    <t>P0193</t>
  </si>
  <si>
    <t>69</t>
  </si>
  <si>
    <t>P0194</t>
  </si>
  <si>
    <t>Bob_</t>
  </si>
  <si>
    <t>jiang</t>
  </si>
  <si>
    <t>3042</t>
  </si>
  <si>
    <t>P0195</t>
  </si>
  <si>
    <t>xavier</t>
  </si>
  <si>
    <t>3296</t>
  </si>
  <si>
    <t>2023-09-29</t>
  </si>
  <si>
    <t>P0196</t>
  </si>
  <si>
    <t>daniel</t>
  </si>
  <si>
    <t>Zu</t>
  </si>
  <si>
    <t>2222</t>
  </si>
  <si>
    <t>P0197</t>
  </si>
  <si>
    <t>Unknown</t>
  </si>
  <si>
    <t>2021-10-25</t>
  </si>
  <si>
    <t>2726</t>
  </si>
  <si>
    <t>P0198</t>
  </si>
  <si>
    <t>Miles</t>
  </si>
  <si>
    <t>2360</t>
  </si>
  <si>
    <t>P0199</t>
  </si>
  <si>
    <t>59</t>
  </si>
  <si>
    <t>545</t>
  </si>
  <si>
    <t>P0200</t>
  </si>
  <si>
    <t>20.0</t>
  </si>
  <si>
    <t>David/</t>
  </si>
  <si>
    <t>2022-06-26</t>
  </si>
  <si>
    <t>2617</t>
  </si>
  <si>
    <t>P0201</t>
  </si>
  <si>
    <t>12.3</t>
  </si>
  <si>
    <t>2025-05-30</t>
  </si>
  <si>
    <t>2243</t>
  </si>
  <si>
    <t>P0202</t>
  </si>
  <si>
    <t>2446</t>
  </si>
  <si>
    <t>2022/10/09</t>
  </si>
  <si>
    <t>P0203</t>
  </si>
  <si>
    <t>757</t>
  </si>
  <si>
    <t>P0204</t>
  </si>
  <si>
    <t>liang</t>
  </si>
  <si>
    <t>2025/09/11</t>
  </si>
  <si>
    <t>2586</t>
  </si>
  <si>
    <t>P0205</t>
  </si>
  <si>
    <t>10.7</t>
  </si>
  <si>
    <t>3558</t>
  </si>
  <si>
    <t>P0206</t>
  </si>
  <si>
    <t>2025/08/14</t>
  </si>
  <si>
    <t>712</t>
  </si>
  <si>
    <t>P0207</t>
  </si>
  <si>
    <t>olvia</t>
  </si>
  <si>
    <t>15.5</t>
  </si>
  <si>
    <t>-500</t>
  </si>
  <si>
    <t>P0208</t>
  </si>
  <si>
    <t>2022/08/18</t>
  </si>
  <si>
    <t>641</t>
  </si>
  <si>
    <t>P0209</t>
  </si>
  <si>
    <t>2397</t>
  </si>
  <si>
    <t>P0210</t>
  </si>
  <si>
    <t>chan</t>
  </si>
  <si>
    <t>2025-03-01</t>
  </si>
  <si>
    <t>173</t>
  </si>
  <si>
    <t>P0211</t>
  </si>
  <si>
    <t>2.5</t>
  </si>
  <si>
    <t>P0212</t>
  </si>
  <si>
    <t>Feb-4-2023</t>
  </si>
  <si>
    <t>2037</t>
  </si>
  <si>
    <t>P0213</t>
  </si>
  <si>
    <t>6.1</t>
  </si>
  <si>
    <t>2023-04-28</t>
  </si>
  <si>
    <t>P0214</t>
  </si>
  <si>
    <t>3873</t>
  </si>
  <si>
    <t>49</t>
  </si>
  <si>
    <t>P0215</t>
  </si>
  <si>
    <t>RODRIGUEZ</t>
  </si>
  <si>
    <t>2025-04-30</t>
  </si>
  <si>
    <t>797</t>
  </si>
  <si>
    <t>P0216</t>
  </si>
  <si>
    <t>Joshua</t>
  </si>
  <si>
    <t>3125</t>
  </si>
  <si>
    <t>P0217</t>
  </si>
  <si>
    <t>2023-11-06</t>
  </si>
  <si>
    <t>1340</t>
  </si>
  <si>
    <t>P0218</t>
  </si>
  <si>
    <t>Pauline</t>
  </si>
  <si>
    <t>29.0</t>
  </si>
  <si>
    <t>2384</t>
  </si>
  <si>
    <t>P0219</t>
  </si>
  <si>
    <t>2025-09-11</t>
  </si>
  <si>
    <t>1475</t>
  </si>
  <si>
    <t>P0220</t>
  </si>
  <si>
    <t>13.1</t>
  </si>
  <si>
    <t>1261</t>
  </si>
  <si>
    <t>P0221</t>
  </si>
  <si>
    <t>2024-12-13</t>
  </si>
  <si>
    <t>Craig</t>
  </si>
  <si>
    <t>1836</t>
  </si>
  <si>
    <t>2025-12-11</t>
  </si>
  <si>
    <t>P0222</t>
  </si>
  <si>
    <t>2771</t>
  </si>
  <si>
    <t>P0223</t>
  </si>
  <si>
    <t>JASMINE</t>
  </si>
  <si>
    <t>2025-12-05</t>
  </si>
  <si>
    <t>3261</t>
  </si>
  <si>
    <t>P0224</t>
  </si>
  <si>
    <t>4.8</t>
  </si>
  <si>
    <t>1551</t>
  </si>
  <si>
    <t>2026-05-10</t>
  </si>
  <si>
    <t>P0225</t>
  </si>
  <si>
    <t>2523</t>
  </si>
  <si>
    <t>P0226</t>
  </si>
  <si>
    <t>2025-07-22</t>
  </si>
  <si>
    <t>Kylie</t>
  </si>
  <si>
    <t>182</t>
  </si>
  <si>
    <t>P0227</t>
  </si>
  <si>
    <t>58.0</t>
  </si>
  <si>
    <t>571</t>
  </si>
  <si>
    <t>P0228</t>
  </si>
  <si>
    <t>2023/04/25</t>
  </si>
  <si>
    <t>2183</t>
  </si>
  <si>
    <t>P0229</t>
  </si>
  <si>
    <t>Jack</t>
  </si>
  <si>
    <t>Martinez</t>
  </si>
  <si>
    <t>Psoriasiss</t>
  </si>
  <si>
    <t>2024-08-12</t>
  </si>
  <si>
    <t>1330</t>
  </si>
  <si>
    <t>P0230</t>
  </si>
  <si>
    <t>1987</t>
  </si>
  <si>
    <t>P0231</t>
  </si>
  <si>
    <t>Aug-21-2021</t>
  </si>
  <si>
    <t>2200</t>
  </si>
  <si>
    <t>P0232</t>
  </si>
  <si>
    <t>739</t>
  </si>
  <si>
    <t>P0233</t>
  </si>
  <si>
    <t>betty</t>
  </si>
  <si>
    <t>3106</t>
  </si>
  <si>
    <t>P0234</t>
  </si>
  <si>
    <t>2361</t>
  </si>
  <si>
    <t>2023-07-28</t>
  </si>
  <si>
    <t>P0235</t>
  </si>
  <si>
    <t>2216</t>
  </si>
  <si>
    <t>P0236</t>
  </si>
  <si>
    <t>chen</t>
  </si>
  <si>
    <t>2022-05-14</t>
  </si>
  <si>
    <t>1312</t>
  </si>
  <si>
    <t>P0237</t>
  </si>
  <si>
    <t>1.7</t>
  </si>
  <si>
    <t>4184</t>
  </si>
  <si>
    <t>P0238</t>
  </si>
  <si>
    <t>2024-09-28</t>
  </si>
  <si>
    <t>P0239</t>
  </si>
  <si>
    <t>2023/07/12</t>
  </si>
  <si>
    <t>1074</t>
  </si>
  <si>
    <t>P0240</t>
  </si>
  <si>
    <t>Keiith</t>
  </si>
  <si>
    <t>2729</t>
  </si>
  <si>
    <t>P0241</t>
  </si>
  <si>
    <t>2026-04-28</t>
  </si>
  <si>
    <t>3228</t>
  </si>
  <si>
    <t>P0242</t>
  </si>
  <si>
    <t>alice</t>
  </si>
  <si>
    <t>1392</t>
  </si>
  <si>
    <t>P0243</t>
  </si>
  <si>
    <t>370</t>
  </si>
  <si>
    <t>P0244</t>
  </si>
  <si>
    <t>P0245</t>
  </si>
  <si>
    <t>67.0</t>
  </si>
  <si>
    <t>2023-10-10</t>
  </si>
  <si>
    <t>2121</t>
  </si>
  <si>
    <t>P0246</t>
  </si>
  <si>
    <t>846</t>
  </si>
  <si>
    <t>P0247</t>
  </si>
  <si>
    <t>Charles</t>
  </si>
  <si>
    <t>wales</t>
  </si>
  <si>
    <t>2024-08-29</t>
  </si>
  <si>
    <t>4009</t>
  </si>
  <si>
    <t>P0248</t>
  </si>
  <si>
    <t>14.5</t>
  </si>
  <si>
    <t>600</t>
  </si>
  <si>
    <t>Sep-29-2022</t>
  </si>
  <si>
    <t>P0249</t>
  </si>
  <si>
    <t>17.1</t>
  </si>
  <si>
    <t>958</t>
  </si>
  <si>
    <t>P0250</t>
  </si>
  <si>
    <t>2025-06-26</t>
  </si>
  <si>
    <t>3705</t>
  </si>
  <si>
    <t>P0251</t>
  </si>
  <si>
    <t>Liang</t>
  </si>
  <si>
    <t>2025-04-20</t>
  </si>
  <si>
    <t>3263</t>
  </si>
  <si>
    <t>P0252</t>
  </si>
  <si>
    <t>CooPER</t>
  </si>
  <si>
    <t>881</t>
  </si>
  <si>
    <t>P0253</t>
  </si>
  <si>
    <t>2025/01/02</t>
  </si>
  <si>
    <t>3177</t>
  </si>
  <si>
    <t>P0254</t>
  </si>
  <si>
    <t>2024/06/20</t>
  </si>
  <si>
    <t>P0255</t>
  </si>
  <si>
    <t>3903</t>
  </si>
  <si>
    <t>12.8</t>
  </si>
  <si>
    <t>P0256</t>
  </si>
  <si>
    <t>thomas</t>
  </si>
  <si>
    <t>2023-04-21</t>
  </si>
  <si>
    <t>Arrythmia</t>
  </si>
  <si>
    <t>4175</t>
  </si>
  <si>
    <t>P0257</t>
  </si>
  <si>
    <t>2023-09-18</t>
  </si>
  <si>
    <t>628</t>
  </si>
  <si>
    <t>P0258</t>
  </si>
  <si>
    <t>4.6</t>
  </si>
  <si>
    <t>2022-06-22</t>
  </si>
  <si>
    <t>1400</t>
  </si>
  <si>
    <t>Natalie</t>
  </si>
  <si>
    <t>P0259</t>
  </si>
  <si>
    <t>61</t>
  </si>
  <si>
    <t>2537</t>
  </si>
  <si>
    <t>P0260</t>
  </si>
  <si>
    <t>ROBERT</t>
  </si>
  <si>
    <t>Dec-17-2025</t>
  </si>
  <si>
    <t>1241</t>
  </si>
  <si>
    <t>P0261</t>
  </si>
  <si>
    <t>2024-07-27</t>
  </si>
  <si>
    <t>2829</t>
  </si>
  <si>
    <t>P0262</t>
  </si>
  <si>
    <t>Psoriasis</t>
  </si>
  <si>
    <t>2022-11-29</t>
  </si>
  <si>
    <t>871</t>
  </si>
  <si>
    <t>P0263</t>
  </si>
  <si>
    <t>greg</t>
  </si>
  <si>
    <t>1374</t>
  </si>
  <si>
    <t>P0264</t>
  </si>
  <si>
    <t>2023-09-23</t>
  </si>
  <si>
    <t>2327</t>
  </si>
  <si>
    <t>P0265</t>
  </si>
  <si>
    <t>2024/03/18</t>
  </si>
  <si>
    <t>1113</t>
  </si>
  <si>
    <t>P0266</t>
  </si>
  <si>
    <t>14.8</t>
  </si>
  <si>
    <t>2969</t>
  </si>
  <si>
    <t>P0267</t>
  </si>
  <si>
    <t>ROB</t>
  </si>
  <si>
    <t>2025/06/25</t>
  </si>
  <si>
    <t>777</t>
  </si>
  <si>
    <t>P0268</t>
  </si>
  <si>
    <t>664</t>
  </si>
  <si>
    <t>P0269</t>
  </si>
  <si>
    <t>MILLER</t>
  </si>
  <si>
    <t>640</t>
  </si>
  <si>
    <t>P0270</t>
  </si>
  <si>
    <t>Oct-26-2025</t>
  </si>
  <si>
    <t>3050</t>
  </si>
  <si>
    <t>P0271</t>
  </si>
  <si>
    <t>65</t>
  </si>
  <si>
    <t>2025-11-27</t>
  </si>
  <si>
    <t>4021</t>
  </si>
  <si>
    <t>P0272</t>
  </si>
  <si>
    <t>Jiang</t>
  </si>
  <si>
    <t>527</t>
  </si>
  <si>
    <t>P0273</t>
  </si>
  <si>
    <t>2026-03-01</t>
  </si>
  <si>
    <t>kevin</t>
  </si>
  <si>
    <t>1758</t>
  </si>
  <si>
    <t>P0274</t>
  </si>
  <si>
    <t>Timothy</t>
  </si>
  <si>
    <t>821</t>
  </si>
  <si>
    <t>2026/07/06</t>
  </si>
  <si>
    <t>P0275</t>
  </si>
  <si>
    <t>5.8</t>
  </si>
  <si>
    <t>2025-11-03</t>
  </si>
  <si>
    <t>2294</t>
  </si>
  <si>
    <t>P0276</t>
  </si>
  <si>
    <t>479</t>
  </si>
  <si>
    <t>2024-10-28</t>
  </si>
  <si>
    <t>P0277</t>
  </si>
  <si>
    <t>2061</t>
  </si>
  <si>
    <t>P0278</t>
  </si>
  <si>
    <t>2023-11-01</t>
  </si>
  <si>
    <t>89.0</t>
  </si>
  <si>
    <t>2605</t>
  </si>
  <si>
    <t>P0279</t>
  </si>
  <si>
    <t>5.2</t>
  </si>
  <si>
    <t>Kevin</t>
  </si>
  <si>
    <t>2023-03-05</t>
  </si>
  <si>
    <t>2959</t>
  </si>
  <si>
    <t>P0280</t>
  </si>
  <si>
    <t>4342</t>
  </si>
  <si>
    <t>P0281</t>
  </si>
  <si>
    <t>P0282</t>
  </si>
  <si>
    <t>Dec-11-2023</t>
  </si>
  <si>
    <t>4308</t>
  </si>
  <si>
    <t>P0283</t>
  </si>
  <si>
    <t>P0284</t>
  </si>
  <si>
    <t>P0285</t>
  </si>
  <si>
    <t>1728</t>
  </si>
  <si>
    <t>P0286</t>
  </si>
  <si>
    <t>richardson</t>
  </si>
  <si>
    <t>2024/03/27</t>
  </si>
  <si>
    <t>3988</t>
  </si>
  <si>
    <t>P0287</t>
  </si>
  <si>
    <t>617</t>
  </si>
  <si>
    <t>2025-04-05</t>
  </si>
  <si>
    <t>P0288</t>
  </si>
  <si>
    <t>798</t>
  </si>
  <si>
    <t>P0289</t>
  </si>
  <si>
    <t>2024-10-22</t>
  </si>
  <si>
    <t>1891</t>
  </si>
  <si>
    <t>P0290</t>
  </si>
  <si>
    <t>1577</t>
  </si>
  <si>
    <t>P0291</t>
  </si>
  <si>
    <t>7.8</t>
  </si>
  <si>
    <t>430</t>
  </si>
  <si>
    <t>P0292</t>
  </si>
  <si>
    <t>2025-06-17</t>
  </si>
  <si>
    <t>2014</t>
  </si>
  <si>
    <t>P0293</t>
  </si>
  <si>
    <t>71</t>
  </si>
  <si>
    <t>14.1</t>
  </si>
  <si>
    <t>3439</t>
  </si>
  <si>
    <t>P0294</t>
  </si>
  <si>
    <t>2023-06-15</t>
  </si>
  <si>
    <t>3190</t>
  </si>
  <si>
    <t>P0295</t>
  </si>
  <si>
    <t>1324</t>
  </si>
  <si>
    <t>P0296</t>
  </si>
  <si>
    <t>2026-04-01</t>
  </si>
  <si>
    <t>aidan</t>
  </si>
  <si>
    <t>13.8</t>
  </si>
  <si>
    <t>1872</t>
  </si>
  <si>
    <t>P0297</t>
  </si>
  <si>
    <t>2437</t>
  </si>
  <si>
    <t>20.9</t>
  </si>
  <si>
    <t>P0298</t>
  </si>
  <si>
    <t>2026-04-25</t>
  </si>
  <si>
    <t>4255</t>
  </si>
  <si>
    <t>P0299</t>
  </si>
  <si>
    <t>2025-01-10</t>
  </si>
  <si>
    <t>2387</t>
  </si>
  <si>
    <t>2026-03-20</t>
  </si>
  <si>
    <t>P0300</t>
  </si>
  <si>
    <t>2023-03-19</t>
  </si>
  <si>
    <t>P0301</t>
  </si>
  <si>
    <t>1737</t>
  </si>
  <si>
    <t>P0302</t>
  </si>
  <si>
    <t>2026-05-16</t>
  </si>
  <si>
    <t>771</t>
  </si>
  <si>
    <t>P0303</t>
  </si>
  <si>
    <t>1614</t>
  </si>
  <si>
    <t>Apr-30-2022</t>
  </si>
  <si>
    <t>P0304</t>
  </si>
  <si>
    <t>ryan</t>
  </si>
  <si>
    <t>3.9</t>
  </si>
  <si>
    <t>1739</t>
  </si>
  <si>
    <t>P0305</t>
  </si>
  <si>
    <t>nicholas</t>
  </si>
  <si>
    <t>2026-07-28</t>
  </si>
  <si>
    <t>P0306</t>
  </si>
  <si>
    <t>theresa</t>
  </si>
  <si>
    <t>4.9</t>
  </si>
  <si>
    <t>3631</t>
  </si>
  <si>
    <t>P0307</t>
  </si>
  <si>
    <t>2762</t>
  </si>
  <si>
    <t>P0308</t>
  </si>
  <si>
    <t>4104</t>
  </si>
  <si>
    <t>2025-01-31</t>
  </si>
  <si>
    <t>P0309</t>
  </si>
  <si>
    <t>Silvia</t>
  </si>
  <si>
    <t>P0310</t>
  </si>
  <si>
    <t>2023-10-24</t>
  </si>
  <si>
    <t>1229</t>
  </si>
  <si>
    <t>P0311</t>
  </si>
  <si>
    <t>19.1</t>
  </si>
  <si>
    <t>682</t>
  </si>
  <si>
    <t>P0312</t>
  </si>
  <si>
    <t>2025/01/16</t>
  </si>
  <si>
    <t>4141</t>
  </si>
  <si>
    <t>P0313</t>
  </si>
  <si>
    <t>70.0</t>
  </si>
  <si>
    <t>997</t>
  </si>
  <si>
    <t>P0314</t>
  </si>
  <si>
    <t>2025/12/31</t>
  </si>
  <si>
    <t>1740</t>
  </si>
  <si>
    <t>P0315</t>
  </si>
  <si>
    <t>2025/02/23</t>
  </si>
  <si>
    <t>141</t>
  </si>
  <si>
    <t>P0316</t>
  </si>
  <si>
    <t>baker</t>
  </si>
  <si>
    <t>16.3</t>
  </si>
  <si>
    <t>2073</t>
  </si>
  <si>
    <t>P0317</t>
  </si>
  <si>
    <t>dale</t>
  </si>
  <si>
    <t>2024-05-14</t>
  </si>
  <si>
    <t>494</t>
  </si>
  <si>
    <t>P0318</t>
  </si>
  <si>
    <t>Wales</t>
  </si>
  <si>
    <t>17.8</t>
  </si>
  <si>
    <t>630</t>
  </si>
  <si>
    <t>2026-01-07</t>
  </si>
  <si>
    <t>P0319</t>
  </si>
  <si>
    <t>3928</t>
  </si>
  <si>
    <t>P0320</t>
  </si>
  <si>
    <t>2480</t>
  </si>
  <si>
    <t>P0321</t>
  </si>
  <si>
    <t>1574</t>
  </si>
  <si>
    <t>P0322</t>
  </si>
  <si>
    <t>2022-08-07</t>
  </si>
  <si>
    <t>1118</t>
  </si>
  <si>
    <t>P0323</t>
  </si>
  <si>
    <t>1119</t>
  </si>
  <si>
    <t>P0324</t>
  </si>
  <si>
    <t>2026-04-14</t>
  </si>
  <si>
    <t>1151</t>
  </si>
  <si>
    <t>P0325</t>
  </si>
  <si>
    <t>3770</t>
  </si>
  <si>
    <t>2026-05-05</t>
  </si>
  <si>
    <t>P0326</t>
  </si>
  <si>
    <t>3870</t>
  </si>
  <si>
    <t>P0327</t>
  </si>
  <si>
    <t>1410</t>
  </si>
  <si>
    <t>P0328</t>
  </si>
  <si>
    <t>2026-04-20</t>
  </si>
  <si>
    <t>Sun</t>
  </si>
  <si>
    <t>31.0</t>
  </si>
  <si>
    <t>P0329</t>
  </si>
  <si>
    <t>2938</t>
  </si>
  <si>
    <t>P0330</t>
  </si>
  <si>
    <t>2024/08/16</t>
  </si>
  <si>
    <t>Gale</t>
  </si>
  <si>
    <t>1916</t>
  </si>
  <si>
    <t>P0331</t>
  </si>
  <si>
    <t>felix</t>
  </si>
  <si>
    <t>2025/11/28</t>
  </si>
  <si>
    <t>1769</t>
  </si>
  <si>
    <t>P0332</t>
  </si>
  <si>
    <t>1.2</t>
  </si>
  <si>
    <t>1899</t>
  </si>
  <si>
    <t>P0333</t>
  </si>
  <si>
    <t>2022-06-28</t>
  </si>
  <si>
    <t>1546</t>
  </si>
  <si>
    <t>P0334</t>
  </si>
  <si>
    <t>12.6</t>
  </si>
  <si>
    <t>1148</t>
  </si>
  <si>
    <t>P0335</t>
  </si>
  <si>
    <t>2024-07-19</t>
  </si>
  <si>
    <t>1924</t>
  </si>
  <si>
    <t>P0336</t>
  </si>
  <si>
    <t>2021-11-01</t>
  </si>
  <si>
    <t>1025</t>
  </si>
  <si>
    <t>P0337</t>
  </si>
  <si>
    <t>711</t>
  </si>
  <si>
    <t>P0338</t>
  </si>
  <si>
    <t>P0339</t>
  </si>
  <si>
    <t>P0340</t>
  </si>
  <si>
    <t>Rob</t>
  </si>
  <si>
    <t>15.1</t>
  </si>
  <si>
    <t>2023-12-19</t>
  </si>
  <si>
    <t>1541</t>
  </si>
  <si>
    <t>P0341</t>
  </si>
  <si>
    <t>2863</t>
  </si>
  <si>
    <t>P0342</t>
  </si>
  <si>
    <t>Keith</t>
  </si>
  <si>
    <t>2025-09-09</t>
  </si>
  <si>
    <t>4115</t>
  </si>
  <si>
    <t>P0343</t>
  </si>
  <si>
    <t>sun</t>
  </si>
  <si>
    <t>P0344</t>
  </si>
  <si>
    <t>Felix</t>
  </si>
  <si>
    <t>May-2-2023</t>
  </si>
  <si>
    <t>1105</t>
  </si>
  <si>
    <t>P0345</t>
  </si>
  <si>
    <t>812</t>
  </si>
  <si>
    <t>P0346</t>
  </si>
  <si>
    <t>2024-02-26</t>
  </si>
  <si>
    <t>2438</t>
  </si>
  <si>
    <t>P0347</t>
  </si>
  <si>
    <t>lopez</t>
  </si>
  <si>
    <t>2949</t>
  </si>
  <si>
    <t>P0348</t>
  </si>
  <si>
    <t>2023-02-05</t>
  </si>
  <si>
    <t>P0349</t>
  </si>
  <si>
    <t>LOPEz</t>
  </si>
  <si>
    <t>-75</t>
  </si>
  <si>
    <t>2025-08-04</t>
  </si>
  <si>
    <t>P0350</t>
  </si>
  <si>
    <t>1168</t>
  </si>
  <si>
    <t>P0351</t>
  </si>
  <si>
    <t>2022/03/12</t>
  </si>
  <si>
    <t>2168</t>
  </si>
  <si>
    <t>P0352</t>
  </si>
  <si>
    <t>1008</t>
  </si>
  <si>
    <t>2024-11-11</t>
  </si>
  <si>
    <t>P0353</t>
  </si>
  <si>
    <t>456</t>
  </si>
  <si>
    <t>P0354</t>
  </si>
  <si>
    <t>2022-05-30</t>
  </si>
  <si>
    <t>3294</t>
  </si>
  <si>
    <t>P0355</t>
  </si>
  <si>
    <t>perez</t>
  </si>
  <si>
    <t>2366</t>
  </si>
  <si>
    <t>P0356</t>
  </si>
  <si>
    <t>2026-05-26</t>
  </si>
  <si>
    <t>1206</t>
  </si>
  <si>
    <t>P0357</t>
  </si>
  <si>
    <t>SUN</t>
  </si>
  <si>
    <t>2025-05-04</t>
  </si>
  <si>
    <t>2209</t>
  </si>
  <si>
    <t>P0358</t>
  </si>
  <si>
    <t>male</t>
  </si>
  <si>
    <t>2311</t>
  </si>
  <si>
    <t>P0359</t>
  </si>
  <si>
    <t>2023-06-04</t>
  </si>
  <si>
    <t>2399</t>
  </si>
  <si>
    <t>P0360</t>
  </si>
  <si>
    <t>4057</t>
  </si>
  <si>
    <t>P0361</t>
  </si>
  <si>
    <t>2025-09-25</t>
  </si>
  <si>
    <t>892</t>
  </si>
  <si>
    <t>P0362</t>
  </si>
  <si>
    <t>Lisa</t>
  </si>
  <si>
    <t>1870</t>
  </si>
  <si>
    <t>P0363</t>
  </si>
  <si>
    <t>2024-09-25</t>
  </si>
  <si>
    <t>1829</t>
  </si>
  <si>
    <t>P0364</t>
  </si>
  <si>
    <t>FIONA</t>
  </si>
  <si>
    <t>1957</t>
  </si>
  <si>
    <t>P0365</t>
  </si>
  <si>
    <t>Bronchitiss</t>
  </si>
  <si>
    <t>2344</t>
  </si>
  <si>
    <t>P0366</t>
  </si>
  <si>
    <t>2024-01-26</t>
  </si>
  <si>
    <t>497</t>
  </si>
  <si>
    <t>P0367</t>
  </si>
  <si>
    <t>AVA</t>
  </si>
  <si>
    <t>427</t>
  </si>
  <si>
    <t>P0368</t>
  </si>
  <si>
    <t>2024/09/08</t>
  </si>
  <si>
    <t>1075</t>
  </si>
  <si>
    <t>P0369</t>
  </si>
  <si>
    <t>2025-06-09</t>
  </si>
  <si>
    <t>595</t>
  </si>
  <si>
    <t>P0370</t>
  </si>
  <si>
    <t>2174</t>
  </si>
  <si>
    <t>P0371</t>
  </si>
  <si>
    <t>2022-11-28</t>
  </si>
  <si>
    <t>2581</t>
  </si>
  <si>
    <t>P0372</t>
  </si>
  <si>
    <t>Feb-21-2024</t>
  </si>
  <si>
    <t>4354</t>
  </si>
  <si>
    <t>P0373</t>
  </si>
  <si>
    <t>2733</t>
  </si>
  <si>
    <t>P0374</t>
  </si>
  <si>
    <t>2022-09-06</t>
  </si>
  <si>
    <t>2070</t>
  </si>
  <si>
    <t>P0375</t>
  </si>
  <si>
    <t>15.8</t>
  </si>
  <si>
    <t>2025-07-14</t>
  </si>
  <si>
    <t>3951</t>
  </si>
  <si>
    <t>P0376</t>
  </si>
  <si>
    <t>884</t>
  </si>
  <si>
    <t>P0377</t>
  </si>
  <si>
    <t>Jan-31-2024</t>
  </si>
  <si>
    <t>1892</t>
  </si>
  <si>
    <t>P0378</t>
  </si>
  <si>
    <t>833</t>
  </si>
  <si>
    <t>Feb-24-2025</t>
  </si>
  <si>
    <t>P0379</t>
  </si>
  <si>
    <t>1770</t>
  </si>
  <si>
    <t>P0380</t>
  </si>
  <si>
    <t>2025-01-23</t>
  </si>
  <si>
    <t>4052</t>
  </si>
  <si>
    <t>P0381</t>
  </si>
  <si>
    <t>JacKSon</t>
  </si>
  <si>
    <t>2280</t>
  </si>
  <si>
    <t>P0382</t>
  </si>
  <si>
    <t>2026-07-23</t>
  </si>
  <si>
    <t>2878</t>
  </si>
  <si>
    <t>P0383</t>
  </si>
  <si>
    <t>1463</t>
  </si>
  <si>
    <t>P0384</t>
  </si>
  <si>
    <t>2026-02-03</t>
  </si>
  <si>
    <t>2230</t>
  </si>
  <si>
    <t>P0385</t>
  </si>
  <si>
    <t>2640</t>
  </si>
  <si>
    <t>P0386</t>
  </si>
  <si>
    <t>DaviS</t>
  </si>
  <si>
    <t>113</t>
  </si>
  <si>
    <t>P0387</t>
  </si>
  <si>
    <t>4964</t>
  </si>
  <si>
    <t>2024-03-07</t>
  </si>
  <si>
    <t>P0388</t>
  </si>
  <si>
    <t>Louis</t>
  </si>
  <si>
    <t>2496</t>
  </si>
  <si>
    <t>2025-04-21</t>
  </si>
  <si>
    <t>P0389</t>
  </si>
  <si>
    <t>2492</t>
  </si>
  <si>
    <t>P0390</t>
  </si>
  <si>
    <t>2022-01-26</t>
  </si>
  <si>
    <t>724</t>
  </si>
  <si>
    <t>P0391</t>
  </si>
  <si>
    <t>Daniel</t>
  </si>
  <si>
    <t>2026-04-19</t>
  </si>
  <si>
    <t>2574</t>
  </si>
  <si>
    <t>P0392</t>
  </si>
  <si>
    <t>1035</t>
  </si>
  <si>
    <t>P0393</t>
  </si>
  <si>
    <t>2025-07-16</t>
  </si>
  <si>
    <t>566</t>
  </si>
  <si>
    <t>P0394</t>
  </si>
  <si>
    <t>2458</t>
  </si>
  <si>
    <t>P0395</t>
  </si>
  <si>
    <t>2025-02-06</t>
  </si>
  <si>
    <t>LOpez</t>
  </si>
  <si>
    <t>2637</t>
  </si>
  <si>
    <t>P0396</t>
  </si>
  <si>
    <t>2022-05-22</t>
  </si>
  <si>
    <t>4932</t>
  </si>
  <si>
    <t>P0397</t>
  </si>
  <si>
    <t>ALICE</t>
  </si>
  <si>
    <t>199</t>
  </si>
  <si>
    <t>P0398</t>
  </si>
  <si>
    <t>2023-01-31</t>
  </si>
  <si>
    <t>2809</t>
  </si>
  <si>
    <t>P0399</t>
  </si>
  <si>
    <t>8.2</t>
  </si>
  <si>
    <t>2103</t>
  </si>
  <si>
    <t>P0400</t>
  </si>
  <si>
    <t>2884</t>
  </si>
  <si>
    <t>23.1</t>
  </si>
  <si>
    <t>P0401</t>
  </si>
  <si>
    <t>2024/02/20</t>
  </si>
  <si>
    <t>2705</t>
  </si>
  <si>
    <t>P0402</t>
  </si>
  <si>
    <t>575</t>
  </si>
  <si>
    <t>P0403</t>
  </si>
  <si>
    <t>mary</t>
  </si>
  <si>
    <t>2023-03-24</t>
  </si>
  <si>
    <t>3223</t>
  </si>
  <si>
    <t>P0404</t>
  </si>
  <si>
    <t>625</t>
  </si>
  <si>
    <t>2025-12-10</t>
  </si>
  <si>
    <t>P0405</t>
  </si>
  <si>
    <t>1030</t>
  </si>
  <si>
    <t>9.6</t>
  </si>
  <si>
    <t>P0406</t>
  </si>
  <si>
    <t>2025/10/02</t>
  </si>
  <si>
    <t>4140</t>
  </si>
  <si>
    <t>P0407</t>
  </si>
  <si>
    <t>HANNAH</t>
  </si>
  <si>
    <t>2847</t>
  </si>
  <si>
    <t>P0408</t>
  </si>
  <si>
    <t>2023-09-11</t>
  </si>
  <si>
    <t>1754</t>
  </si>
  <si>
    <t>P0409</t>
  </si>
  <si>
    <t>2025/05/19</t>
  </si>
  <si>
    <t>2093</t>
  </si>
  <si>
    <t>P0410</t>
  </si>
  <si>
    <t>1220</t>
  </si>
  <si>
    <t>P0411</t>
  </si>
  <si>
    <t>2021-12-10</t>
  </si>
  <si>
    <t>2623</t>
  </si>
  <si>
    <t>P0412</t>
  </si>
  <si>
    <t>11.4</t>
  </si>
  <si>
    <t>443</t>
  </si>
  <si>
    <t>Zachary</t>
  </si>
  <si>
    <t>P0413</t>
  </si>
  <si>
    <t>2024-03-08</t>
  </si>
  <si>
    <t>P0414</t>
  </si>
  <si>
    <t>2023-04-13</t>
  </si>
  <si>
    <t>500</t>
  </si>
  <si>
    <t>P0415</t>
  </si>
  <si>
    <t>1089</t>
  </si>
  <si>
    <t>7.6</t>
  </si>
  <si>
    <t>P0416</t>
  </si>
  <si>
    <t>2022-07-27</t>
  </si>
  <si>
    <t>2117</t>
  </si>
  <si>
    <t>P0417</t>
  </si>
  <si>
    <t>3123</t>
  </si>
  <si>
    <t>P0418</t>
  </si>
  <si>
    <t>Aug-11-2026</t>
  </si>
  <si>
    <t>828</t>
  </si>
  <si>
    <t>P0419</t>
  </si>
  <si>
    <t>5.5</t>
  </si>
  <si>
    <t>2025/09/19</t>
  </si>
  <si>
    <t>1943</t>
  </si>
  <si>
    <t>P0420</t>
  </si>
  <si>
    <t>4033</t>
  </si>
  <si>
    <t>P0421</t>
  </si>
  <si>
    <t>2022-04-06</t>
  </si>
  <si>
    <t>3889</t>
  </si>
  <si>
    <t>P0422</t>
  </si>
  <si>
    <t>1970</t>
  </si>
  <si>
    <t>P0423</t>
  </si>
  <si>
    <t>2021-10-14</t>
  </si>
  <si>
    <t>P0424</t>
  </si>
  <si>
    <t>166</t>
  </si>
  <si>
    <t>P0425</t>
  </si>
  <si>
    <t>wu</t>
  </si>
  <si>
    <t>2024-09-04</t>
  </si>
  <si>
    <t>2803</t>
  </si>
  <si>
    <t>P0426</t>
  </si>
  <si>
    <t>681</t>
  </si>
  <si>
    <t>P0427</t>
  </si>
  <si>
    <t>2025-04-12</t>
  </si>
  <si>
    <t>1117</t>
  </si>
  <si>
    <t>P0428</t>
  </si>
  <si>
    <t>2023-04-20</t>
  </si>
  <si>
    <t>P0429</t>
  </si>
  <si>
    <t>1292</t>
  </si>
  <si>
    <t>P0430</t>
  </si>
  <si>
    <t>2021-12-01</t>
  </si>
  <si>
    <t>3238</t>
  </si>
  <si>
    <t>P0431</t>
  </si>
  <si>
    <t>2024-07-31</t>
  </si>
  <si>
    <t>2861</t>
  </si>
  <si>
    <t>P0432</t>
  </si>
  <si>
    <t>P0433</t>
  </si>
  <si>
    <t>YOUNG</t>
  </si>
  <si>
    <t>2021-11-04</t>
  </si>
  <si>
    <t>733</t>
  </si>
  <si>
    <t>P0434</t>
  </si>
  <si>
    <t>2417</t>
  </si>
  <si>
    <t>P0435</t>
  </si>
  <si>
    <t>Ashley</t>
  </si>
  <si>
    <t>2026-02-23</t>
  </si>
  <si>
    <t>1385</t>
  </si>
  <si>
    <t>P0436</t>
  </si>
  <si>
    <t>2021-10-31</t>
  </si>
  <si>
    <t>1342</t>
  </si>
  <si>
    <t>P0437</t>
  </si>
  <si>
    <t>3592</t>
  </si>
  <si>
    <t>P0438</t>
  </si>
  <si>
    <t>2026-05-02</t>
  </si>
  <si>
    <t>3072</t>
  </si>
  <si>
    <t>P0439</t>
  </si>
  <si>
    <t>2022-11-05</t>
  </si>
  <si>
    <t>P0440</t>
  </si>
  <si>
    <t>2740</t>
  </si>
  <si>
    <t>P0441</t>
  </si>
  <si>
    <t>1714</t>
  </si>
  <si>
    <t>P0442</t>
  </si>
  <si>
    <t>1913</t>
  </si>
  <si>
    <t>21.2</t>
  </si>
  <si>
    <t>P0443</t>
  </si>
  <si>
    <t>Aidan</t>
  </si>
  <si>
    <t>2023-04-07</t>
  </si>
  <si>
    <t>1593</t>
  </si>
  <si>
    <t>P0444</t>
  </si>
  <si>
    <t>2.3</t>
  </si>
  <si>
    <t>P0445</t>
  </si>
  <si>
    <t>2025/04/25</t>
  </si>
  <si>
    <t>888</t>
  </si>
  <si>
    <t>P0446</t>
  </si>
  <si>
    <t>1849</t>
  </si>
  <si>
    <t>P0447</t>
  </si>
  <si>
    <t>2026-04-27</t>
  </si>
  <si>
    <t>4113</t>
  </si>
  <si>
    <t>P0448</t>
  </si>
  <si>
    <t>2025-05-14</t>
  </si>
  <si>
    <t>938</t>
  </si>
  <si>
    <t>P0449</t>
  </si>
  <si>
    <t>1290</t>
  </si>
  <si>
    <t>2024-04-14</t>
  </si>
  <si>
    <t>P0450</t>
  </si>
  <si>
    <t>GREGORY</t>
  </si>
  <si>
    <t>1632</t>
  </si>
  <si>
    <t>P0451</t>
  </si>
  <si>
    <t>2359</t>
  </si>
  <si>
    <t>P0452</t>
  </si>
  <si>
    <t>P0453</t>
  </si>
  <si>
    <t>SHARP</t>
  </si>
  <si>
    <t>2024/02/17</t>
  </si>
  <si>
    <t>834</t>
  </si>
  <si>
    <t>P0454</t>
  </si>
  <si>
    <t>3264</t>
  </si>
  <si>
    <t>P0455</t>
  </si>
  <si>
    <t>2025/01/03</t>
  </si>
  <si>
    <t>3737</t>
  </si>
  <si>
    <t>P0456</t>
  </si>
  <si>
    <t>3447</t>
  </si>
  <si>
    <t>2025-09-17</t>
  </si>
  <si>
    <t>P0457</t>
  </si>
  <si>
    <t>3170</t>
  </si>
  <si>
    <t>P0458</t>
  </si>
  <si>
    <t>2025-04-07</t>
  </si>
  <si>
    <t>2287</t>
  </si>
  <si>
    <t>P0459</t>
  </si>
  <si>
    <t>P0460</t>
  </si>
  <si>
    <t>4/3/2024</t>
  </si>
  <si>
    <t>1026</t>
  </si>
  <si>
    <t>P0461</t>
  </si>
  <si>
    <t>BETTY</t>
  </si>
  <si>
    <t>2850</t>
  </si>
  <si>
    <t>P0462</t>
  </si>
  <si>
    <t>1486</t>
  </si>
  <si>
    <t>9.9</t>
  </si>
  <si>
    <t>P0463</t>
  </si>
  <si>
    <t>COOPER</t>
  </si>
  <si>
    <t>2026-03-12</t>
  </si>
  <si>
    <t>P0464</t>
  </si>
  <si>
    <t>2957</t>
  </si>
  <si>
    <t>P0465</t>
  </si>
  <si>
    <t>2022-05-12</t>
  </si>
  <si>
    <t>3283</t>
  </si>
  <si>
    <t>P0466</t>
  </si>
  <si>
    <t>P0467</t>
  </si>
  <si>
    <t>Feb-4-2026</t>
  </si>
  <si>
    <t>2291</t>
  </si>
  <si>
    <t>Katherine</t>
  </si>
  <si>
    <t>P0468</t>
  </si>
  <si>
    <t>Dale</t>
  </si>
  <si>
    <t>814</t>
  </si>
  <si>
    <t>2022-01-05</t>
  </si>
  <si>
    <t>P0469</t>
  </si>
  <si>
    <t>2482</t>
  </si>
  <si>
    <t>P0470</t>
  </si>
  <si>
    <t>1545</t>
  </si>
  <si>
    <t>P0471</t>
  </si>
  <si>
    <t>1815</t>
  </si>
  <si>
    <t>P0472</t>
  </si>
  <si>
    <t>2024-08-13</t>
  </si>
  <si>
    <t>2638</t>
  </si>
  <si>
    <t>P0473</t>
  </si>
  <si>
    <t>1468</t>
  </si>
  <si>
    <t>P0474</t>
  </si>
  <si>
    <t>2024-09-09</t>
  </si>
  <si>
    <t>935</t>
  </si>
  <si>
    <t>P0475</t>
  </si>
  <si>
    <t>2021-12-21</t>
  </si>
  <si>
    <t>3154</t>
  </si>
  <si>
    <t>P0476</t>
  </si>
  <si>
    <t>3062</t>
  </si>
  <si>
    <t>P0477</t>
  </si>
  <si>
    <t>2024-07-02</t>
  </si>
  <si>
    <t>3688</t>
  </si>
  <si>
    <t>P0478</t>
  </si>
  <si>
    <t>3974</t>
  </si>
  <si>
    <t>P0479</t>
  </si>
  <si>
    <t>2023-04-01</t>
  </si>
  <si>
    <t>3856</t>
  </si>
  <si>
    <t>P0480</t>
  </si>
  <si>
    <t>P0481</t>
  </si>
  <si>
    <t>2021-12-06</t>
  </si>
  <si>
    <t>P0482</t>
  </si>
  <si>
    <t>10.2</t>
  </si>
  <si>
    <t>2024-10-29</t>
  </si>
  <si>
    <t>P0483</t>
  </si>
  <si>
    <t>2025/09/09</t>
  </si>
  <si>
    <t>P0484</t>
  </si>
  <si>
    <t>2798</t>
  </si>
  <si>
    <t>P0485</t>
  </si>
  <si>
    <t>GRACE</t>
  </si>
  <si>
    <t>Jan-11-2023</t>
  </si>
  <si>
    <t>778</t>
  </si>
  <si>
    <t>P0486</t>
  </si>
  <si>
    <t>2465</t>
  </si>
  <si>
    <t>P0487</t>
  </si>
  <si>
    <t>2026/01/02</t>
  </si>
  <si>
    <t>796</t>
  </si>
  <si>
    <t>P0488</t>
  </si>
  <si>
    <t>P0489</t>
  </si>
  <si>
    <t>2025-08-31</t>
  </si>
  <si>
    <t>1238</t>
  </si>
  <si>
    <t>P0490</t>
  </si>
  <si>
    <t>2024-03-10</t>
  </si>
  <si>
    <t>3138</t>
  </si>
  <si>
    <t>P0491</t>
  </si>
  <si>
    <t>3895</t>
  </si>
  <si>
    <t>P0492</t>
  </si>
  <si>
    <t>2185</t>
  </si>
  <si>
    <t>P0493</t>
  </si>
  <si>
    <t>2024-05-18</t>
  </si>
  <si>
    <t>3998</t>
  </si>
  <si>
    <t>P0494</t>
  </si>
  <si>
    <t>Josephine</t>
  </si>
  <si>
    <t>2021-10-09</t>
  </si>
  <si>
    <t>3288</t>
  </si>
  <si>
    <t>P0495</t>
  </si>
  <si>
    <t>P0496</t>
  </si>
  <si>
    <t>2025/03/08</t>
  </si>
  <si>
    <t>Vanessa</t>
  </si>
  <si>
    <t>3058</t>
  </si>
  <si>
    <t>P0497</t>
  </si>
  <si>
    <t>Mar-2-2025</t>
  </si>
  <si>
    <t>3717</t>
  </si>
  <si>
    <t>P0498</t>
  </si>
  <si>
    <t>Victoria</t>
  </si>
  <si>
    <t>RICHARDSON</t>
  </si>
  <si>
    <t>2367</t>
  </si>
  <si>
    <t>P0499</t>
  </si>
  <si>
    <t>2025-08-13</t>
  </si>
  <si>
    <t>1024</t>
  </si>
  <si>
    <t>P0500</t>
  </si>
  <si>
    <t>3444</t>
  </si>
  <si>
    <t>P0501</t>
  </si>
  <si>
    <t>2022-10-05</t>
  </si>
  <si>
    <t>1185</t>
  </si>
  <si>
    <t>P0502</t>
  </si>
  <si>
    <t>4085</t>
  </si>
  <si>
    <t>P0503</t>
  </si>
  <si>
    <t>154</t>
  </si>
  <si>
    <t>P0504</t>
  </si>
  <si>
    <t>Nov-7-2025</t>
  </si>
  <si>
    <t>P0505</t>
  </si>
  <si>
    <t>2026-04-11</t>
  </si>
  <si>
    <t>4352</t>
  </si>
  <si>
    <t>P0506</t>
  </si>
  <si>
    <t>4048</t>
  </si>
  <si>
    <t>P0507</t>
  </si>
  <si>
    <t>tim</t>
  </si>
  <si>
    <t>2025-04-22</t>
  </si>
  <si>
    <t>3271</t>
  </si>
  <si>
    <t>P0508</t>
  </si>
  <si>
    <t>2782</t>
  </si>
  <si>
    <t>P0509</t>
  </si>
  <si>
    <t>2024-11-10</t>
  </si>
  <si>
    <t>896</t>
  </si>
  <si>
    <t>P0510</t>
  </si>
  <si>
    <t>2026-06-24</t>
  </si>
  <si>
    <t>P0511</t>
  </si>
  <si>
    <t>11.8</t>
  </si>
  <si>
    <t>460</t>
  </si>
  <si>
    <t>P0512</t>
  </si>
  <si>
    <t>2022-01-09</t>
  </si>
  <si>
    <t>875</t>
  </si>
  <si>
    <t>P0513</t>
  </si>
  <si>
    <t>JACK</t>
  </si>
  <si>
    <t>10.9</t>
  </si>
  <si>
    <t>976</t>
  </si>
  <si>
    <t>P0514</t>
  </si>
  <si>
    <t>2022-10-03</t>
  </si>
  <si>
    <t>2336</t>
  </si>
  <si>
    <t>P0515</t>
  </si>
  <si>
    <t>660</t>
  </si>
  <si>
    <t>P0516</t>
  </si>
  <si>
    <t>4101</t>
  </si>
  <si>
    <t>P0517</t>
  </si>
  <si>
    <t>3091</t>
  </si>
  <si>
    <t>P0518</t>
  </si>
  <si>
    <t>2025-06-04</t>
  </si>
  <si>
    <t>1086</t>
  </si>
  <si>
    <t>P0519</t>
  </si>
  <si>
    <t>2025-05-08</t>
  </si>
  <si>
    <t>William</t>
  </si>
  <si>
    <t>4787</t>
  </si>
  <si>
    <t>P0520</t>
  </si>
  <si>
    <t>4486</t>
  </si>
  <si>
    <t>P0521</t>
  </si>
  <si>
    <t>victoria</t>
  </si>
  <si>
    <t>2022-11-12</t>
  </si>
  <si>
    <t>1561</t>
  </si>
  <si>
    <t>P0522</t>
  </si>
  <si>
    <t>3606</t>
  </si>
  <si>
    <t>P0523</t>
  </si>
  <si>
    <t>2023-12-13</t>
  </si>
  <si>
    <t>2248</t>
  </si>
  <si>
    <t>P0524</t>
  </si>
  <si>
    <t>2410</t>
  </si>
  <si>
    <t>P0525</t>
  </si>
  <si>
    <t>4243</t>
  </si>
  <si>
    <t>P0526</t>
  </si>
  <si>
    <t>838</t>
  </si>
  <si>
    <t>22.8</t>
  </si>
  <si>
    <t>P0527</t>
  </si>
  <si>
    <t>P0528</t>
  </si>
  <si>
    <t>P0529</t>
  </si>
  <si>
    <t>2025-11-01</t>
  </si>
  <si>
    <t>1102</t>
  </si>
  <si>
    <t>P0530</t>
  </si>
  <si>
    <t>9.1</t>
  </si>
  <si>
    <t>2025-08-24</t>
  </si>
  <si>
    <t>P0531</t>
  </si>
  <si>
    <t>3362</t>
  </si>
  <si>
    <t>P0532</t>
  </si>
  <si>
    <t>2022/05/08</t>
  </si>
  <si>
    <t>3696</t>
  </si>
  <si>
    <t>P0533</t>
  </si>
  <si>
    <t>JOHN</t>
  </si>
  <si>
    <t>565</t>
  </si>
  <si>
    <t>P0534</t>
  </si>
  <si>
    <t>2021</t>
  </si>
  <si>
    <t>P0535</t>
  </si>
  <si>
    <t>BUSH</t>
  </si>
  <si>
    <t>P0536</t>
  </si>
  <si>
    <t>EVA</t>
  </si>
  <si>
    <t>2025/02/25</t>
  </si>
  <si>
    <t>1620</t>
  </si>
  <si>
    <t>P0537</t>
  </si>
  <si>
    <t>4286</t>
  </si>
  <si>
    <t>2025-08-29</t>
  </si>
  <si>
    <t>P0538</t>
  </si>
  <si>
    <t>1735</t>
  </si>
  <si>
    <t>P0539</t>
  </si>
  <si>
    <t>2025-01-24</t>
  </si>
  <si>
    <t>1278</t>
  </si>
  <si>
    <t>P0540</t>
  </si>
  <si>
    <t>3082</t>
  </si>
  <si>
    <t>2025-04-28</t>
  </si>
  <si>
    <t>P0541</t>
  </si>
  <si>
    <t>265</t>
  </si>
  <si>
    <t>2026-06-21</t>
  </si>
  <si>
    <t>2025/08/03</t>
  </si>
  <si>
    <t>2022-11-14</t>
  </si>
  <si>
    <t>2025-06-20</t>
  </si>
  <si>
    <t>2022/05/17</t>
  </si>
  <si>
    <t>2023-12-11</t>
  </si>
  <si>
    <t>P0542</t>
  </si>
  <si>
    <t>Steven</t>
  </si>
  <si>
    <t>Campbell</t>
  </si>
  <si>
    <t>30.6</t>
  </si>
  <si>
    <t>4276</t>
  </si>
  <si>
    <t>P0543</t>
  </si>
  <si>
    <t>Deborah</t>
  </si>
  <si>
    <t>Morris</t>
  </si>
  <si>
    <t>2024-05-07</t>
  </si>
  <si>
    <t>2195</t>
  </si>
  <si>
    <t>P0544</t>
  </si>
  <si>
    <t>Thompson</t>
  </si>
  <si>
    <t>2024-06-25</t>
  </si>
  <si>
    <t>1230</t>
  </si>
  <si>
    <t>P0545</t>
  </si>
  <si>
    <t>Nicole</t>
  </si>
  <si>
    <t>Diaz</t>
  </si>
  <si>
    <t>1583</t>
  </si>
  <si>
    <t>P0546</t>
  </si>
  <si>
    <t>Cruz</t>
  </si>
  <si>
    <t>2022/06/06</t>
  </si>
  <si>
    <t>761</t>
  </si>
  <si>
    <t>P0547</t>
  </si>
  <si>
    <t>Christine</t>
  </si>
  <si>
    <t>Peterson</t>
  </si>
  <si>
    <t>1002</t>
  </si>
  <si>
    <t>2024-11-27</t>
  </si>
  <si>
    <t>P0548</t>
  </si>
  <si>
    <t>Kenneth</t>
  </si>
  <si>
    <t>Sanchez</t>
  </si>
  <si>
    <t>1281</t>
  </si>
  <si>
    <t>P0549</t>
  </si>
  <si>
    <t>Scott</t>
  </si>
  <si>
    <t>Ortiz</t>
  </si>
  <si>
    <t>12/48/2025</t>
  </si>
  <si>
    <t>710</t>
  </si>
  <si>
    <t>P0550</t>
  </si>
  <si>
    <t>Angela</t>
  </si>
  <si>
    <t>Collins</t>
  </si>
  <si>
    <t>556</t>
  </si>
  <si>
    <t>P0551</t>
  </si>
  <si>
    <t>Linda</t>
  </si>
  <si>
    <t>Wilson</t>
  </si>
  <si>
    <t>2022/08/20</t>
  </si>
  <si>
    <t>1840</t>
  </si>
  <si>
    <t>P0552</t>
  </si>
  <si>
    <t>1616</t>
  </si>
  <si>
    <t>P0553</t>
  </si>
  <si>
    <t>Patricia</t>
  </si>
  <si>
    <t>Rivera</t>
  </si>
  <si>
    <t>869</t>
  </si>
  <si>
    <t>P0554</t>
  </si>
  <si>
    <t>Brenda</t>
  </si>
  <si>
    <t>2022-05-16</t>
  </si>
  <si>
    <t>P0555</t>
  </si>
  <si>
    <t>Carolyn</t>
  </si>
  <si>
    <t>Parker</t>
  </si>
  <si>
    <t>P0556</t>
  </si>
  <si>
    <t>10/34/2026</t>
  </si>
  <si>
    <t>Shirley</t>
  </si>
  <si>
    <t>2025</t>
  </si>
  <si>
    <t>P0557</t>
  </si>
  <si>
    <t>10.5</t>
  </si>
  <si>
    <t>Catherine</t>
  </si>
  <si>
    <t>Gomez</t>
  </si>
  <si>
    <t>2024-02-27</t>
  </si>
  <si>
    <t>539</t>
  </si>
  <si>
    <t>P0558</t>
  </si>
  <si>
    <t>Jessica</t>
  </si>
  <si>
    <t>Roberts</t>
  </si>
  <si>
    <t>P0559</t>
  </si>
  <si>
    <t>364</t>
  </si>
  <si>
    <t>P0560</t>
  </si>
  <si>
    <t>Brandon</t>
  </si>
  <si>
    <t>Robinson</t>
  </si>
  <si>
    <t>2342</t>
  </si>
  <si>
    <t>P0561</t>
  </si>
  <si>
    <t>Taylor</t>
  </si>
  <si>
    <t>2025-01-06</t>
  </si>
  <si>
    <t>63</t>
  </si>
  <si>
    <t>1489</t>
  </si>
  <si>
    <t>P0562</t>
  </si>
  <si>
    <t>Amy</t>
  </si>
  <si>
    <t>Anderson</t>
  </si>
  <si>
    <t>2023-02-14</t>
  </si>
  <si>
    <t>3977</t>
  </si>
  <si>
    <t>P0563</t>
  </si>
  <si>
    <t>P0564</t>
  </si>
  <si>
    <t>Chavez</t>
  </si>
  <si>
    <t>2533</t>
  </si>
  <si>
    <t>P0565</t>
  </si>
  <si>
    <t>2025/05/10</t>
  </si>
  <si>
    <t>Ruiz</t>
  </si>
  <si>
    <t>2267</t>
  </si>
  <si>
    <t>P0566</t>
  </si>
  <si>
    <t>Mark</t>
  </si>
  <si>
    <t>Rogers</t>
  </si>
  <si>
    <t>621</t>
  </si>
  <si>
    <t>2026-08-07</t>
  </si>
  <si>
    <t>P0567</t>
  </si>
  <si>
    <t>268</t>
  </si>
  <si>
    <t>P0568</t>
  </si>
  <si>
    <t>1.1</t>
  </si>
  <si>
    <t>P0569</t>
  </si>
  <si>
    <t>Flores</t>
  </si>
  <si>
    <t>2024-07-16</t>
  </si>
  <si>
    <t>P0570</t>
  </si>
  <si>
    <t>Matthew</t>
  </si>
  <si>
    <t>Hill</t>
  </si>
  <si>
    <t>1672</t>
  </si>
  <si>
    <t>P0571</t>
  </si>
  <si>
    <t>2025-07-13</t>
  </si>
  <si>
    <t>Larry</t>
  </si>
  <si>
    <t>2741</t>
  </si>
  <si>
    <t>P0572</t>
  </si>
  <si>
    <t>Laura</t>
  </si>
  <si>
    <t>Bailey</t>
  </si>
  <si>
    <t>2023-02-03</t>
  </si>
  <si>
    <t>1259</t>
  </si>
  <si>
    <t>P0573</t>
  </si>
  <si>
    <t>2025-02-16</t>
  </si>
  <si>
    <t>P0574</t>
  </si>
  <si>
    <t>Kathleen</t>
  </si>
  <si>
    <t>Kelly</t>
  </si>
  <si>
    <t>251</t>
  </si>
  <si>
    <t>P0575</t>
  </si>
  <si>
    <t>13.2</t>
  </si>
  <si>
    <t>Alexander</t>
  </si>
  <si>
    <t>4050</t>
  </si>
  <si>
    <t>2022-10-17</t>
  </si>
  <si>
    <t>P0576</t>
  </si>
  <si>
    <t>Karen</t>
  </si>
  <si>
    <t>Gutierrez</t>
  </si>
  <si>
    <t>3249</t>
  </si>
  <si>
    <t>P0577</t>
  </si>
  <si>
    <t>Nicholas</t>
  </si>
  <si>
    <t>2025-08-02</t>
  </si>
  <si>
    <t>3803</t>
  </si>
  <si>
    <t>P0578</t>
  </si>
  <si>
    <t>Benjamin</t>
  </si>
  <si>
    <t>Ramirez</t>
  </si>
  <si>
    <t>P0579</t>
  </si>
  <si>
    <t>2026-03-22</t>
  </si>
  <si>
    <t>Cox</t>
  </si>
  <si>
    <t>3096</t>
  </si>
  <si>
    <t>P0580</t>
  </si>
  <si>
    <t>Bennett</t>
  </si>
  <si>
    <t>2178</t>
  </si>
  <si>
    <t>Nov-18-2025</t>
  </si>
  <si>
    <t>P0581</t>
  </si>
  <si>
    <t>Janet</t>
  </si>
  <si>
    <t>Wood</t>
  </si>
  <si>
    <t>3653</t>
  </si>
  <si>
    <t>P0582</t>
  </si>
  <si>
    <t>Rachel</t>
  </si>
  <si>
    <t>Hughes</t>
  </si>
  <si>
    <t>2025-05-11</t>
  </si>
  <si>
    <t>547</t>
  </si>
  <si>
    <t>P0583</t>
  </si>
  <si>
    <t>Hall</t>
  </si>
  <si>
    <t>6.6</t>
  </si>
  <si>
    <t>358</t>
  </si>
  <si>
    <t>P0584</t>
  </si>
  <si>
    <t>2024-07-21</t>
  </si>
  <si>
    <t>Murphy</t>
  </si>
  <si>
    <t>P0585</t>
  </si>
  <si>
    <t>Kimberly</t>
  </si>
  <si>
    <t>2702</t>
  </si>
  <si>
    <t>P0586</t>
  </si>
  <si>
    <t>10.6</t>
  </si>
  <si>
    <t>2023/06/21</t>
  </si>
  <si>
    <t>1514</t>
  </si>
  <si>
    <t>P0587</t>
  </si>
  <si>
    <t>Anthony</t>
  </si>
  <si>
    <t>P0588</t>
  </si>
  <si>
    <t>Helen</t>
  </si>
  <si>
    <t>Nov-25-2022</t>
  </si>
  <si>
    <t>1782</t>
  </si>
  <si>
    <t>P0589</t>
  </si>
  <si>
    <t>Maria</t>
  </si>
  <si>
    <t>Adams</t>
  </si>
  <si>
    <t>13.5</t>
  </si>
  <si>
    <t>P0590</t>
  </si>
  <si>
    <t>Allen</t>
  </si>
  <si>
    <t>P0591</t>
  </si>
  <si>
    <t>704</t>
  </si>
  <si>
    <t>P0592</t>
  </si>
  <si>
    <t>Sandra</t>
  </si>
  <si>
    <t>Melanie</t>
  </si>
  <si>
    <t>1137</t>
  </si>
  <si>
    <t>P0593</t>
  </si>
  <si>
    <t>Patrick</t>
  </si>
  <si>
    <t>2022-08-06</t>
  </si>
  <si>
    <t>3588</t>
  </si>
  <si>
    <t>P0594</t>
  </si>
  <si>
    <t>Morgan</t>
  </si>
  <si>
    <t>1152</t>
  </si>
  <si>
    <t>P0595</t>
  </si>
  <si>
    <t>Alvarez</t>
  </si>
  <si>
    <t>2026-01-14</t>
  </si>
  <si>
    <t>3008</t>
  </si>
  <si>
    <t>P0596</t>
  </si>
  <si>
    <t>2024/12/10</t>
  </si>
  <si>
    <t>P0597</t>
  </si>
  <si>
    <t>2632</t>
  </si>
  <si>
    <t>P0598</t>
  </si>
  <si>
    <t>Watson</t>
  </si>
  <si>
    <t>2025-04-16</t>
  </si>
  <si>
    <t>794</t>
  </si>
  <si>
    <t>P0599</t>
  </si>
  <si>
    <t>Barbara</t>
  </si>
  <si>
    <t>Torres</t>
  </si>
  <si>
    <t>2658</t>
  </si>
  <si>
    <t>P0600</t>
  </si>
  <si>
    <t>Donna</t>
  </si>
  <si>
    <t>2023-01-20</t>
  </si>
  <si>
    <t>1923</t>
  </si>
  <si>
    <t>P0601</t>
  </si>
  <si>
    <t>4391</t>
  </si>
  <si>
    <t>P0602</t>
  </si>
  <si>
    <t>Elizabeth</t>
  </si>
  <si>
    <t>2026-07-19</t>
  </si>
  <si>
    <t>Reyes</t>
  </si>
  <si>
    <t>2343</t>
  </si>
  <si>
    <t>P0603</t>
  </si>
  <si>
    <t>Anna</t>
  </si>
  <si>
    <t>2025/03/29</t>
  </si>
  <si>
    <t>P0604</t>
  </si>
  <si>
    <t>Moore</t>
  </si>
  <si>
    <t>449</t>
  </si>
  <si>
    <t>P0605</t>
  </si>
  <si>
    <t>Amanda</t>
  </si>
  <si>
    <t>Harris</t>
  </si>
  <si>
    <t>1585</t>
  </si>
  <si>
    <t>P0606</t>
  </si>
  <si>
    <t>Gregory</t>
  </si>
  <si>
    <t>2026-06-01</t>
  </si>
  <si>
    <t>2033</t>
  </si>
  <si>
    <t>P0607</t>
  </si>
  <si>
    <t>4837</t>
  </si>
  <si>
    <t>P0608</t>
  </si>
  <si>
    <t>Gary</t>
  </si>
  <si>
    <t>Phillips</t>
  </si>
  <si>
    <t>707</t>
  </si>
  <si>
    <t>P0609</t>
  </si>
  <si>
    <t>King</t>
  </si>
  <si>
    <t>2025-10-05</t>
  </si>
  <si>
    <t>2068</t>
  </si>
  <si>
    <t>P0610</t>
  </si>
  <si>
    <t>3730</t>
  </si>
  <si>
    <t>P0611</t>
  </si>
  <si>
    <t>663</t>
  </si>
  <si>
    <t>P0612</t>
  </si>
  <si>
    <t>1800</t>
  </si>
  <si>
    <t>P0613</t>
  </si>
  <si>
    <t>Stephanie</t>
  </si>
  <si>
    <t>P0614</t>
  </si>
  <si>
    <t>Ward</t>
  </si>
  <si>
    <t>P0615</t>
  </si>
  <si>
    <t>2393</t>
  </si>
  <si>
    <t>P0616</t>
  </si>
  <si>
    <t>Morales</t>
  </si>
  <si>
    <t>2025/04/20</t>
  </si>
  <si>
    <t>1210</t>
  </si>
  <si>
    <t>P0617</t>
  </si>
  <si>
    <t>Cook</t>
  </si>
  <si>
    <t>P0618</t>
  </si>
  <si>
    <t>2023-02-22</t>
  </si>
  <si>
    <t>1562</t>
  </si>
  <si>
    <t>P0619</t>
  </si>
  <si>
    <t>Debra</t>
  </si>
  <si>
    <t>3758</t>
  </si>
  <si>
    <t>2025-03-11</t>
  </si>
  <si>
    <t>P0620</t>
  </si>
  <si>
    <t>Myers</t>
  </si>
  <si>
    <t>P0621</t>
  </si>
  <si>
    <t>2026-08-08</t>
  </si>
  <si>
    <t>1813</t>
  </si>
  <si>
    <t>P0622</t>
  </si>
  <si>
    <t>Donald</t>
  </si>
  <si>
    <t>Ramos</t>
  </si>
  <si>
    <t>965</t>
  </si>
  <si>
    <t>P0623</t>
  </si>
  <si>
    <t>2023-12-12</t>
  </si>
  <si>
    <t>3565</t>
  </si>
  <si>
    <t>P0624</t>
  </si>
  <si>
    <t>Clark</t>
  </si>
  <si>
    <t>2181</t>
  </si>
  <si>
    <t>2023-07-20</t>
  </si>
  <si>
    <t>P0625</t>
  </si>
  <si>
    <t>696</t>
  </si>
  <si>
    <t>P0626</t>
  </si>
  <si>
    <t>Susan</t>
  </si>
  <si>
    <t>Jun-24-2022</t>
  </si>
  <si>
    <t>1857</t>
  </si>
  <si>
    <t>P0627</t>
  </si>
  <si>
    <t>Heather</t>
  </si>
  <si>
    <t>Evans</t>
  </si>
  <si>
    <t>3382</t>
  </si>
  <si>
    <t>P0628</t>
  </si>
  <si>
    <t>Walker</t>
  </si>
  <si>
    <t>2147</t>
  </si>
  <si>
    <t>P0629</t>
  </si>
  <si>
    <t>2026-05-15</t>
  </si>
  <si>
    <t>2512</t>
  </si>
  <si>
    <t>P0630</t>
  </si>
  <si>
    <t>Lewis</t>
  </si>
  <si>
    <t>3393</t>
  </si>
  <si>
    <t>P0631</t>
  </si>
  <si>
    <t>658</t>
  </si>
  <si>
    <t>P0632</t>
  </si>
  <si>
    <t>930</t>
  </si>
  <si>
    <t>P0633</t>
  </si>
  <si>
    <t>490</t>
  </si>
  <si>
    <t>P0634</t>
  </si>
  <si>
    <t>2022-01-22</t>
  </si>
  <si>
    <t>1576</t>
  </si>
  <si>
    <t>P0635</t>
  </si>
  <si>
    <t>P0636</t>
  </si>
  <si>
    <t>18/17/2021</t>
  </si>
  <si>
    <t>1682</t>
  </si>
  <si>
    <t>P0637</t>
  </si>
  <si>
    <t>Patel</t>
  </si>
  <si>
    <t>2021/10/02</t>
  </si>
  <si>
    <t>1015</t>
  </si>
  <si>
    <t>P0638</t>
  </si>
  <si>
    <t>1894</t>
  </si>
  <si>
    <t>2024/12/16</t>
  </si>
  <si>
    <t>P0639</t>
  </si>
  <si>
    <t>Ruth</t>
  </si>
  <si>
    <t>1071</t>
  </si>
  <si>
    <t>P0640</t>
  </si>
  <si>
    <t>671</t>
  </si>
  <si>
    <t>P0641</t>
  </si>
  <si>
    <t>Edwards</t>
  </si>
  <si>
    <t>P0642</t>
  </si>
  <si>
    <t>Jun-19-2026</t>
  </si>
  <si>
    <t>3240</t>
  </si>
  <si>
    <t>P0643</t>
  </si>
  <si>
    <t>Andrew</t>
  </si>
  <si>
    <t>233</t>
  </si>
  <si>
    <t>P0644</t>
  </si>
  <si>
    <t>2584</t>
  </si>
  <si>
    <t>P0645</t>
  </si>
  <si>
    <t>2024-02-15</t>
  </si>
  <si>
    <t>Gonzalez</t>
  </si>
  <si>
    <t>4348</t>
  </si>
  <si>
    <t>P0646</t>
  </si>
  <si>
    <t>1805</t>
  </si>
  <si>
    <t>2023/09/08</t>
  </si>
  <si>
    <t>P0647</t>
  </si>
  <si>
    <t>3985</t>
  </si>
  <si>
    <t>P0648</t>
  </si>
  <si>
    <t>Nelson</t>
  </si>
  <si>
    <t>2022-11-22</t>
  </si>
  <si>
    <t>2322</t>
  </si>
  <si>
    <t>P0649</t>
  </si>
  <si>
    <t>Jacob</t>
  </si>
  <si>
    <t>Martin</t>
  </si>
  <si>
    <t>3496</t>
  </si>
  <si>
    <t>P0650</t>
  </si>
  <si>
    <t>Emily</t>
  </si>
  <si>
    <t>1294</t>
  </si>
  <si>
    <t>P0651</t>
  </si>
  <si>
    <t>Green</t>
  </si>
  <si>
    <t>2022-10-22</t>
  </si>
  <si>
    <t>1253</t>
  </si>
  <si>
    <t>P0652</t>
  </si>
  <si>
    <t>2.4</t>
  </si>
  <si>
    <t>3662</t>
  </si>
  <si>
    <t>P0653</t>
  </si>
  <si>
    <t>Castillo</t>
  </si>
  <si>
    <t>3209</t>
  </si>
  <si>
    <t>P0654</t>
  </si>
  <si>
    <t>3158</t>
  </si>
  <si>
    <t>P0655</t>
  </si>
  <si>
    <t>Apr-9-2025</t>
  </si>
  <si>
    <t>Carol</t>
  </si>
  <si>
    <t>P0656</t>
  </si>
  <si>
    <t>2026/06/03</t>
  </si>
  <si>
    <t>2520</t>
  </si>
  <si>
    <t>P0657</t>
  </si>
  <si>
    <t>3130</t>
  </si>
  <si>
    <t>P0658</t>
  </si>
  <si>
    <t>Jennifer</t>
  </si>
  <si>
    <t>2025-06-05</t>
  </si>
  <si>
    <t>647</t>
  </si>
  <si>
    <t>P0659</t>
  </si>
  <si>
    <t>88</t>
  </si>
  <si>
    <t>P0660</t>
  </si>
  <si>
    <t>Price</t>
  </si>
  <si>
    <t>3375</t>
  </si>
  <si>
    <t>P0661</t>
  </si>
  <si>
    <t>15.6</t>
  </si>
  <si>
    <t>257</t>
  </si>
  <si>
    <t>2024-01-06</t>
  </si>
  <si>
    <t>P0662</t>
  </si>
  <si>
    <t>Samantha</t>
  </si>
  <si>
    <t>3184</t>
  </si>
  <si>
    <t>P0663</t>
  </si>
  <si>
    <t>Eric</t>
  </si>
  <si>
    <t>2026-05-24</t>
  </si>
  <si>
    <t>964</t>
  </si>
  <si>
    <t>P0664</t>
  </si>
  <si>
    <t>George</t>
  </si>
  <si>
    <t>758</t>
  </si>
  <si>
    <t>P0665</t>
  </si>
  <si>
    <t>2026-08-10</t>
  </si>
  <si>
    <t>Joseph</t>
  </si>
  <si>
    <t>541</t>
  </si>
  <si>
    <t>P0666</t>
  </si>
  <si>
    <t>1150</t>
  </si>
  <si>
    <t>P0667</t>
  </si>
  <si>
    <t>2023/11/25</t>
  </si>
  <si>
    <t>P0668</t>
  </si>
  <si>
    <t>Jimenez</t>
  </si>
  <si>
    <t>2024-03-04</t>
  </si>
  <si>
    <t>791</t>
  </si>
  <si>
    <t>P0669</t>
  </si>
  <si>
    <t>189</t>
  </si>
  <si>
    <t>P0670</t>
  </si>
  <si>
    <t>Justin</t>
  </si>
  <si>
    <t>2025-10-08</t>
  </si>
  <si>
    <t>998</t>
  </si>
  <si>
    <t>P0671</t>
  </si>
  <si>
    <t>3200</t>
  </si>
  <si>
    <t>P0672</t>
  </si>
  <si>
    <t>2025-11-30</t>
  </si>
  <si>
    <t>1492</t>
  </si>
  <si>
    <t>P0673</t>
  </si>
  <si>
    <t>2245</t>
  </si>
  <si>
    <t>P0674</t>
  </si>
  <si>
    <t>842</t>
  </si>
  <si>
    <t>2022-10-10</t>
  </si>
  <si>
    <t>P0675</t>
  </si>
  <si>
    <t>P0676</t>
  </si>
  <si>
    <t>Samuel</t>
  </si>
  <si>
    <t>Reed</t>
  </si>
  <si>
    <t>2025-02-04</t>
  </si>
  <si>
    <t>4159</t>
  </si>
  <si>
    <t>P0677</t>
  </si>
  <si>
    <t>Edward</t>
  </si>
  <si>
    <t>P0678</t>
  </si>
  <si>
    <t>2025-05-17</t>
  </si>
  <si>
    <t>1007</t>
  </si>
  <si>
    <t>P0679</t>
  </si>
  <si>
    <t>Sarah</t>
  </si>
  <si>
    <t>Hernandez</t>
  </si>
  <si>
    <t>2023-12-20</t>
  </si>
  <si>
    <t>1457</t>
  </si>
  <si>
    <t>P0680</t>
  </si>
  <si>
    <t>3216</t>
  </si>
  <si>
    <t>P0681</t>
  </si>
  <si>
    <t>2025/08/15</t>
  </si>
  <si>
    <t>4042</t>
  </si>
  <si>
    <t>P0682</t>
  </si>
  <si>
    <t>P0683</t>
  </si>
  <si>
    <t>Melissa</t>
  </si>
  <si>
    <t>2023-10-20</t>
  </si>
  <si>
    <t>1747</t>
  </si>
  <si>
    <t>P0684</t>
  </si>
  <si>
    <t>4187</t>
  </si>
  <si>
    <t>2023-01-07</t>
  </si>
  <si>
    <t>P0685</t>
  </si>
  <si>
    <t>2015</t>
  </si>
  <si>
    <t>P0686</t>
  </si>
  <si>
    <t>2024-12-01</t>
  </si>
  <si>
    <t>P0687</t>
  </si>
  <si>
    <t>Sharon</t>
  </si>
  <si>
    <t>1651</t>
  </si>
  <si>
    <t>P0688</t>
  </si>
  <si>
    <t>2154</t>
  </si>
  <si>
    <t>P0689</t>
  </si>
  <si>
    <t>Cynthia</t>
  </si>
  <si>
    <t>1255</t>
  </si>
  <si>
    <t>2024-02-03</t>
  </si>
  <si>
    <t>P0690</t>
  </si>
  <si>
    <t>Pamela</t>
  </si>
  <si>
    <t>P0691</t>
  </si>
  <si>
    <t>1661</t>
  </si>
  <si>
    <t>P0692</t>
  </si>
  <si>
    <t>321</t>
  </si>
  <si>
    <t>2023-02-19</t>
  </si>
  <si>
    <t>P0693</t>
  </si>
  <si>
    <t>Jonathan</t>
  </si>
  <si>
    <t>2.2</t>
  </si>
  <si>
    <t>1187</t>
  </si>
  <si>
    <t>P0694</t>
  </si>
  <si>
    <t>2026-03-04</t>
  </si>
  <si>
    <t>P0695</t>
  </si>
  <si>
    <t>3246</t>
  </si>
  <si>
    <t>2025-12-21</t>
  </si>
  <si>
    <t>P0696</t>
  </si>
  <si>
    <t>Brian</t>
  </si>
  <si>
    <t>Howard</t>
  </si>
  <si>
    <t>3394</t>
  </si>
  <si>
    <t>P0697</t>
  </si>
  <si>
    <t>3117</t>
  </si>
  <si>
    <t>P0698</t>
  </si>
  <si>
    <t>1344</t>
  </si>
  <si>
    <t>P0699</t>
  </si>
  <si>
    <t>Mitchell</t>
  </si>
  <si>
    <t>2022-12-25</t>
  </si>
  <si>
    <t>230</t>
  </si>
  <si>
    <t>P0700</t>
  </si>
  <si>
    <t>2022-01-15</t>
  </si>
  <si>
    <t>4646</t>
  </si>
  <si>
    <t>P0701</t>
  </si>
  <si>
    <t>P0702</t>
  </si>
  <si>
    <t>2025-04-23</t>
  </si>
  <si>
    <t>1016</t>
  </si>
  <si>
    <t>P0703</t>
  </si>
  <si>
    <t>890</t>
  </si>
  <si>
    <t>P0704</t>
  </si>
  <si>
    <t>2025-01-13</t>
  </si>
  <si>
    <t>11.6</t>
  </si>
  <si>
    <t>901</t>
  </si>
  <si>
    <t>P0705</t>
  </si>
  <si>
    <t>Daniella</t>
  </si>
  <si>
    <t>2022-03-26</t>
  </si>
  <si>
    <t>2089</t>
  </si>
  <si>
    <t>P0706</t>
  </si>
  <si>
    <t>467</t>
  </si>
  <si>
    <t>P0707</t>
  </si>
  <si>
    <t>2022-09-10</t>
  </si>
  <si>
    <t>Ronald</t>
  </si>
  <si>
    <t>3520</t>
  </si>
  <si>
    <t>P0708</t>
  </si>
  <si>
    <t>2024-10-08</t>
  </si>
  <si>
    <t>492</t>
  </si>
  <si>
    <t>P0709</t>
  </si>
  <si>
    <t>P0710</t>
  </si>
  <si>
    <t>P0711</t>
  </si>
  <si>
    <t>2173</t>
  </si>
  <si>
    <t>P0712</t>
  </si>
  <si>
    <t>3475</t>
  </si>
  <si>
    <t>P0713</t>
  </si>
  <si>
    <t>15.7</t>
  </si>
  <si>
    <t>2420</t>
  </si>
  <si>
    <t>2026-04-23</t>
  </si>
  <si>
    <t>P0714</t>
  </si>
  <si>
    <t>1972</t>
  </si>
  <si>
    <t>P0715</t>
  </si>
  <si>
    <t>2023-12-21</t>
  </si>
  <si>
    <t>2872</t>
  </si>
  <si>
    <t>P0716</t>
  </si>
  <si>
    <t>P0717</t>
  </si>
  <si>
    <t>Jeffrey</t>
  </si>
  <si>
    <t>3053</t>
  </si>
  <si>
    <t>P0718</t>
  </si>
  <si>
    <t>2025-11-13</t>
  </si>
  <si>
    <t>866</t>
  </si>
  <si>
    <t>P0719</t>
  </si>
  <si>
    <t>Sanders</t>
  </si>
  <si>
    <t>529</t>
  </si>
  <si>
    <t>P0720</t>
  </si>
  <si>
    <t>2025-01-19</t>
  </si>
  <si>
    <t>Foster</t>
  </si>
  <si>
    <t>3733</t>
  </si>
  <si>
    <t>P0721</t>
  </si>
  <si>
    <t>2025/05/04</t>
  </si>
  <si>
    <t>P0722</t>
  </si>
  <si>
    <t>1549</t>
  </si>
  <si>
    <t>P0723</t>
  </si>
  <si>
    <t>2021-10-15</t>
  </si>
  <si>
    <t>1018</t>
  </si>
  <si>
    <t>P0724</t>
  </si>
  <si>
    <t>2865</t>
  </si>
  <si>
    <t>P0725</t>
  </si>
  <si>
    <t>30/17/2023</t>
  </si>
  <si>
    <t>Richard</t>
  </si>
  <si>
    <t>1000</t>
  </si>
  <si>
    <t>P0726</t>
  </si>
  <si>
    <t>17.5</t>
  </si>
  <si>
    <t>Ruby</t>
  </si>
  <si>
    <t>P0727</t>
  </si>
  <si>
    <t>2023-01-03</t>
  </si>
  <si>
    <t>1323</t>
  </si>
  <si>
    <t>P0728</t>
  </si>
  <si>
    <t>3105</t>
  </si>
  <si>
    <t>P0729</t>
  </si>
  <si>
    <t>2026-02-20</t>
  </si>
  <si>
    <t>303</t>
  </si>
  <si>
    <t>P0730</t>
  </si>
  <si>
    <t>Long</t>
  </si>
  <si>
    <t>74</t>
  </si>
  <si>
    <t>2026-06-29</t>
  </si>
  <si>
    <t>1339</t>
  </si>
  <si>
    <t>P0731</t>
  </si>
  <si>
    <t>913</t>
  </si>
  <si>
    <t>P0732</t>
  </si>
  <si>
    <t>2026-01-09</t>
  </si>
  <si>
    <t>1481</t>
  </si>
  <si>
    <t>P0733</t>
  </si>
  <si>
    <t>1858</t>
  </si>
  <si>
    <t>P0734</t>
  </si>
  <si>
    <t>Mendoza</t>
  </si>
  <si>
    <t>3831</t>
  </si>
  <si>
    <t>P0735</t>
  </si>
  <si>
    <t>2026-01-29</t>
  </si>
  <si>
    <t>4371</t>
  </si>
  <si>
    <t>P0736</t>
  </si>
  <si>
    <t>2026-03-21</t>
  </si>
  <si>
    <t>656</t>
  </si>
  <si>
    <t>P0737</t>
  </si>
  <si>
    <t>3510</t>
  </si>
  <si>
    <t>P0738</t>
  </si>
  <si>
    <t>Jun-24-2025</t>
  </si>
  <si>
    <t>296</t>
  </si>
  <si>
    <t>P0739</t>
  </si>
  <si>
    <t>Raymond</t>
  </si>
  <si>
    <t>2298</t>
  </si>
  <si>
    <t>P0740</t>
  </si>
  <si>
    <t>Nguyen</t>
  </si>
  <si>
    <t>2095</t>
  </si>
  <si>
    <t>2024-12-10</t>
  </si>
  <si>
    <t>P0741</t>
  </si>
  <si>
    <t>2040</t>
  </si>
  <si>
    <t>P0742</t>
  </si>
  <si>
    <t>Aug-6-2024</t>
  </si>
  <si>
    <t>2405</t>
  </si>
  <si>
    <t>P0743</t>
  </si>
  <si>
    <t>2193</t>
  </si>
  <si>
    <t>P0744</t>
  </si>
  <si>
    <t>P0745</t>
  </si>
  <si>
    <t>2504</t>
  </si>
  <si>
    <t>P0746</t>
  </si>
  <si>
    <t>P0747</t>
  </si>
  <si>
    <t>2022/03/13</t>
  </si>
  <si>
    <t>P0748</t>
  </si>
  <si>
    <t>2026-03-14</t>
  </si>
  <si>
    <t>1509</t>
  </si>
  <si>
    <t>P0749</t>
  </si>
  <si>
    <t>2598</t>
  </si>
  <si>
    <t>P0750</t>
  </si>
  <si>
    <t>1496</t>
  </si>
  <si>
    <t>P0751</t>
  </si>
  <si>
    <t>P0752</t>
  </si>
  <si>
    <t>Aug-8-2023</t>
  </si>
  <si>
    <t>P0753</t>
  </si>
  <si>
    <t>410</t>
  </si>
  <si>
    <t>P0754</t>
  </si>
  <si>
    <t>Michael</t>
  </si>
  <si>
    <t>2023-12-31</t>
  </si>
  <si>
    <t>P0755</t>
  </si>
  <si>
    <t>2108</t>
  </si>
  <si>
    <t>P0756</t>
  </si>
  <si>
    <t>2022/03/21</t>
  </si>
  <si>
    <t>813</t>
  </si>
  <si>
    <t>P0757</t>
  </si>
  <si>
    <t>Jerry</t>
  </si>
  <si>
    <t>2022/06/13</t>
  </si>
  <si>
    <t>2228</t>
  </si>
  <si>
    <t>P0758</t>
  </si>
  <si>
    <t>1795</t>
  </si>
  <si>
    <t>P0759</t>
  </si>
  <si>
    <t>Jan-20-2026</t>
  </si>
  <si>
    <t>4100</t>
  </si>
  <si>
    <t>P0760</t>
  </si>
  <si>
    <t>2022-06-20</t>
  </si>
  <si>
    <t>P0761</t>
  </si>
  <si>
    <t>2411</t>
  </si>
  <si>
    <t>2022-11-18</t>
  </si>
  <si>
    <t>P0762</t>
  </si>
  <si>
    <t>2671</t>
  </si>
  <si>
    <t>P0763</t>
  </si>
  <si>
    <t>2024-05-06</t>
  </si>
  <si>
    <t>3643</t>
  </si>
  <si>
    <t>P0764</t>
  </si>
  <si>
    <t>18.7</t>
  </si>
  <si>
    <t>Apr-23-2026</t>
  </si>
  <si>
    <t>560</t>
  </si>
  <si>
    <t>P0765</t>
  </si>
  <si>
    <t>Mar-7-2022</t>
  </si>
  <si>
    <t>2499</t>
  </si>
  <si>
    <t>P0766</t>
  </si>
  <si>
    <t>P0767</t>
  </si>
  <si>
    <t>2023-09-13</t>
  </si>
  <si>
    <t>465</t>
  </si>
  <si>
    <t>P0768</t>
  </si>
  <si>
    <t>936</t>
  </si>
  <si>
    <t>P0769</t>
  </si>
  <si>
    <t>Brooks</t>
  </si>
  <si>
    <t>482</t>
  </si>
  <si>
    <t>P0770</t>
  </si>
  <si>
    <t>4428</t>
  </si>
  <si>
    <t>P0771</t>
  </si>
  <si>
    <t>Emma</t>
  </si>
  <si>
    <t>3308</t>
  </si>
  <si>
    <t>P0772</t>
  </si>
  <si>
    <t>Stewart</t>
  </si>
  <si>
    <t>3225</t>
  </si>
  <si>
    <t>P0773</t>
  </si>
  <si>
    <t>2023-12-30</t>
  </si>
  <si>
    <t>325</t>
  </si>
  <si>
    <t>P0774</t>
  </si>
  <si>
    <t>2022-11-15</t>
  </si>
  <si>
    <t>1302</t>
  </si>
  <si>
    <t>P0775</t>
  </si>
  <si>
    <t>924</t>
  </si>
  <si>
    <t>P0776</t>
  </si>
  <si>
    <t>24/34/2026</t>
  </si>
  <si>
    <t>2208</t>
  </si>
  <si>
    <t>P0777</t>
  </si>
  <si>
    <t>2024-10-09</t>
  </si>
  <si>
    <t>P0778</t>
  </si>
  <si>
    <t>P0779</t>
  </si>
  <si>
    <t>2842</t>
  </si>
  <si>
    <t>P0780</t>
  </si>
  <si>
    <t>Stephen</t>
  </si>
  <si>
    <t>4011</t>
  </si>
  <si>
    <t>2022-06-01</t>
  </si>
  <si>
    <t>P0781</t>
  </si>
  <si>
    <t>3051</t>
  </si>
  <si>
    <t>P0782</t>
  </si>
  <si>
    <t>2024-03-05</t>
  </si>
  <si>
    <t>P0783</t>
  </si>
  <si>
    <t>1731</t>
  </si>
  <si>
    <t>P0784</t>
  </si>
  <si>
    <t>2025-12-03</t>
  </si>
  <si>
    <t>569</t>
  </si>
  <si>
    <t>P0785</t>
  </si>
  <si>
    <t>2024/09/11</t>
  </si>
  <si>
    <t>382</t>
  </si>
  <si>
    <t>P0786</t>
  </si>
  <si>
    <t>4950</t>
  </si>
  <si>
    <t>P0787</t>
  </si>
  <si>
    <t>2025-01-02</t>
  </si>
  <si>
    <t>2761</t>
  </si>
  <si>
    <t>P0788</t>
  </si>
  <si>
    <t>P0789</t>
  </si>
  <si>
    <t>2282</t>
  </si>
  <si>
    <t>P0790</t>
  </si>
  <si>
    <t>2022/05/19</t>
  </si>
  <si>
    <t>3865</t>
  </si>
  <si>
    <t>P0791</t>
  </si>
  <si>
    <t>2023-05-22</t>
  </si>
  <si>
    <t>1414</t>
  </si>
  <si>
    <t>P0792</t>
  </si>
  <si>
    <t>470</t>
  </si>
  <si>
    <t>P0793</t>
  </si>
  <si>
    <t>2024-03-28</t>
  </si>
  <si>
    <t>514</t>
  </si>
  <si>
    <t>P0794</t>
  </si>
  <si>
    <t>3148</t>
  </si>
  <si>
    <t>2022-02-10</t>
  </si>
  <si>
    <t>P0795</t>
  </si>
  <si>
    <t>746</t>
  </si>
  <si>
    <t>P0796</t>
  </si>
  <si>
    <t>2025-07-04</t>
  </si>
  <si>
    <t>119</t>
  </si>
  <si>
    <t>P0797</t>
  </si>
  <si>
    <t>P0798</t>
  </si>
  <si>
    <t>Wright</t>
  </si>
  <si>
    <t>2025-05-10</t>
  </si>
  <si>
    <t>P0799</t>
  </si>
  <si>
    <t>2024-09-23</t>
  </si>
  <si>
    <t>4142</t>
  </si>
  <si>
    <t>P0800</t>
  </si>
  <si>
    <t>2791</t>
  </si>
  <si>
    <t>P0801</t>
  </si>
  <si>
    <t>2025-08-06</t>
  </si>
  <si>
    <t>P0802</t>
  </si>
  <si>
    <t>1273</t>
  </si>
  <si>
    <t>P0803</t>
  </si>
  <si>
    <t>723</t>
  </si>
  <si>
    <t>P0804</t>
  </si>
  <si>
    <t>P0805</t>
  </si>
  <si>
    <t>2024/09/21</t>
  </si>
  <si>
    <t>P0806</t>
  </si>
  <si>
    <t>2026-01-30</t>
  </si>
  <si>
    <t>3409</t>
  </si>
  <si>
    <t>2023-11-24</t>
  </si>
  <si>
    <t>2024-08-28</t>
  </si>
  <si>
    <t>2026-02-22</t>
  </si>
  <si>
    <t>2025-07-23</t>
  </si>
  <si>
    <t>2024/11/19</t>
  </si>
  <si>
    <t>2022-11-07</t>
  </si>
  <si>
    <t>May-16-2025</t>
  </si>
  <si>
    <t>2023-11-18</t>
  </si>
  <si>
    <t>2024-09-17</t>
  </si>
  <si>
    <t>2024-09-06</t>
  </si>
  <si>
    <t>11.2</t>
  </si>
  <si>
    <t>2022-03-01</t>
  </si>
  <si>
    <t>2023/05/08</t>
  </si>
  <si>
    <t>2024-10-14</t>
  </si>
  <si>
    <t>2025-08-08</t>
  </si>
  <si>
    <t>2024-03-12</t>
  </si>
  <si>
    <t>14.6</t>
  </si>
  <si>
    <t>2026-04-29</t>
  </si>
  <si>
    <t>2025-03-23</t>
  </si>
  <si>
    <t>2022-04-07</t>
  </si>
  <si>
    <t>2025-07-10</t>
  </si>
  <si>
    <t>2024-04-25</t>
  </si>
  <si>
    <t>2022/10/21</t>
  </si>
  <si>
    <t>2023/07/22</t>
  </si>
  <si>
    <t>2022-12-07</t>
  </si>
  <si>
    <t>2024-08-24</t>
  </si>
  <si>
    <t>2023/05/01</t>
  </si>
  <si>
    <t>25/6/2024</t>
  </si>
  <si>
    <t>2026/06/07</t>
  </si>
  <si>
    <t>Mar-04-2024</t>
  </si>
  <si>
    <t>2025-04-09</t>
  </si>
  <si>
    <t>Oct-15-2022</t>
  </si>
  <si>
    <t>2026/03/17</t>
  </si>
  <si>
    <t>Booking_Time_Mins_Fix</t>
  </si>
  <si>
    <t>Booking_Time_Mins_Values</t>
  </si>
  <si>
    <t>2024/10/24</t>
  </si>
  <si>
    <t>2024-07-10</t>
  </si>
  <si>
    <t>2023-10-05</t>
  </si>
  <si>
    <t>Churn_Status_Updated</t>
  </si>
  <si>
    <t>2025/11/04</t>
  </si>
  <si>
    <t>Churn_Status_Updated_Values</t>
  </si>
  <si>
    <t>Churn_Status_Boolean</t>
  </si>
  <si>
    <t>Churn_Status_Boolean_Values</t>
  </si>
  <si>
    <t>2023-02-27</t>
  </si>
  <si>
    <t>2024/04/15</t>
  </si>
  <si>
    <t>Feb-26-2026</t>
  </si>
  <si>
    <t>1.4</t>
  </si>
  <si>
    <t>2023-09-20</t>
  </si>
  <si>
    <t>2023-03-28</t>
  </si>
  <si>
    <t>2021-11-15</t>
  </si>
  <si>
    <t>2025-08-12</t>
  </si>
  <si>
    <t>2026-01-17</t>
  </si>
  <si>
    <t>2025-03-26</t>
  </si>
  <si>
    <t>2022-11-11</t>
  </si>
  <si>
    <t>2025/12/25</t>
  </si>
  <si>
    <t>2021-10-28</t>
  </si>
  <si>
    <t>2024-11-16</t>
  </si>
  <si>
    <t>2024-09-19</t>
  </si>
  <si>
    <t>2023-04-16</t>
  </si>
  <si>
    <t>Jul-23-2023</t>
  </si>
  <si>
    <t>2022/04/11</t>
  </si>
  <si>
    <t>19.9</t>
  </si>
  <si>
    <t>2025/04/17</t>
  </si>
  <si>
    <t>2021/09/12</t>
  </si>
  <si>
    <t>2025-08-25</t>
  </si>
  <si>
    <t>17.2</t>
  </si>
  <si>
    <t>2025-01-18</t>
  </si>
  <si>
    <t>2023/01/20</t>
  </si>
  <si>
    <t>2023-02-12</t>
  </si>
  <si>
    <t>2026/08/07</t>
  </si>
  <si>
    <t>2026-03-26</t>
  </si>
  <si>
    <t>2026-01-28</t>
  </si>
  <si>
    <t>2025-06-22</t>
  </si>
  <si>
    <t>Jan-15-2025</t>
  </si>
  <si>
    <t>2022-02-26</t>
  </si>
  <si>
    <t>2024/02/02</t>
  </si>
  <si>
    <t>13.3</t>
  </si>
  <si>
    <t>2022-07-31</t>
  </si>
  <si>
    <t>2023-09-08</t>
  </si>
  <si>
    <t>2025-02-24</t>
  </si>
  <si>
    <t>2023-12-14</t>
  </si>
  <si>
    <t>2025-07-21</t>
  </si>
  <si>
    <t>70</t>
  </si>
  <si>
    <t>Jul-09-2026</t>
  </si>
  <si>
    <t>2022-12-18</t>
  </si>
  <si>
    <t>16.7</t>
  </si>
  <si>
    <t>Jan-07-2024</t>
  </si>
  <si>
    <t>Dec-08-2024</t>
  </si>
  <si>
    <t>2023-11-13</t>
  </si>
  <si>
    <t>2025/12/06</t>
  </si>
  <si>
    <t>2022-05-19</t>
  </si>
  <si>
    <t>2023-01-24</t>
  </si>
  <si>
    <t>2023-10-18</t>
  </si>
  <si>
    <t>2023-05-06</t>
  </si>
  <si>
    <t>Mar-24-2025</t>
  </si>
  <si>
    <t>2026-06-05</t>
  </si>
  <si>
    <t>2026-05-06</t>
  </si>
  <si>
    <t>2024-04-12</t>
  </si>
  <si>
    <t>2026/04/22</t>
  </si>
  <si>
    <t>2023-02-26</t>
  </si>
  <si>
    <t>2023-02-07</t>
  </si>
  <si>
    <t>2023/11/15</t>
  </si>
  <si>
    <t>2022-12-08</t>
  </si>
  <si>
    <t>19.2</t>
  </si>
  <si>
    <t>Jun-13-2024</t>
  </si>
  <si>
    <t>2025-05-07</t>
  </si>
  <si>
    <t>2025-11-19</t>
  </si>
  <si>
    <t>Robert</t>
  </si>
  <si>
    <t>2022-03-17</t>
  </si>
  <si>
    <t>2022-11-17</t>
  </si>
  <si>
    <t>2026-02-15</t>
  </si>
  <si>
    <t>2024-06-30</t>
  </si>
  <si>
    <t>2026-08-06</t>
  </si>
  <si>
    <t>2024-12-11</t>
  </si>
  <si>
    <t>2023-01-22</t>
  </si>
  <si>
    <t>2022-05-07</t>
  </si>
  <si>
    <t>2022/02/16</t>
  </si>
  <si>
    <t>2026-07-06</t>
  </si>
  <si>
    <t>2025-06-29</t>
  </si>
  <si>
    <t>2021-09-28</t>
  </si>
  <si>
    <t>2024-01-16</t>
  </si>
  <si>
    <t>2025-10-26</t>
  </si>
  <si>
    <t>2024-11-05</t>
  </si>
  <si>
    <t>12.4</t>
  </si>
  <si>
    <t>2026-03-24</t>
  </si>
  <si>
    <t>2022-12-16</t>
  </si>
  <si>
    <t>2026-08-30</t>
  </si>
  <si>
    <t>2021-12-13</t>
  </si>
  <si>
    <t>2025/12/21</t>
  </si>
  <si>
    <t>2024-04-06</t>
  </si>
  <si>
    <t>2022-05-26</t>
  </si>
  <si>
    <t>2026-08-02</t>
  </si>
  <si>
    <t>2025-12-18</t>
  </si>
  <si>
    <t>2025-04-25</t>
  </si>
  <si>
    <t>2026/03/08</t>
  </si>
  <si>
    <t>2024-12-14</t>
  </si>
  <si>
    <t>2025-08-14</t>
  </si>
  <si>
    <t>2026/03/10</t>
  </si>
  <si>
    <t>2021-10-08</t>
  </si>
  <si>
    <t>21.7</t>
  </si>
  <si>
    <t>2025-03-31</t>
  </si>
  <si>
    <t>16.9</t>
  </si>
  <si>
    <t>2026/05/27</t>
  </si>
  <si>
    <t>2026-02-14</t>
  </si>
  <si>
    <t>2024/02/18</t>
  </si>
  <si>
    <t>2024-07-18</t>
  </si>
  <si>
    <t>2025/03/14</t>
  </si>
  <si>
    <t>2026/01/15</t>
  </si>
  <si>
    <t>Thalia</t>
  </si>
  <si>
    <t>2022/04/28</t>
  </si>
  <si>
    <t>3/17/2024</t>
  </si>
  <si>
    <t>2023-01-28</t>
  </si>
  <si>
    <t>27.6</t>
  </si>
  <si>
    <t>2025/07/06</t>
  </si>
  <si>
    <t>2024-11-13</t>
  </si>
  <si>
    <t>2024-04-04</t>
  </si>
  <si>
    <t>18.9</t>
  </si>
  <si>
    <t>2024-06-20</t>
  </si>
  <si>
    <t>2023-03-10</t>
  </si>
  <si>
    <t>2026-03-25</t>
  </si>
  <si>
    <t>2025-07-27</t>
  </si>
  <si>
    <t>2025-01-01</t>
  </si>
  <si>
    <t>2021-12-27</t>
  </si>
  <si>
    <t>2026/02/10</t>
  </si>
  <si>
    <t>2025-06-23</t>
  </si>
  <si>
    <t>2026-03-29</t>
  </si>
  <si>
    <t>2023-09-26</t>
  </si>
  <si>
    <t>2024-04-30</t>
  </si>
  <si>
    <t>2025-09-18</t>
  </si>
  <si>
    <t>2023-08-19</t>
  </si>
  <si>
    <t>2022-04-13</t>
  </si>
  <si>
    <t>2025-07-29</t>
  </si>
  <si>
    <t>2026-03-16</t>
  </si>
  <si>
    <t>Apr-13-2022</t>
  </si>
  <si>
    <t>2025-05-15</t>
  </si>
  <si>
    <t>2021-12-07</t>
  </si>
  <si>
    <t>2024-06-16</t>
  </si>
  <si>
    <t>2022-10-29</t>
  </si>
  <si>
    <t>2026-01-02</t>
  </si>
  <si>
    <t>2022-02-03</t>
  </si>
  <si>
    <t>2021-09-27</t>
  </si>
  <si>
    <t>2022/04/01</t>
  </si>
  <si>
    <t>2022-07-29</t>
  </si>
  <si>
    <t>2022-05-29</t>
  </si>
  <si>
    <t>2024/11/08</t>
  </si>
  <si>
    <t>2025-10-24</t>
  </si>
  <si>
    <t>2025/09/15</t>
  </si>
  <si>
    <t>2025-08-15</t>
  </si>
  <si>
    <t>2022-03-29</t>
  </si>
  <si>
    <t>2022/11/29</t>
  </si>
  <si>
    <t>2024-12-22</t>
  </si>
  <si>
    <t>2023-11-28</t>
  </si>
  <si>
    <t>2025-11-08</t>
  </si>
  <si>
    <t>20/20/2025</t>
  </si>
  <si>
    <t>2025-06-15</t>
  </si>
  <si>
    <t>2025/03/16</t>
  </si>
  <si>
    <t>2026-06-13</t>
  </si>
  <si>
    <t>14.2</t>
  </si>
  <si>
    <t>2022-03-16</t>
  </si>
  <si>
    <t>2026/05/10</t>
  </si>
  <si>
    <t>2024-10-20</t>
  </si>
  <si>
    <t>2025-08-03</t>
  </si>
  <si>
    <t>2022-11-25</t>
  </si>
  <si>
    <t>9.5</t>
  </si>
  <si>
    <t>2024-09-05</t>
  </si>
  <si>
    <t>2025/04/07</t>
  </si>
  <si>
    <t>2025-10-31</t>
  </si>
  <si>
    <t>2023-06-12</t>
  </si>
  <si>
    <t>23/40/2021</t>
  </si>
  <si>
    <t>2025-08-20</t>
  </si>
  <si>
    <t>15.2</t>
  </si>
  <si>
    <t>2022-10-02</t>
  </si>
  <si>
    <t>27/27/2025</t>
  </si>
  <si>
    <t>2024-03-31</t>
  </si>
  <si>
    <t>2026-01-26</t>
  </si>
  <si>
    <t>Oct-21-2024</t>
  </si>
  <si>
    <t>Jun-30-2024</t>
  </si>
  <si>
    <t>2024-01-11</t>
  </si>
  <si>
    <t>2025-12-30</t>
  </si>
  <si>
    <t>2026-02-08</t>
  </si>
  <si>
    <t>2021-10-06</t>
  </si>
  <si>
    <t>5/14/2022</t>
  </si>
  <si>
    <t>2024/01/07</t>
  </si>
  <si>
    <t>2026-07-12</t>
  </si>
  <si>
    <t>2026/08/09</t>
  </si>
  <si>
    <t>2024-10-07</t>
  </si>
  <si>
    <t>2022-10-18</t>
  </si>
  <si>
    <t>2024-04-19</t>
  </si>
  <si>
    <t>2024-04-09</t>
  </si>
  <si>
    <t>Aug-15-2026</t>
  </si>
  <si>
    <t>2025-02-26</t>
  </si>
  <si>
    <t>19/7/2023</t>
  </si>
  <si>
    <t>2022-01-03</t>
  </si>
  <si>
    <t>2022-10-07</t>
  </si>
  <si>
    <t>14.4</t>
  </si>
  <si>
    <t>Jan-14-2022</t>
  </si>
  <si>
    <t>May-31-2025</t>
  </si>
  <si>
    <t>2025-03-27</t>
  </si>
  <si>
    <t>Aug-06-2026</t>
  </si>
  <si>
    <t>2026-08-20</t>
  </si>
  <si>
    <t>2022-10-23</t>
  </si>
  <si>
    <t>2022-02-08</t>
  </si>
  <si>
    <t>2024-02-23</t>
  </si>
  <si>
    <t>Nov-27-2025</t>
  </si>
  <si>
    <t>2024-02-09</t>
  </si>
  <si>
    <t>6/41/2024</t>
  </si>
  <si>
    <t>2023-06-13</t>
  </si>
  <si>
    <t>2023-01-30</t>
  </si>
  <si>
    <t>2026/07/03</t>
  </si>
  <si>
    <t>2025-05-01</t>
  </si>
  <si>
    <t>2026/07/27</t>
  </si>
  <si>
    <t>2025/01/14</t>
  </si>
  <si>
    <t>2025-06-14</t>
  </si>
  <si>
    <t>2024-02-25</t>
  </si>
  <si>
    <t>Feb-17-2023</t>
  </si>
  <si>
    <t>2024-06-21</t>
  </si>
  <si>
    <t>2026-06-14</t>
  </si>
  <si>
    <t>2025-08-18</t>
  </si>
  <si>
    <t>2026-08-18</t>
  </si>
  <si>
    <t>2025-11-21</t>
  </si>
  <si>
    <t>2022-03-28</t>
  </si>
  <si>
    <t>Will</t>
  </si>
  <si>
    <t>Beatrice</t>
  </si>
  <si>
    <t>Xavier</t>
  </si>
  <si>
    <t>Olvia</t>
  </si>
  <si>
    <t>Theresa</t>
  </si>
  <si>
    <t>Tim</t>
  </si>
  <si>
    <t>phone_number</t>
  </si>
  <si>
    <t>email</t>
  </si>
  <si>
    <t>last_patient_outreach_date</t>
  </si>
  <si>
    <t>last_patient_response_date</t>
  </si>
  <si>
    <t>737.702.6699</t>
  </si>
  <si>
    <t>CHARLOTTE.GARCIA@YAHOO.COM</t>
  </si>
  <si>
    <t>2025-08-26</t>
  </si>
  <si>
    <t>268-632-7015</t>
  </si>
  <si>
    <t>Rebecca.Lopez@outlook.com</t>
  </si>
  <si>
    <t>2025-10-21</t>
  </si>
  <si>
    <t>mARy.lee@GMail.com</t>
  </si>
  <si>
    <t>2026-01-12</t>
  </si>
  <si>
    <t>987.233.6406</t>
  </si>
  <si>
    <t>Harry.Brown@yahoo.com</t>
  </si>
  <si>
    <t>247-984-7668</t>
  </si>
  <si>
    <t>Wendy.Davis@aol.com</t>
  </si>
  <si>
    <t>2025-11-16</t>
  </si>
  <si>
    <t>2025-12-01</t>
  </si>
  <si>
    <t>460.656.6594</t>
  </si>
  <si>
    <t>Nancy.Ferguson@outlook.com</t>
  </si>
  <si>
    <t>2025-05-16</t>
  </si>
  <si>
    <t>(878) 573-3758</t>
  </si>
  <si>
    <t>claire.chan@yahoo.com</t>
  </si>
  <si>
    <t>(964) 390-1726</t>
  </si>
  <si>
    <t>John.Rodriguez@outlook.com</t>
  </si>
  <si>
    <t>2025-04-19</t>
  </si>
  <si>
    <t>249-638-6452</t>
  </si>
  <si>
    <t>ALice.Ng@YahOo.cOm</t>
  </si>
  <si>
    <t>2026-03-11</t>
  </si>
  <si>
    <t>2026-03-31</t>
  </si>
  <si>
    <t>245.242.3912</t>
  </si>
  <si>
    <t>4874082006</t>
  </si>
  <si>
    <t>eVA.youNg@outlOOk.cOM</t>
  </si>
  <si>
    <t>2026-07-10</t>
  </si>
  <si>
    <t>566-690-3484</t>
  </si>
  <si>
    <t>frank.little@outlook.com</t>
  </si>
  <si>
    <t>2677618658</t>
  </si>
  <si>
    <t>victor.perez@aol.com</t>
  </si>
  <si>
    <t>2026-06-02</t>
  </si>
  <si>
    <t>(834) 610-4937</t>
  </si>
  <si>
    <t>FIONA.CHEN@GMAIL.COM</t>
  </si>
  <si>
    <t>(474) 384-8574</t>
  </si>
  <si>
    <t>Tina.Zu@gmail.com</t>
  </si>
  <si>
    <t>2025-12-26</t>
  </si>
  <si>
    <t>288.291.4088</t>
  </si>
  <si>
    <t>John.Williams@yahoo.com</t>
  </si>
  <si>
    <t>586-749-5438</t>
  </si>
  <si>
    <t>frnk.rodriguez@aol.com</t>
  </si>
  <si>
    <t>467-503-4211</t>
  </si>
  <si>
    <t>Kylie.Ng@hotmail.com</t>
  </si>
  <si>
    <t>2026-01-04</t>
  </si>
  <si>
    <t>9199863491</t>
  </si>
  <si>
    <t>keiith.jackson@gmail.com</t>
  </si>
  <si>
    <t>(915) 329-1496</t>
  </si>
  <si>
    <t>frank.doe@outlook.com</t>
  </si>
  <si>
    <t>284-513-9446</t>
  </si>
  <si>
    <t>natalie.wu@aol.com</t>
  </si>
  <si>
    <t>2026-06-07</t>
  </si>
  <si>
    <t>2414921424</t>
  </si>
  <si>
    <t>Charli.Rodriguez@hotmail.com</t>
  </si>
  <si>
    <t>2026-05-25</t>
  </si>
  <si>
    <t>5644939535</t>
  </si>
  <si>
    <t>VICTOR.LIM@OUTLOOK.COM</t>
  </si>
  <si>
    <t>2026-02-05</t>
  </si>
  <si>
    <t>8244587951</t>
  </si>
  <si>
    <t>ava.miler@aol.com</t>
  </si>
  <si>
    <t>2025-03-05</t>
  </si>
  <si>
    <t>2025-03-30</t>
  </si>
  <si>
    <t>761-568-7814</t>
  </si>
  <si>
    <t>evan.lee@aol.com</t>
  </si>
  <si>
    <t>373.644.3262</t>
  </si>
  <si>
    <t>hannah.gaRciA@gMaIL.COM</t>
  </si>
  <si>
    <t>2026-05-22</t>
  </si>
  <si>
    <t>2026-06-12</t>
  </si>
  <si>
    <t>silvia.baker@yahoo.com</t>
  </si>
  <si>
    <t>2026-07-18</t>
  </si>
  <si>
    <t>2026-07-20</t>
  </si>
  <si>
    <t>875-750-2988</t>
  </si>
  <si>
    <t>betty.cooper@yahoo.com</t>
  </si>
  <si>
    <t>2025-11-05</t>
  </si>
  <si>
    <t>815.986.9727</t>
  </si>
  <si>
    <t>gale.little@yahoo.com</t>
  </si>
  <si>
    <t>2026-07-03</t>
  </si>
  <si>
    <t>2026-07-04</t>
  </si>
  <si>
    <t>543.886.8707</t>
  </si>
  <si>
    <t>john.johnson@yahoo.com</t>
  </si>
  <si>
    <t>9614489635</t>
  </si>
  <si>
    <t>bOB.rOdRiGuez@oUtlOoK.COM</t>
  </si>
  <si>
    <t>2026-06-25</t>
  </si>
  <si>
    <t>2026-07-14</t>
  </si>
  <si>
    <t>929.861.1236</t>
  </si>
  <si>
    <t>LiSa.kIM@aOL.com</t>
  </si>
  <si>
    <t>2026-04-22</t>
  </si>
  <si>
    <t>3368311323</t>
  </si>
  <si>
    <t>JOHN.BROWN@GMAIL.COM</t>
  </si>
  <si>
    <t>2026-08-17</t>
  </si>
  <si>
    <t>2026-08-19</t>
  </si>
  <si>
    <t>(533) 391-4264</t>
  </si>
  <si>
    <t>GrEg.SMith@OUTLOoK.COm</t>
  </si>
  <si>
    <t>(265) 732-7402</t>
  </si>
  <si>
    <t>Grace.Rodriguez@hotmail.com</t>
  </si>
  <si>
    <t>2025-06-28</t>
  </si>
  <si>
    <t>2025-07-09</t>
  </si>
  <si>
    <t>465-933-7990</t>
  </si>
  <si>
    <t>bob.miller@yahoo.com</t>
  </si>
  <si>
    <t>2026-05-30</t>
  </si>
  <si>
    <t>2026-06-26</t>
  </si>
  <si>
    <t>250-342-8288</t>
  </si>
  <si>
    <t>ZAChaRy.JONEZ@yAhoO.coM</t>
  </si>
  <si>
    <t>2025-02-21</t>
  </si>
  <si>
    <t>2025-03-07</t>
  </si>
  <si>
    <t>2397395531</t>
  </si>
  <si>
    <t>joshua.rodriguez@yahoo.com</t>
  </si>
  <si>
    <t>2025-12-20</t>
  </si>
  <si>
    <t>2025-12-29</t>
  </si>
  <si>
    <t>(501) 812-2950</t>
  </si>
  <si>
    <t>paul.jackson@yahoo.com</t>
  </si>
  <si>
    <t>2025-05-18</t>
  </si>
  <si>
    <t>8006224193</t>
  </si>
  <si>
    <t>alice.rodriguez@yahoo.com</t>
  </si>
  <si>
    <t>727-885-3809</t>
  </si>
  <si>
    <t>jane.johnson@gmail.com</t>
  </si>
  <si>
    <t>2025-08-27</t>
  </si>
  <si>
    <t>2025-09-22</t>
  </si>
  <si>
    <t>377-950-7528</t>
  </si>
  <si>
    <t>katherine.lee@gmail.com</t>
  </si>
  <si>
    <t>604-392-3875</t>
  </si>
  <si>
    <t>pauline.miller@outlook.com</t>
  </si>
  <si>
    <t>2025-12-16</t>
  </si>
  <si>
    <t>503-348-4729</t>
  </si>
  <si>
    <t>alice.bush@gmail.com</t>
  </si>
  <si>
    <t>568.648.7549</t>
  </si>
  <si>
    <t>keith.volkov@gmail.com</t>
  </si>
  <si>
    <t>2026-08-03</t>
  </si>
  <si>
    <t>2026-08-13</t>
  </si>
  <si>
    <t>235.219.6600</t>
  </si>
  <si>
    <t>frank.brown@gmail.com</t>
  </si>
  <si>
    <t>2025-06-06</t>
  </si>
  <si>
    <t>8892066386</t>
  </si>
  <si>
    <t>william.davis@outlook.com</t>
  </si>
  <si>
    <t>7907698139</t>
  </si>
  <si>
    <t>Eva.sMItH@oUtLOok.CoM</t>
  </si>
  <si>
    <t>2026-01-06</t>
  </si>
  <si>
    <t>2026-01-20</t>
  </si>
  <si>
    <t>(846) 286-8607</t>
  </si>
  <si>
    <t>tina.smirnov@hotmail.com</t>
  </si>
  <si>
    <t>2026-07-22</t>
  </si>
  <si>
    <t>(708) 535-4994</t>
  </si>
  <si>
    <t>Dale.Perez@outlook.com</t>
  </si>
  <si>
    <t>591-736-5694</t>
  </si>
  <si>
    <t>ailce.wiliams@aol.com</t>
  </si>
  <si>
    <t>john.davis@aol.com</t>
  </si>
  <si>
    <t>2026-07-01</t>
  </si>
  <si>
    <t>2026-07-21</t>
  </si>
  <si>
    <t>michelle.johnson@gmail.com</t>
  </si>
  <si>
    <t>2025-07-07</t>
  </si>
  <si>
    <t>506-238-4646</t>
  </si>
  <si>
    <t>FRANK.SHARP@GMAIL.COM</t>
  </si>
  <si>
    <t>2026-05-17</t>
  </si>
  <si>
    <t>2749761168</t>
  </si>
  <si>
    <t>Melanie.Johnson@gmail.com</t>
  </si>
  <si>
    <t>2025-12-31</t>
  </si>
  <si>
    <t>(376) 764-9925</t>
  </si>
  <si>
    <t>KATHERINE.KIM@HOTMAIL.COM</t>
  </si>
  <si>
    <t>2025-03-02</t>
  </si>
  <si>
    <t>(293) 738-9649</t>
  </si>
  <si>
    <t>pauline.ng@hotmail.com</t>
  </si>
  <si>
    <t>(599) 983-6515</t>
  </si>
  <si>
    <t>johN.jOnEs@gMAIL.COM</t>
  </si>
  <si>
    <t>2026-02-28</t>
  </si>
  <si>
    <t>4219817448</t>
  </si>
  <si>
    <t>Bob.dAViDSOn@YAhoo.COM</t>
  </si>
  <si>
    <t>(240) 757-4855</t>
  </si>
  <si>
    <t>vanessa.brown@yahoo.com</t>
  </si>
  <si>
    <t>932.568.8125</t>
  </si>
  <si>
    <t>Christopher.Jackson@aol.com</t>
  </si>
  <si>
    <t>2025-10-18</t>
  </si>
  <si>
    <t>2025-10-19</t>
  </si>
  <si>
    <t>(672) 261-4584</t>
  </si>
  <si>
    <t>david.garcia@aol.com</t>
  </si>
  <si>
    <t>2025-03-19</t>
  </si>
  <si>
    <t>2025-04-08</t>
  </si>
  <si>
    <t>206.252.2867</t>
  </si>
  <si>
    <t>Grace#.Smith@outlook.com</t>
  </si>
  <si>
    <t>2025-12-17</t>
  </si>
  <si>
    <t>3574832967</t>
  </si>
  <si>
    <t>grace.jones@hotmail.com</t>
  </si>
  <si>
    <t>2026-05-31</t>
  </si>
  <si>
    <t>2026-06-16</t>
  </si>
  <si>
    <t>(440) 277-5346</t>
  </si>
  <si>
    <t>jane.rodriguez@yahoo.com</t>
  </si>
  <si>
    <t>(906) 352-8934</t>
  </si>
  <si>
    <t>daniella.brown@aol.com</t>
  </si>
  <si>
    <t>2025-07-08</t>
  </si>
  <si>
    <t>9253812672</t>
  </si>
  <si>
    <t>john.dAviS@GMaiL.cOM</t>
  </si>
  <si>
    <t>2026-06-28</t>
  </si>
  <si>
    <t>232-805-9906</t>
  </si>
  <si>
    <t>RUBY.JACKSON@HOTMAIL.COM</t>
  </si>
  <si>
    <t>2025-09-16</t>
  </si>
  <si>
    <t>david.doe@outlook.com</t>
  </si>
  <si>
    <t>458-482-9453</t>
  </si>
  <si>
    <t>roger.williams@yahoo.com</t>
  </si>
  <si>
    <t>2026-03-03</t>
  </si>
  <si>
    <t>821-691-3812</t>
  </si>
  <si>
    <t>dANeiL.SmIh@GMaIL.CoM</t>
  </si>
  <si>
    <t>997-954-9116</t>
  </si>
  <si>
    <t>Grace.Garcia@yahoo.com</t>
  </si>
  <si>
    <t>731-552-1963</t>
  </si>
  <si>
    <t>JaNe.LiM@YahoO.cOm</t>
  </si>
  <si>
    <t>2026-07-27</t>
  </si>
  <si>
    <t>2599221923</t>
  </si>
  <si>
    <t>Fiona.Smith@hotmail.com</t>
  </si>
  <si>
    <t>2025-06-08</t>
  </si>
  <si>
    <t>738-771-1302</t>
  </si>
  <si>
    <t>Nancy.Jackson@yahoo.com</t>
  </si>
  <si>
    <t>(785) 832-6386</t>
  </si>
  <si>
    <t>Wendy.Ng@hotmail.com</t>
  </si>
  <si>
    <t>(227) 389-7064</t>
  </si>
  <si>
    <t>michelle.kim@gmail.com</t>
  </si>
  <si>
    <t>502-494-6850</t>
  </si>
  <si>
    <t>Jasmine.Lee@yahoo.com</t>
  </si>
  <si>
    <t>488-443-9356</t>
  </si>
  <si>
    <t>David.Richardson@aol.com</t>
  </si>
  <si>
    <t>2025-04-01</t>
  </si>
  <si>
    <t>2025-04-27</t>
  </si>
  <si>
    <t>548.765.6631</t>
  </si>
  <si>
    <t>ailce.rodriguez@yahoo.com</t>
  </si>
  <si>
    <t>2026-05-23</t>
  </si>
  <si>
    <t>648-666-8538</t>
  </si>
  <si>
    <t>bob.davis@gmail.com</t>
  </si>
  <si>
    <t>2026-05-11</t>
  </si>
  <si>
    <t>775-701-4069</t>
  </si>
  <si>
    <t>2026-02-13</t>
  </si>
  <si>
    <t>josephine.smith@hotmail.com</t>
  </si>
  <si>
    <t>2025-05-21</t>
  </si>
  <si>
    <t>2025-05-23</t>
  </si>
  <si>
    <t>4488992566</t>
  </si>
  <si>
    <t>Ava.Garcia@outlook.com</t>
  </si>
  <si>
    <t>424-490-4887</t>
  </si>
  <si>
    <t>keith.lee@hotmail.com</t>
  </si>
  <si>
    <t>804-537-8322</t>
  </si>
  <si>
    <t>timothy.davidson@outlook.com</t>
  </si>
  <si>
    <t>2026-04-13</t>
  </si>
  <si>
    <t>774.334.2273</t>
  </si>
  <si>
    <t>Peter.Jones@outlook.com</t>
  </si>
  <si>
    <t>2222176958</t>
  </si>
  <si>
    <t>ROGER.WILLIAMS@AOL.COM</t>
  </si>
  <si>
    <t>487-513-5020</t>
  </si>
  <si>
    <t>FRank.dOe@YaHOO.COm</t>
  </si>
  <si>
    <t>6357574482</t>
  </si>
  <si>
    <t>davId.DoE@hoTMAil.COM</t>
  </si>
  <si>
    <t>2025-02-27</t>
  </si>
  <si>
    <t>(841) 678-9414</t>
  </si>
  <si>
    <t>FRANK.WHITE@YAHOO.COM</t>
  </si>
  <si>
    <t>2026-03-06</t>
  </si>
  <si>
    <t>635-733-2247</t>
  </si>
  <si>
    <t>grace.young@hotmail.com</t>
  </si>
  <si>
    <t>(543) 223-4497</t>
  </si>
  <si>
    <t>Robert.Little@gmail.com</t>
  </si>
  <si>
    <t>2025-10-06</t>
  </si>
  <si>
    <t>464-336-4494</t>
  </si>
  <si>
    <t>william.miller@gmail.com</t>
  </si>
  <si>
    <t>2026-04-05</t>
  </si>
  <si>
    <t>863-526-6008</t>
  </si>
  <si>
    <t>Charlie.Brown@outlook.com</t>
  </si>
  <si>
    <t>617.693.5788</t>
  </si>
  <si>
    <t>Bob.Lee@gmail.com</t>
  </si>
  <si>
    <t>2026-07-07</t>
  </si>
  <si>
    <t>grACE.gARcIa@YAHoO.COm</t>
  </si>
  <si>
    <t>6527014246</t>
  </si>
  <si>
    <t>paul.smith@gmail.com</t>
  </si>
  <si>
    <t>2026-08-09</t>
  </si>
  <si>
    <t>2026-08-14</t>
  </si>
  <si>
    <t>john.white@hotmail.com</t>
  </si>
  <si>
    <t>2025-11-11</t>
  </si>
  <si>
    <t>3499941957</t>
  </si>
  <si>
    <t>tHaliA.fErGusOn@GMaiL.CoM</t>
  </si>
  <si>
    <t>2025-10-17</t>
  </si>
  <si>
    <t>8277215226</t>
  </si>
  <si>
    <t>jasmine.cooper@outlook.com</t>
  </si>
  <si>
    <t>2025-05-27</t>
  </si>
  <si>
    <t>3079267785</t>
  </si>
  <si>
    <t>Frank.Johnson@yahoo.com</t>
  </si>
  <si>
    <t>2025-11-06</t>
  </si>
  <si>
    <t>429-687-8357</t>
  </si>
  <si>
    <t>eva.smith@aol.com</t>
  </si>
  <si>
    <t>639.256.5861</t>
  </si>
  <si>
    <t>JOHN.RODRIGUEZ@OUTLOOK.COM</t>
  </si>
  <si>
    <t>(734) 668-6097</t>
  </si>
  <si>
    <t>PAULINE.SMITH@YAHOO.COM</t>
  </si>
  <si>
    <t>2025-10-23</t>
  </si>
  <si>
    <t>334-349-4095</t>
  </si>
  <si>
    <t>Evan.Rodriguez@outlook.com</t>
  </si>
  <si>
    <t>2025-07-12</t>
  </si>
  <si>
    <t>794-885-9195</t>
  </si>
  <si>
    <t>Hannah.Davis@yahoo.com</t>
  </si>
  <si>
    <t>2025-09-26</t>
  </si>
  <si>
    <t>2025-10-22</t>
  </si>
  <si>
    <t>6918144510</t>
  </si>
  <si>
    <t>rYAN.KiM@oUtlOoK.CoM</t>
  </si>
  <si>
    <t>407.791.7541</t>
  </si>
  <si>
    <t>Christine.Baker@yahoo.com</t>
  </si>
  <si>
    <t>2025-06-21</t>
  </si>
  <si>
    <t>314-515-7391</t>
  </si>
  <si>
    <t>2026-05-20</t>
  </si>
  <si>
    <t>2026-06-09</t>
  </si>
  <si>
    <t>2047018270</t>
  </si>
  <si>
    <t>Harry.Lopez@outlook.com</t>
  </si>
  <si>
    <t>2822094794</t>
  </si>
  <si>
    <t>david.perez@yahoo.com</t>
  </si>
  <si>
    <t>2025-05-29</t>
  </si>
  <si>
    <t>(397) 581-7308</t>
  </si>
  <si>
    <t>IAN.JONES@YAHOO.COM</t>
  </si>
  <si>
    <t>2025-08-17</t>
  </si>
  <si>
    <t>779.669.4206</t>
  </si>
  <si>
    <t>michelle.lee@gmail.com</t>
  </si>
  <si>
    <t>2025-05-09</t>
  </si>
  <si>
    <t>(521) 475-1029</t>
  </si>
  <si>
    <t>wendy.doe@gmail.com</t>
  </si>
  <si>
    <t>2025-05-19</t>
  </si>
  <si>
    <t>(466) 254-4761</t>
  </si>
  <si>
    <t>louis.lim@outlook.com</t>
  </si>
  <si>
    <t>2025-12-25</t>
  </si>
  <si>
    <t>2026-01-21</t>
  </si>
  <si>
    <t>617.987.2821</t>
  </si>
  <si>
    <t>ALICE.DAVIDSON@AOL.COM</t>
  </si>
  <si>
    <t>2026-06-15</t>
  </si>
  <si>
    <t>753.244.3096</t>
  </si>
  <si>
    <t>bob.young@aol.com</t>
  </si>
  <si>
    <t>2026-02-18</t>
  </si>
  <si>
    <t>2026-03-17</t>
  </si>
  <si>
    <t>Evan.Johnson@gmail.com</t>
  </si>
  <si>
    <t>621.671.6590</t>
  </si>
  <si>
    <t>ian.rodriguez@hotmail.com</t>
  </si>
  <si>
    <t>2025-12-12</t>
  </si>
  <si>
    <t>2025-12-19</t>
  </si>
  <si>
    <t>2193392650</t>
  </si>
  <si>
    <t>CRAIG.VOLKOV@HOTMAIL.COM</t>
  </si>
  <si>
    <t>(968) 791-5618</t>
  </si>
  <si>
    <t>Timothy.Garcia@outlook.com</t>
  </si>
  <si>
    <t>9492206152</t>
  </si>
  <si>
    <t>keItH#.WilliAMS@GMAIL.cOm</t>
  </si>
  <si>
    <t>537-805-5041</t>
  </si>
  <si>
    <t>fioNA.SMiTH@YaHOO.com</t>
  </si>
  <si>
    <t>2026-01-31</t>
  </si>
  <si>
    <t>2026-02-11</t>
  </si>
  <si>
    <t>(210) 227-8571</t>
  </si>
  <si>
    <t>olivia.brown@aol.com</t>
  </si>
  <si>
    <t>david.wu@gmail.com</t>
  </si>
  <si>
    <t>(835) 605-6666</t>
  </si>
  <si>
    <t>Ryan.Chang@aol.com</t>
  </si>
  <si>
    <t>2025-03-09</t>
  </si>
  <si>
    <t>6114151501</t>
  </si>
  <si>
    <t>sally.doe@aol.com</t>
  </si>
  <si>
    <t>2025-11-25</t>
  </si>
  <si>
    <t>294-595-9453</t>
  </si>
  <si>
    <t>david.white@outlook.com</t>
  </si>
  <si>
    <t>2025-03-18</t>
  </si>
  <si>
    <t>360-466-6995</t>
  </si>
  <si>
    <t>jACk.bRoWn@GMail.cOm</t>
  </si>
  <si>
    <t>551-580-2541</t>
  </si>
  <si>
    <t>FRANK.BAKER@YAHOO.COM</t>
  </si>
  <si>
    <t>509.965.9361</t>
  </si>
  <si>
    <t>ALICE.RODRIGUEZ@OUTLOOK.COM</t>
  </si>
  <si>
    <t>2026-02-07</t>
  </si>
  <si>
    <t>330.214.8560</t>
  </si>
  <si>
    <t>Nancy.Miller@hotmail.com</t>
  </si>
  <si>
    <t>2025-05-24</t>
  </si>
  <si>
    <t>4174925612</t>
  </si>
  <si>
    <t>WILL.KIM@AOL.COM</t>
  </si>
  <si>
    <t>689-653-2068</t>
  </si>
  <si>
    <t>Jane.Cooper@gmail.com</t>
  </si>
  <si>
    <t>2026-01-11</t>
  </si>
  <si>
    <t>(249) 488-7741</t>
  </si>
  <si>
    <t>ava.jackson@outlook.com</t>
  </si>
  <si>
    <t>2026-01-24</t>
  </si>
  <si>
    <t>9654721879</t>
  </si>
  <si>
    <t>paul.lopez@gmail.com</t>
  </si>
  <si>
    <t>750-855-7523</t>
  </si>
  <si>
    <t>IAN.BAKER@AOL.COM</t>
  </si>
  <si>
    <t>2026-01-19</t>
  </si>
  <si>
    <t>243-952-8378</t>
  </si>
  <si>
    <t>jane.davis@aol.com</t>
  </si>
  <si>
    <t>2026-06-17</t>
  </si>
  <si>
    <t>2026-07-16</t>
  </si>
  <si>
    <t>7762514882</t>
  </si>
  <si>
    <t>AlIce.dAvIS@gMAIl.cOM</t>
  </si>
  <si>
    <t>2026-02-09</t>
  </si>
  <si>
    <t>2026-03-02</t>
  </si>
  <si>
    <t>822-883-3795</t>
  </si>
  <si>
    <t>nancy.baker@yahoo.com</t>
  </si>
  <si>
    <t>(253) 246-5391</t>
  </si>
  <si>
    <t>christopher.garcia@yahoo.com</t>
  </si>
  <si>
    <t>246-962-6405</t>
  </si>
  <si>
    <t>Tina.Rodriguez@outlook.com</t>
  </si>
  <si>
    <t>409-544-3041</t>
  </si>
  <si>
    <t>chris.jones@outlook.com</t>
  </si>
  <si>
    <t>(973) 955-1579</t>
  </si>
  <si>
    <t>Louis.Rodriguez@hotmail.com</t>
  </si>
  <si>
    <t>2026-06-20</t>
  </si>
  <si>
    <t>2026-07-08</t>
  </si>
  <si>
    <t>520-349-5349</t>
  </si>
  <si>
    <t>fiONa.WIllIaMs@OutLooK.COM</t>
  </si>
  <si>
    <t>2026-02-01</t>
  </si>
  <si>
    <t>953-553-5672</t>
  </si>
  <si>
    <t>Charlie.Doe@yahoo.com</t>
  </si>
  <si>
    <t>927-594-9377</t>
  </si>
  <si>
    <t>grace.rodriguez@hotmail.com</t>
  </si>
  <si>
    <t>2025-09-12</t>
  </si>
  <si>
    <t>(265) 210-4761</t>
  </si>
  <si>
    <t>DAvId.chen@hoTMaIL.COM</t>
  </si>
  <si>
    <t>881-917-1166</t>
  </si>
  <si>
    <t>james.lee@aol.com</t>
  </si>
  <si>
    <t>2025-09-03</t>
  </si>
  <si>
    <t>OliViA.milLeR@YAHOO.cOM</t>
  </si>
  <si>
    <t>5823756699</t>
  </si>
  <si>
    <t>pauline.richardson@gmail.com</t>
  </si>
  <si>
    <t>(888) 949-2653</t>
  </si>
  <si>
    <t>grace.rodriguez@gmail.com</t>
  </si>
  <si>
    <t>2025-06-02</t>
  </si>
  <si>
    <t>642-493-6082</t>
  </si>
  <si>
    <t>sally.white@gmail.com</t>
  </si>
  <si>
    <t>(921) 549-3807</t>
  </si>
  <si>
    <t>beatrice.smirnov@outlook.com</t>
  </si>
  <si>
    <t>2026-08-04</t>
  </si>
  <si>
    <t>318-760-4461</t>
  </si>
  <si>
    <t>hannah.baker@outlook.com</t>
  </si>
  <si>
    <t>2026-07-31</t>
  </si>
  <si>
    <t>3464559682</t>
  </si>
  <si>
    <t>Michelle.Williams@hotmail.com</t>
  </si>
  <si>
    <t>2026-08-12</t>
  </si>
  <si>
    <t>2493523603</t>
  </si>
  <si>
    <t>JOHN.SMITH@HOTMAIL.COM</t>
  </si>
  <si>
    <t>(258) 271-5065</t>
  </si>
  <si>
    <t>charlie.davidson@aol.com</t>
  </si>
  <si>
    <t>2025-12-15</t>
  </si>
  <si>
    <t>(266) 930-1523</t>
  </si>
  <si>
    <t>greg.glover@yahoo.com</t>
  </si>
  <si>
    <t>828-586-2655</t>
  </si>
  <si>
    <t>2026-03-28</t>
  </si>
  <si>
    <t>856.689.3874</t>
  </si>
  <si>
    <t>frank.johnson@hotmail.com</t>
  </si>
  <si>
    <t>426-737-2131</t>
  </si>
  <si>
    <t>jane.garcia@aol.com</t>
  </si>
  <si>
    <t>2025-06-24</t>
  </si>
  <si>
    <t>354-724-7783</t>
  </si>
  <si>
    <t>HANNAH.WILLIAMS@OUTLOOK.COM</t>
  </si>
  <si>
    <t>719-685-5443</t>
  </si>
  <si>
    <t>ThOMas.wU@oUTlOOk.Com</t>
  </si>
  <si>
    <t>2025-09-30</t>
  </si>
  <si>
    <t>440-203-1114</t>
  </si>
  <si>
    <t>Jane.Rodriguez@outlook.com</t>
  </si>
  <si>
    <t>2025-11-09</t>
  </si>
  <si>
    <t>5145543835</t>
  </si>
  <si>
    <t>john.jones@hotmail.com</t>
  </si>
  <si>
    <t>2025-07-19</t>
  </si>
  <si>
    <t>9105034050</t>
  </si>
  <si>
    <t>alice.kim@gmail.com</t>
  </si>
  <si>
    <t>2025-03-14</t>
  </si>
  <si>
    <t>(763) 292-6134</t>
  </si>
  <si>
    <t>Ryan.Bush@outlook.com</t>
  </si>
  <si>
    <t>744-650-8605</t>
  </si>
  <si>
    <t>Donald.Glover@hotmail.com</t>
  </si>
  <si>
    <t>2026-06-23</t>
  </si>
  <si>
    <t>2216042304</t>
  </si>
  <si>
    <t>EVA.DAVIS@OUTLOOK.COM</t>
  </si>
  <si>
    <t>2025-11-14</t>
  </si>
  <si>
    <t>651.349.5330</t>
  </si>
  <si>
    <t>TOm.CoOPER@outlOoK.cOM</t>
  </si>
  <si>
    <t>2025-12-06</t>
  </si>
  <si>
    <t>680.843.9444</t>
  </si>
  <si>
    <t>Charlie.Little@yahoo.com</t>
  </si>
  <si>
    <t>629-255-7829</t>
  </si>
  <si>
    <t>JOHN.BROWN@HOTMAIL.COM</t>
  </si>
  <si>
    <t>839-952-9338</t>
  </si>
  <si>
    <t>Grace.Perez@yahoo.com</t>
  </si>
  <si>
    <t>2026-04-06</t>
  </si>
  <si>
    <t>(484) 463-1719</t>
  </si>
  <si>
    <t>Jane.Young@outlook.com</t>
  </si>
  <si>
    <t>2026-04-21</t>
  </si>
  <si>
    <t>(496) 846-9657</t>
  </si>
  <si>
    <t>miles.wu@hotmail.com</t>
  </si>
  <si>
    <t>2026-01-01</t>
  </si>
  <si>
    <t>366-517-5547</t>
  </si>
  <si>
    <t>Christopher.Smith@hotmail.com</t>
  </si>
  <si>
    <t>(661) 515-5435</t>
  </si>
  <si>
    <t>david.doe@yahoo.com</t>
  </si>
  <si>
    <t>779-741-2933</t>
  </si>
  <si>
    <t>Thomas.Jackson@hotmail.com</t>
  </si>
  <si>
    <t>2025-10-01</t>
  </si>
  <si>
    <t>(684) 871-6925</t>
  </si>
  <si>
    <t>frank.wales@hotmail.com</t>
  </si>
  <si>
    <t>2026-04-24</t>
  </si>
  <si>
    <t>592-833-4206</t>
  </si>
  <si>
    <t>DAnIEl.gloVEr@hoTMaIl.cOm</t>
  </si>
  <si>
    <t>2025-08-10</t>
  </si>
  <si>
    <t>2025-08-19</t>
  </si>
  <si>
    <t>978.814.5554</t>
  </si>
  <si>
    <t>HANNAH.JONES@GMAIL.COM</t>
  </si>
  <si>
    <t>316-554-2890</t>
  </si>
  <si>
    <t>rObert.BUsh@ouTLook.COm</t>
  </si>
  <si>
    <t>779.706.5868</t>
  </si>
  <si>
    <t>Nancy.Perez@gmail.com</t>
  </si>
  <si>
    <t>2026-03-05</t>
  </si>
  <si>
    <t>5736366337</t>
  </si>
  <si>
    <t>Jane.Glover@gmail.com</t>
  </si>
  <si>
    <t>2026-02-21</t>
  </si>
  <si>
    <t>Bob.Richardson@gmail.com</t>
  </si>
  <si>
    <t>(270) 873-3489</t>
  </si>
  <si>
    <t>tom.ng@aol.com</t>
  </si>
  <si>
    <t>9025523691</t>
  </si>
  <si>
    <t>2025-03-10</t>
  </si>
  <si>
    <t>2025-04-04</t>
  </si>
  <si>
    <t>(543) 559-5813</t>
  </si>
  <si>
    <t>EVA.CHANG@GMAIL.COM</t>
  </si>
  <si>
    <t>2025-11-26</t>
  </si>
  <si>
    <t>990-920-5238</t>
  </si>
  <si>
    <t>Bob_.Jiang@gmail.com</t>
  </si>
  <si>
    <t>(299) 386-8807</t>
  </si>
  <si>
    <t>xavier.doe@hotmail.com</t>
  </si>
  <si>
    <t>2026-02-25</t>
  </si>
  <si>
    <t>836-223-7552</t>
  </si>
  <si>
    <t>Daniel.Wales@outlook.com</t>
  </si>
  <si>
    <t>(330) 805-5292</t>
  </si>
  <si>
    <t>Grace.Ferguson@outlook.com</t>
  </si>
  <si>
    <t>3056487435</t>
  </si>
  <si>
    <t>Miles.wIlLiaMs@gMaiL.CoM</t>
  </si>
  <si>
    <t>(293) 312-3081</t>
  </si>
  <si>
    <t>Christopher.Cooper@aol.com</t>
  </si>
  <si>
    <t>DAVID/.WU@OUTLOOK.COM</t>
  </si>
  <si>
    <t>(321) 835-2367</t>
  </si>
  <si>
    <t>THOMAS.JOHNSON@HOTMAIL.COM</t>
  </si>
  <si>
    <t>2025-09-04</t>
  </si>
  <si>
    <t>2025-09-24</t>
  </si>
  <si>
    <t>462-906-2635</t>
  </si>
  <si>
    <t>Frank.Smith@hotmail.com</t>
  </si>
  <si>
    <t>739.803.9531</t>
  </si>
  <si>
    <t>ian.RicHArDSon@gmAIL.Com</t>
  </si>
  <si>
    <t>2025-09-29</t>
  </si>
  <si>
    <t>6145823913</t>
  </si>
  <si>
    <t>charlIe.LIANG@OUtlook.CoM</t>
  </si>
  <si>
    <t>726-889-2979</t>
  </si>
  <si>
    <t>keith.brown@gmail.com</t>
  </si>
  <si>
    <t>2026-03-10</t>
  </si>
  <si>
    <t>9823706986</t>
  </si>
  <si>
    <t>frank.chan@outlook.com</t>
  </si>
  <si>
    <t>2026-04-15</t>
  </si>
  <si>
    <t>olvIA.CHEN@GmAiL.coM</t>
  </si>
  <si>
    <t>787-717-6491</t>
  </si>
  <si>
    <t>bob.davis@hotmail.com</t>
  </si>
  <si>
    <t>864-842-6020</t>
  </si>
  <si>
    <t>eva.rodriguez@aol.com</t>
  </si>
  <si>
    <t>276-989-7297</t>
  </si>
  <si>
    <t>jasmine.chan@yahoo.com</t>
  </si>
  <si>
    <t>2025-10-15</t>
  </si>
  <si>
    <t>2025-11-07</t>
  </si>
  <si>
    <t>812-502-2220</t>
  </si>
  <si>
    <t>SALLY.WHITE@AOL.COM</t>
  </si>
  <si>
    <t>2025-07-03</t>
  </si>
  <si>
    <t>(629) 858-7697</t>
  </si>
  <si>
    <t>alice.doe@hotmail.com</t>
  </si>
  <si>
    <t>5117795848</t>
  </si>
  <si>
    <t>alice.kim@outlook.com</t>
  </si>
  <si>
    <t>2025-03-03</t>
  </si>
  <si>
    <t>6366875950</t>
  </si>
  <si>
    <t>david.davidson@gmail.com</t>
  </si>
  <si>
    <t>2026-02-12</t>
  </si>
  <si>
    <t>290.403.6838</t>
  </si>
  <si>
    <t>771.245.9208</t>
  </si>
  <si>
    <t>joshua.brown@gmail.com</t>
  </si>
  <si>
    <t>2026-01-25</t>
  </si>
  <si>
    <t>(903) 681-3696</t>
  </si>
  <si>
    <t>ALICE.daVIs@hOtmail.CoM</t>
  </si>
  <si>
    <t>902-258-7964</t>
  </si>
  <si>
    <t>PAULINE.RODRIGUEZ@YAHOO.COM</t>
  </si>
  <si>
    <t>471.584.3761</t>
  </si>
  <si>
    <t>Michelle.Garcia@yahoo.com</t>
  </si>
  <si>
    <t>329.747.5892</t>
  </si>
  <si>
    <t>jane.smith@outlook.com</t>
  </si>
  <si>
    <t>2025-09-10</t>
  </si>
  <si>
    <t>(910) 721-8075</t>
  </si>
  <si>
    <t>craig.baker@gmail.com</t>
  </si>
  <si>
    <t>2025-04-10</t>
  </si>
  <si>
    <t>754-569-9695</t>
  </si>
  <si>
    <t>frank.rodriguez@aol.com</t>
  </si>
  <si>
    <t>(540) 703-3103</t>
  </si>
  <si>
    <t>JASMine.WhiTE@yAhOO.COm</t>
  </si>
  <si>
    <t>AlIcE.sHaRp@aOl.Com</t>
  </si>
  <si>
    <t>4846055126</t>
  </si>
  <si>
    <t>hANNah.RoDrIGuEZ@aoL.COM</t>
  </si>
  <si>
    <t>2025-12-02</t>
  </si>
  <si>
    <t>2603229262</t>
  </si>
  <si>
    <t>timothy.doe@yahoo.com</t>
  </si>
  <si>
    <t>799-326-9741</t>
  </si>
  <si>
    <t>Alice.Young@outlook.com</t>
  </si>
  <si>
    <t>2025-10-03</t>
  </si>
  <si>
    <t>2025-10-16</t>
  </si>
  <si>
    <t>(756) 833-4969</t>
  </si>
  <si>
    <t>ava.brown@aol.com</t>
  </si>
  <si>
    <t>2026-04-12</t>
  </si>
  <si>
    <t>493-531-8398</t>
  </si>
  <si>
    <t>jaCk.marTinez@aoL.COm</t>
  </si>
  <si>
    <t>443-655-1598</t>
  </si>
  <si>
    <t>eva.jackson@hotmail.com</t>
  </si>
  <si>
    <t>2025-03-25</t>
  </si>
  <si>
    <t>2025-04-11</t>
  </si>
  <si>
    <t>(534) 546-7547</t>
  </si>
  <si>
    <t>frank.doe@aol.com</t>
  </si>
  <si>
    <t>828-268-3320</t>
  </si>
  <si>
    <t>TIMOTHY.FERGUSON@AOL.COM</t>
  </si>
  <si>
    <t>2025-08-05</t>
  </si>
  <si>
    <t>8004518624</t>
  </si>
  <si>
    <t>betty.glover@gmail.com</t>
  </si>
  <si>
    <t>2025-07-01</t>
  </si>
  <si>
    <t>368-921-8596</t>
  </si>
  <si>
    <t>joHn.lIttLe@gMAIl.coM</t>
  </si>
  <si>
    <t>2025-12-23</t>
  </si>
  <si>
    <t>8875847110</t>
  </si>
  <si>
    <t>daniella.miller@outlook.com</t>
  </si>
  <si>
    <t>863.739.9269</t>
  </si>
  <si>
    <t>Daniel.Chen@aol.com</t>
  </si>
  <si>
    <t>250-431-1278</t>
  </si>
  <si>
    <t>Robert.White@aol.com</t>
  </si>
  <si>
    <t>(412) 348-1299</t>
  </si>
  <si>
    <t>Tom.Wales@gmail.com</t>
  </si>
  <si>
    <t>(871) 433-4806</t>
  </si>
  <si>
    <t>TINA.JOHNSON@OUTLOOK.COM</t>
  </si>
  <si>
    <t>2025-03-20</t>
  </si>
  <si>
    <t>7189524804</t>
  </si>
  <si>
    <t>bob.baker@outlook.com</t>
  </si>
  <si>
    <t>(313) 206-4837</t>
  </si>
  <si>
    <t>john.doe@gmail.com</t>
  </si>
  <si>
    <t>2025-09-05</t>
  </si>
  <si>
    <t>2025-09-06</t>
  </si>
  <si>
    <t>8385994847</t>
  </si>
  <si>
    <t>Alice.White@gmail.com</t>
  </si>
  <si>
    <t>(499) 501-1356</t>
  </si>
  <si>
    <t>Eva.Lopez@yahoo.com</t>
  </si>
  <si>
    <t>GRAce.Lim@AOl.cOM</t>
  </si>
  <si>
    <t>2025-12-08</t>
  </si>
  <si>
    <t>(318) 634-8289</t>
  </si>
  <si>
    <t>OLIVIA.LEE@OUTLOOK.COM</t>
  </si>
  <si>
    <t>2025-06-27</t>
  </si>
  <si>
    <t>6452958579</t>
  </si>
  <si>
    <t>Alice.Cooper@aol.com</t>
  </si>
  <si>
    <t>2025-07-06</t>
  </si>
  <si>
    <t>506-792-5984</t>
  </si>
  <si>
    <t>charles.wales@aol.com</t>
  </si>
  <si>
    <t>760-963-1017</t>
  </si>
  <si>
    <t>FionA.LiaNG@gmaiL.coM</t>
  </si>
  <si>
    <t>2025-10-20</t>
  </si>
  <si>
    <t>2025-11-15</t>
  </si>
  <si>
    <t>686-740-2774</t>
  </si>
  <si>
    <t>david.jones@gmail.com</t>
  </si>
  <si>
    <t>2026-05-01</t>
  </si>
  <si>
    <t>8152224391</t>
  </si>
  <si>
    <t>David.Doe@outlook.com</t>
  </si>
  <si>
    <t>968-692-3642</t>
  </si>
  <si>
    <t>evan.liang@aol.com</t>
  </si>
  <si>
    <t>694-679-6349</t>
  </si>
  <si>
    <t>Grace.Cooper@outlook.com</t>
  </si>
  <si>
    <t>2026-07-17</t>
  </si>
  <si>
    <t>(621) 887-1966</t>
  </si>
  <si>
    <t>ROBeRT.mArTINez@HOtmaIl.Com</t>
  </si>
  <si>
    <t>2026-08-05</t>
  </si>
  <si>
    <t>949.333.7180</t>
  </si>
  <si>
    <t>hannAH.jIAnG@GMAiL.coM</t>
  </si>
  <si>
    <t>(346) 295-1285</t>
  </si>
  <si>
    <t>Grace.Rodriguez@gmail.com</t>
  </si>
  <si>
    <t>2025-06-07</t>
  </si>
  <si>
    <t>(647) 326-7822</t>
  </si>
  <si>
    <t>Thomas.Volkov@outlook.com</t>
  </si>
  <si>
    <t>7377947965</t>
  </si>
  <si>
    <t>Eva.Davidson@gmail.com</t>
  </si>
  <si>
    <t>565-627-2562</t>
  </si>
  <si>
    <t>DAVID.LIM@GMAIL.COM</t>
  </si>
  <si>
    <t>3569743211</t>
  </si>
  <si>
    <t>8688507284</t>
  </si>
  <si>
    <t>Robert.Cooper@gmail.com</t>
  </si>
  <si>
    <t>727-310-6616</t>
  </si>
  <si>
    <t>THOMAS.WHITE@OUTLOOK.COM</t>
  </si>
  <si>
    <t>842-374-4380</t>
  </si>
  <si>
    <t>craig.jackson@aol.com</t>
  </si>
  <si>
    <t>2026-06-19</t>
  </si>
  <si>
    <t>844-508-8726</t>
  </si>
  <si>
    <t>grEg.KIm@HOTmail.coM</t>
  </si>
  <si>
    <t>(928) 767-9223</t>
  </si>
  <si>
    <t>FRANK.RICHARDSON@OUTLOOK.COM</t>
  </si>
  <si>
    <t>815-716-5819</t>
  </si>
  <si>
    <t>olivia.smith@yahoo.com</t>
  </si>
  <si>
    <t>726-780-2356</t>
  </si>
  <si>
    <t>VanesSa.vOlkOv@OutLOok.Com</t>
  </si>
  <si>
    <t>903.879.7523</t>
  </si>
  <si>
    <t>ROB.RODRIGUEZ@OUTLOOK.COM</t>
  </si>
  <si>
    <t>897-241-5727</t>
  </si>
  <si>
    <t>HARRY.GARCIA@OUTLOOK.COM</t>
  </si>
  <si>
    <t>503.805.7291</t>
  </si>
  <si>
    <t>FRANK.MILLER@YAHOO.COM</t>
  </si>
  <si>
    <t>2026-01-23</t>
  </si>
  <si>
    <t>420.354.6991</t>
  </si>
  <si>
    <t>tina.rodriguez@yahoo.com</t>
  </si>
  <si>
    <t>(623) 576-3840</t>
  </si>
  <si>
    <t>Eva.Brown@outlook.com</t>
  </si>
  <si>
    <t>338.257.2820</t>
  </si>
  <si>
    <t>Grace.Jiang@hotmail.com</t>
  </si>
  <si>
    <t>425-308-3384</t>
  </si>
  <si>
    <t>Kevin.Cooper@gmail.com</t>
  </si>
  <si>
    <t>762.313.5831</t>
  </si>
  <si>
    <t>timothy.garcia@outlook.com</t>
  </si>
  <si>
    <t>2025-09-21</t>
  </si>
  <si>
    <t>john.glover@yahoo.com</t>
  </si>
  <si>
    <t>4998409636</t>
  </si>
  <si>
    <t>NANCy.sMITH@yaHoO.cOM</t>
  </si>
  <si>
    <t>2669015890</t>
  </si>
  <si>
    <t>941-232-3723</t>
  </si>
  <si>
    <t>sally.young@yahoo.com</t>
  </si>
  <si>
    <t>(597) 593-4153</t>
  </si>
  <si>
    <t>kevin.chan@hotmail.com</t>
  </si>
  <si>
    <t>2025-09-14</t>
  </si>
  <si>
    <t>2797907766</t>
  </si>
  <si>
    <t>Olvia.Rodriguez@gmail.com</t>
  </si>
  <si>
    <t>daniella.lopez@aol.com</t>
  </si>
  <si>
    <t>john.jackson@yahoo.com</t>
  </si>
  <si>
    <t>241-701-4184</t>
  </si>
  <si>
    <t>Hannah.Sharp@yahoo.com</t>
  </si>
  <si>
    <t>544.428.1233</t>
  </si>
  <si>
    <t>ALIce.LEe@GmAiL.cOm</t>
  </si>
  <si>
    <t>865-790-2674</t>
  </si>
  <si>
    <t>Jasmine.Rodriguez@aol.com</t>
  </si>
  <si>
    <t>2025-12-09</t>
  </si>
  <si>
    <t>2025-12-14</t>
  </si>
  <si>
    <t>759.267.3472</t>
  </si>
  <si>
    <t>michelle.richardson@aol.com</t>
  </si>
  <si>
    <t>2025-05-12</t>
  </si>
  <si>
    <t>9049632379</t>
  </si>
  <si>
    <t>Hannah.Davis@outlook.com</t>
  </si>
  <si>
    <t>(786) 817-9103</t>
  </si>
  <si>
    <t>Charlie.Rodriguez@aol.com</t>
  </si>
  <si>
    <t>851-622-7353</t>
  </si>
  <si>
    <t>JosePhIne.jOHnSon@oUtLoOk.COM</t>
  </si>
  <si>
    <t>2026-07-05</t>
  </si>
  <si>
    <t>9673861243</t>
  </si>
  <si>
    <t>Bob.Smith@aol.com</t>
  </si>
  <si>
    <t>354.325.6010</t>
  </si>
  <si>
    <t>Louis.Bush@outlook.com</t>
  </si>
  <si>
    <t>2025-09-01</t>
  </si>
  <si>
    <t>836-247-2030</t>
  </si>
  <si>
    <t>Frank.Cooper@hotmail.com</t>
  </si>
  <si>
    <t>2025-04-03</t>
  </si>
  <si>
    <t>250-684-7255</t>
  </si>
  <si>
    <t>DAVID.DAVIDSON@AOL.COM</t>
  </si>
  <si>
    <t>249.519.1520</t>
  </si>
  <si>
    <t>ava.williams@gmail.com</t>
  </si>
  <si>
    <t>499.591.2735</t>
  </si>
  <si>
    <t>Ian.YOung@YAHOo.cOM</t>
  </si>
  <si>
    <t>2025-10-29</t>
  </si>
  <si>
    <t>(506) 632-8912</t>
  </si>
  <si>
    <t>AIDAN.RODRIGUEZ@YAHOO.COM</t>
  </si>
  <si>
    <t>2025-12-07</t>
  </si>
  <si>
    <t>2025-12-27</t>
  </si>
  <si>
    <t>897-743-2212</t>
  </si>
  <si>
    <t>tom.ng@yahoo.com</t>
  </si>
  <si>
    <t>(988) 879-5416</t>
  </si>
  <si>
    <t>pauline.white@outlook.com</t>
  </si>
  <si>
    <t>518-992-1025</t>
  </si>
  <si>
    <t>charlie.young@hotmail.com</t>
  </si>
  <si>
    <t>548-728-9481</t>
  </si>
  <si>
    <t>John.Martinez@hotmail.com</t>
  </si>
  <si>
    <t>(558) 506-9390</t>
  </si>
  <si>
    <t>hannah.miller@outlook.com</t>
  </si>
  <si>
    <t>751.416.8496</t>
  </si>
  <si>
    <t>CHARLIE.LITTLE@OUTLOOK.COM</t>
  </si>
  <si>
    <t>(252) 515-1755</t>
  </si>
  <si>
    <t>ALICE.PEREZ@GMAIL.COM</t>
  </si>
  <si>
    <t>797-916-3505</t>
  </si>
  <si>
    <t>Ryan.Jackson@gmail.com</t>
  </si>
  <si>
    <t>2025-10-02</t>
  </si>
  <si>
    <t>8089443597</t>
  </si>
  <si>
    <t>nICholAS.Doe@GmAIL.cOM</t>
  </si>
  <si>
    <t>649-998-8901</t>
  </si>
  <si>
    <t>THERESA.JACKSON@GMAIL.COM</t>
  </si>
  <si>
    <t>214-752-6798</t>
  </si>
  <si>
    <t>frAnK.JOhNsoN@yaHoO.com</t>
  </si>
  <si>
    <t>455-923-6482</t>
  </si>
  <si>
    <t>Harry.Smith@gmail.com</t>
  </si>
  <si>
    <t>2026-08-01</t>
  </si>
  <si>
    <t>(239) 938-5922</t>
  </si>
  <si>
    <t>Eva.Lopez@aol.com</t>
  </si>
  <si>
    <t>2767665386</t>
  </si>
  <si>
    <t>Olivia.Glover@gmail.com</t>
  </si>
  <si>
    <t>2026-05-07</t>
  </si>
  <si>
    <t>(284) 696-1880</t>
  </si>
  <si>
    <t>gRacE.dOE@Gmail.coM</t>
  </si>
  <si>
    <t>2025-05-22</t>
  </si>
  <si>
    <t>Timothy.Lee@outlook.com</t>
  </si>
  <si>
    <t>2026-06-08</t>
  </si>
  <si>
    <t>bob.white@yahoo.com</t>
  </si>
  <si>
    <t>4035963375</t>
  </si>
  <si>
    <t>michelle.johnson@hotmail.com</t>
  </si>
  <si>
    <t>2026-03-15</t>
  </si>
  <si>
    <t>3936049628</t>
  </si>
  <si>
    <t>Greg.Lee@aol.com</t>
  </si>
  <si>
    <t>2026-02-10</t>
  </si>
  <si>
    <t>JOhn.bAKEr@YaHOO.cOm</t>
  </si>
  <si>
    <t>992.852.1347</t>
  </si>
  <si>
    <t>dale.jiang@hotmail.com</t>
  </si>
  <si>
    <t>2025-09-19</t>
  </si>
  <si>
    <t>(985) 206-9307</t>
  </si>
  <si>
    <t>7322207356</t>
  </si>
  <si>
    <t>GRACE.LEE@GMAIL.COM</t>
  </si>
  <si>
    <t>2026-03-13</t>
  </si>
  <si>
    <t>(607) 737-9799</t>
  </si>
  <si>
    <t>DAVID.SMIRNOV@YAHOO.COM</t>
  </si>
  <si>
    <t>2025-10-07</t>
  </si>
  <si>
    <t>486.319.8157</t>
  </si>
  <si>
    <t>evA.jaCKSon@Gmail.coM</t>
  </si>
  <si>
    <t>561-386-7645</t>
  </si>
  <si>
    <t>theresa.sharp@aol.com</t>
  </si>
  <si>
    <t>2997503946</t>
  </si>
  <si>
    <t>alICE.jonES@OUtloOk.CoM</t>
  </si>
  <si>
    <t>(725) 336-3643</t>
  </si>
  <si>
    <t>971-357-6910</t>
  </si>
  <si>
    <t>NANCY.DOE@YAHOO.COM</t>
  </si>
  <si>
    <t>730-268-7703</t>
  </si>
  <si>
    <t>Eva.Davis@hotmail.com</t>
  </si>
  <si>
    <t>243.922.7127</t>
  </si>
  <si>
    <t>Charlie.Bush@yahoo.com</t>
  </si>
  <si>
    <t>2025-10-09</t>
  </si>
  <si>
    <t>6049031955</t>
  </si>
  <si>
    <t>David.Sun@gmail.com</t>
  </si>
  <si>
    <t>433-893-7059</t>
  </si>
  <si>
    <t>Hannah.Wu@aol.com</t>
  </si>
  <si>
    <t>2025-03-08</t>
  </si>
  <si>
    <t>2247626717</t>
  </si>
  <si>
    <t>john.sharp@gmail.com</t>
  </si>
  <si>
    <t>2026-06-04</t>
  </si>
  <si>
    <t>457-424-5454</t>
  </si>
  <si>
    <t>Felix.Martinez@aol.com</t>
  </si>
  <si>
    <t>2026-03-30</t>
  </si>
  <si>
    <t>230.592.1772</t>
  </si>
  <si>
    <t>theresa.jiang@aol.com</t>
  </si>
  <si>
    <t>5698899224</t>
  </si>
  <si>
    <t>Eva.Rodriguez@yahoo.com</t>
  </si>
  <si>
    <t>529-533-2851</t>
  </si>
  <si>
    <t>grace.glover@aol.com</t>
  </si>
  <si>
    <t>2025-03-29</t>
  </si>
  <si>
    <t>212.371.2893</t>
  </si>
  <si>
    <t>michelle.davidson@hotmail.com</t>
  </si>
  <si>
    <t>375-205-6493</t>
  </si>
  <si>
    <t>grace.sharp@outlook.com</t>
  </si>
  <si>
    <t>2025-10-27</t>
  </si>
  <si>
    <t>2025-11-02</t>
  </si>
  <si>
    <t>(766) 706-6052</t>
  </si>
  <si>
    <t>olivia.jones@gmail.com</t>
  </si>
  <si>
    <t>8553579217</t>
  </si>
  <si>
    <t>Wendy.Liang@outlook.com</t>
  </si>
  <si>
    <t>(611) 658-9936</t>
  </si>
  <si>
    <t>harry.young@gmail.com</t>
  </si>
  <si>
    <t>3755772621</t>
  </si>
  <si>
    <t>Rob.Ferguson@gmail.com</t>
  </si>
  <si>
    <t>484.666.8965</t>
  </si>
  <si>
    <t>fiona.lopez@hotmail.com</t>
  </si>
  <si>
    <t>2025-07-30</t>
  </si>
  <si>
    <t>908-594-7126</t>
  </si>
  <si>
    <t>Keith.Richardson@hotmail.com</t>
  </si>
  <si>
    <t>2587628758</t>
  </si>
  <si>
    <t>ryan.sun@gmail.com</t>
  </si>
  <si>
    <t>2026-04-04</t>
  </si>
  <si>
    <t>6416277057</t>
  </si>
  <si>
    <t>Felix.JoHNson@OutLooK.coM</t>
  </si>
  <si>
    <t>9974323355</t>
  </si>
  <si>
    <t>greg.chan@gmail.com</t>
  </si>
  <si>
    <t>399.649.8964</t>
  </si>
  <si>
    <t>Michelle.Ferguson@yahoo.com</t>
  </si>
  <si>
    <t>5894032230</t>
  </si>
  <si>
    <t>grace.lopez@outlook.com</t>
  </si>
  <si>
    <t>(274) 664-6037</t>
  </si>
  <si>
    <t>OlIVIA.coOPeR@yaHoO.cOm</t>
  </si>
  <si>
    <t>272.635.7993</t>
  </si>
  <si>
    <t>tom.lopez@outlook.com</t>
  </si>
  <si>
    <t>2025-08-22</t>
  </si>
  <si>
    <t>2025-08-23</t>
  </si>
  <si>
    <t>(391) 329-9932</t>
  </si>
  <si>
    <t>jane.lee@gmail.com</t>
  </si>
  <si>
    <t>David.Chang@outlook.com</t>
  </si>
  <si>
    <t>2026-02-06</t>
  </si>
  <si>
    <t>486-596-7908</t>
  </si>
  <si>
    <t>bob.wu@outlook.com</t>
  </si>
  <si>
    <t>2025-02-22</t>
  </si>
  <si>
    <t>2484413607</t>
  </si>
  <si>
    <t>frank.perez@yahoo.com</t>
  </si>
  <si>
    <t>944-820-3303</t>
  </si>
  <si>
    <t>Jane.Smirnov@outlook.com</t>
  </si>
  <si>
    <t>483.788.7296</t>
  </si>
  <si>
    <t>jane.perez@hotmail.com</t>
  </si>
  <si>
    <t>397-288-6558</t>
  </si>
  <si>
    <t>grace.brown@hotmail.com</t>
  </si>
  <si>
    <t>2025-11-29</t>
  </si>
  <si>
    <t>837-223-1769</t>
  </si>
  <si>
    <t>eva.sun@hotmail.com</t>
  </si>
  <si>
    <t>2026-03-09</t>
  </si>
  <si>
    <t>882.227.7461</t>
  </si>
  <si>
    <t>Bob.Jiang@outlook.com</t>
  </si>
  <si>
    <t>(584) 840-4766</t>
  </si>
  <si>
    <t>david.miller@gmail.com</t>
  </si>
  <si>
    <t>565-976-9610</t>
  </si>
  <si>
    <t>hannah.bAKER@oUtLook.COm</t>
  </si>
  <si>
    <t>282-695-9545</t>
  </si>
  <si>
    <t>JoHn.JiaNG@YAHOo.com</t>
  </si>
  <si>
    <t>2026-04-26</t>
  </si>
  <si>
    <t>372.884.8572</t>
  </si>
  <si>
    <t>Michelle.Smirnov@aol.com</t>
  </si>
  <si>
    <t>2025-11-23</t>
  </si>
  <si>
    <t>9359224273</t>
  </si>
  <si>
    <t>bob.chen@gmail.com</t>
  </si>
  <si>
    <t>2026-05-21</t>
  </si>
  <si>
    <t>(740) 319-4850</t>
  </si>
  <si>
    <t>fiona.jackson@yahoo.com</t>
  </si>
  <si>
    <t>(464) 545-4890</t>
  </si>
  <si>
    <t>Bob.Ng@aol.com</t>
  </si>
  <si>
    <t>2025-03-06</t>
  </si>
  <si>
    <t>2025-03-21</t>
  </si>
  <si>
    <t>759-956-1502</t>
  </si>
  <si>
    <t>6284473469</t>
  </si>
  <si>
    <t>ava.miller@outlook.com</t>
  </si>
  <si>
    <t>5555707053</t>
  </si>
  <si>
    <t>frANK.vOlKOV@AOl.cOM</t>
  </si>
  <si>
    <t>228-812-8757</t>
  </si>
  <si>
    <t>ryan.jones@outlook.com</t>
  </si>
  <si>
    <t>696-706-8585</t>
  </si>
  <si>
    <t>felix.little@hotmail.com</t>
  </si>
  <si>
    <t>8415658244</t>
  </si>
  <si>
    <t>gRace.lIaNg@Hotmail.CoM</t>
  </si>
  <si>
    <t>4503439976</t>
  </si>
  <si>
    <t>THOMAS.RODRIGUEZ@YAHOO.COM</t>
  </si>
  <si>
    <t>2026-03-19</t>
  </si>
  <si>
    <t>8883223042</t>
  </si>
  <si>
    <t>Jane.Lee@hotmail.com</t>
  </si>
  <si>
    <t>2026-04-10</t>
  </si>
  <si>
    <t>2026-05-04</t>
  </si>
  <si>
    <t>7946302106</t>
  </si>
  <si>
    <t>tom.doe@gmail.com</t>
  </si>
  <si>
    <t>3943712403</t>
  </si>
  <si>
    <t>DaVid.JohNsoN@outLooK.com</t>
  </si>
  <si>
    <t>466-878-3212</t>
  </si>
  <si>
    <t>hannah.jiang@gmail.com</t>
  </si>
  <si>
    <t>604-200-3305</t>
  </si>
  <si>
    <t>tIMOTHY.DaVIS@gMAil.cOm</t>
  </si>
  <si>
    <t>2025-06-13</t>
  </si>
  <si>
    <t>656.550.2736</t>
  </si>
  <si>
    <t>EVA.RODRIGUEZ@HOTMAIL.COM</t>
  </si>
  <si>
    <t>2026-06-22</t>
  </si>
  <si>
    <t>9193115738</t>
  </si>
  <si>
    <t>FRANK.DAVIDSON@GMAIL.COM</t>
  </si>
  <si>
    <t>2026-04-08</t>
  </si>
  <si>
    <t>426-963-8660</t>
  </si>
  <si>
    <t>Ryan.Doe@hotmail.com</t>
  </si>
  <si>
    <t>481-490-9789</t>
  </si>
  <si>
    <t>eva.jackson@aol.com</t>
  </si>
  <si>
    <t>789.458.2688</t>
  </si>
  <si>
    <t>alice.doe@gmail.com</t>
  </si>
  <si>
    <t>327-711-6602</t>
  </si>
  <si>
    <t>IAN.GARCIA@GMAIL.COM</t>
  </si>
  <si>
    <t>(727) 228-5740</t>
  </si>
  <si>
    <t>Eva.Brown@gmail.com</t>
  </si>
  <si>
    <t>Jane.Doe@aol.com</t>
  </si>
  <si>
    <t>2026-01-22</t>
  </si>
  <si>
    <t>(699) 790-1429</t>
  </si>
  <si>
    <t>Sally.Davis@hotmail.com</t>
  </si>
  <si>
    <t>666-880-4851</t>
  </si>
  <si>
    <t>David.Chen@gmail.com</t>
  </si>
  <si>
    <t>7566901138</t>
  </si>
  <si>
    <t>louis.cooper@aol.com</t>
  </si>
  <si>
    <t>2586465088</t>
  </si>
  <si>
    <t>Olivia.Baker@yahoo.com</t>
  </si>
  <si>
    <t>2025-09-13</t>
  </si>
  <si>
    <t>832.691.5363</t>
  </si>
  <si>
    <t>daVid.jOnES@HOTMail.com</t>
  </si>
  <si>
    <t>2025-06-01</t>
  </si>
  <si>
    <t>(400) 652-4066</t>
  </si>
  <si>
    <t>Daniel.Wu@outlook.com</t>
  </si>
  <si>
    <t>(233) 710-5059</t>
  </si>
  <si>
    <t>FRANK.JACKSON@OUTLOOK.COM</t>
  </si>
  <si>
    <t>(270) 508-7654</t>
  </si>
  <si>
    <t>kylie.richardson@yahoo.com</t>
  </si>
  <si>
    <t>4572814968</t>
  </si>
  <si>
    <t>HANNAH.JONES@OUTLOOK.COM</t>
  </si>
  <si>
    <t>wendy.lopez@gmail.com</t>
  </si>
  <si>
    <t>834-350-7706</t>
  </si>
  <si>
    <t>DavId.roDrIGUEZ@yAhoO.Com</t>
  </si>
  <si>
    <t>224.760.6737</t>
  </si>
  <si>
    <t>alice.cooper@gmail.com</t>
  </si>
  <si>
    <t>(296) 339-8808</t>
  </si>
  <si>
    <t>JaNe.sMIth@gmAil.coM</t>
  </si>
  <si>
    <t>835.697.9900</t>
  </si>
  <si>
    <t>AVA.GARCIA@GMAIL.COM</t>
  </si>
  <si>
    <t>722-360-5230</t>
  </si>
  <si>
    <t>betty.miller@yahoo.com</t>
  </si>
  <si>
    <t>2025-06-10</t>
  </si>
  <si>
    <t>485.468.3000</t>
  </si>
  <si>
    <t>Jane.Sun@outlook.com</t>
  </si>
  <si>
    <t>2025-05-20</t>
  </si>
  <si>
    <t>790-212-8732</t>
  </si>
  <si>
    <t>David.Cooper@hotmail.com</t>
  </si>
  <si>
    <t>(738) 265-9278</t>
  </si>
  <si>
    <t>(242) 694-1193</t>
  </si>
  <si>
    <t>jane.rodriguez@hotmail.com</t>
  </si>
  <si>
    <t>591-596-9935</t>
  </si>
  <si>
    <t>Nancy.Little@yahoo.com</t>
  </si>
  <si>
    <t>2025-10-25</t>
  </si>
  <si>
    <t>2987968843</t>
  </si>
  <si>
    <t>pauline.rodriguez@aol.com</t>
  </si>
  <si>
    <t>(868) 417-4258</t>
  </si>
  <si>
    <t>hannah.sharp@hotmail.com</t>
  </si>
  <si>
    <t>2026-02-26</t>
  </si>
  <si>
    <t>807-610-7553</t>
  </si>
  <si>
    <t>craig.jones@yahoo.com</t>
  </si>
  <si>
    <t>6945134661</t>
  </si>
  <si>
    <t>greg.jones@outlook.com</t>
  </si>
  <si>
    <t>2025-03-15</t>
  </si>
  <si>
    <t>(270) 982-2431</t>
  </si>
  <si>
    <t>BOB.WHITE@HOTMAIL.COM</t>
  </si>
  <si>
    <t>771.962.3154</t>
  </si>
  <si>
    <t>Keith.Doe@gmail.com</t>
  </si>
  <si>
    <t>490-565-8828</t>
  </si>
  <si>
    <t>Eva.Baker@aol.com</t>
  </si>
  <si>
    <t>761.832.8167</t>
  </si>
  <si>
    <t>fiona.chan@hotmail.com</t>
  </si>
  <si>
    <t>2025-07-11</t>
  </si>
  <si>
    <t>6173064713</t>
  </si>
  <si>
    <t>haNnAH.shArp@OutlOOK.Com</t>
  </si>
  <si>
    <t>6067323760</t>
  </si>
  <si>
    <t>JOSEphine.wilLiAMS@hOtmAIl.CoM</t>
  </si>
  <si>
    <t>2026-07-13</t>
  </si>
  <si>
    <t>6395268762</t>
  </si>
  <si>
    <t>Christine.Cooper@outlook.com</t>
  </si>
  <si>
    <t>2026-03-08</t>
  </si>
  <si>
    <t>2988099466</t>
  </si>
  <si>
    <t>felix.lopez@aol.com</t>
  </si>
  <si>
    <t>5592384406</t>
  </si>
  <si>
    <t>Ian.Brown@hotmail.com</t>
  </si>
  <si>
    <t>2025-10-11</t>
  </si>
  <si>
    <t>329-540-4390</t>
  </si>
  <si>
    <t>RYAN.LEE@OUTLOOK.COM</t>
  </si>
  <si>
    <t>5025872456</t>
  </si>
  <si>
    <t>Tina.Doe@aol.com</t>
  </si>
  <si>
    <t>2026-02-04</t>
  </si>
  <si>
    <t>3996044719</t>
  </si>
  <si>
    <t>harry.perez@outlook.com</t>
  </si>
  <si>
    <t>(633) 746-3918</t>
  </si>
  <si>
    <t>Hannah.Lim@gmail.com</t>
  </si>
  <si>
    <t>(282) 383-6614</t>
  </si>
  <si>
    <t>eva.davis@hotmail.com</t>
  </si>
  <si>
    <t>509.403.6848</t>
  </si>
  <si>
    <t>loUIs.fERgusOn@GmAIl.cOM</t>
  </si>
  <si>
    <t>2026-02-17</t>
  </si>
  <si>
    <t>2297691240</t>
  </si>
  <si>
    <t>TimOThy.Wu@GmAil.Com</t>
  </si>
  <si>
    <t>444-299-5003</t>
  </si>
  <si>
    <t>alice.cooper@yahoo.com</t>
  </si>
  <si>
    <t>6673468651</t>
  </si>
  <si>
    <t>jack.lopez@gmail.com</t>
  </si>
  <si>
    <t>(552) 303-2054</t>
  </si>
  <si>
    <t>JANe.GlovER@gmail.Com</t>
  </si>
  <si>
    <t>6084662658</t>
  </si>
  <si>
    <t>joshua.miller@outlook.com</t>
  </si>
  <si>
    <t>2729715597</t>
  </si>
  <si>
    <t>9379818095</t>
  </si>
  <si>
    <t>dale.glover@gmail.com</t>
  </si>
  <si>
    <t>2025-07-18</t>
  </si>
  <si>
    <t>395-644-3851</t>
  </si>
  <si>
    <t>hannah.bush@outlook.com</t>
  </si>
  <si>
    <t>Alice.Young@hotmail.com</t>
  </si>
  <si>
    <t>(495) 520-3274</t>
  </si>
  <si>
    <t>robert.jones@outlook.com</t>
  </si>
  <si>
    <t>2025-09-07</t>
  </si>
  <si>
    <t>ashley.young@yahoo.com</t>
  </si>
  <si>
    <t>403.947.9329</t>
  </si>
  <si>
    <t>fRank.BrOwn@oUtlOoK.coM</t>
  </si>
  <si>
    <t>9826128404</t>
  </si>
  <si>
    <t>John.Doe@yahoo.com</t>
  </si>
  <si>
    <t>2025-03-04</t>
  </si>
  <si>
    <t>4188456543</t>
  </si>
  <si>
    <t>wendy.kim@yahoo.com</t>
  </si>
  <si>
    <t>678-303-9712</t>
  </si>
  <si>
    <t>miles.lim@aol.com</t>
  </si>
  <si>
    <t>2025-11-10</t>
  </si>
  <si>
    <t>773-658-8901</t>
  </si>
  <si>
    <t>MARY.daVIs@gmAiL.Com</t>
  </si>
  <si>
    <t>(905) 943-7630</t>
  </si>
  <si>
    <t>David.Smith@yahoo.com</t>
  </si>
  <si>
    <t>6676695314</t>
  </si>
  <si>
    <t>AIdAn.wiLliAMS@aol.COM</t>
  </si>
  <si>
    <t>jack.brown@aol.com</t>
  </si>
  <si>
    <t>(445) 821-6165</t>
  </si>
  <si>
    <t>Jane.Ng@outlook.com</t>
  </si>
  <si>
    <t>243.896.2736</t>
  </si>
  <si>
    <t>Frank.Wu@outlook.com</t>
  </si>
  <si>
    <t>(878) 965-1702</t>
  </si>
  <si>
    <t>victor.miller@hotmail.com</t>
  </si>
  <si>
    <t>(672) 969-9579</t>
  </si>
  <si>
    <t>charlotte.jones@outlook.com</t>
  </si>
  <si>
    <t>2514362130</t>
  </si>
  <si>
    <t>olivia.chen@hotmail.com</t>
  </si>
  <si>
    <t>(302) 404-6612</t>
  </si>
  <si>
    <t>Gregory.Chang@yahoo.com</t>
  </si>
  <si>
    <t>2025-09-02</t>
  </si>
  <si>
    <t>lisa.liang@yahoo.com</t>
  </si>
  <si>
    <t>2026-04-17</t>
  </si>
  <si>
    <t>8792033354</t>
  </si>
  <si>
    <t>kylie.smith@gmail.com</t>
  </si>
  <si>
    <t>7533573361</t>
  </si>
  <si>
    <t>pauline.sharp@aol.com</t>
  </si>
  <si>
    <t>5446308099</t>
  </si>
  <si>
    <t>2025-12-28</t>
  </si>
  <si>
    <t>367.767.1876</t>
  </si>
  <si>
    <t>wendy.doe@hotmail.com</t>
  </si>
  <si>
    <t>(649) 523-8537</t>
  </si>
  <si>
    <t>joshua.jones@outlook.com</t>
  </si>
  <si>
    <t>2025-05-26</t>
  </si>
  <si>
    <t>FRANK.DAVIS@HOTMAIL.COM</t>
  </si>
  <si>
    <t>2025-10-13</t>
  </si>
  <si>
    <t>2025-10-30</t>
  </si>
  <si>
    <t>339-723-5906</t>
  </si>
  <si>
    <t>tina.richardson@outlook.com</t>
  </si>
  <si>
    <t>2025-08-11</t>
  </si>
  <si>
    <t>3187222505</t>
  </si>
  <si>
    <t>Grace.Johnson@hotmail.com</t>
  </si>
  <si>
    <t>503-730-2394</t>
  </si>
  <si>
    <t>HANnAH.roDrigUEz@yahoO.cOm</t>
  </si>
  <si>
    <t>2062854656</t>
  </si>
  <si>
    <t>betty.volkov@gmail.com</t>
  </si>
  <si>
    <t>578.274.3226</t>
  </si>
  <si>
    <t>John.Rodriguez@yahoo.com</t>
  </si>
  <si>
    <t>205-641-4523</t>
  </si>
  <si>
    <t>ashley.cooper@yahoo.com</t>
  </si>
  <si>
    <t>eva.garcia@aol.com</t>
  </si>
  <si>
    <t>2026-05-27</t>
  </si>
  <si>
    <t>6577635842</t>
  </si>
  <si>
    <t>hannah.miller@hotmail.com</t>
  </si>
  <si>
    <t>861.253.6390</t>
  </si>
  <si>
    <t>513-572-7358</t>
  </si>
  <si>
    <t>EVA.SMITH@YAHOO.COM</t>
  </si>
  <si>
    <t>8758296593</t>
  </si>
  <si>
    <t>dale.chang@yahoo.com</t>
  </si>
  <si>
    <t>8472498699</t>
  </si>
  <si>
    <t>jANE.RODrIGUeZ@gMaiL.coM</t>
  </si>
  <si>
    <t>2026-06-10</t>
  </si>
  <si>
    <t>404.982.2037</t>
  </si>
  <si>
    <t>FIONA.WILLIAMS@HOTMAIL.COM</t>
  </si>
  <si>
    <t>9182525320</t>
  </si>
  <si>
    <t>hannah.lee@outlook.com</t>
  </si>
  <si>
    <t>2025-11-20</t>
  </si>
  <si>
    <t>(316) 746-6086</t>
  </si>
  <si>
    <t>JOsepHiNE.dOE@HOTMaiL.COm</t>
  </si>
  <si>
    <t>701-261-7480</t>
  </si>
  <si>
    <t>Christine.Perez@outlook.com</t>
  </si>
  <si>
    <t>2026-04-16</t>
  </si>
  <si>
    <t>7657257784</t>
  </si>
  <si>
    <t>jane.johnson@hotmail.com</t>
  </si>
  <si>
    <t>2025-09-20</t>
  </si>
  <si>
    <t>731-526-2322</t>
  </si>
  <si>
    <t>ian.miller@aol.com</t>
  </si>
  <si>
    <t>9388619239</t>
  </si>
  <si>
    <t>MICHELLE.YOUNG@GMAIL.COM</t>
  </si>
  <si>
    <t>5804419155</t>
  </si>
  <si>
    <t>Aidan.rodRiGuEz@Yahoo.com</t>
  </si>
  <si>
    <t>2025-06-16</t>
  </si>
  <si>
    <t>(357) 590-4859</t>
  </si>
  <si>
    <t>BETTY.JACKSON@HOTMAIL.COM</t>
  </si>
  <si>
    <t>412.754.1582</t>
  </si>
  <si>
    <t>Hannah.Garcia@yahoo.com</t>
  </si>
  <si>
    <t>(366) 978-5505</t>
  </si>
  <si>
    <t>thOmAs.SmitH@Aol.COM</t>
  </si>
  <si>
    <t>John.Bush@gmail.com</t>
  </si>
  <si>
    <t>347-460-6563</t>
  </si>
  <si>
    <t>Timothy.Doe@yahoo.com</t>
  </si>
  <si>
    <t>6805628543</t>
  </si>
  <si>
    <t>OLIVIA.RODRIGUEZ@HOTMAIL.COM</t>
  </si>
  <si>
    <t>6154802761</t>
  </si>
  <si>
    <t>VANEssa.loPEz@YaHOo.cOM</t>
  </si>
  <si>
    <t>667-761-3029</t>
  </si>
  <si>
    <t>GRacE.glOvEr@OuTlOok.coM</t>
  </si>
  <si>
    <t>(744) 591-6626</t>
  </si>
  <si>
    <t>Frank.Little@outlook.com</t>
  </si>
  <si>
    <t>239-304-7736</t>
  </si>
  <si>
    <t>daniel.sharp@hotmail.com</t>
  </si>
  <si>
    <t>8347351169</t>
  </si>
  <si>
    <t>jaNe.rOdRiGueZ@OuTlOOk.cOM</t>
  </si>
  <si>
    <t>797-495-3063</t>
  </si>
  <si>
    <t>lISA.davIDSon@hOtMAIL.cOm</t>
  </si>
  <si>
    <t>829-729-2390</t>
  </si>
  <si>
    <t>haRry.SMIRNov@Outlook.COm</t>
  </si>
  <si>
    <t>717-232-9890</t>
  </si>
  <si>
    <t>FRANK.FERGUSON@AOL.COM</t>
  </si>
  <si>
    <t>2878053956</t>
  </si>
  <si>
    <t>491-255-3720</t>
  </si>
  <si>
    <t>Felix.Lee@hotmail.com</t>
  </si>
  <si>
    <t>907-865-1774</t>
  </si>
  <si>
    <t>josephine.jones@gmail.com</t>
  </si>
  <si>
    <t>517-813-6635</t>
  </si>
  <si>
    <t>Bob.sHArp@GMAil.CoM</t>
  </si>
  <si>
    <t>647-939-3053</t>
  </si>
  <si>
    <t>vanessa.johnson@yahoo.com</t>
  </si>
  <si>
    <t>2025-07-15</t>
  </si>
  <si>
    <t>2025-07-26</t>
  </si>
  <si>
    <t>601-644-1848</t>
  </si>
  <si>
    <t>hannah.doe@hotmail.com</t>
  </si>
  <si>
    <t>490-449-2797</t>
  </si>
  <si>
    <t>ViCtOrIA.RIchArDSoN@outLoOK.Com</t>
  </si>
  <si>
    <t>(610) 476-6310</t>
  </si>
  <si>
    <t>hANNaH.gArciA@oUTLook.coM</t>
  </si>
  <si>
    <t>(747) 460-4232</t>
  </si>
  <si>
    <t>viCTORia.JIAnG@aol.cOM</t>
  </si>
  <si>
    <t>2026-04-07</t>
  </si>
  <si>
    <t>(987) 787-3781</t>
  </si>
  <si>
    <t>WEnDY.wiLLIAMs@GmAil.COM</t>
  </si>
  <si>
    <t>(247) 595-2221</t>
  </si>
  <si>
    <t>Mary.Garcia@gmail.com</t>
  </si>
  <si>
    <t>2025-07-05</t>
  </si>
  <si>
    <t>9525585202</t>
  </si>
  <si>
    <t>376-293-7461</t>
  </si>
  <si>
    <t>bob.doe@yahoo.com</t>
  </si>
  <si>
    <t>5065469669</t>
  </si>
  <si>
    <t>893.599.8197</t>
  </si>
  <si>
    <t>michelle.brown@aol.com</t>
  </si>
  <si>
    <t>478-336-8225</t>
  </si>
  <si>
    <t>2025-05-05</t>
  </si>
  <si>
    <t>874-855-5394</t>
  </si>
  <si>
    <t>Victor.Rodriguez@hotmail.com</t>
  </si>
  <si>
    <t>636-952-2699</t>
  </si>
  <si>
    <t>JoHn.DaVIs@gmAIL.COM</t>
  </si>
  <si>
    <t>7157854700</t>
  </si>
  <si>
    <t>bob.davidson@gmail.com</t>
  </si>
  <si>
    <t>427.421.5201</t>
  </si>
  <si>
    <t>jane.lopez@aol.com</t>
  </si>
  <si>
    <t>586-652-9051</t>
  </si>
  <si>
    <t>626.439.7134</t>
  </si>
  <si>
    <t>jack.wu@gmail.com</t>
  </si>
  <si>
    <t>678-840-8335</t>
  </si>
  <si>
    <t>betty.bush@outlook.com</t>
  </si>
  <si>
    <t>3169945737</t>
  </si>
  <si>
    <t>bob.jones@outlook.com</t>
  </si>
  <si>
    <t>(432) 665-6518</t>
  </si>
  <si>
    <t>bob.davis@outlook.com</t>
  </si>
  <si>
    <t>3139463007</t>
  </si>
  <si>
    <t>ashley.williams@hotmail.com</t>
  </si>
  <si>
    <t>(494) 207-7585</t>
  </si>
  <si>
    <t>TiNA.pERez@AOl.COm</t>
  </si>
  <si>
    <t>650.765.4777</t>
  </si>
  <si>
    <t>615-848-4963</t>
  </si>
  <si>
    <t>Jasmine.Ferguson@aol.com</t>
  </si>
  <si>
    <t>2177451272</t>
  </si>
  <si>
    <t>victoria.smith@yahoo.com</t>
  </si>
  <si>
    <t>628-847-8474</t>
  </si>
  <si>
    <t>thomas.garcia@yahoo.com</t>
  </si>
  <si>
    <t>355.477.6214</t>
  </si>
  <si>
    <t>kylie.miller@aol.com</t>
  </si>
  <si>
    <t>329-417-5807</t>
  </si>
  <si>
    <t>ryan.perez@aol.com</t>
  </si>
  <si>
    <t>2025-09-27</t>
  </si>
  <si>
    <t>703-259-9674</t>
  </si>
  <si>
    <t>Olivia.Sharp@gmail.com</t>
  </si>
  <si>
    <t>2025-03-16</t>
  </si>
  <si>
    <t>650-699-4563</t>
  </si>
  <si>
    <t>Eva.SmIrNOV@YAhOO.com</t>
  </si>
  <si>
    <t>2026-05-09</t>
  </si>
  <si>
    <t>(965) 756-8795</t>
  </si>
  <si>
    <t>Jane.Liang@outlook.com</t>
  </si>
  <si>
    <t>(268) 751-4670</t>
  </si>
  <si>
    <t>Thomas.Glover@hotmail.com</t>
  </si>
  <si>
    <t>2156012268</t>
  </si>
  <si>
    <t>RYAN.BROWN@YAHOO.COM</t>
  </si>
  <si>
    <t>627.505.2490</t>
  </si>
  <si>
    <t>gRACe.wiLlIaMS@yAHOo.cOm</t>
  </si>
  <si>
    <t>400.232.7614</t>
  </si>
  <si>
    <t>ALICE.SMITH@AOL.COM</t>
  </si>
  <si>
    <t>2026-03-07</t>
  </si>
  <si>
    <t>(432) 668-9245</t>
  </si>
  <si>
    <t>LISA.DAVIDSON@GMAIL.COM</t>
  </si>
  <si>
    <t>(672) 445-6395</t>
  </si>
  <si>
    <t>John.Rodriguez@hotmail.com</t>
  </si>
  <si>
    <t>(968) 253-5562</t>
  </si>
  <si>
    <t>Jane.Chang@gmail.com</t>
  </si>
  <si>
    <t>815-861-4079</t>
  </si>
  <si>
    <t>DANIELLA.BUSH@AOL.COM</t>
  </si>
  <si>
    <t>(845) 529-9116</t>
  </si>
  <si>
    <t>Eva.Cooper@yahoo.com</t>
  </si>
  <si>
    <t>9027484666</t>
  </si>
  <si>
    <t>AVA.RODRIGUEZ@HOTMAIL.COM</t>
  </si>
  <si>
    <t>charlie.baker@gmail.com</t>
  </si>
  <si>
    <t>3237394879</t>
  </si>
  <si>
    <t>PauLInE.WU@aOl.com</t>
  </si>
  <si>
    <t>michelle.jones@gmail.com</t>
  </si>
  <si>
    <t>(299) 643-9052</t>
  </si>
  <si>
    <t>ALICE.MILLER@OUTLOOK.COM</t>
  </si>
  <si>
    <t>477-790-3526</t>
  </si>
  <si>
    <t>steven.campbell@yahoo.com</t>
  </si>
  <si>
    <t>7715073163</t>
  </si>
  <si>
    <t>deborah.morris@aol.com</t>
  </si>
  <si>
    <t>2025-12-22</t>
  </si>
  <si>
    <t>9629321332</t>
  </si>
  <si>
    <t>wILLiAm.ThOMpSOn@gmail.COm</t>
  </si>
  <si>
    <t>786-283-1604</t>
  </si>
  <si>
    <t>2025-07-20</t>
  </si>
  <si>
    <t>2909161518</t>
  </si>
  <si>
    <t>timothy.cruz@outlook.com</t>
  </si>
  <si>
    <t>2026-07-24</t>
  </si>
  <si>
    <t>8599688956</t>
  </si>
  <si>
    <t>christine.peterson@aol.com</t>
  </si>
  <si>
    <t>2026-08-25</t>
  </si>
  <si>
    <t>571-973-2928</t>
  </si>
  <si>
    <t>kenneth.sanchez@hotmail.com</t>
  </si>
  <si>
    <t>286-645-8145</t>
  </si>
  <si>
    <t>scoTT.ORTiz@HOTMAIl.com</t>
  </si>
  <si>
    <t>2026-08-29</t>
  </si>
  <si>
    <t>845-585-5975</t>
  </si>
  <si>
    <t>Angela.Collins@aol.com</t>
  </si>
  <si>
    <t>901.644.4659</t>
  </si>
  <si>
    <t>linDA.wilSoN@oUTLOok.CoM</t>
  </si>
  <si>
    <t>4407412407</t>
  </si>
  <si>
    <t>Charles.Campbell@hotmail.com</t>
  </si>
  <si>
    <t>2025-08-09</t>
  </si>
  <si>
    <t>(536) 738-9206</t>
  </si>
  <si>
    <t>paTricIA.RIVErA@oUTlOok.coM</t>
  </si>
  <si>
    <t>2026-05-18</t>
  </si>
  <si>
    <t>(989) 258-6022</t>
  </si>
  <si>
    <t>Brenda.Cruz@aol.com</t>
  </si>
  <si>
    <t>263-347-7650</t>
  </si>
  <si>
    <t>carolyn.parker@aol.com</t>
  </si>
  <si>
    <t>(636) 593-5394</t>
  </si>
  <si>
    <t>Shirley.Davis@yahoo.com</t>
  </si>
  <si>
    <t>(910) 888-7603</t>
  </si>
  <si>
    <t>catherine.gomez@hotmail.com</t>
  </si>
  <si>
    <t>(549) 729-4774</t>
  </si>
  <si>
    <t>jEsSiCa.roBERtS@GMaIl.CoM</t>
  </si>
  <si>
    <t>2025-07-25</t>
  </si>
  <si>
    <t>(421) 949-1140</t>
  </si>
  <si>
    <t>FraNk.ScOtT@hOTMaIL.coM</t>
  </si>
  <si>
    <t>2025-11-28</t>
  </si>
  <si>
    <t>4344283017</t>
  </si>
  <si>
    <t>935.525.6014</t>
  </si>
  <si>
    <t>Nancy.Taylor@yahoo.com</t>
  </si>
  <si>
    <t>6118073448</t>
  </si>
  <si>
    <t>Amy.Anderson@yahoo.com</t>
  </si>
  <si>
    <t>749.907.1088</t>
  </si>
  <si>
    <t>Brandon.Peterson@yahoo.com</t>
  </si>
  <si>
    <t>5105845059</t>
  </si>
  <si>
    <t>stEveN.cHAvez@GmAiL.cOM</t>
  </si>
  <si>
    <t>759-580-8759</t>
  </si>
  <si>
    <t>Amy.Ruiz@hotmail.com</t>
  </si>
  <si>
    <t>2025-09-15</t>
  </si>
  <si>
    <t>Mark.Rogers@hotmail.com</t>
  </si>
  <si>
    <t>782-707-2981</t>
  </si>
  <si>
    <t>Scott.Williams@outlook.com</t>
  </si>
  <si>
    <t>947-890-4520</t>
  </si>
  <si>
    <t>Charles.Scott@aol.com</t>
  </si>
  <si>
    <t>4368669488</t>
  </si>
  <si>
    <t>amY.fLOReS@YAHoO.cOm</t>
  </si>
  <si>
    <t>394-851-9906</t>
  </si>
  <si>
    <t>mAtThew.hilL@GMAIl.com</t>
  </si>
  <si>
    <t>902.602.6952</t>
  </si>
  <si>
    <t>larry.smith@gmail.com</t>
  </si>
  <si>
    <t>2026-07-11</t>
  </si>
  <si>
    <t>(788) 856-8983</t>
  </si>
  <si>
    <t>laura.bailey@aol.com</t>
  </si>
  <si>
    <t>2952112248</t>
  </si>
  <si>
    <t>Patricia.James@hotmail.com</t>
  </si>
  <si>
    <t>(503) 364-6367</t>
  </si>
  <si>
    <t>kAthlEEN.kelLY@HOTMAIl.CoM</t>
  </si>
  <si>
    <t>6126504954</t>
  </si>
  <si>
    <t>816-651-7778</t>
  </si>
  <si>
    <t>kAReN.gUtIERrez@HOtMAIl.CoM</t>
  </si>
  <si>
    <t>(269) 572-8995</t>
  </si>
  <si>
    <t>Nicholas.Lee@gmail.com</t>
  </si>
  <si>
    <t>2026-02-02</t>
  </si>
  <si>
    <t>7075213628</t>
  </si>
  <si>
    <t>benjamin.ramirez@aol.com</t>
  </si>
  <si>
    <t>394-899-3919</t>
  </si>
  <si>
    <t>paul.cox@outlook.com</t>
  </si>
  <si>
    <t>2025-07-02</t>
  </si>
  <si>
    <t>JACK.BENNETT@YAHOO.COM</t>
  </si>
  <si>
    <t>848-780-9933</t>
  </si>
  <si>
    <t>Janet.Wood@aol.com</t>
  </si>
  <si>
    <t>379.708.1111</t>
  </si>
  <si>
    <t>Rachel.Hughes@yahoo.com</t>
  </si>
  <si>
    <t>(675) 876-8490</t>
  </si>
  <si>
    <t>Nancy.Hall@aol.com</t>
  </si>
  <si>
    <t>2025-11-24</t>
  </si>
  <si>
    <t>3293559924</t>
  </si>
  <si>
    <t>mary.murphy@outlook.com</t>
  </si>
  <si>
    <t>(955) 573-2094</t>
  </si>
  <si>
    <t>kImBeRLY.garcIa@oUtlOOk.COM</t>
  </si>
  <si>
    <t>(224) 807-3536</t>
  </si>
  <si>
    <t>angela.bailey@hotmail.com</t>
  </si>
  <si>
    <t>(541) 498-8481</t>
  </si>
  <si>
    <t>Anthony.Anderson@hotmail.com</t>
  </si>
  <si>
    <t>9672354802</t>
  </si>
  <si>
    <t>Helen.Ruiz@yahoo.com</t>
  </si>
  <si>
    <t>(944) 251-7277</t>
  </si>
  <si>
    <t>maria.adams@gmail.com</t>
  </si>
  <si>
    <t>267-398-2116</t>
  </si>
  <si>
    <t>Matthew.Allen@outlook.com</t>
  </si>
  <si>
    <t>774.232.2619</t>
  </si>
  <si>
    <t>Jessica.White@aol.com</t>
  </si>
  <si>
    <t>647.732.3062</t>
  </si>
  <si>
    <t>sandra.hughes@outlook.com</t>
  </si>
  <si>
    <t>3287174273</t>
  </si>
  <si>
    <t>patrick.lee@hotmail.com</t>
  </si>
  <si>
    <t>2026-08-24</t>
  </si>
  <si>
    <t>(661) 256-1294</t>
  </si>
  <si>
    <t>catherine.morgan@outlook.com</t>
  </si>
  <si>
    <t>(613) 220-4464</t>
  </si>
  <si>
    <t>liSA.alVaRez@YAHOo.COm</t>
  </si>
  <si>
    <t>2025-10-14</t>
  </si>
  <si>
    <t>544-549-5646</t>
  </si>
  <si>
    <t>charles.lopez@yahoo.com</t>
  </si>
  <si>
    <t>7109196582</t>
  </si>
  <si>
    <t>thomas.alvarez@hotmail.com</t>
  </si>
  <si>
    <t>5883791148</t>
  </si>
  <si>
    <t>Paul.Watson@hotmail.com</t>
  </si>
  <si>
    <t>208.869.2917</t>
  </si>
  <si>
    <t>barbara.torres@gmail.com</t>
  </si>
  <si>
    <t>254.569.7744</t>
  </si>
  <si>
    <t>donna.richardson@outlook.com</t>
  </si>
  <si>
    <t>561.202.5661</t>
  </si>
  <si>
    <t>2026-08-11</t>
  </si>
  <si>
    <t>2004376937</t>
  </si>
  <si>
    <t>elizabeth.reyes@yahoo.com</t>
  </si>
  <si>
    <t>475-728-2999</t>
  </si>
  <si>
    <t>AnNa.miLLEr@hOtmaIl.cOM</t>
  </si>
  <si>
    <t>401.927.3780</t>
  </si>
  <si>
    <t>barbara.moore@aol.com</t>
  </si>
  <si>
    <t>(912) 707-7079</t>
  </si>
  <si>
    <t>amAnDA.HaRris@gmaiL.com</t>
  </si>
  <si>
    <t>896-809-3302</t>
  </si>
  <si>
    <t>Gregory.Hall@gmail.com</t>
  </si>
  <si>
    <t>(731) 441-4599</t>
  </si>
  <si>
    <t>Thomas.Hill@aol.com</t>
  </si>
  <si>
    <t>897-837-7852</t>
  </si>
  <si>
    <t>Gary.Phillips@yahoo.com</t>
  </si>
  <si>
    <t>431-321-9249</t>
  </si>
  <si>
    <t>amy.king@outlook.com</t>
  </si>
  <si>
    <t>840.303.5313</t>
  </si>
  <si>
    <t>beNjaMin.moore@GMail.COM</t>
  </si>
  <si>
    <t>(608) 745-5242</t>
  </si>
  <si>
    <t>linda.anderson@outlook.com</t>
  </si>
  <si>
    <t>569-568-7354</t>
  </si>
  <si>
    <t>Sandra.Young@gmail.com</t>
  </si>
  <si>
    <t>2026-02-27</t>
  </si>
  <si>
    <t>861-341-5561</t>
  </si>
  <si>
    <t>stephanie.gutierrez@aol.com</t>
  </si>
  <si>
    <t>(500) 363-2628</t>
  </si>
  <si>
    <t>Brenda.Ward@yahoo.com</t>
  </si>
  <si>
    <t>laura.wilson@aol.com</t>
  </si>
  <si>
    <t>6998636357</t>
  </si>
  <si>
    <t>rachel.morales@gmail.com</t>
  </si>
  <si>
    <t>651-997-6720</t>
  </si>
  <si>
    <t>NANCY.COOK@GMAIL.COM</t>
  </si>
  <si>
    <t>2026-05-14</t>
  </si>
  <si>
    <t>535-208-2220</t>
  </si>
  <si>
    <t>Steven.Bennett@gmail.com</t>
  </si>
  <si>
    <t>541-542-5000</t>
  </si>
  <si>
    <t>debra.rodriguez@outlook.com</t>
  </si>
  <si>
    <t>2026-08-15</t>
  </si>
  <si>
    <t>DEBORAH.MYERS@GMAIL.COM</t>
  </si>
  <si>
    <t>584-311-1628</t>
  </si>
  <si>
    <t>kimbERly.WaRD@HOTMail.coM</t>
  </si>
  <si>
    <t>628-532-4351</t>
  </si>
  <si>
    <t>DONALD.RAMOS@AOL.COM</t>
  </si>
  <si>
    <t>2025-11-17</t>
  </si>
  <si>
    <t>981.799.9715</t>
  </si>
  <si>
    <t>Sandra.Cooper@hotmail.com</t>
  </si>
  <si>
    <t>912.591.1763</t>
  </si>
  <si>
    <t>Nicole.Clark@yahoo.com</t>
  </si>
  <si>
    <t>2525527124</t>
  </si>
  <si>
    <t>(241) 730-5214</t>
  </si>
  <si>
    <t>susan.harris@aol.com</t>
  </si>
  <si>
    <t>438-241-4815</t>
  </si>
  <si>
    <t>heather.evans@outlook.com</t>
  </si>
  <si>
    <t>629-802-9527</t>
  </si>
  <si>
    <t>GREGORY.WALKER@YAHOO.COM</t>
  </si>
  <si>
    <t>(966) 670-6187</t>
  </si>
  <si>
    <t>Barbara.Gomez@outlook.com</t>
  </si>
  <si>
    <t>(620) 975-6389</t>
  </si>
  <si>
    <t>amanda.lewis@aol.com</t>
  </si>
  <si>
    <t>919-299-2302</t>
  </si>
  <si>
    <t>tHomaS.FLOres@aoL.cOM</t>
  </si>
  <si>
    <t>(606) 427-3632</t>
  </si>
  <si>
    <t>kathleen.flores@hotmail.com</t>
  </si>
  <si>
    <t>4003143270</t>
  </si>
  <si>
    <t>ALEXANDER.RUIZ@GMAIL.COM</t>
  </si>
  <si>
    <t>711-628-8265</t>
  </si>
  <si>
    <t>Scott.Ortiz@hotmail.com</t>
  </si>
  <si>
    <t>8145088617</t>
  </si>
  <si>
    <t>LISA.WHITE@OUTLOOK.COM</t>
  </si>
  <si>
    <t>2026-07-26</t>
  </si>
  <si>
    <t>5455432513</t>
  </si>
  <si>
    <t>JACK.COX@HOTMAIL.COM</t>
  </si>
  <si>
    <t>(774) 494-2723</t>
  </si>
  <si>
    <t>heather.patel@hotmail.com</t>
  </si>
  <si>
    <t>8247182105</t>
  </si>
  <si>
    <t>BArBara.RAmoS@Outlook.Com</t>
  </si>
  <si>
    <t>3397351994</t>
  </si>
  <si>
    <t>Ruth.Martinez@yahoo.com</t>
  </si>
  <si>
    <t>575-215-7612</t>
  </si>
  <si>
    <t>aNNa.reYeS@ouTlOOK.cOM</t>
  </si>
  <si>
    <t>744-664-9246</t>
  </si>
  <si>
    <t>Michelle.Edwards@outlook.com</t>
  </si>
  <si>
    <t>2026-07-09</t>
  </si>
  <si>
    <t>2026-07-30</t>
  </si>
  <si>
    <t>5103626470</t>
  </si>
  <si>
    <t>kenneth.morales@yahoo.com</t>
  </si>
  <si>
    <t>925-288-1086</t>
  </si>
  <si>
    <t>Andrew.RobInsON@GMAiL.cOM</t>
  </si>
  <si>
    <t>440-652-9989</t>
  </si>
  <si>
    <t>benjamin.gonzalez@gmail.com</t>
  </si>
  <si>
    <t>(492) 964-1005</t>
  </si>
  <si>
    <t>DONALD.RICHARDSON@GMAIL.COM</t>
  </si>
  <si>
    <t>740-592-5849</t>
  </si>
  <si>
    <t>Amy.White@gmail.com</t>
  </si>
  <si>
    <t>(720) 757-9403</t>
  </si>
  <si>
    <t>tHOmaS.NELsON@Aol.Com</t>
  </si>
  <si>
    <t>869-881-2603</t>
  </si>
  <si>
    <t>3482554871</t>
  </si>
  <si>
    <t>Emily.James@hotmail.com</t>
  </si>
  <si>
    <t>306-723-2784</t>
  </si>
  <si>
    <t>gregory.green@yahoo.com</t>
  </si>
  <si>
    <t>237.948.6753</t>
  </si>
  <si>
    <t>Maria.Richardson@aol.com</t>
  </si>
  <si>
    <t>2026-07-29</t>
  </si>
  <si>
    <t>797.542.5184</t>
  </si>
  <si>
    <t>frank.castillo@aol.com</t>
  </si>
  <si>
    <t>8703067841</t>
  </si>
  <si>
    <t>GARY.ORTIZ@AOL.COM</t>
  </si>
  <si>
    <t>5457547757</t>
  </si>
  <si>
    <t>CAROL.WILSON@AOL.COM</t>
  </si>
  <si>
    <t>6558311380</t>
  </si>
  <si>
    <t>DAVID.ANDERSON@AOL.COM</t>
  </si>
  <si>
    <t>490-540-2812</t>
  </si>
  <si>
    <t>Gregory.White@outlook.com</t>
  </si>
  <si>
    <t>389-539-6385</t>
  </si>
  <si>
    <t>jennifer.morris@hotmail.com</t>
  </si>
  <si>
    <t>(615) 545-2238</t>
  </si>
  <si>
    <t>256-444-7202</t>
  </si>
  <si>
    <t>HELEn.THOMas@OutlOok.CoM</t>
  </si>
  <si>
    <t>3242836662</t>
  </si>
  <si>
    <t>Samantha.Ruiz@outlook.com</t>
  </si>
  <si>
    <t>(417) 655-7976</t>
  </si>
  <si>
    <t>eric.nelson@aol.com</t>
  </si>
  <si>
    <t>2026-01-18</t>
  </si>
  <si>
    <t>428-723-2134</t>
  </si>
  <si>
    <t>George.Thomas@yahoo.com</t>
  </si>
  <si>
    <t>2026-01-08</t>
  </si>
  <si>
    <t>7049683187</t>
  </si>
  <si>
    <t>JOSEPH.HUGHES@HOTMAIL.COM</t>
  </si>
  <si>
    <t>863-869-7030</t>
  </si>
  <si>
    <t>ashley.evans@yahoo.com</t>
  </si>
  <si>
    <t>(705) 311-9390</t>
  </si>
  <si>
    <t>Frank.Moore@hotmail.com</t>
  </si>
  <si>
    <t>430-925-4002</t>
  </si>
  <si>
    <t>James.Jimenez@gmail.com</t>
  </si>
  <si>
    <t>2026-01-10</t>
  </si>
  <si>
    <t>739-258-3829</t>
  </si>
  <si>
    <t>michelle.brown@gmail.com</t>
  </si>
  <si>
    <t>(669) 883-1213</t>
  </si>
  <si>
    <t>Justin.Scott@gmail.com</t>
  </si>
  <si>
    <t>2025-07-31</t>
  </si>
  <si>
    <t>5739392140</t>
  </si>
  <si>
    <t>Benjamin.Robinson@hotmail.com</t>
  </si>
  <si>
    <t>2025-08-28</t>
  </si>
  <si>
    <t>386-569-6261</t>
  </si>
  <si>
    <t>jack.williams@gmail.com</t>
  </si>
  <si>
    <t>KATHLEEN.CHAVEZ@YAHOO.COM</t>
  </si>
  <si>
    <t>(958) 922-4685</t>
  </si>
  <si>
    <t>linda.chavez@yahoo.com</t>
  </si>
  <si>
    <t>(520) 898-5815</t>
  </si>
  <si>
    <t>Patricia.Roberts@gmail.com</t>
  </si>
  <si>
    <t>(259) 216-1446</t>
  </si>
  <si>
    <t>Samuel.Reed@aol.com</t>
  </si>
  <si>
    <t>570-309-2291</t>
  </si>
  <si>
    <t>edward.morgan@yahoo.com</t>
  </si>
  <si>
    <t>6719301946</t>
  </si>
  <si>
    <t>SamUEl.thoMas@YaHoo.COM</t>
  </si>
  <si>
    <t>(733) 512-9616</t>
  </si>
  <si>
    <t>Sarah.Hernandez@outlook.com</t>
  </si>
  <si>
    <t>(294) 428-2313</t>
  </si>
  <si>
    <t>263-973-9302</t>
  </si>
  <si>
    <t>edward.evans@outlook.com</t>
  </si>
  <si>
    <t>(410) 356-9965</t>
  </si>
  <si>
    <t>MAry.WHITe@oUTLooK.COm</t>
  </si>
  <si>
    <t>6992099278</t>
  </si>
  <si>
    <t>melissa.chavez@gmail.com</t>
  </si>
  <si>
    <t>(814) 961-6232</t>
  </si>
  <si>
    <t>Catherine.Peterson@gmail.com</t>
  </si>
  <si>
    <t>(881) 539-6242</t>
  </si>
  <si>
    <t>ALEXANDER.RUIZ@OUTLOOK.COM</t>
  </si>
  <si>
    <t>924-323-2053</t>
  </si>
  <si>
    <t>ALExanDer.TAYLOR@OutLoOK.Com</t>
  </si>
  <si>
    <t>213.825.8785</t>
  </si>
  <si>
    <t>sharon.harris@outlook.com</t>
  </si>
  <si>
    <t>2026-04-30</t>
  </si>
  <si>
    <t>370-760-2201</t>
  </si>
  <si>
    <t>jennifer.james@hotmail.com</t>
  </si>
  <si>
    <t>864.969.3614</t>
  </si>
  <si>
    <t>cynthia.hall@aol.com</t>
  </si>
  <si>
    <t>482.483.4001</t>
  </si>
  <si>
    <t>pamela.smith@hotmail.com</t>
  </si>
  <si>
    <t>2026-08-28</t>
  </si>
  <si>
    <t>6427532990</t>
  </si>
  <si>
    <t>Ashley.Martin@gmail.com</t>
  </si>
  <si>
    <t>756.606.7414</t>
  </si>
  <si>
    <t>william.torres@hotmail.com</t>
  </si>
  <si>
    <t>238.488.2254</t>
  </si>
  <si>
    <t>jonathan.nelson@aol.com</t>
  </si>
  <si>
    <t>993.975.1110</t>
  </si>
  <si>
    <t>Amanda.Clark@hotmail.com</t>
  </si>
  <si>
    <t>(494) 421-2905</t>
  </si>
  <si>
    <t>larry.hernandez@outlook.com</t>
  </si>
  <si>
    <t>808-273-5899</t>
  </si>
  <si>
    <t>BRIAN.HOWARD@OUTLOOK.COM</t>
  </si>
  <si>
    <t>2025-07-28</t>
  </si>
  <si>
    <t>306-716-2088</t>
  </si>
  <si>
    <t>NICOLE.ROBERTS@AOL.COM</t>
  </si>
  <si>
    <t>(934) 438-4196</t>
  </si>
  <si>
    <t>STEVEn.gARCiA@AOL.CoM</t>
  </si>
  <si>
    <t>501-670-8093</t>
  </si>
  <si>
    <t>EDwaRD.MITCHell@gmaIL.COm</t>
  </si>
  <si>
    <t>(539) 653-5579</t>
  </si>
  <si>
    <t>amanda.harris@yahoo.com</t>
  </si>
  <si>
    <t>7168008948</t>
  </si>
  <si>
    <t>ASHLEY.FLORES@YAHOO.COM</t>
  </si>
  <si>
    <t>2026-05-13</t>
  </si>
  <si>
    <t>951-927-6260</t>
  </si>
  <si>
    <t>Stephanie.White@hotmail.com</t>
  </si>
  <si>
    <t>(954) 554-9368</t>
  </si>
  <si>
    <t>JUstiN.nelSON@HOTmaIl.coM</t>
  </si>
  <si>
    <t>2026-04-18</t>
  </si>
  <si>
    <t>441-963-6980</t>
  </si>
  <si>
    <t>nanCy.GArcIA@yaHOO.COM</t>
  </si>
  <si>
    <t>2463179033</t>
  </si>
  <si>
    <t>kimberly.anderson@hotmail.com</t>
  </si>
  <si>
    <t>2932152729</t>
  </si>
  <si>
    <t>RebeCca.GoMeZ@GmaIl.coM</t>
  </si>
  <si>
    <t>569.835.9987</t>
  </si>
  <si>
    <t>Ronald.Kim@outlook.com</t>
  </si>
  <si>
    <t>6478656850</t>
  </si>
  <si>
    <t>2026-07-02</t>
  </si>
  <si>
    <t>322-950-1913</t>
  </si>
  <si>
    <t>gRegory.GOmEZ@GMAil.COm</t>
  </si>
  <si>
    <t>7124522161</t>
  </si>
  <si>
    <t>JoshUA.lEE@aOL.cOm</t>
  </si>
  <si>
    <t>231-791-1751</t>
  </si>
  <si>
    <t>steven.baker@gmail.com</t>
  </si>
  <si>
    <t>824-593-1027</t>
  </si>
  <si>
    <t>RUTH.ALLEN@OUTLOOK.COM</t>
  </si>
  <si>
    <t>2025-05-06</t>
  </si>
  <si>
    <t>618.480.1602</t>
  </si>
  <si>
    <t>987-838-4572</t>
  </si>
  <si>
    <t>WILLIAM.MORGAN@HOTMAIL.COM</t>
  </si>
  <si>
    <t>765-705-9851</t>
  </si>
  <si>
    <t>JOHN.CAMPBELL@YAHOO.COM</t>
  </si>
  <si>
    <t>(715) 252-1940</t>
  </si>
  <si>
    <t>jeffrey.taylor@outlook.com</t>
  </si>
  <si>
    <t>892-791-7649</t>
  </si>
  <si>
    <t>juSTIN.aLLeN@hOTMAiL.cOm</t>
  </si>
  <si>
    <t>670-752-1256</t>
  </si>
  <si>
    <t>Edward.Sanders@aol.com</t>
  </si>
  <si>
    <t>580-557-1700</t>
  </si>
  <si>
    <t>cAROLYN.fosTER@OutLOOk.cOm</t>
  </si>
  <si>
    <t>604.839.9204</t>
  </si>
  <si>
    <t>maria.hernandez@hotmail.com</t>
  </si>
  <si>
    <t>687-759-2399</t>
  </si>
  <si>
    <t>jEfFReY.RIchARDSon@hOTMAil.COM</t>
  </si>
  <si>
    <t>2215147761</t>
  </si>
  <si>
    <t>donald.hill@aol.com</t>
  </si>
  <si>
    <t>844-331-6458</t>
  </si>
  <si>
    <t>nicole.lopez@aol.com</t>
  </si>
  <si>
    <t>(919) 438-2705</t>
  </si>
  <si>
    <t>Richard.White@aol.com</t>
  </si>
  <si>
    <t>424.273.2615</t>
  </si>
  <si>
    <t>KaThlEen.MILLeR@gmaIl.CoM</t>
  </si>
  <si>
    <t>264-833-2400</t>
  </si>
  <si>
    <t>joseph.roberts@outlook.com</t>
  </si>
  <si>
    <t>6146093380</t>
  </si>
  <si>
    <t>carolyn.taylor@gmail.com</t>
  </si>
  <si>
    <t>996-473-2429</t>
  </si>
  <si>
    <t>susan.ward@yahoo.com</t>
  </si>
  <si>
    <t>715.386.3935</t>
  </si>
  <si>
    <t>dOnALD.loNg@GmAil.com</t>
  </si>
  <si>
    <t>(376) 608-8588</t>
  </si>
  <si>
    <t>CAROLYN.MORALES@YAHOO.COM</t>
  </si>
  <si>
    <t>(278) 673-3781</t>
  </si>
  <si>
    <t>MARK.REED@AOL.COM</t>
  </si>
  <si>
    <t>2026-08-21</t>
  </si>
  <si>
    <t>925-995-4522</t>
  </si>
  <si>
    <t>cynthia.adams@yahoo.com</t>
  </si>
  <si>
    <t>520.858.7510</t>
  </si>
  <si>
    <t>Justin.Mendoza@outlook.com</t>
  </si>
  <si>
    <t>6624973474</t>
  </si>
  <si>
    <t>DONALD.COOK@YAHOO.COM</t>
  </si>
  <si>
    <t>832.704.3167</t>
  </si>
  <si>
    <t>samuel.bennett@hotmail.com</t>
  </si>
  <si>
    <t>(327) 855-4672</t>
  </si>
  <si>
    <t>Rebecca.Anderson@gmail.com</t>
  </si>
  <si>
    <t>(885) 936-4008</t>
  </si>
  <si>
    <t>charles.robinson@outlook.com</t>
  </si>
  <si>
    <t>941-229-8691</t>
  </si>
  <si>
    <t>raymOnD.chaVez@oUTLoOK.COm</t>
  </si>
  <si>
    <t>4628436684</t>
  </si>
  <si>
    <t>CAROLYN.NGUYEN@OUTLOOK.COM</t>
  </si>
  <si>
    <t>9189559679</t>
  </si>
  <si>
    <t>Steven.Mendoza@outlook.com</t>
  </si>
  <si>
    <t>(287) 767-3752</t>
  </si>
  <si>
    <t>rebecca.cook@outlook.com</t>
  </si>
  <si>
    <t>Kimberly.Watson@aol.com</t>
  </si>
  <si>
    <t>540-739-9580</t>
  </si>
  <si>
    <t>Stephanie.Gonzalez@gmail.com</t>
  </si>
  <si>
    <t>(296) 548-6247</t>
  </si>
  <si>
    <t>Gary.Wilson@gmail.com</t>
  </si>
  <si>
    <t>3762741471</t>
  </si>
  <si>
    <t>Deborah.Hughes@outlook.com</t>
  </si>
  <si>
    <t>8116581250</t>
  </si>
  <si>
    <t>Catherine.Lewis@yahoo.com</t>
  </si>
  <si>
    <t>2025-04-24</t>
  </si>
  <si>
    <t>5286293564</t>
  </si>
  <si>
    <t>Christopher.Evans@gmail.com</t>
  </si>
  <si>
    <t>(210) 924-4413</t>
  </si>
  <si>
    <t>BarbARA.RoGeRs@yaHOo.com</t>
  </si>
  <si>
    <t>(721) 267-7980</t>
  </si>
  <si>
    <t>ANTHONY.ADAMS@AOL.COM</t>
  </si>
  <si>
    <t>409-540-6325</t>
  </si>
  <si>
    <t>Sarah.Kelly@hotmail.com</t>
  </si>
  <si>
    <t>(622) 698-7198</t>
  </si>
  <si>
    <t>Charles.Young@hotmail.com</t>
  </si>
  <si>
    <t>(954) 812-4230</t>
  </si>
  <si>
    <t>ErIC.eVans@hotmAIl.CoM</t>
  </si>
  <si>
    <t>9575987584</t>
  </si>
  <si>
    <t>michaEl.RicHaRdSon@gMaiL.cOm</t>
  </si>
  <si>
    <t>498-578-3881</t>
  </si>
  <si>
    <t>bReNDA.GutIeRrEz@aoL.coM</t>
  </si>
  <si>
    <t>8377788745</t>
  </si>
  <si>
    <t>RICHARD.GUTIERREZ@YAHOO.COM</t>
  </si>
  <si>
    <t>676-499-8073</t>
  </si>
  <si>
    <t>Jerry.Watson@yahoo.com</t>
  </si>
  <si>
    <t>591-587-8910</t>
  </si>
  <si>
    <t>anna.gonzalez@yahoo.com</t>
  </si>
  <si>
    <t>7937808338</t>
  </si>
  <si>
    <t>brian.rodriguez@yahoo.com</t>
  </si>
  <si>
    <t>7753599758</t>
  </si>
  <si>
    <t>sandra.hall@hotmail.com</t>
  </si>
  <si>
    <t>sharon.bailey@gmail.com</t>
  </si>
  <si>
    <t>2026-09-01</t>
  </si>
  <si>
    <t>693-553-7226</t>
  </si>
  <si>
    <t>Christopher.Jones@outlook.com</t>
  </si>
  <si>
    <t>(712) 932-6465</t>
  </si>
  <si>
    <t>GEORGE.PHILLIPS@GMAIL.COM</t>
  </si>
  <si>
    <t>(257) 849-3590</t>
  </si>
  <si>
    <t>thomas.gonzalez@aol.com</t>
  </si>
  <si>
    <t>(336) 392-3101</t>
  </si>
  <si>
    <t>kenneth.gomez@gmail.com</t>
  </si>
  <si>
    <t>4447769499</t>
  </si>
  <si>
    <t>nIcolE.GarcIa@aoL.COm</t>
  </si>
  <si>
    <t>(471) 505-7557</t>
  </si>
  <si>
    <t>amy.sanders@yahoo.com</t>
  </si>
  <si>
    <t>283.581.6061</t>
  </si>
  <si>
    <t>sCOTT.brOoKS@gMAIl.com</t>
  </si>
  <si>
    <t>654-669-9048</t>
  </si>
  <si>
    <t>BARBARA.MOORE@AOL.COM</t>
  </si>
  <si>
    <t>5677446272</t>
  </si>
  <si>
    <t>Emma.Ramos@hotmail.com</t>
  </si>
  <si>
    <t>2025-11-22</t>
  </si>
  <si>
    <t>726.582.3554</t>
  </si>
  <si>
    <t>Rebecca.Stewart@outlook.com</t>
  </si>
  <si>
    <t>2026-01-13</t>
  </si>
  <si>
    <t>8165262454</t>
  </si>
  <si>
    <t>aLeXanDer.BROOKS@gmAiL.Com</t>
  </si>
  <si>
    <t>2196329912</t>
  </si>
  <si>
    <t>betty.jimenez@yahoo.com</t>
  </si>
  <si>
    <t>2349904878</t>
  </si>
  <si>
    <t>Joshua.Martinez@hotmail.com</t>
  </si>
  <si>
    <t>336-799-3134</t>
  </si>
  <si>
    <t>JACOB.RAMOS@YAHOO.COM</t>
  </si>
  <si>
    <t>(205) 513-6530</t>
  </si>
  <si>
    <t>kathleen.harris@outlook.com</t>
  </si>
  <si>
    <t>(272) 679-3641</t>
  </si>
  <si>
    <t>Rachel.Mendoza@yahoo.com</t>
  </si>
  <si>
    <t>840.674.3322</t>
  </si>
  <si>
    <t>larry.nguyen@gmail.com</t>
  </si>
  <si>
    <t>Stephen.Hill@outlook.com</t>
  </si>
  <si>
    <t>2026-01-16</t>
  </si>
  <si>
    <t>3179066148</t>
  </si>
  <si>
    <t>joseph.bennett@outlook.com</t>
  </si>
  <si>
    <t>780-272-7591</t>
  </si>
  <si>
    <t>Andrew.Green@outlook.com</t>
  </si>
  <si>
    <t>4016104037</t>
  </si>
  <si>
    <t>angela.morales@yahoo.com</t>
  </si>
  <si>
    <t>(235) 451-2877</t>
  </si>
  <si>
    <t>4022494149</t>
  </si>
  <si>
    <t>KAThlEEN.rOdrIguEz@OUtLooK.cOM</t>
  </si>
  <si>
    <t>(488) 992-1617</t>
  </si>
  <si>
    <t>thomas.jones@outlook.com</t>
  </si>
  <si>
    <t>445-450-2077</t>
  </si>
  <si>
    <t>Pamela.Diaz@outlook.com</t>
  </si>
  <si>
    <t>946-617-3055</t>
  </si>
  <si>
    <t>ryan.morgan@gmail.com</t>
  </si>
  <si>
    <t>736.803.8153</t>
  </si>
  <si>
    <t>CHARLES.MORALES@AOL.COM</t>
  </si>
  <si>
    <t>(399) 346-3591</t>
  </si>
  <si>
    <t>ANdrEw.wALkEr@gMAil.Com</t>
  </si>
  <si>
    <t>719.337.7534</t>
  </si>
  <si>
    <t>lisa.evans@outlook.com</t>
  </si>
  <si>
    <t>2026-08-26</t>
  </si>
  <si>
    <t>327.936.5943</t>
  </si>
  <si>
    <t>Lisa.Bennett@hotmail.com</t>
  </si>
  <si>
    <t>(242) 465-3131</t>
  </si>
  <si>
    <t>elizabeth.parker@aol.com</t>
  </si>
  <si>
    <t>dOnAlD.jiMeneZ@aOl.com</t>
  </si>
  <si>
    <t>5106869411</t>
  </si>
  <si>
    <t>MArIa.rODRiGUez@OUTlOoK.Com</t>
  </si>
  <si>
    <t>807-463-4663</t>
  </si>
  <si>
    <t>william.edwards@gmail.com</t>
  </si>
  <si>
    <t>(498) 297-1898</t>
  </si>
  <si>
    <t>Nicole.Bennett@aol.com</t>
  </si>
  <si>
    <t>(622) 966-4322</t>
  </si>
  <si>
    <t>michelle.wright@aol.com</t>
  </si>
  <si>
    <t>2025-07-17</t>
  </si>
  <si>
    <t>5777065853</t>
  </si>
  <si>
    <t>emma.cook@aol.com</t>
  </si>
  <si>
    <t>668-755-4710</t>
  </si>
  <si>
    <t>Stephanie.Hill@yahoo.com</t>
  </si>
  <si>
    <t>465.828.7685</t>
  </si>
  <si>
    <t>nicholas.robinson@outlook.com</t>
  </si>
  <si>
    <t>(536) 872-2624</t>
  </si>
  <si>
    <t>jeffrey.bailey@hotmail.com</t>
  </si>
  <si>
    <t>(818) 708-8300</t>
  </si>
  <si>
    <t>brenda.white@gmail.com</t>
  </si>
  <si>
    <t>407.506.7302</t>
  </si>
  <si>
    <t>james.ruiz@outlook.com</t>
  </si>
  <si>
    <t>914-241-9310</t>
  </si>
  <si>
    <t>Raymond.Anderson@gmail.com</t>
  </si>
  <si>
    <t>401.229.3099</t>
  </si>
  <si>
    <t>JENNIFER.GUTIERREZ@GMAIL.COM</t>
  </si>
  <si>
    <t>Phone_Number</t>
  </si>
  <si>
    <t>Phone_Number_Fix</t>
  </si>
  <si>
    <t>Phone_Number_Formatted</t>
  </si>
  <si>
    <t>Email</t>
  </si>
  <si>
    <t>Email_Fix</t>
  </si>
  <si>
    <t>Email_Values</t>
  </si>
  <si>
    <t>Last_Patient_Outreach_Date</t>
  </si>
  <si>
    <t>Last_Patient_Response_Date</t>
  </si>
  <si>
    <t>charlotte.garcia@yahoo.com</t>
  </si>
  <si>
    <t>rebecca.lopez@outlook.com</t>
  </si>
  <si>
    <t/>
  </si>
  <si>
    <t>mary.lee@gmail.com</t>
  </si>
  <si>
    <t>harry.brown@yahoo.com</t>
  </si>
  <si>
    <t>wendy.davis@aol.com</t>
  </si>
  <si>
    <t>nancy.ferguson@outlook.com</t>
  </si>
  <si>
    <t>john.rodriguez@outlook.com</t>
  </si>
  <si>
    <t>alice.ng@yahoo.com</t>
  </si>
  <si>
    <t>eva.young@outlook.com</t>
  </si>
  <si>
    <t>fiona.chen@gmail.com</t>
  </si>
  <si>
    <t>tina.zu@gmail.com</t>
  </si>
  <si>
    <t>john.williams@yahoo.com</t>
  </si>
  <si>
    <t>kylie.ng@hotmail.com</t>
  </si>
  <si>
    <t>charli.rodriguez@hotmail.com</t>
  </si>
  <si>
    <t>victor.lim@outlook.com</t>
  </si>
  <si>
    <t>hannah.garcia@gmail.com</t>
  </si>
  <si>
    <t>bob.rodriguez@outlook.com</t>
  </si>
  <si>
    <t>lisa.kim@aol.com</t>
  </si>
  <si>
    <t>john.brown@gmail.com</t>
  </si>
  <si>
    <t>greg.smith@outlook.com</t>
  </si>
  <si>
    <t>zachary.jonez@yahoo.com</t>
  </si>
  <si>
    <t>eva.smith@outlook.com</t>
  </si>
  <si>
    <t>dale.perez@outlook.com</t>
  </si>
  <si>
    <t>frank.sharp@gmail.com</t>
  </si>
  <si>
    <t>melanie.johnson@gmail.com</t>
  </si>
  <si>
    <t>katherine.kim@hotmail.com</t>
  </si>
  <si>
    <t>john.jones@gmail.com</t>
  </si>
  <si>
    <t>bob.davidson@yahoo.com</t>
  </si>
  <si>
    <t>christopher.jackson@aol.com</t>
  </si>
  <si>
    <t>grace.smith@outlook.com</t>
  </si>
  <si>
    <t>john.davis@gmail.com</t>
  </si>
  <si>
    <t>ruby.jackson@hotmail.com</t>
  </si>
  <si>
    <t>daneil.smih@gmail.com</t>
  </si>
  <si>
    <t>grace.garcia@yahoo.com</t>
  </si>
  <si>
    <t>jane.lim@yahoo.com</t>
  </si>
  <si>
    <t>fiona.smith@hotmail.com</t>
  </si>
  <si>
    <t>nancy.jackson@yahoo.com</t>
  </si>
  <si>
    <t>wendy.ng@hotmail.com</t>
  </si>
  <si>
    <t>jasmine.lee@yahoo.com</t>
  </si>
  <si>
    <t>david.richardson@aol.com</t>
  </si>
  <si>
    <t>ava.garcia@outlook.com</t>
  </si>
  <si>
    <t>peter.jones@outlook.com</t>
  </si>
  <si>
    <t>roger.williams@aol.com</t>
  </si>
  <si>
    <t>frank.doe@yahoo.com</t>
  </si>
  <si>
    <t>david.doe@hotmail.com</t>
  </si>
  <si>
    <t>frank.white@yahoo.com</t>
  </si>
  <si>
    <t>robert.little@gmail.com</t>
  </si>
  <si>
    <t>charlie.brown@outlook.com</t>
  </si>
  <si>
    <t>bob.lee@gmail.com</t>
  </si>
  <si>
    <t>thalia.ferguson@gmail.com</t>
  </si>
  <si>
    <t>frank.johnson@yahoo.com</t>
  </si>
  <si>
    <t>pauline.smith@yahoo.com</t>
  </si>
  <si>
    <t>evan.rodriguez@outlook.com</t>
  </si>
  <si>
    <t>hannah.davis@yahoo.com</t>
  </si>
  <si>
    <t>ryan.kim@outlook.com</t>
  </si>
  <si>
    <t>christine.baker@yahoo.com</t>
  </si>
  <si>
    <t>harry.lopez@outlook.com</t>
  </si>
  <si>
    <t>ian.jones@yahoo.com</t>
  </si>
  <si>
    <t>alice.davidson@aol.com</t>
  </si>
  <si>
    <t>evan.johnson@gmail.com</t>
  </si>
  <si>
    <t>craig.volkov@hotmail.com</t>
  </si>
  <si>
    <t>keith.williams@gmail.com</t>
  </si>
  <si>
    <t>fiona.smith@yahoo.com</t>
  </si>
  <si>
    <t>ryan.chang@aol.com</t>
  </si>
  <si>
    <t>jack.brown@gmail.com</t>
  </si>
  <si>
    <t>frank.baker@yahoo.com</t>
  </si>
  <si>
    <t>alice.rodriguez@outlook.com</t>
  </si>
  <si>
    <t>nancy.miller@hotmail.com</t>
  </si>
  <si>
    <t>will.kim@aol.com</t>
  </si>
  <si>
    <t>jane.cooper@gmail.com</t>
  </si>
  <si>
    <t>ian.baker@aol.com</t>
  </si>
  <si>
    <t>alice.davis@gmail.com</t>
  </si>
  <si>
    <t>tina.rodriguez@outlook.com</t>
  </si>
  <si>
    <t>louis.rodriguez@hotmail.com</t>
  </si>
  <si>
    <t>fiona.williams@outlook.com</t>
  </si>
  <si>
    <t>charlie.doe@yahoo.com</t>
  </si>
  <si>
    <t>david.chen@hotmail.com</t>
  </si>
  <si>
    <t>olivia.miller@yahoo.com</t>
  </si>
  <si>
    <t>michelle.williams@hotmail.com</t>
  </si>
  <si>
    <t>john.smith@hotmail.com</t>
  </si>
  <si>
    <t>hannah.williams@outlook.com</t>
  </si>
  <si>
    <t>thomas.wu@outlook.com</t>
  </si>
  <si>
    <t>jane.rodriguez@outlook.com</t>
  </si>
  <si>
    <t>ryan.bush@outlook.com</t>
  </si>
  <si>
    <t>donald.glover@hotmail.com</t>
  </si>
  <si>
    <t>eva.davis@outlook.com</t>
  </si>
  <si>
    <t>tom.cooper@outlook.com</t>
  </si>
  <si>
    <t>charlie.little@yahoo.com</t>
  </si>
  <si>
    <t>john.brown@hotmail.com</t>
  </si>
  <si>
    <t>grace.perez@yahoo.com</t>
  </si>
  <si>
    <t>jane.young@outlook.com</t>
  </si>
  <si>
    <t>christopher.smith@hotmail.com</t>
  </si>
  <si>
    <t>thomas.jackson@hotmail.com</t>
  </si>
  <si>
    <t>daniel.glover@hotmail.com</t>
  </si>
  <si>
    <t>hannah.jones@gmail.com</t>
  </si>
  <si>
    <t>robert.bush@outlook.com</t>
  </si>
  <si>
    <t>nancy.perez@gmail.com</t>
  </si>
  <si>
    <t>jane.glover@gmail.com</t>
  </si>
  <si>
    <t>bob.richardson@gmail.com</t>
  </si>
  <si>
    <t>eva.chang@gmail.com</t>
  </si>
  <si>
    <t>bob.jiang@gmail.com</t>
  </si>
  <si>
    <t>daniel.wales@outlook.com</t>
  </si>
  <si>
    <t>grace.ferguson@outlook.com</t>
  </si>
  <si>
    <t>miles.williams@gmail.com</t>
  </si>
  <si>
    <t>christopher.cooper@aol.com</t>
  </si>
  <si>
    <t>david.wu@outlook.com</t>
  </si>
  <si>
    <t>thomas.johnson@hotmail.com</t>
  </si>
  <si>
    <t>frank.smith@hotmail.com</t>
  </si>
  <si>
    <t>ian.richardson@gmail.com</t>
  </si>
  <si>
    <t>charlie.liang@outlook.com</t>
  </si>
  <si>
    <t>olvia.chen@gmail.com</t>
  </si>
  <si>
    <t>sally.white@aol.com</t>
  </si>
  <si>
    <t>alice.davis@hotmail.com</t>
  </si>
  <si>
    <t>pauline.rodriguez@yahoo.com</t>
  </si>
  <si>
    <t>michelle.garcia@yahoo.com</t>
  </si>
  <si>
    <t>jasmine.white@yahoo.com</t>
  </si>
  <si>
    <t>alice.sharp@aol.com</t>
  </si>
  <si>
    <t>hannah.rodriguez@aol.com</t>
  </si>
  <si>
    <t>alice.young@outlook.com</t>
  </si>
  <si>
    <t>jack.martinez@aol.com</t>
  </si>
  <si>
    <t>timothy.ferguson@aol.com</t>
  </si>
  <si>
    <t>john.little@gmail.com</t>
  </si>
  <si>
    <t>daniel.chen@aol.com</t>
  </si>
  <si>
    <t>robert.white@aol.com</t>
  </si>
  <si>
    <t>tom.wales@gmail.com</t>
  </si>
  <si>
    <t>tina.johnson@outlook.com</t>
  </si>
  <si>
    <t>alice.white@gmail.com</t>
  </si>
  <si>
    <t>eva.lopez@yahoo.com</t>
  </si>
  <si>
    <t>grace.lim@aol.com</t>
  </si>
  <si>
    <t>olivia.lee@outlook.com</t>
  </si>
  <si>
    <t>alice.cooper@aol.com</t>
  </si>
  <si>
    <t>fiona.liang@gmail.com</t>
  </si>
  <si>
    <t>grace.cooper@outlook.com</t>
  </si>
  <si>
    <t>robert.martinez@hotmail.com</t>
  </si>
  <si>
    <t>thomas.volkov@outlook.com</t>
  </si>
  <si>
    <t>eva.davidson@gmail.com</t>
  </si>
  <si>
    <t>david.lim@gmail.com</t>
  </si>
  <si>
    <t>robert.cooper@gmail.com</t>
  </si>
  <si>
    <t>thomas.white@outlook.com</t>
  </si>
  <si>
    <t>greg.kim@hotmail.com</t>
  </si>
  <si>
    <t>frank.richardson@outlook.com</t>
  </si>
  <si>
    <t>vanessa.volkov@outlook.com</t>
  </si>
  <si>
    <t>rob.rodriguez@outlook.com</t>
  </si>
  <si>
    <t>harry.garcia@outlook.com</t>
  </si>
  <si>
    <t>frank.miller@yahoo.com</t>
  </si>
  <si>
    <t>eva.brown@outlook.com</t>
  </si>
  <si>
    <t>grace.jiang@hotmail.com</t>
  </si>
  <si>
    <t>kevin.cooper@gmail.com</t>
  </si>
  <si>
    <t>nancy.smith@yahoo.com</t>
  </si>
  <si>
    <t>olvia.rodriguez@gmail.com</t>
  </si>
  <si>
    <t>hannah.sharp@yahoo.com</t>
  </si>
  <si>
    <t>alice.lee@gmail.com</t>
  </si>
  <si>
    <t>jasmine.rodriguez@aol.com</t>
  </si>
  <si>
    <t>hannah.davis@outlook.com</t>
  </si>
  <si>
    <t>charlie.rodriguez@aol.com</t>
  </si>
  <si>
    <t>josephine.johnson@outlook.com</t>
  </si>
  <si>
    <t>bob.smith@aol.com</t>
  </si>
  <si>
    <t>louis.bush@outlook.com</t>
  </si>
  <si>
    <t>frank.cooper@hotmail.com</t>
  </si>
  <si>
    <t>david.davidson@aol.com</t>
  </si>
  <si>
    <t>ian.young@yahoo.com</t>
  </si>
  <si>
    <t>aidan.rodriguez@yahoo.com</t>
  </si>
  <si>
    <t>john.martinez@hotmail.com</t>
  </si>
  <si>
    <t>charlie.little@outlook.com</t>
  </si>
  <si>
    <t>alice.perez@gmail.com</t>
  </si>
  <si>
    <t>ryan.jackson@gmail.com</t>
  </si>
  <si>
    <t>nicholas.doe@gmail.com</t>
  </si>
  <si>
    <t>theresa.jackson@gmail.com</t>
  </si>
  <si>
    <t>harry.smith@gmail.com</t>
  </si>
  <si>
    <t>eva.lopez@aol.com</t>
  </si>
  <si>
    <t>olivia.glover@gmail.com</t>
  </si>
  <si>
    <t>grace.doe@gmail.com</t>
  </si>
  <si>
    <t>timothy.lee@outlook.com</t>
  </si>
  <si>
    <t>greg.lee@aol.com</t>
  </si>
  <si>
    <t>john.baker@yahoo.com</t>
  </si>
  <si>
    <t>grace.lee@gmail.com</t>
  </si>
  <si>
    <t>david.smirnov@yahoo.com</t>
  </si>
  <si>
    <t>eva.jackson@gmail.com</t>
  </si>
  <si>
    <t>alice.jones@outlook.com</t>
  </si>
  <si>
    <t>nancy.doe@yahoo.com</t>
  </si>
  <si>
    <t>charlie.bush@yahoo.com</t>
  </si>
  <si>
    <t>david.sun@gmail.com</t>
  </si>
  <si>
    <t>hannah.wu@aol.com</t>
  </si>
  <si>
    <t>felix.martinez@aol.com</t>
  </si>
  <si>
    <t>eva.rodriguez@yahoo.com</t>
  </si>
  <si>
    <t>wendy.liang@outlook.com</t>
  </si>
  <si>
    <t>rob.ferguson@gmail.com</t>
  </si>
  <si>
    <t>keith.richardson@hotmail.com</t>
  </si>
  <si>
    <t>felix.johnson@outlook.com</t>
  </si>
  <si>
    <t>michelle.ferguson@yahoo.com</t>
  </si>
  <si>
    <t>olivia.cooper@yahoo.com</t>
  </si>
  <si>
    <t>david.chang@outlook.com</t>
  </si>
  <si>
    <t>jane.smirnov@outlook.com</t>
  </si>
  <si>
    <t>bob.jiang@outlook.com</t>
  </si>
  <si>
    <t>john.jiang@yahoo.com</t>
  </si>
  <si>
    <t>michelle.smirnov@aol.com</t>
  </si>
  <si>
    <t>bob.ng@aol.com</t>
  </si>
  <si>
    <t>frank.volkov@aol.com</t>
  </si>
  <si>
    <t>grace.liang@hotmail.com</t>
  </si>
  <si>
    <t>thomas.rodriguez@yahoo.com</t>
  </si>
  <si>
    <t>jane.lee@hotmail.com</t>
  </si>
  <si>
    <t>david.johnson@outlook.com</t>
  </si>
  <si>
    <t>timothy.davis@gmail.com</t>
  </si>
  <si>
    <t>eva.rodriguez@hotmail.com</t>
  </si>
  <si>
    <t>frank.davidson@gmail.com</t>
  </si>
  <si>
    <t>ryan.doe@hotmail.com</t>
  </si>
  <si>
    <t>ian.garcia@gmail.com</t>
  </si>
  <si>
    <t>eva.brown@gmail.com</t>
  </si>
  <si>
    <t>jane.doe@aol.com</t>
  </si>
  <si>
    <t>sally.davis@hotmail.com</t>
  </si>
  <si>
    <t>david.chen@gmail.com</t>
  </si>
  <si>
    <t>olivia.baker@yahoo.com</t>
  </si>
  <si>
    <t>david.jones@hotmail.com</t>
  </si>
  <si>
    <t>daniel.wu@outlook.com</t>
  </si>
  <si>
    <t>frank.jackson@outlook.com</t>
  </si>
  <si>
    <t>hannah.jones@outlook.com</t>
  </si>
  <si>
    <t>david.rodriguez@yahoo.com</t>
  </si>
  <si>
    <t>jane.smith@gmail.com</t>
  </si>
  <si>
    <t>ava.garcia@gmail.com</t>
  </si>
  <si>
    <t>jane.sun@outlook.com</t>
  </si>
  <si>
    <t>david.cooper@hotmail.com</t>
  </si>
  <si>
    <t>nancy.little@yahoo.com</t>
  </si>
  <si>
    <t>bob.white@hotmail.com</t>
  </si>
  <si>
    <t>keith.doe@gmail.com</t>
  </si>
  <si>
    <t>eva.baker@aol.com</t>
  </si>
  <si>
    <t>hannah.sharp@outlook.com</t>
  </si>
  <si>
    <t>josephine.williams@hotmail.com</t>
  </si>
  <si>
    <t>christine.cooper@outlook.com</t>
  </si>
  <si>
    <t>ian.brown@hotmail.com</t>
  </si>
  <si>
    <t>ryan.lee@outlook.com</t>
  </si>
  <si>
    <t>tina.doe@aol.com</t>
  </si>
  <si>
    <t>hannah.lim@gmail.com</t>
  </si>
  <si>
    <t>louis.ferguson@gmail.com</t>
  </si>
  <si>
    <t>timothy.wu@gmail.com</t>
  </si>
  <si>
    <t>alice.young@hotmail.com</t>
  </si>
  <si>
    <t>frank.brown@outlook.com</t>
  </si>
  <si>
    <t>john.doe@yahoo.com</t>
  </si>
  <si>
    <t>mary.davis@gmail.com</t>
  </si>
  <si>
    <t>david.smith@yahoo.com</t>
  </si>
  <si>
    <t>aidan.williams@aol.com</t>
  </si>
  <si>
    <t>jane.ng@outlook.com</t>
  </si>
  <si>
    <t>frank.wu@outlook.com</t>
  </si>
  <si>
    <t>gregory.chang@yahoo.com</t>
  </si>
  <si>
    <t>frank.davis@hotmail.com</t>
  </si>
  <si>
    <t>grace.johnson@hotmail.com</t>
  </si>
  <si>
    <t>hannah.rodriguez@yahoo.com</t>
  </si>
  <si>
    <t>john.rodriguez@yahoo.com</t>
  </si>
  <si>
    <t>eva.smith@yahoo.com</t>
  </si>
  <si>
    <t>jane.rodriguez@gmail.com</t>
  </si>
  <si>
    <t>fiona.williams@hotmail.com</t>
  </si>
  <si>
    <t>josephine.doe@hotmail.com</t>
  </si>
  <si>
    <t>christine.perez@outlook.com</t>
  </si>
  <si>
    <t>michelle.young@gmail.com</t>
  </si>
  <si>
    <t>betty.jackson@hotmail.com</t>
  </si>
  <si>
    <t>hannah.garcia@yahoo.com</t>
  </si>
  <si>
    <t>thomas.smith@aol.com</t>
  </si>
  <si>
    <t>john.bush@gmail.com</t>
  </si>
  <si>
    <t>olivia.rodriguez@hotmail.com</t>
  </si>
  <si>
    <t>vanessa.lopez@yahoo.com</t>
  </si>
  <si>
    <t>grace.glover@outlook.com</t>
  </si>
  <si>
    <t>lisa.davidson@hotmail.com</t>
  </si>
  <si>
    <t>harry.smirnov@outlook.com</t>
  </si>
  <si>
    <t>frank.ferguson@aol.com</t>
  </si>
  <si>
    <t>felix.lee@hotmail.com</t>
  </si>
  <si>
    <t>bob.sharp@gmail.com</t>
  </si>
  <si>
    <t>victoria.richardson@outlook.com</t>
  </si>
  <si>
    <t>hannah.garcia@outlook.com</t>
  </si>
  <si>
    <t>victoria.jiang@aol.com</t>
  </si>
  <si>
    <t>wendy.williams@gmail.com</t>
  </si>
  <si>
    <t>mary.garcia@gmail.com</t>
  </si>
  <si>
    <t>victor.rodriguez@hotmail.com</t>
  </si>
  <si>
    <t>tina.perez@aol.com</t>
  </si>
  <si>
    <t>jasmine.ferguson@aol.com</t>
  </si>
  <si>
    <t>olivia.sharp@gmail.com</t>
  </si>
  <si>
    <t>eva.smirnov@yahoo.com</t>
  </si>
  <si>
    <t>jane.liang@outlook.com</t>
  </si>
  <si>
    <t>thomas.glover@hotmail.com</t>
  </si>
  <si>
    <t>ryan.brown@yahoo.com</t>
  </si>
  <si>
    <t>grace.williams@yahoo.com</t>
  </si>
  <si>
    <t>alice.smith@aol.com</t>
  </si>
  <si>
    <t>lisa.davidson@gmail.com</t>
  </si>
  <si>
    <t>john.rodriguez@hotmail.com</t>
  </si>
  <si>
    <t>jane.chang@gmail.com</t>
  </si>
  <si>
    <t>daniella.bush@aol.com</t>
  </si>
  <si>
    <t>eva.cooper@yahoo.com</t>
  </si>
  <si>
    <t>ava.rodriguez@hotmail.com</t>
  </si>
  <si>
    <t>pauline.wu@aol.com</t>
  </si>
  <si>
    <t>alice.miller@outlook.com</t>
  </si>
  <si>
    <t>william.thompson@gmail.com</t>
  </si>
  <si>
    <t>scott.ortiz@hotmail.com</t>
  </si>
  <si>
    <t>angela.collins@aol.com</t>
  </si>
  <si>
    <t>linda.wilson@outlook.com</t>
  </si>
  <si>
    <t>charles.campbell@hotmail.com</t>
  </si>
  <si>
    <t>patricia.rivera@outlook.com</t>
  </si>
  <si>
    <t>brenda.cruz@aol.com</t>
  </si>
  <si>
    <t>shirley.davis@yahoo.com</t>
  </si>
  <si>
    <t>jessica.roberts@gmail.com</t>
  </si>
  <si>
    <t>frank.scott@hotmail.com</t>
  </si>
  <si>
    <t>nancy.taylor@yahoo.com</t>
  </si>
  <si>
    <t>amy.anderson@yahoo.com</t>
  </si>
  <si>
    <t>brandon.peterson@yahoo.com</t>
  </si>
  <si>
    <t>steven.chavez@gmail.com</t>
  </si>
  <si>
    <t>amy.ruiz@hotmail.com</t>
  </si>
  <si>
    <t>mark.rogers@hotmail.com</t>
  </si>
  <si>
    <t>scott.williams@outlook.com</t>
  </si>
  <si>
    <t>charles.scott@aol.com</t>
  </si>
  <si>
    <t>amy.flores@yahoo.com</t>
  </si>
  <si>
    <t>matthew.hill@gmail.com</t>
  </si>
  <si>
    <t>patricia.james@hotmail.com</t>
  </si>
  <si>
    <t>kathleen.kelly@hotmail.com</t>
  </si>
  <si>
    <t>karen.gutierrez@hotmail.com</t>
  </si>
  <si>
    <t>nicholas.lee@gmail.com</t>
  </si>
  <si>
    <t>jack.bennett@yahoo.com</t>
  </si>
  <si>
    <t>janet.wood@aol.com</t>
  </si>
  <si>
    <t>rachel.hughes@yahoo.com</t>
  </si>
  <si>
    <t>nancy.hall@aol.com</t>
  </si>
  <si>
    <t>kimberly.garcia@outlook.com</t>
  </si>
  <si>
    <t>anthony.anderson@hotmail.com</t>
  </si>
  <si>
    <t>helen.ruiz@yahoo.com</t>
  </si>
  <si>
    <t>matthew.allen@outlook.com</t>
  </si>
  <si>
    <t>jessica.white@aol.com</t>
  </si>
  <si>
    <t>lisa.alvarez@yahoo.com</t>
  </si>
  <si>
    <t>paul.watson@hotmail.com</t>
  </si>
  <si>
    <t>anna.miller@hotmail.com</t>
  </si>
  <si>
    <t>amanda.harris@gmail.com</t>
  </si>
  <si>
    <t>gregory.hall@gmail.com</t>
  </si>
  <si>
    <t>thomas.hill@aol.com</t>
  </si>
  <si>
    <t>gary.phillips@yahoo.com</t>
  </si>
  <si>
    <t>benjamin.moore@gmail.com</t>
  </si>
  <si>
    <t>sandra.young@gmail.com</t>
  </si>
  <si>
    <t>brenda.ward@yahoo.com</t>
  </si>
  <si>
    <t>nancy.cook@gmail.com</t>
  </si>
  <si>
    <t>steven.bennett@gmail.com</t>
  </si>
  <si>
    <t>deborah.myers@gmail.com</t>
  </si>
  <si>
    <t>kimberly.ward@hotmail.com</t>
  </si>
  <si>
    <t>donald.ramos@aol.com</t>
  </si>
  <si>
    <t>sandra.cooper@hotmail.com</t>
  </si>
  <si>
    <t>nicole.clark@yahoo.com</t>
  </si>
  <si>
    <t>gregory.walker@yahoo.com</t>
  </si>
  <si>
    <t>barbara.gomez@outlook.com</t>
  </si>
  <si>
    <t>thomas.flores@aol.com</t>
  </si>
  <si>
    <t>alexander.ruiz@gmail.com</t>
  </si>
  <si>
    <t>lisa.white@outlook.com</t>
  </si>
  <si>
    <t>jack.cox@hotmail.com</t>
  </si>
  <si>
    <t>barbara.ramos@outlook.com</t>
  </si>
  <si>
    <t>ruth.martinez@yahoo.com</t>
  </si>
  <si>
    <t>anna.reyes@outlook.com</t>
  </si>
  <si>
    <t>michelle.edwards@outlook.com</t>
  </si>
  <si>
    <t>andrew.robinson@gmail.com</t>
  </si>
  <si>
    <t>donald.richardson@gmail.com</t>
  </si>
  <si>
    <t>amy.white@gmail.com</t>
  </si>
  <si>
    <t>thomas.nelson@aol.com</t>
  </si>
  <si>
    <t>emily.james@hotmail.com</t>
  </si>
  <si>
    <t>maria.richardson@aol.com</t>
  </si>
  <si>
    <t>gary.ortiz@aol.com</t>
  </si>
  <si>
    <t>carol.wilson@aol.com</t>
  </si>
  <si>
    <t>david.anderson@aol.com</t>
  </si>
  <si>
    <t>gregory.white@outlook.com</t>
  </si>
  <si>
    <t>helen.thomas@outlook.com</t>
  </si>
  <si>
    <t>samantha.ruiz@outlook.com</t>
  </si>
  <si>
    <t>george.thomas@yahoo.com</t>
  </si>
  <si>
    <t>joseph.hughes@hotmail.com</t>
  </si>
  <si>
    <t>frank.moore@hotmail.com</t>
  </si>
  <si>
    <t>james.jimenez@gmail.com</t>
  </si>
  <si>
    <t>justin.scott@gmail.com</t>
  </si>
  <si>
    <t>benjamin.robinson@hotmail.com</t>
  </si>
  <si>
    <t>kathleen.chavez@yahoo.com</t>
  </si>
  <si>
    <t>patricia.roberts@gmail.com</t>
  </si>
  <si>
    <t>samuel.reed@aol.com</t>
  </si>
  <si>
    <t>samuel.thomas@yahoo.com</t>
  </si>
  <si>
    <t>sarah.hernandez@outlook.com</t>
  </si>
  <si>
    <t>mary.white@outlook.com</t>
  </si>
  <si>
    <t>catherine.peterson@gmail.com</t>
  </si>
  <si>
    <t>alexander.ruiz@outlook.com</t>
  </si>
  <si>
    <t>alexander.taylor@outlook.com</t>
  </si>
  <si>
    <t>ashley.martin@gmail.com</t>
  </si>
  <si>
    <t>amanda.clark@hotmail.com</t>
  </si>
  <si>
    <t>brian.howard@outlook.com</t>
  </si>
  <si>
    <t>nicole.roberts@aol.com</t>
  </si>
  <si>
    <t>steven.garcia@aol.com</t>
  </si>
  <si>
    <t>edward.mitchell@gmail.com</t>
  </si>
  <si>
    <t>ashley.flores@yahoo.com</t>
  </si>
  <si>
    <t>stephanie.white@hotmail.com</t>
  </si>
  <si>
    <t>justin.nelson@hotmail.com</t>
  </si>
  <si>
    <t>nancy.garcia@yahoo.com</t>
  </si>
  <si>
    <t>rebecca.gomez@gmail.com</t>
  </si>
  <si>
    <t>ronald.kim@outlook.com</t>
  </si>
  <si>
    <t>gregory.gomez@gmail.com</t>
  </si>
  <si>
    <t>joshua.lee@aol.com</t>
  </si>
  <si>
    <t>ruth.allen@outlook.com</t>
  </si>
  <si>
    <t>william.morgan@hotmail.com</t>
  </si>
  <si>
    <t>john.campbell@yahoo.com</t>
  </si>
  <si>
    <t>justin.allen@hotmail.com</t>
  </si>
  <si>
    <t>edward.sanders@aol.com</t>
  </si>
  <si>
    <t>carolyn.foster@outlook.com</t>
  </si>
  <si>
    <t>jeffrey.richardson@hotmail.com</t>
  </si>
  <si>
    <t>richard.white@aol.com</t>
  </si>
  <si>
    <t>kathleen.miller@gmail.com</t>
  </si>
  <si>
    <t>donald.long@gmail.com</t>
  </si>
  <si>
    <t>carolyn.morales@yahoo.com</t>
  </si>
  <si>
    <t>mark.reed@aol.com</t>
  </si>
  <si>
    <t>justin.mendoza@outlook.com</t>
  </si>
  <si>
    <t>donald.cook@yahoo.com</t>
  </si>
  <si>
    <t>rebecca.anderson@gmail.com</t>
  </si>
  <si>
    <t>raymond.chavez@outlook.com</t>
  </si>
  <si>
    <t>carolyn.nguyen@outlook.com</t>
  </si>
  <si>
    <t>steven.mendoza@outlook.com</t>
  </si>
  <si>
    <t>kimberly.watson@aol.com</t>
  </si>
  <si>
    <t>stephanie.gonzalez@gmail.com</t>
  </si>
  <si>
    <t>gary.wilson@gmail.com</t>
  </si>
  <si>
    <t>deborah.hughes@outlook.com</t>
  </si>
  <si>
    <t>catherine.lewis@yahoo.com</t>
  </si>
  <si>
    <t>christopher.evans@gmail.com</t>
  </si>
  <si>
    <t>barbara.rogers@yahoo.com</t>
  </si>
  <si>
    <t>anthony.adams@aol.com</t>
  </si>
  <si>
    <t>sarah.kelly@hotmail.com</t>
  </si>
  <si>
    <t>charles.young@hotmail.com</t>
  </si>
  <si>
    <t>eric.evans@hotmail.com</t>
  </si>
  <si>
    <t>michael.richardson@gmail.com</t>
  </si>
  <si>
    <t>brenda.gutierrez@aol.com</t>
  </si>
  <si>
    <t>richard.gutierrez@yahoo.com</t>
  </si>
  <si>
    <t>jerry.watson@yahoo.com</t>
  </si>
  <si>
    <t>christopher.jones@outlook.com</t>
  </si>
  <si>
    <t>george.phillips@gmail.com</t>
  </si>
  <si>
    <t>nicole.garcia@aol.com</t>
  </si>
  <si>
    <t>scott.brooks@gmail.com</t>
  </si>
  <si>
    <t>emma.ramos@hotmail.com</t>
  </si>
  <si>
    <t>rebecca.stewart@outlook.com</t>
  </si>
  <si>
    <t>alexander.brooks@gmail.com</t>
  </si>
  <si>
    <t>joshua.martinez@hotmail.com</t>
  </si>
  <si>
    <t>jacob.ramos@yahoo.com</t>
  </si>
  <si>
    <t>rachel.mendoza@yahoo.com</t>
  </si>
  <si>
    <t>stephen.hill@outlook.com</t>
  </si>
  <si>
    <t>andrew.green@outlook.com</t>
  </si>
  <si>
    <t>kathleen.rodriguez@outlook.com</t>
  </si>
  <si>
    <t>pamela.diaz@outlook.com</t>
  </si>
  <si>
    <t>charles.morales@aol.com</t>
  </si>
  <si>
    <t>andrew.walker@gmail.com</t>
  </si>
  <si>
    <t>lisa.bennett@hotmail.com</t>
  </si>
  <si>
    <t>donald.jimenez@aol.com</t>
  </si>
  <si>
    <t>maria.rodriguez@outlook.com</t>
  </si>
  <si>
    <t>nicole.bennett@aol.com</t>
  </si>
  <si>
    <t>stephanie.hill@yahoo.com</t>
  </si>
  <si>
    <t>raymond.anderson@gmail.com</t>
  </si>
  <si>
    <t>jennifer.gutierrez@gmail.com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</si>
</sst>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###-###-####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cleaned_patient_demograph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eaning_patient_demograph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eaning_patient_appointment_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eaned_patient_appointment_m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eaning_patient_contac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eaned_patient_contac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806" displayName="Table4" name="Table4" id="1">
  <autoFilter ref="$A$1:$V$806"/>
  <tableColumns count="22">
    <tableColumn name="Patient_ID" id="1"/>
    <tableColumn name="First_Name" id="2"/>
    <tableColumn name="First_Name_Fix" id="3"/>
    <tableColumn name="First_Name_Values" id="4"/>
    <tableColumn name="Last_Name" id="5"/>
    <tableColumn name="Last_Name_Fix" id="6"/>
    <tableColumn name="Last_Name_Values" id="7"/>
    <tableColumn name="Age" id="8"/>
    <tableColumn name="Age_Fix" id="9"/>
    <tableColumn name="Age_Values" id="10"/>
    <tableColumn name="Age_Groups" id="11"/>
    <tableColumn name="Age_Groups_Values" id="12"/>
    <tableColumn name="Gender" id="13"/>
    <tableColumn name="Gender_Fix" id="14"/>
    <tableColumn name="Gender_Values" id="15"/>
    <tableColumn name="State" id="16"/>
    <tableColumn name="Primary_Diagnosis" id="17"/>
    <tableColumn name="Department_Specialty" id="18"/>
    <tableColumn name="Insurance_Provider" id="19"/>
    <tableColumn name="Out_of_Pocket_YTD" id="20"/>
    <tableColumn name="Out_of_Pocket_YTD_Fix" id="21"/>
    <tableColumn name="Out_of_Pocket_YTD_Values" id="22"/>
  </tableColumns>
  <tableStyleInfo name="cleaning_patient_demographics-style" showColumnStripes="0" showFirstColumn="1" showLastColumn="1" showRowStripes="1"/>
</table>
</file>

<file path=xl/tables/table2.xml><?xml version="1.0" encoding="utf-8"?>
<table xmlns="http://schemas.openxmlformats.org/spreadsheetml/2006/main" ref="A1:K806" displayName="Demographics" name="Demographics" id="2">
  <autoFilter ref="$A$1:$K$806"/>
  <tableColumns count="11">
    <tableColumn name="Patient_ID" id="1"/>
    <tableColumn name="First_Name" id="2"/>
    <tableColumn name="Last_Name" id="3"/>
    <tableColumn name="Age" id="4"/>
    <tableColumn name="Age_Groups" id="5"/>
    <tableColumn name="Gender" id="6"/>
    <tableColumn name="State" id="7"/>
    <tableColumn name="Primary_Diagnosis" id="8"/>
    <tableColumn name="Department_Specialty" id="9"/>
    <tableColumn name="Insurance_Provider" id="10"/>
    <tableColumn name="Out_of_Pocket_YTD" id="11"/>
  </tableColumns>
  <tableStyleInfo name="cleaned_patient_demographics-style" showColumnStripes="0" showFirstColumn="1" showLastColumn="1" showRowStripes="1"/>
</table>
</file>

<file path=xl/tables/table3.xml><?xml version="1.0" encoding="utf-8"?>
<table xmlns="http://schemas.openxmlformats.org/spreadsheetml/2006/main" ref="A1:R806" displayName="Table3" name="Table3" id="3">
  <autoFilter ref="$A$1:$R$806"/>
  <tableColumns count="18">
    <tableColumn name="Patient_ID" id="1"/>
    <tableColumn name="Referral_Sources" id="2"/>
    <tableColumn name="Website_Visits" id="3"/>
    <tableColumn name="Page_Views" id="4"/>
    <tableColumn name="Booking_Time_Mins" id="5"/>
    <tableColumn name="Booking_Time_Mins_Fix" id="6"/>
    <tableColumn name="Booking_Time_Mins_Values" id="7"/>
    <tableColumn name="Avg_Wait_Time_Mins" id="8"/>
    <tableColumn name="Avg_Appointment_Time_Mins" id="9"/>
    <tableColumn name="Total_Visits" id="10"/>
    <tableColumn name="Missed_Appointments" id="11"/>
    <tableColumn name="Last_Visit_Date" id="12"/>
    <tableColumn name="Satisfaction_Score" id="13"/>
    <tableColumn name="Churn_Status" id="14"/>
    <tableColumn name="Churn_Status_Updated" id="15"/>
    <tableColumn name="Churn_Status_Updated_Values" id="16"/>
    <tableColumn name="Churn_Status_Boolean" id="17"/>
    <tableColumn name="Churn_Status_Boolean_Values" id="18"/>
  </tableColumns>
  <tableStyleInfo name="cleaning_patient_appointment_me-style" showColumnStripes="0" showFirstColumn="1" showLastColumn="1" showRowStripes="1"/>
</table>
</file>

<file path=xl/tables/table4.xml><?xml version="1.0" encoding="utf-8"?>
<table xmlns="http://schemas.openxmlformats.org/spreadsheetml/2006/main" ref="A1:M806" displayName="Appointment_Metrics" name="Appointment_Metrics" id="4">
  <autoFilter ref="$A$1:$M$806"/>
  <tableColumns count="13">
    <tableColumn name="Patient_ID" id="1"/>
    <tableColumn name="Referral_Sources" id="2"/>
    <tableColumn name="Website_Visits" id="3"/>
    <tableColumn name="Page_Views" id="4"/>
    <tableColumn name="Booking_Time_Mins" id="5"/>
    <tableColumn name="Avg_Wait_Time_Mins" id="6"/>
    <tableColumn name="Avg_Appointment_Time_Mins" id="7"/>
    <tableColumn name="Total_Visits" id="8"/>
    <tableColumn name="Missed_Appointments" id="9"/>
    <tableColumn name="Last_Visit_Date" id="10"/>
    <tableColumn name="Satisfaction_Score" id="11"/>
    <tableColumn name="Churn_Status_Updated" id="12"/>
    <tableColumn name="Churn_Status_Boolean" id="13"/>
  </tableColumns>
  <tableStyleInfo name="cleaned_patient_appointment_met-style" showColumnStripes="0" showFirstColumn="1" showLastColumn="1" showRowStripes="1"/>
</table>
</file>

<file path=xl/tables/table5.xml><?xml version="1.0" encoding="utf-8"?>
<table xmlns="http://schemas.openxmlformats.org/spreadsheetml/2006/main" ref="A1:I806" displayName="Table1" name="Table1" id="5">
  <tableColumns count="9">
    <tableColumn name="Patient_ID" id="1"/>
    <tableColumn name="Phone_Number" id="2"/>
    <tableColumn name="Phone_Number_Fix" id="3"/>
    <tableColumn name="Phone_Number_Formatted" id="4"/>
    <tableColumn name="Email" id="5"/>
    <tableColumn name="Email_Fix" id="6"/>
    <tableColumn name="Email_Values" id="7"/>
    <tableColumn name="Last_Patient_Outreach_Date" id="8"/>
    <tableColumn name="Last_Patient_Response_Date" id="9"/>
  </tableColumns>
  <tableStyleInfo name="cleaning_patient_contact-style" showColumnStripes="0" showFirstColumn="1" showLastColumn="1" showRowStripes="1"/>
</table>
</file>

<file path=xl/tables/table6.xml><?xml version="1.0" encoding="utf-8"?>
<table xmlns="http://schemas.openxmlformats.org/spreadsheetml/2006/main" ref="A1:E806" displayName="Contact" name="Contact" id="6">
  <tableColumns count="5">
    <tableColumn name="Patient_ID" id="1"/>
    <tableColumn name="Phone_Number" id="2"/>
    <tableColumn name="Email" id="3"/>
    <tableColumn name="Last_Patient_Outreach_Date" id="4"/>
    <tableColumn name="Last_Patient_Response_Date" id="5"/>
  </tableColumns>
  <tableStyleInfo name="cleaned_patient_conta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11</v>
      </c>
      <c r="G1" s="1" t="s">
        <v>13</v>
      </c>
      <c r="H1" s="1" t="s">
        <v>15</v>
      </c>
      <c r="I1" s="1" t="s">
        <v>18</v>
      </c>
      <c r="J1" s="1" t="s">
        <v>20</v>
      </c>
    </row>
    <row r="2">
      <c r="A2" s="1" t="s">
        <v>21</v>
      </c>
      <c r="B2" s="1" t="s">
        <v>24</v>
      </c>
      <c r="C2" s="1" t="s">
        <v>25</v>
      </c>
      <c r="D2" s="2" t="s">
        <v>26</v>
      </c>
      <c r="E2" s="1" t="s">
        <v>28</v>
      </c>
      <c r="F2" s="1" t="s">
        <v>30</v>
      </c>
      <c r="G2" s="1" t="s">
        <v>32</v>
      </c>
      <c r="H2" s="1" t="s">
        <v>34</v>
      </c>
      <c r="I2" s="1" t="s">
        <v>35</v>
      </c>
      <c r="J2" s="2" t="s">
        <v>37</v>
      </c>
    </row>
    <row r="3">
      <c r="A3" s="1" t="s">
        <v>40</v>
      </c>
      <c r="B3" s="1" t="s">
        <v>41</v>
      </c>
      <c r="C3" s="1" t="s">
        <v>42</v>
      </c>
      <c r="D3" s="2" t="s">
        <v>43</v>
      </c>
      <c r="E3" s="1" t="s">
        <v>45</v>
      </c>
      <c r="F3" s="1" t="s">
        <v>47</v>
      </c>
      <c r="G3" s="1" t="s">
        <v>49</v>
      </c>
      <c r="H3" s="1" t="s">
        <v>50</v>
      </c>
      <c r="I3" s="1" t="s">
        <v>52</v>
      </c>
      <c r="J3" s="2" t="s">
        <v>55</v>
      </c>
    </row>
    <row r="4">
      <c r="A4" s="1" t="s">
        <v>57</v>
      </c>
      <c r="B4" s="1" t="s">
        <v>59</v>
      </c>
      <c r="C4" s="1" t="s">
        <v>61</v>
      </c>
      <c r="D4" s="2" t="s">
        <v>63</v>
      </c>
      <c r="E4" s="1" t="s">
        <v>45</v>
      </c>
      <c r="F4" s="1" t="s">
        <v>64</v>
      </c>
      <c r="G4" s="1" t="s">
        <v>66</v>
      </c>
      <c r="H4" s="1" t="s">
        <v>67</v>
      </c>
      <c r="I4" s="1" t="s">
        <v>52</v>
      </c>
      <c r="J4" s="2" t="s">
        <v>70</v>
      </c>
    </row>
    <row r="5">
      <c r="A5" s="1" t="s">
        <v>72</v>
      </c>
      <c r="B5" s="1" t="s">
        <v>74</v>
      </c>
      <c r="C5" s="1" t="s">
        <v>76</v>
      </c>
      <c r="D5" s="2" t="s">
        <v>78</v>
      </c>
      <c r="E5" s="1" t="s">
        <v>80</v>
      </c>
      <c r="F5" s="1" t="s">
        <v>81</v>
      </c>
      <c r="G5" s="1" t="s">
        <v>82</v>
      </c>
      <c r="H5" s="1" t="s">
        <v>83</v>
      </c>
      <c r="I5" s="1" t="s">
        <v>52</v>
      </c>
      <c r="J5" s="2" t="s">
        <v>85</v>
      </c>
    </row>
    <row r="6">
      <c r="A6" s="1" t="s">
        <v>87</v>
      </c>
      <c r="B6" s="1" t="s">
        <v>89</v>
      </c>
      <c r="C6" s="1" t="s">
        <v>90</v>
      </c>
      <c r="D6" s="2" t="s">
        <v>91</v>
      </c>
      <c r="E6" s="1" t="s">
        <v>28</v>
      </c>
      <c r="F6" s="1" t="s">
        <v>64</v>
      </c>
      <c r="G6" s="1" t="s">
        <v>94</v>
      </c>
      <c r="H6" s="1" t="s">
        <v>96</v>
      </c>
      <c r="I6" s="1" t="s">
        <v>97</v>
      </c>
      <c r="J6" s="2" t="s">
        <v>98</v>
      </c>
    </row>
    <row r="7">
      <c r="A7" s="1" t="s">
        <v>99</v>
      </c>
      <c r="B7" s="1" t="s">
        <v>100</v>
      </c>
      <c r="C7" s="1" t="s">
        <v>101</v>
      </c>
      <c r="D7" s="2" t="s">
        <v>103</v>
      </c>
      <c r="E7" s="1" t="s">
        <v>105</v>
      </c>
      <c r="F7" s="1" t="s">
        <v>107</v>
      </c>
      <c r="G7" s="1" t="s">
        <v>109</v>
      </c>
      <c r="H7" s="1" t="s">
        <v>110</v>
      </c>
      <c r="I7" s="1" t="s">
        <v>97</v>
      </c>
      <c r="J7" s="2" t="s">
        <v>112</v>
      </c>
    </row>
    <row r="8">
      <c r="A8" s="1" t="s">
        <v>99</v>
      </c>
      <c r="B8" s="1" t="s">
        <v>100</v>
      </c>
      <c r="C8" s="1" t="s">
        <v>101</v>
      </c>
      <c r="D8" s="2" t="s">
        <v>103</v>
      </c>
      <c r="E8" s="1" t="s">
        <v>105</v>
      </c>
      <c r="F8" s="1" t="s">
        <v>107</v>
      </c>
      <c r="G8" s="1" t="s">
        <v>109</v>
      </c>
      <c r="H8" s="1" t="s">
        <v>110</v>
      </c>
      <c r="I8" s="1" t="s">
        <v>97</v>
      </c>
      <c r="J8" s="2" t="s">
        <v>112</v>
      </c>
    </row>
    <row r="9">
      <c r="A9" s="1" t="s">
        <v>119</v>
      </c>
      <c r="B9" s="1" t="s">
        <v>120</v>
      </c>
      <c r="C9" s="1" t="s">
        <v>121</v>
      </c>
      <c r="D9" s="2" t="s">
        <v>122</v>
      </c>
      <c r="E9" s="1" t="s">
        <v>28</v>
      </c>
      <c r="F9" s="1" t="s">
        <v>107</v>
      </c>
      <c r="G9" s="1" t="s">
        <v>123</v>
      </c>
      <c r="H9" s="1" t="s">
        <v>124</v>
      </c>
      <c r="I9" s="1" t="s">
        <v>52</v>
      </c>
      <c r="J9" s="2" t="s">
        <v>125</v>
      </c>
    </row>
    <row r="10">
      <c r="A10" s="1" t="s">
        <v>126</v>
      </c>
      <c r="B10" s="1" t="s">
        <v>127</v>
      </c>
      <c r="C10" s="1" t="s">
        <v>128</v>
      </c>
      <c r="D10" s="2" t="s">
        <v>129</v>
      </c>
      <c r="E10" s="1" t="s">
        <v>130</v>
      </c>
      <c r="F10" s="1" t="s">
        <v>131</v>
      </c>
      <c r="G10" s="1" t="s">
        <v>132</v>
      </c>
      <c r="H10" s="1" t="s">
        <v>67</v>
      </c>
      <c r="I10" s="1" t="s">
        <v>97</v>
      </c>
      <c r="J10" s="2" t="s">
        <v>133</v>
      </c>
    </row>
    <row r="11">
      <c r="A11" s="1" t="s">
        <v>134</v>
      </c>
      <c r="B11" s="1" t="s">
        <v>136</v>
      </c>
      <c r="C11" s="1" t="s">
        <v>137</v>
      </c>
      <c r="D11" s="2" t="s">
        <v>139</v>
      </c>
      <c r="E11" s="1" t="s">
        <v>45</v>
      </c>
      <c r="F11" s="1" t="s">
        <v>141</v>
      </c>
      <c r="G11" s="1" t="s">
        <v>142</v>
      </c>
      <c r="H11" s="1" t="s">
        <v>143</v>
      </c>
      <c r="I11" s="1" t="s">
        <v>97</v>
      </c>
      <c r="J11" s="2" t="s">
        <v>144</v>
      </c>
    </row>
    <row r="12">
      <c r="A12" s="1" t="s">
        <v>145</v>
      </c>
      <c r="B12" s="1" t="s">
        <v>147</v>
      </c>
      <c r="C12" s="1" t="s">
        <v>148</v>
      </c>
      <c r="D12" s="2" t="s">
        <v>150</v>
      </c>
      <c r="E12" s="1" t="s">
        <v>152</v>
      </c>
      <c r="F12" s="1" t="s">
        <v>81</v>
      </c>
      <c r="G12" s="1" t="s">
        <v>109</v>
      </c>
      <c r="H12" s="1" t="s">
        <v>110</v>
      </c>
      <c r="I12" s="1" t="s">
        <v>97</v>
      </c>
      <c r="J12" s="2" t="s">
        <v>155</v>
      </c>
    </row>
    <row r="13">
      <c r="A13" s="1" t="s">
        <v>156</v>
      </c>
      <c r="B13" s="1" t="s">
        <v>158</v>
      </c>
      <c r="C13" s="1" t="s">
        <v>159</v>
      </c>
      <c r="D13" s="2" t="s">
        <v>161</v>
      </c>
      <c r="E13" s="1" t="s">
        <v>45</v>
      </c>
      <c r="F13" s="1" t="s">
        <v>47</v>
      </c>
      <c r="G13" s="1" t="s">
        <v>164</v>
      </c>
      <c r="H13" s="1" t="s">
        <v>165</v>
      </c>
      <c r="I13" s="1" t="s">
        <v>35</v>
      </c>
      <c r="J13" s="2" t="s">
        <v>168</v>
      </c>
    </row>
    <row r="14">
      <c r="A14" s="1" t="s">
        <v>169</v>
      </c>
      <c r="B14" s="1" t="s">
        <v>171</v>
      </c>
      <c r="C14" s="1" t="s">
        <v>172</v>
      </c>
      <c r="D14" s="2" t="s">
        <v>173</v>
      </c>
      <c r="E14" s="1" t="s">
        <v>130</v>
      </c>
      <c r="F14" s="1" t="s">
        <v>176</v>
      </c>
      <c r="G14" s="1" t="s">
        <v>177</v>
      </c>
      <c r="H14" s="1" t="s">
        <v>179</v>
      </c>
      <c r="I14" s="1" t="s">
        <v>97</v>
      </c>
      <c r="J14" s="2" t="s">
        <v>181</v>
      </c>
    </row>
    <row r="15">
      <c r="A15" s="1" t="s">
        <v>182</v>
      </c>
      <c r="B15" s="1" t="s">
        <v>183</v>
      </c>
      <c r="C15" s="1" t="s">
        <v>184</v>
      </c>
      <c r="D15" s="2" t="s">
        <v>185</v>
      </c>
      <c r="E15" s="1" t="s">
        <v>80</v>
      </c>
      <c r="F15" s="1" t="s">
        <v>141</v>
      </c>
      <c r="G15" s="1" t="s">
        <v>188</v>
      </c>
      <c r="H15" s="1" t="s">
        <v>189</v>
      </c>
      <c r="I15" s="1" t="s">
        <v>97</v>
      </c>
      <c r="J15" s="2" t="s">
        <v>190</v>
      </c>
    </row>
    <row r="16">
      <c r="A16" s="1" t="s">
        <v>192</v>
      </c>
      <c r="B16" s="1" t="s">
        <v>193</v>
      </c>
      <c r="C16" s="1" t="s">
        <v>194</v>
      </c>
      <c r="D16" s="2" t="s">
        <v>195</v>
      </c>
      <c r="E16" s="1" t="s">
        <v>45</v>
      </c>
      <c r="F16" s="1" t="s">
        <v>30</v>
      </c>
      <c r="G16" s="1" t="s">
        <v>196</v>
      </c>
      <c r="H16" s="1" t="s">
        <v>197</v>
      </c>
      <c r="I16" s="1" t="s">
        <v>97</v>
      </c>
      <c r="J16" s="2" t="s">
        <v>200</v>
      </c>
    </row>
    <row r="17">
      <c r="A17" s="1" t="s">
        <v>202</v>
      </c>
      <c r="B17" s="1" t="s">
        <v>204</v>
      </c>
      <c r="C17" s="1" t="s">
        <v>205</v>
      </c>
      <c r="D17" s="2" t="s">
        <v>207</v>
      </c>
      <c r="E17" s="1" t="s">
        <v>28</v>
      </c>
      <c r="F17" s="1" t="s">
        <v>208</v>
      </c>
      <c r="G17" s="1" t="s">
        <v>209</v>
      </c>
      <c r="H17" s="1" t="s">
        <v>210</v>
      </c>
      <c r="I17" s="1" t="s">
        <v>211</v>
      </c>
      <c r="J17" s="2" t="s">
        <v>212</v>
      </c>
    </row>
    <row r="18">
      <c r="A18" s="1" t="s">
        <v>214</v>
      </c>
      <c r="B18" s="1" t="s">
        <v>127</v>
      </c>
      <c r="C18" s="1" t="s">
        <v>216</v>
      </c>
      <c r="D18" s="2" t="s">
        <v>217</v>
      </c>
      <c r="E18" s="1" t="s">
        <v>130</v>
      </c>
      <c r="F18" s="1" t="s">
        <v>47</v>
      </c>
      <c r="G18" s="1" t="s">
        <v>220</v>
      </c>
      <c r="H18" s="1" t="s">
        <v>221</v>
      </c>
      <c r="I18" s="1" t="s">
        <v>222</v>
      </c>
      <c r="J18" s="2" t="s">
        <v>223</v>
      </c>
    </row>
    <row r="19">
      <c r="A19" s="1" t="s">
        <v>225</v>
      </c>
      <c r="B19" s="1" t="s">
        <v>227</v>
      </c>
      <c r="C19" s="1" t="s">
        <v>128</v>
      </c>
      <c r="D19" s="2" t="s">
        <v>229</v>
      </c>
      <c r="E19" s="1" t="s">
        <v>130</v>
      </c>
      <c r="F19" s="1" t="s">
        <v>47</v>
      </c>
      <c r="G19" s="1" t="s">
        <v>230</v>
      </c>
      <c r="H19" s="1" t="s">
        <v>231</v>
      </c>
      <c r="I19" s="1" t="s">
        <v>97</v>
      </c>
      <c r="J19" s="2" t="s">
        <v>232</v>
      </c>
    </row>
    <row r="20">
      <c r="A20" s="1" t="s">
        <v>233</v>
      </c>
      <c r="B20" s="1" t="s">
        <v>234</v>
      </c>
      <c r="C20" s="1" t="s">
        <v>137</v>
      </c>
      <c r="D20" s="2" t="s">
        <v>236</v>
      </c>
      <c r="E20" s="1" t="s">
        <v>45</v>
      </c>
      <c r="F20" s="1" t="s">
        <v>237</v>
      </c>
      <c r="G20" s="1" t="s">
        <v>238</v>
      </c>
      <c r="H20" s="1" t="s">
        <v>240</v>
      </c>
      <c r="I20" s="1" t="s">
        <v>52</v>
      </c>
      <c r="J20" s="2" t="s">
        <v>241</v>
      </c>
    </row>
    <row r="21">
      <c r="A21" s="1" t="s">
        <v>242</v>
      </c>
      <c r="B21" s="1" t="s">
        <v>243</v>
      </c>
      <c r="C21" s="1" t="s">
        <v>244</v>
      </c>
      <c r="D21" s="2" t="s">
        <v>92</v>
      </c>
      <c r="E21" s="1" t="s">
        <v>130</v>
      </c>
      <c r="F21" s="1" t="s">
        <v>30</v>
      </c>
      <c r="G21" s="1" t="s">
        <v>249</v>
      </c>
      <c r="H21" s="1" t="s">
        <v>83</v>
      </c>
      <c r="I21" s="1" t="s">
        <v>35</v>
      </c>
      <c r="J21" s="2" t="s">
        <v>252</v>
      </c>
    </row>
    <row r="22">
      <c r="A22" s="1" t="s">
        <v>253</v>
      </c>
      <c r="B22" s="1" t="s">
        <v>171</v>
      </c>
      <c r="C22" s="1" t="s">
        <v>254</v>
      </c>
      <c r="D22" s="2" t="s">
        <v>255</v>
      </c>
      <c r="E22" s="1" t="s">
        <v>152</v>
      </c>
      <c r="F22" s="1" t="s">
        <v>256</v>
      </c>
      <c r="G22" s="1" t="s">
        <v>258</v>
      </c>
      <c r="H22" s="1" t="s">
        <v>260</v>
      </c>
      <c r="I22" s="1" t="s">
        <v>97</v>
      </c>
      <c r="J22" s="2" t="s">
        <v>261</v>
      </c>
    </row>
    <row r="23">
      <c r="A23" s="1" t="s">
        <v>262</v>
      </c>
      <c r="B23" s="1" t="s">
        <v>263</v>
      </c>
      <c r="C23" s="1" t="s">
        <v>264</v>
      </c>
      <c r="D23" s="2" t="s">
        <v>266</v>
      </c>
      <c r="E23" s="1" t="s">
        <v>105</v>
      </c>
      <c r="F23" s="1" t="s">
        <v>268</v>
      </c>
      <c r="G23" s="1" t="s">
        <v>269</v>
      </c>
      <c r="H23" s="1" t="s">
        <v>271</v>
      </c>
      <c r="I23" s="1" t="s">
        <v>97</v>
      </c>
      <c r="J23" s="2" t="s">
        <v>273</v>
      </c>
    </row>
    <row r="24">
      <c r="A24" s="1" t="s">
        <v>274</v>
      </c>
      <c r="B24" s="1" t="s">
        <v>275</v>
      </c>
      <c r="C24" s="1" t="s">
        <v>128</v>
      </c>
      <c r="D24" s="2" t="s">
        <v>276</v>
      </c>
      <c r="E24" s="1" t="s">
        <v>105</v>
      </c>
      <c r="F24" s="1" t="s">
        <v>237</v>
      </c>
      <c r="G24" s="1" t="s">
        <v>277</v>
      </c>
      <c r="H24" s="1" t="s">
        <v>279</v>
      </c>
      <c r="I24" s="1" t="s">
        <v>52</v>
      </c>
      <c r="J24" s="2" t="s">
        <v>280</v>
      </c>
    </row>
    <row r="25">
      <c r="A25" s="1" t="s">
        <v>281</v>
      </c>
      <c r="B25" s="1" t="s">
        <v>283</v>
      </c>
      <c r="C25" s="1" t="s">
        <v>284</v>
      </c>
      <c r="D25" s="2" t="s">
        <v>285</v>
      </c>
      <c r="E25" s="1" t="s">
        <v>130</v>
      </c>
      <c r="F25" s="1" t="s">
        <v>237</v>
      </c>
      <c r="G25" s="1" t="s">
        <v>49</v>
      </c>
      <c r="H25" s="1" t="s">
        <v>286</v>
      </c>
      <c r="I25" s="1" t="s">
        <v>97</v>
      </c>
      <c r="J25" s="2" t="s">
        <v>289</v>
      </c>
    </row>
    <row r="26">
      <c r="A26" s="1" t="s">
        <v>291</v>
      </c>
      <c r="B26" s="1" t="s">
        <v>292</v>
      </c>
      <c r="C26" s="1" t="s">
        <v>293</v>
      </c>
      <c r="D26" s="2" t="s">
        <v>295</v>
      </c>
      <c r="E26" s="1" t="s">
        <v>45</v>
      </c>
      <c r="F26" s="1" t="s">
        <v>47</v>
      </c>
      <c r="G26" s="1" t="s">
        <v>188</v>
      </c>
      <c r="H26" s="1" t="s">
        <v>210</v>
      </c>
      <c r="I26" s="1" t="s">
        <v>97</v>
      </c>
      <c r="J26" s="2" t="s">
        <v>296</v>
      </c>
    </row>
    <row r="27">
      <c r="A27" s="1" t="s">
        <v>298</v>
      </c>
      <c r="B27" s="1" t="s">
        <v>299</v>
      </c>
      <c r="C27" s="1" t="s">
        <v>301</v>
      </c>
      <c r="D27" s="2" t="s">
        <v>302</v>
      </c>
      <c r="E27" s="1" t="s">
        <v>130</v>
      </c>
      <c r="F27" s="1" t="s">
        <v>47</v>
      </c>
      <c r="G27" s="1" t="s">
        <v>258</v>
      </c>
      <c r="H27" s="1" t="s">
        <v>304</v>
      </c>
      <c r="I27" s="1" t="s">
        <v>97</v>
      </c>
      <c r="J27" s="2" t="s">
        <v>305</v>
      </c>
    </row>
    <row r="28">
      <c r="A28" s="1" t="s">
        <v>306</v>
      </c>
      <c r="B28" s="1" t="s">
        <v>307</v>
      </c>
      <c r="C28" s="1" t="s">
        <v>25</v>
      </c>
      <c r="D28" s="2" t="s">
        <v>308</v>
      </c>
      <c r="E28" s="1" t="s">
        <v>105</v>
      </c>
      <c r="F28" s="1" t="s">
        <v>309</v>
      </c>
      <c r="G28" s="1" t="s">
        <v>311</v>
      </c>
      <c r="H28" s="1" t="s">
        <v>96</v>
      </c>
      <c r="I28" s="1" t="s">
        <v>211</v>
      </c>
      <c r="J28" s="2" t="s">
        <v>313</v>
      </c>
    </row>
    <row r="29">
      <c r="A29" s="1" t="s">
        <v>314</v>
      </c>
      <c r="B29" s="1" t="s">
        <v>315</v>
      </c>
      <c r="C29" s="1" t="s">
        <v>316</v>
      </c>
      <c r="D29" s="2" t="s">
        <v>317</v>
      </c>
      <c r="E29" s="1" t="s">
        <v>28</v>
      </c>
      <c r="F29" s="1" t="s">
        <v>208</v>
      </c>
      <c r="G29" s="1" t="s">
        <v>318</v>
      </c>
      <c r="H29" s="1" t="s">
        <v>319</v>
      </c>
      <c r="I29" s="1" t="s">
        <v>97</v>
      </c>
      <c r="J29" s="2" t="s">
        <v>320</v>
      </c>
    </row>
    <row r="30">
      <c r="A30" s="1" t="s">
        <v>321</v>
      </c>
      <c r="B30" s="1" t="s">
        <v>323</v>
      </c>
      <c r="C30" s="1" t="s">
        <v>324</v>
      </c>
      <c r="D30" s="2" t="s">
        <v>325</v>
      </c>
      <c r="E30" s="1" t="s">
        <v>28</v>
      </c>
      <c r="F30" s="1" t="s">
        <v>47</v>
      </c>
      <c r="G30" s="1" t="s">
        <v>326</v>
      </c>
      <c r="H30" s="1" t="s">
        <v>110</v>
      </c>
      <c r="I30" s="1" t="s">
        <v>211</v>
      </c>
      <c r="J30" s="2" t="s">
        <v>327</v>
      </c>
    </row>
    <row r="31">
      <c r="A31" s="1" t="s">
        <v>329</v>
      </c>
      <c r="B31" s="1" t="s">
        <v>330</v>
      </c>
      <c r="C31" s="1" t="s">
        <v>172</v>
      </c>
      <c r="D31" s="2" t="s">
        <v>331</v>
      </c>
      <c r="E31" s="1" t="s">
        <v>105</v>
      </c>
      <c r="F31" s="1" t="s">
        <v>107</v>
      </c>
      <c r="G31" s="1" t="s">
        <v>333</v>
      </c>
      <c r="H31" s="1" t="s">
        <v>271</v>
      </c>
      <c r="I31" s="1" t="s">
        <v>35</v>
      </c>
      <c r="J31" s="2" t="s">
        <v>334</v>
      </c>
    </row>
    <row r="32">
      <c r="A32" s="1" t="s">
        <v>335</v>
      </c>
      <c r="B32" s="1" t="s">
        <v>127</v>
      </c>
      <c r="C32" s="1" t="s">
        <v>148</v>
      </c>
      <c r="D32" s="2" t="s">
        <v>336</v>
      </c>
      <c r="E32" s="1" t="s">
        <v>130</v>
      </c>
      <c r="F32" s="1" t="s">
        <v>64</v>
      </c>
      <c r="G32" s="1" t="s">
        <v>132</v>
      </c>
      <c r="H32" s="1" t="s">
        <v>143</v>
      </c>
      <c r="I32" s="1" t="s">
        <v>97</v>
      </c>
      <c r="J32" s="2" t="s">
        <v>340</v>
      </c>
    </row>
    <row r="33">
      <c r="A33" s="1" t="s">
        <v>341</v>
      </c>
      <c r="B33" s="1" t="s">
        <v>343</v>
      </c>
      <c r="C33" s="1" t="s">
        <v>128</v>
      </c>
      <c r="D33" s="2" t="s">
        <v>344</v>
      </c>
      <c r="E33" s="1" t="s">
        <v>130</v>
      </c>
      <c r="F33" s="1" t="s">
        <v>141</v>
      </c>
      <c r="G33" s="1" t="s">
        <v>345</v>
      </c>
      <c r="H33" s="1" t="s">
        <v>346</v>
      </c>
      <c r="I33" s="1" t="s">
        <v>52</v>
      </c>
      <c r="J33" s="2" t="s">
        <v>347</v>
      </c>
    </row>
    <row r="34">
      <c r="A34" s="1" t="s">
        <v>349</v>
      </c>
      <c r="B34" s="1" t="s">
        <v>350</v>
      </c>
      <c r="C34" s="1" t="s">
        <v>352</v>
      </c>
      <c r="D34" s="2" t="s">
        <v>353</v>
      </c>
      <c r="E34" s="1" t="s">
        <v>105</v>
      </c>
      <c r="F34" s="1" t="s">
        <v>81</v>
      </c>
      <c r="G34" s="1" t="s">
        <v>230</v>
      </c>
      <c r="H34" s="1" t="s">
        <v>67</v>
      </c>
      <c r="I34" s="1" t="s">
        <v>222</v>
      </c>
      <c r="J34" s="2" t="s">
        <v>355</v>
      </c>
    </row>
    <row r="35">
      <c r="A35" s="1" t="s">
        <v>356</v>
      </c>
      <c r="B35" s="1" t="s">
        <v>127</v>
      </c>
      <c r="C35" s="1" t="s">
        <v>76</v>
      </c>
      <c r="D35" s="2" t="s">
        <v>344</v>
      </c>
      <c r="E35" s="1" t="s">
        <v>152</v>
      </c>
      <c r="F35" s="1" t="s">
        <v>208</v>
      </c>
      <c r="G35" s="1" t="s">
        <v>358</v>
      </c>
      <c r="H35" s="1" t="s">
        <v>359</v>
      </c>
      <c r="I35" s="1" t="s">
        <v>35</v>
      </c>
      <c r="J35" s="2" t="s">
        <v>361</v>
      </c>
    </row>
    <row r="36">
      <c r="A36" s="1" t="s">
        <v>362</v>
      </c>
      <c r="B36" s="1" t="s">
        <v>147</v>
      </c>
      <c r="C36" s="1" t="s">
        <v>363</v>
      </c>
      <c r="D36" s="2" t="s">
        <v>344</v>
      </c>
      <c r="E36" s="1" t="s">
        <v>130</v>
      </c>
      <c r="F36" s="1" t="s">
        <v>364</v>
      </c>
      <c r="G36" s="1" t="s">
        <v>94</v>
      </c>
      <c r="H36" s="1" t="s">
        <v>143</v>
      </c>
      <c r="I36" s="1" t="s">
        <v>211</v>
      </c>
      <c r="J36" s="2" t="s">
        <v>366</v>
      </c>
    </row>
    <row r="37">
      <c r="A37" s="1" t="s">
        <v>367</v>
      </c>
      <c r="B37" s="1" t="s">
        <v>368</v>
      </c>
      <c r="C37" s="1" t="s">
        <v>128</v>
      </c>
      <c r="D37" s="2" t="s">
        <v>336</v>
      </c>
      <c r="E37" s="1" t="s">
        <v>45</v>
      </c>
      <c r="F37" s="1" t="s">
        <v>131</v>
      </c>
      <c r="G37" s="1" t="s">
        <v>370</v>
      </c>
      <c r="H37" s="1" t="s">
        <v>319</v>
      </c>
      <c r="I37" s="1" t="s">
        <v>97</v>
      </c>
      <c r="J37" s="2" t="s">
        <v>371</v>
      </c>
    </row>
    <row r="38">
      <c r="A38" s="1" t="s">
        <v>373</v>
      </c>
      <c r="B38" s="1" t="s">
        <v>343</v>
      </c>
      <c r="C38" s="1" t="s">
        <v>374</v>
      </c>
      <c r="E38" s="1" t="s">
        <v>152</v>
      </c>
      <c r="F38" s="1" t="s">
        <v>376</v>
      </c>
      <c r="G38" s="1" t="s">
        <v>377</v>
      </c>
      <c r="H38" s="1" t="s">
        <v>197</v>
      </c>
      <c r="I38" s="1" t="s">
        <v>35</v>
      </c>
      <c r="J38" s="2" t="s">
        <v>379</v>
      </c>
    </row>
    <row r="39">
      <c r="A39" s="1" t="s">
        <v>380</v>
      </c>
      <c r="B39" s="1" t="s">
        <v>381</v>
      </c>
      <c r="C39" s="1" t="s">
        <v>382</v>
      </c>
      <c r="D39" s="2" t="s">
        <v>383</v>
      </c>
      <c r="E39" s="1" t="s">
        <v>130</v>
      </c>
      <c r="F39" s="1" t="s">
        <v>237</v>
      </c>
      <c r="G39" s="1" t="s">
        <v>385</v>
      </c>
      <c r="H39" s="1" t="s">
        <v>386</v>
      </c>
      <c r="I39" s="1" t="s">
        <v>52</v>
      </c>
      <c r="J39" s="2" t="s">
        <v>388</v>
      </c>
    </row>
    <row r="40">
      <c r="A40" s="1" t="s">
        <v>389</v>
      </c>
      <c r="B40" s="1" t="s">
        <v>390</v>
      </c>
      <c r="C40" s="1" t="s">
        <v>128</v>
      </c>
      <c r="D40" s="2" t="s">
        <v>392</v>
      </c>
      <c r="E40" s="1" t="s">
        <v>80</v>
      </c>
      <c r="F40" s="1" t="s">
        <v>393</v>
      </c>
      <c r="G40" s="1" t="s">
        <v>385</v>
      </c>
      <c r="H40" s="1" t="s">
        <v>394</v>
      </c>
      <c r="I40" s="1" t="s">
        <v>35</v>
      </c>
      <c r="J40" s="2" t="s">
        <v>397</v>
      </c>
    </row>
    <row r="41">
      <c r="A41" s="1" t="s">
        <v>398</v>
      </c>
      <c r="B41" s="1" t="s">
        <v>399</v>
      </c>
      <c r="C41" s="1" t="s">
        <v>244</v>
      </c>
      <c r="D41" s="2" t="s">
        <v>285</v>
      </c>
      <c r="E41" s="1" t="s">
        <v>152</v>
      </c>
      <c r="F41" s="1" t="s">
        <v>401</v>
      </c>
      <c r="G41" s="1" t="s">
        <v>277</v>
      </c>
      <c r="H41" s="1" t="s">
        <v>402</v>
      </c>
      <c r="I41" s="1" t="s">
        <v>97</v>
      </c>
      <c r="J41" s="2" t="s">
        <v>403</v>
      </c>
    </row>
    <row r="42">
      <c r="A42" s="1" t="s">
        <v>404</v>
      </c>
      <c r="B42" s="1" t="s">
        <v>136</v>
      </c>
      <c r="C42" s="1" t="s">
        <v>128</v>
      </c>
      <c r="D42" s="2" t="s">
        <v>406</v>
      </c>
      <c r="E42" s="1" t="s">
        <v>105</v>
      </c>
      <c r="F42" s="1" t="s">
        <v>47</v>
      </c>
      <c r="G42" s="1" t="s">
        <v>408</v>
      </c>
      <c r="H42" s="1" t="s">
        <v>359</v>
      </c>
      <c r="I42" s="1" t="s">
        <v>97</v>
      </c>
      <c r="J42" s="2" t="s">
        <v>409</v>
      </c>
    </row>
    <row r="43">
      <c r="A43" s="1" t="s">
        <v>410</v>
      </c>
      <c r="B43" s="1" t="s">
        <v>411</v>
      </c>
      <c r="C43" s="1" t="s">
        <v>148</v>
      </c>
      <c r="D43" s="2" t="s">
        <v>173</v>
      </c>
      <c r="E43" s="1" t="s">
        <v>45</v>
      </c>
      <c r="F43" s="1" t="s">
        <v>237</v>
      </c>
      <c r="G43" s="1" t="s">
        <v>94</v>
      </c>
      <c r="H43" s="1" t="s">
        <v>165</v>
      </c>
      <c r="I43" s="1" t="s">
        <v>97</v>
      </c>
      <c r="J43" s="2" t="s">
        <v>414</v>
      </c>
    </row>
    <row r="44">
      <c r="A44" s="1" t="s">
        <v>415</v>
      </c>
      <c r="B44" s="1" t="s">
        <v>416</v>
      </c>
      <c r="C44" s="1" t="s">
        <v>301</v>
      </c>
      <c r="D44" s="2" t="s">
        <v>417</v>
      </c>
      <c r="E44" s="1" t="s">
        <v>105</v>
      </c>
      <c r="F44" s="1" t="s">
        <v>47</v>
      </c>
      <c r="G44" s="1" t="s">
        <v>418</v>
      </c>
      <c r="H44" s="1" t="s">
        <v>394</v>
      </c>
      <c r="I44" s="1" t="s">
        <v>52</v>
      </c>
      <c r="J44" s="2" t="s">
        <v>419</v>
      </c>
    </row>
    <row r="45">
      <c r="A45" s="1" t="s">
        <v>421</v>
      </c>
      <c r="B45" s="1" t="s">
        <v>422</v>
      </c>
      <c r="C45" s="1" t="s">
        <v>374</v>
      </c>
      <c r="D45" s="2" t="s">
        <v>423</v>
      </c>
      <c r="E45" s="1" t="s">
        <v>105</v>
      </c>
      <c r="F45" s="1" t="s">
        <v>237</v>
      </c>
      <c r="G45" s="1" t="s">
        <v>326</v>
      </c>
      <c r="H45" s="1" t="s">
        <v>110</v>
      </c>
      <c r="I45" s="1" t="s">
        <v>97</v>
      </c>
      <c r="J45" s="2" t="s">
        <v>425</v>
      </c>
    </row>
    <row r="46">
      <c r="A46" s="1" t="s">
        <v>426</v>
      </c>
      <c r="B46" s="1" t="s">
        <v>136</v>
      </c>
      <c r="C46" s="1" t="s">
        <v>428</v>
      </c>
      <c r="D46" s="2" t="s">
        <v>429</v>
      </c>
      <c r="E46" s="1" t="s">
        <v>28</v>
      </c>
      <c r="F46" s="1" t="s">
        <v>47</v>
      </c>
      <c r="G46" s="1" t="s">
        <v>385</v>
      </c>
      <c r="H46" s="1" t="s">
        <v>189</v>
      </c>
      <c r="I46" s="1" t="s">
        <v>35</v>
      </c>
      <c r="J46" s="2" t="s">
        <v>430</v>
      </c>
    </row>
    <row r="47">
      <c r="A47" s="1" t="s">
        <v>431</v>
      </c>
      <c r="B47" s="1" t="s">
        <v>432</v>
      </c>
      <c r="C47" s="1" t="s">
        <v>433</v>
      </c>
      <c r="D47" s="2" t="s">
        <v>434</v>
      </c>
      <c r="E47" s="1" t="s">
        <v>130</v>
      </c>
      <c r="F47" s="1" t="s">
        <v>393</v>
      </c>
      <c r="G47" s="1" t="s">
        <v>436</v>
      </c>
      <c r="H47" s="1" t="s">
        <v>359</v>
      </c>
      <c r="I47" s="1" t="s">
        <v>97</v>
      </c>
      <c r="J47" s="2" t="s">
        <v>437</v>
      </c>
    </row>
    <row r="48">
      <c r="A48" s="1" t="s">
        <v>438</v>
      </c>
      <c r="B48" s="1" t="s">
        <v>171</v>
      </c>
      <c r="C48" s="1" t="s">
        <v>76</v>
      </c>
      <c r="D48" s="2" t="s">
        <v>406</v>
      </c>
      <c r="E48" s="1" t="s">
        <v>152</v>
      </c>
      <c r="F48" s="1" t="s">
        <v>401</v>
      </c>
      <c r="G48" s="1" t="s">
        <v>439</v>
      </c>
      <c r="H48" s="1" t="s">
        <v>189</v>
      </c>
      <c r="I48" s="1" t="s">
        <v>97</v>
      </c>
      <c r="J48" s="2" t="s">
        <v>441</v>
      </c>
    </row>
    <row r="49">
      <c r="A49" s="1" t="s">
        <v>443</v>
      </c>
      <c r="B49" s="1" t="s">
        <v>444</v>
      </c>
      <c r="C49" s="1" t="s">
        <v>90</v>
      </c>
      <c r="D49" s="2" t="s">
        <v>445</v>
      </c>
      <c r="E49" s="1" t="s">
        <v>130</v>
      </c>
      <c r="F49" s="1" t="s">
        <v>176</v>
      </c>
      <c r="G49" s="1" t="s">
        <v>258</v>
      </c>
      <c r="H49" s="1" t="s">
        <v>260</v>
      </c>
      <c r="I49" s="1" t="s">
        <v>97</v>
      </c>
      <c r="J49" s="2" t="s">
        <v>449</v>
      </c>
    </row>
    <row r="50">
      <c r="A50" s="1" t="s">
        <v>450</v>
      </c>
      <c r="B50" s="1" t="s">
        <v>158</v>
      </c>
      <c r="C50" s="1" t="s">
        <v>363</v>
      </c>
      <c r="D50" s="2" t="s">
        <v>139</v>
      </c>
      <c r="E50" s="1" t="s">
        <v>45</v>
      </c>
      <c r="F50" s="1" t="s">
        <v>401</v>
      </c>
      <c r="G50" s="1" t="s">
        <v>230</v>
      </c>
      <c r="H50" s="1" t="s">
        <v>452</v>
      </c>
      <c r="I50" s="1" t="s">
        <v>97</v>
      </c>
      <c r="J50" s="2" t="s">
        <v>454</v>
      </c>
    </row>
    <row r="51">
      <c r="A51" s="1" t="s">
        <v>455</v>
      </c>
      <c r="B51" s="1" t="s">
        <v>456</v>
      </c>
      <c r="C51" s="1" t="s">
        <v>458</v>
      </c>
      <c r="D51" s="2" t="s">
        <v>460</v>
      </c>
      <c r="E51" s="1" t="s">
        <v>105</v>
      </c>
      <c r="F51" s="1" t="s">
        <v>364</v>
      </c>
      <c r="G51" s="1" t="s">
        <v>462</v>
      </c>
      <c r="H51" s="1" t="s">
        <v>67</v>
      </c>
      <c r="I51" s="1" t="s">
        <v>97</v>
      </c>
      <c r="J51" s="2" t="s">
        <v>464</v>
      </c>
    </row>
    <row r="52">
      <c r="A52" s="1" t="s">
        <v>467</v>
      </c>
      <c r="B52" s="1" t="s">
        <v>468</v>
      </c>
      <c r="C52" s="1" t="s">
        <v>469</v>
      </c>
      <c r="D52" s="2" t="s">
        <v>129</v>
      </c>
      <c r="E52" s="1" t="s">
        <v>152</v>
      </c>
      <c r="F52" s="1" t="s">
        <v>208</v>
      </c>
      <c r="G52" s="1" t="s">
        <v>470</v>
      </c>
      <c r="H52" s="1" t="s">
        <v>143</v>
      </c>
      <c r="I52" s="1" t="s">
        <v>97</v>
      </c>
      <c r="J52" s="2" t="s">
        <v>471</v>
      </c>
    </row>
    <row r="53">
      <c r="A53" s="1" t="s">
        <v>472</v>
      </c>
      <c r="B53" s="1" t="s">
        <v>473</v>
      </c>
      <c r="C53" s="1" t="s">
        <v>474</v>
      </c>
      <c r="D53" s="2" t="s">
        <v>266</v>
      </c>
      <c r="E53" s="1" t="s">
        <v>28</v>
      </c>
      <c r="F53" s="1" t="s">
        <v>237</v>
      </c>
      <c r="G53" s="1" t="s">
        <v>109</v>
      </c>
      <c r="H53" s="1" t="s">
        <v>477</v>
      </c>
      <c r="I53" s="1" t="s">
        <v>97</v>
      </c>
      <c r="J53" s="2" t="s">
        <v>478</v>
      </c>
    </row>
    <row r="54">
      <c r="A54" s="1" t="s">
        <v>479</v>
      </c>
      <c r="B54" s="1" t="s">
        <v>127</v>
      </c>
      <c r="C54" s="1" t="s">
        <v>90</v>
      </c>
      <c r="D54" s="2" t="s">
        <v>481</v>
      </c>
      <c r="E54" s="1" t="s">
        <v>80</v>
      </c>
      <c r="F54" s="1" t="s">
        <v>30</v>
      </c>
      <c r="G54" s="1" t="s">
        <v>482</v>
      </c>
      <c r="H54" s="1" t="s">
        <v>179</v>
      </c>
      <c r="I54" s="1" t="s">
        <v>222</v>
      </c>
      <c r="J54" s="2" t="s">
        <v>483</v>
      </c>
    </row>
    <row r="55">
      <c r="A55" s="1" t="s">
        <v>484</v>
      </c>
      <c r="B55" s="1" t="s">
        <v>486</v>
      </c>
      <c r="C55" s="1" t="s">
        <v>487</v>
      </c>
      <c r="D55" s="2" t="s">
        <v>488</v>
      </c>
      <c r="E55" s="1" t="s">
        <v>105</v>
      </c>
      <c r="F55" s="1" t="s">
        <v>64</v>
      </c>
      <c r="G55" s="1" t="s">
        <v>489</v>
      </c>
      <c r="H55" s="1" t="s">
        <v>179</v>
      </c>
      <c r="I55" s="1" t="s">
        <v>97</v>
      </c>
      <c r="J55" s="2" t="s">
        <v>490</v>
      </c>
    </row>
    <row r="56">
      <c r="A56" s="1" t="s">
        <v>493</v>
      </c>
      <c r="B56" s="1" t="s">
        <v>171</v>
      </c>
      <c r="C56" s="1" t="s">
        <v>495</v>
      </c>
      <c r="D56" s="2" t="s">
        <v>496</v>
      </c>
      <c r="E56" s="1" t="s">
        <v>130</v>
      </c>
      <c r="F56" s="1" t="s">
        <v>81</v>
      </c>
      <c r="G56" s="1" t="s">
        <v>499</v>
      </c>
      <c r="H56" s="1" t="s">
        <v>500</v>
      </c>
      <c r="I56" s="1" t="s">
        <v>211</v>
      </c>
      <c r="J56" s="2" t="s">
        <v>501</v>
      </c>
    </row>
    <row r="57">
      <c r="A57" s="1" t="s">
        <v>502</v>
      </c>
      <c r="B57" s="1" t="s">
        <v>503</v>
      </c>
      <c r="C57" s="1" t="s">
        <v>148</v>
      </c>
      <c r="D57" s="2" t="s">
        <v>91</v>
      </c>
      <c r="E57" s="1" t="s">
        <v>28</v>
      </c>
      <c r="F57" s="1" t="s">
        <v>47</v>
      </c>
      <c r="G57" s="1" t="s">
        <v>94</v>
      </c>
      <c r="H57" s="1" t="s">
        <v>96</v>
      </c>
      <c r="I57" s="1" t="s">
        <v>97</v>
      </c>
      <c r="J57" s="2" t="s">
        <v>506</v>
      </c>
    </row>
    <row r="58">
      <c r="A58" s="1" t="s">
        <v>507</v>
      </c>
      <c r="B58" s="1" t="s">
        <v>416</v>
      </c>
      <c r="C58" s="1" t="s">
        <v>352</v>
      </c>
      <c r="D58" s="2" t="s">
        <v>509</v>
      </c>
      <c r="E58" s="1" t="s">
        <v>130</v>
      </c>
      <c r="F58" s="1" t="s">
        <v>47</v>
      </c>
      <c r="G58" s="1" t="s">
        <v>511</v>
      </c>
      <c r="H58" s="1" t="s">
        <v>304</v>
      </c>
      <c r="I58" s="1" t="s">
        <v>211</v>
      </c>
      <c r="J58" s="2" t="s">
        <v>512</v>
      </c>
    </row>
    <row r="59">
      <c r="A59" s="1" t="s">
        <v>513</v>
      </c>
      <c r="B59" s="1" t="s">
        <v>422</v>
      </c>
      <c r="C59" s="1" t="s">
        <v>515</v>
      </c>
      <c r="D59" s="2" t="s">
        <v>325</v>
      </c>
      <c r="E59" s="1" t="s">
        <v>80</v>
      </c>
      <c r="F59" s="1" t="s">
        <v>256</v>
      </c>
      <c r="G59" s="1" t="s">
        <v>517</v>
      </c>
      <c r="H59" s="1" t="s">
        <v>124</v>
      </c>
      <c r="I59" s="1" t="s">
        <v>222</v>
      </c>
      <c r="J59" s="2" t="s">
        <v>518</v>
      </c>
    </row>
    <row r="60">
      <c r="A60" s="1" t="s">
        <v>519</v>
      </c>
      <c r="B60" s="1" t="s">
        <v>127</v>
      </c>
      <c r="C60" s="1" t="s">
        <v>520</v>
      </c>
      <c r="D60" s="2" t="s">
        <v>521</v>
      </c>
      <c r="E60" s="1" t="s">
        <v>80</v>
      </c>
      <c r="F60" s="1" t="s">
        <v>393</v>
      </c>
      <c r="G60" s="1" t="s">
        <v>277</v>
      </c>
      <c r="H60" s="1" t="s">
        <v>279</v>
      </c>
      <c r="I60" s="1" t="s">
        <v>52</v>
      </c>
      <c r="J60" s="2" t="s">
        <v>523</v>
      </c>
    </row>
    <row r="61">
      <c r="A61" s="1" t="s">
        <v>524</v>
      </c>
      <c r="B61" s="1" t="s">
        <v>343</v>
      </c>
      <c r="C61" s="1" t="s">
        <v>526</v>
      </c>
      <c r="D61" s="2" t="s">
        <v>445</v>
      </c>
      <c r="E61" s="1" t="s">
        <v>152</v>
      </c>
      <c r="F61" s="1" t="s">
        <v>309</v>
      </c>
      <c r="G61" s="1" t="s">
        <v>489</v>
      </c>
      <c r="H61" s="1" t="s">
        <v>527</v>
      </c>
      <c r="I61" s="1" t="s">
        <v>97</v>
      </c>
      <c r="J61" s="2" t="s">
        <v>529</v>
      </c>
    </row>
    <row r="62">
      <c r="A62" s="1" t="s">
        <v>530</v>
      </c>
      <c r="B62" s="1" t="s">
        <v>531</v>
      </c>
      <c r="C62" s="1" t="s">
        <v>76</v>
      </c>
      <c r="D62" s="2" t="s">
        <v>434</v>
      </c>
      <c r="E62" s="1" t="s">
        <v>45</v>
      </c>
      <c r="F62" s="1" t="s">
        <v>81</v>
      </c>
      <c r="G62" s="1" t="s">
        <v>499</v>
      </c>
      <c r="H62" s="1" t="s">
        <v>533</v>
      </c>
      <c r="I62" s="1" t="s">
        <v>97</v>
      </c>
      <c r="J62" s="2" t="s">
        <v>534</v>
      </c>
    </row>
    <row r="63">
      <c r="A63" s="1" t="s">
        <v>535</v>
      </c>
      <c r="B63" s="1" t="s">
        <v>536</v>
      </c>
      <c r="C63" s="1" t="s">
        <v>244</v>
      </c>
      <c r="E63" s="1" t="s">
        <v>152</v>
      </c>
      <c r="F63" s="1" t="s">
        <v>539</v>
      </c>
      <c r="G63" s="1" t="s">
        <v>123</v>
      </c>
      <c r="H63" s="1" t="s">
        <v>83</v>
      </c>
      <c r="I63" s="1" t="s">
        <v>35</v>
      </c>
      <c r="J63" s="2" t="s">
        <v>540</v>
      </c>
    </row>
    <row r="64">
      <c r="A64" s="1" t="s">
        <v>541</v>
      </c>
      <c r="B64" s="1" t="s">
        <v>542</v>
      </c>
      <c r="C64" s="1" t="s">
        <v>25</v>
      </c>
      <c r="D64" s="2" t="s">
        <v>317</v>
      </c>
      <c r="E64" s="1" t="s">
        <v>80</v>
      </c>
      <c r="F64" s="1" t="s">
        <v>64</v>
      </c>
      <c r="G64" s="1" t="s">
        <v>545</v>
      </c>
      <c r="H64" s="1" t="s">
        <v>546</v>
      </c>
      <c r="I64" s="1" t="s">
        <v>97</v>
      </c>
      <c r="J64" s="2" t="s">
        <v>547</v>
      </c>
    </row>
    <row r="65">
      <c r="A65" s="1" t="s">
        <v>548</v>
      </c>
      <c r="B65" s="1" t="s">
        <v>549</v>
      </c>
      <c r="C65" s="1" t="s">
        <v>363</v>
      </c>
      <c r="D65" s="2" t="s">
        <v>550</v>
      </c>
      <c r="E65" s="1" t="s">
        <v>45</v>
      </c>
      <c r="F65" s="1" t="s">
        <v>237</v>
      </c>
      <c r="G65" s="1" t="s">
        <v>551</v>
      </c>
      <c r="H65" s="1" t="s">
        <v>124</v>
      </c>
      <c r="I65" s="1" t="s">
        <v>97</v>
      </c>
      <c r="J65" s="2" t="s">
        <v>553</v>
      </c>
    </row>
    <row r="66">
      <c r="A66" s="1" t="s">
        <v>554</v>
      </c>
      <c r="B66" s="1" t="s">
        <v>555</v>
      </c>
      <c r="C66" s="1" t="s">
        <v>556</v>
      </c>
      <c r="D66" s="2" t="s">
        <v>557</v>
      </c>
      <c r="E66" s="1" t="s">
        <v>28</v>
      </c>
      <c r="F66" s="1" t="s">
        <v>401</v>
      </c>
      <c r="G66" s="1" t="s">
        <v>558</v>
      </c>
      <c r="H66" s="1" t="s">
        <v>561</v>
      </c>
      <c r="I66" s="1" t="s">
        <v>97</v>
      </c>
      <c r="J66" s="2" t="s">
        <v>562</v>
      </c>
    </row>
    <row r="67">
      <c r="A67" s="1" t="s">
        <v>563</v>
      </c>
      <c r="B67" s="1" t="s">
        <v>411</v>
      </c>
      <c r="C67" s="1" t="s">
        <v>128</v>
      </c>
      <c r="D67" s="2" t="s">
        <v>565</v>
      </c>
      <c r="E67" s="1" t="s">
        <v>105</v>
      </c>
      <c r="F67" s="1" t="s">
        <v>256</v>
      </c>
      <c r="G67" s="1" t="s">
        <v>49</v>
      </c>
      <c r="H67" s="1" t="s">
        <v>50</v>
      </c>
      <c r="I67" s="1" t="s">
        <v>222</v>
      </c>
      <c r="J67" s="2" t="s">
        <v>566</v>
      </c>
    </row>
    <row r="68">
      <c r="A68" s="1" t="s">
        <v>568</v>
      </c>
      <c r="B68" s="1" t="s">
        <v>569</v>
      </c>
      <c r="C68" s="1" t="s">
        <v>76</v>
      </c>
      <c r="D68" s="2" t="s">
        <v>550</v>
      </c>
      <c r="E68" s="1" t="s">
        <v>105</v>
      </c>
      <c r="F68" s="1" t="s">
        <v>571</v>
      </c>
      <c r="G68" s="1" t="s">
        <v>572</v>
      </c>
      <c r="H68" s="1" t="s">
        <v>83</v>
      </c>
      <c r="I68" s="1" t="s">
        <v>97</v>
      </c>
      <c r="J68" s="2" t="s">
        <v>573</v>
      </c>
    </row>
    <row r="69">
      <c r="A69" s="1" t="s">
        <v>574</v>
      </c>
      <c r="B69" s="1" t="s">
        <v>127</v>
      </c>
      <c r="C69" s="1" t="s">
        <v>90</v>
      </c>
      <c r="D69" s="2" t="s">
        <v>173</v>
      </c>
      <c r="E69" s="1" t="s">
        <v>130</v>
      </c>
      <c r="F69" s="1" t="s">
        <v>401</v>
      </c>
      <c r="G69" s="1" t="s">
        <v>576</v>
      </c>
      <c r="H69" s="1" t="s">
        <v>50</v>
      </c>
      <c r="I69" s="1" t="s">
        <v>97</v>
      </c>
      <c r="J69" s="2" t="s">
        <v>579</v>
      </c>
    </row>
    <row r="70">
      <c r="A70" s="1" t="s">
        <v>580</v>
      </c>
      <c r="B70" s="1" t="s">
        <v>581</v>
      </c>
      <c r="C70" s="1" t="s">
        <v>244</v>
      </c>
      <c r="D70" s="2" t="s">
        <v>582</v>
      </c>
      <c r="E70" s="1" t="s">
        <v>105</v>
      </c>
      <c r="F70" s="1" t="s">
        <v>571</v>
      </c>
      <c r="G70" s="1" t="s">
        <v>583</v>
      </c>
      <c r="H70" s="1" t="s">
        <v>319</v>
      </c>
      <c r="I70" s="1" t="s">
        <v>222</v>
      </c>
      <c r="J70" s="2" t="s">
        <v>585</v>
      </c>
    </row>
    <row r="71">
      <c r="A71" s="1" t="s">
        <v>586</v>
      </c>
      <c r="B71" s="1" t="s">
        <v>542</v>
      </c>
      <c r="C71" s="1" t="s">
        <v>254</v>
      </c>
      <c r="D71" s="2" t="s">
        <v>423</v>
      </c>
      <c r="E71" s="1" t="s">
        <v>80</v>
      </c>
      <c r="F71" s="1" t="s">
        <v>131</v>
      </c>
      <c r="G71" s="1" t="s">
        <v>132</v>
      </c>
      <c r="H71" s="1" t="s">
        <v>143</v>
      </c>
      <c r="I71" s="1" t="s">
        <v>97</v>
      </c>
      <c r="J71" s="2" t="s">
        <v>588</v>
      </c>
    </row>
    <row r="72">
      <c r="A72" s="1" t="s">
        <v>589</v>
      </c>
      <c r="B72" s="1" t="s">
        <v>590</v>
      </c>
      <c r="C72" s="1" t="s">
        <v>216</v>
      </c>
      <c r="D72" s="2" t="s">
        <v>276</v>
      </c>
      <c r="E72" s="1" t="s">
        <v>130</v>
      </c>
      <c r="F72" s="1" t="s">
        <v>237</v>
      </c>
      <c r="G72" s="1" t="s">
        <v>164</v>
      </c>
      <c r="H72" s="1" t="s">
        <v>592</v>
      </c>
      <c r="I72" s="1" t="s">
        <v>52</v>
      </c>
      <c r="J72" s="2" t="s">
        <v>593</v>
      </c>
    </row>
    <row r="73">
      <c r="A73" s="1" t="s">
        <v>595</v>
      </c>
      <c r="B73" s="1" t="s">
        <v>596</v>
      </c>
      <c r="C73" s="1" t="s">
        <v>597</v>
      </c>
      <c r="D73" s="2" t="s">
        <v>276</v>
      </c>
      <c r="E73" s="1" t="s">
        <v>105</v>
      </c>
      <c r="F73" s="1" t="s">
        <v>81</v>
      </c>
      <c r="G73" s="1" t="s">
        <v>545</v>
      </c>
      <c r="H73" s="1" t="s">
        <v>304</v>
      </c>
      <c r="I73" s="1" t="s">
        <v>52</v>
      </c>
      <c r="J73" s="2" t="s">
        <v>598</v>
      </c>
    </row>
    <row r="74">
      <c r="A74" s="1" t="s">
        <v>600</v>
      </c>
      <c r="B74" s="1" t="s">
        <v>368</v>
      </c>
      <c r="C74" s="1" t="s">
        <v>25</v>
      </c>
      <c r="E74" s="1" t="s">
        <v>105</v>
      </c>
      <c r="F74" s="1" t="s">
        <v>131</v>
      </c>
      <c r="G74" s="1" t="s">
        <v>230</v>
      </c>
      <c r="H74" s="1" t="s">
        <v>271</v>
      </c>
      <c r="I74" s="1" t="s">
        <v>222</v>
      </c>
      <c r="J74" s="2" t="s">
        <v>602</v>
      </c>
    </row>
    <row r="75">
      <c r="A75" s="1" t="s">
        <v>603</v>
      </c>
      <c r="B75" s="1" t="s">
        <v>411</v>
      </c>
      <c r="C75" s="1" t="s">
        <v>284</v>
      </c>
      <c r="D75" s="2" t="s">
        <v>604</v>
      </c>
      <c r="E75" s="1" t="s">
        <v>28</v>
      </c>
      <c r="F75" s="1" t="s">
        <v>237</v>
      </c>
      <c r="G75" s="1" t="s">
        <v>132</v>
      </c>
      <c r="H75" s="1" t="s">
        <v>231</v>
      </c>
      <c r="I75" s="1" t="s">
        <v>35</v>
      </c>
      <c r="J75" s="2" t="s">
        <v>605</v>
      </c>
    </row>
    <row r="76">
      <c r="A76" s="1" t="s">
        <v>606</v>
      </c>
      <c r="B76" s="1" t="s">
        <v>193</v>
      </c>
      <c r="C76" s="1" t="s">
        <v>363</v>
      </c>
      <c r="D76" s="2" t="s">
        <v>445</v>
      </c>
      <c r="E76" s="1" t="s">
        <v>45</v>
      </c>
      <c r="F76" s="1" t="s">
        <v>208</v>
      </c>
      <c r="G76" s="1" t="s">
        <v>608</v>
      </c>
      <c r="H76" s="1" t="s">
        <v>477</v>
      </c>
      <c r="I76" s="1" t="s">
        <v>97</v>
      </c>
      <c r="J76" s="2" t="s">
        <v>609</v>
      </c>
    </row>
    <row r="77">
      <c r="A77" s="1" t="s">
        <v>610</v>
      </c>
      <c r="B77" s="1" t="s">
        <v>100</v>
      </c>
      <c r="C77" s="1" t="s">
        <v>244</v>
      </c>
      <c r="D77" s="2" t="s">
        <v>460</v>
      </c>
      <c r="E77" s="1" t="s">
        <v>105</v>
      </c>
      <c r="F77" s="1" t="s">
        <v>237</v>
      </c>
      <c r="G77" s="1" t="s">
        <v>612</v>
      </c>
      <c r="H77" s="1" t="s">
        <v>533</v>
      </c>
      <c r="I77" s="1" t="s">
        <v>97</v>
      </c>
      <c r="J77" s="2" t="s">
        <v>613</v>
      </c>
    </row>
    <row r="78">
      <c r="A78" s="1" t="s">
        <v>615</v>
      </c>
      <c r="B78" s="1" t="s">
        <v>616</v>
      </c>
      <c r="C78" s="1" t="s">
        <v>137</v>
      </c>
      <c r="D78" s="2" t="s">
        <v>91</v>
      </c>
      <c r="E78" s="1" t="s">
        <v>28</v>
      </c>
      <c r="F78" s="1" t="s">
        <v>64</v>
      </c>
      <c r="G78" s="1" t="s">
        <v>238</v>
      </c>
      <c r="H78" s="1" t="s">
        <v>533</v>
      </c>
      <c r="I78" s="1" t="s">
        <v>97</v>
      </c>
      <c r="J78" s="2" t="s">
        <v>617</v>
      </c>
    </row>
    <row r="79">
      <c r="A79" s="1" t="s">
        <v>619</v>
      </c>
      <c r="B79" s="1" t="s">
        <v>620</v>
      </c>
      <c r="C79" s="1" t="s">
        <v>352</v>
      </c>
      <c r="D79" s="2" t="s">
        <v>185</v>
      </c>
      <c r="E79" s="1" t="s">
        <v>105</v>
      </c>
      <c r="F79" s="1" t="s">
        <v>47</v>
      </c>
      <c r="G79" s="1" t="s">
        <v>142</v>
      </c>
      <c r="H79" s="1" t="s">
        <v>110</v>
      </c>
      <c r="I79" s="1" t="s">
        <v>97</v>
      </c>
      <c r="J79" s="2" t="s">
        <v>622</v>
      </c>
    </row>
    <row r="80">
      <c r="A80" s="1" t="s">
        <v>623</v>
      </c>
      <c r="B80" s="1" t="s">
        <v>624</v>
      </c>
      <c r="C80" s="1" t="s">
        <v>301</v>
      </c>
      <c r="D80" s="2" t="s">
        <v>557</v>
      </c>
      <c r="E80" s="1" t="s">
        <v>45</v>
      </c>
      <c r="F80" s="1" t="s">
        <v>47</v>
      </c>
      <c r="G80" s="1" t="s">
        <v>188</v>
      </c>
      <c r="H80" s="1" t="s">
        <v>210</v>
      </c>
      <c r="I80" s="1" t="s">
        <v>97</v>
      </c>
      <c r="J80" s="2" t="s">
        <v>627</v>
      </c>
    </row>
    <row r="81">
      <c r="A81" s="1" t="s">
        <v>628</v>
      </c>
      <c r="B81" s="1" t="s">
        <v>542</v>
      </c>
      <c r="C81" s="1" t="s">
        <v>629</v>
      </c>
      <c r="D81" s="2" t="s">
        <v>631</v>
      </c>
      <c r="E81" s="1" t="s">
        <v>130</v>
      </c>
      <c r="F81" s="1" t="s">
        <v>256</v>
      </c>
      <c r="G81" s="1" t="s">
        <v>94</v>
      </c>
      <c r="H81" s="1" t="s">
        <v>346</v>
      </c>
      <c r="I81" s="1" t="s">
        <v>97</v>
      </c>
      <c r="J81" s="2" t="s">
        <v>632</v>
      </c>
    </row>
    <row r="82">
      <c r="A82" s="1" t="s">
        <v>633</v>
      </c>
      <c r="B82" s="1" t="s">
        <v>473</v>
      </c>
      <c r="C82" s="1" t="s">
        <v>128</v>
      </c>
      <c r="D82" s="2" t="s">
        <v>604</v>
      </c>
      <c r="E82" s="1" t="s">
        <v>105</v>
      </c>
      <c r="F82" s="1" t="s">
        <v>64</v>
      </c>
      <c r="G82" s="1" t="s">
        <v>142</v>
      </c>
      <c r="H82" s="1" t="s">
        <v>143</v>
      </c>
      <c r="I82" s="1" t="s">
        <v>52</v>
      </c>
      <c r="J82" s="2" t="s">
        <v>634</v>
      </c>
    </row>
    <row r="83">
      <c r="A83" s="1" t="s">
        <v>633</v>
      </c>
      <c r="B83" s="1" t="s">
        <v>473</v>
      </c>
      <c r="C83" s="1" t="s">
        <v>128</v>
      </c>
      <c r="D83" s="2" t="s">
        <v>604</v>
      </c>
      <c r="E83" s="1" t="s">
        <v>105</v>
      </c>
      <c r="F83" s="1" t="s">
        <v>64</v>
      </c>
      <c r="G83" s="1" t="s">
        <v>142</v>
      </c>
      <c r="H83" s="1" t="s">
        <v>143</v>
      </c>
      <c r="I83" s="1" t="s">
        <v>52</v>
      </c>
      <c r="J83" s="2" t="s">
        <v>634</v>
      </c>
    </row>
    <row r="84">
      <c r="A84" s="1" t="s">
        <v>636</v>
      </c>
      <c r="B84" s="1" t="s">
        <v>343</v>
      </c>
      <c r="C84" s="1" t="s">
        <v>90</v>
      </c>
      <c r="D84" s="2" t="s">
        <v>488</v>
      </c>
      <c r="E84" s="1" t="s">
        <v>105</v>
      </c>
      <c r="F84" s="1" t="s">
        <v>81</v>
      </c>
      <c r="G84" s="1" t="s">
        <v>637</v>
      </c>
      <c r="H84" s="1" t="s">
        <v>304</v>
      </c>
      <c r="I84" s="1" t="s">
        <v>97</v>
      </c>
      <c r="J84" s="2" t="s">
        <v>638</v>
      </c>
    </row>
    <row r="85">
      <c r="A85" s="1" t="s">
        <v>640</v>
      </c>
      <c r="B85" s="1" t="s">
        <v>411</v>
      </c>
      <c r="C85" s="1" t="s">
        <v>128</v>
      </c>
      <c r="D85" s="2" t="s">
        <v>488</v>
      </c>
      <c r="E85" s="1" t="s">
        <v>45</v>
      </c>
      <c r="F85" s="1" t="s">
        <v>64</v>
      </c>
      <c r="G85" s="1" t="s">
        <v>642</v>
      </c>
      <c r="H85" s="1" t="s">
        <v>546</v>
      </c>
      <c r="I85" s="1" t="s">
        <v>97</v>
      </c>
      <c r="J85" s="2" t="s">
        <v>643</v>
      </c>
    </row>
    <row r="86">
      <c r="A86" s="1" t="s">
        <v>644</v>
      </c>
      <c r="B86" s="1" t="s">
        <v>645</v>
      </c>
      <c r="C86" s="1" t="s">
        <v>363</v>
      </c>
      <c r="D86" s="2" t="s">
        <v>229</v>
      </c>
      <c r="E86" s="1" t="s">
        <v>45</v>
      </c>
      <c r="F86" s="1" t="s">
        <v>237</v>
      </c>
      <c r="G86" s="1" t="s">
        <v>647</v>
      </c>
      <c r="H86" s="1" t="s">
        <v>359</v>
      </c>
      <c r="I86" s="1" t="s">
        <v>97</v>
      </c>
      <c r="J86" s="2" t="s">
        <v>648</v>
      </c>
    </row>
    <row r="87">
      <c r="A87" s="1" t="s">
        <v>649</v>
      </c>
      <c r="B87" s="1" t="s">
        <v>292</v>
      </c>
      <c r="C87" s="1" t="s">
        <v>25</v>
      </c>
      <c r="D87" s="2" t="s">
        <v>650</v>
      </c>
      <c r="E87" s="1" t="s">
        <v>45</v>
      </c>
      <c r="F87" s="1" t="s">
        <v>30</v>
      </c>
      <c r="G87" s="1" t="s">
        <v>345</v>
      </c>
      <c r="H87" s="1" t="s">
        <v>402</v>
      </c>
      <c r="I87" s="1" t="s">
        <v>35</v>
      </c>
      <c r="J87" s="2" t="s">
        <v>652</v>
      </c>
    </row>
    <row r="88">
      <c r="A88" s="1" t="s">
        <v>653</v>
      </c>
      <c r="B88" s="1" t="s">
        <v>432</v>
      </c>
      <c r="C88" s="1" t="s">
        <v>301</v>
      </c>
      <c r="D88" s="2" t="s">
        <v>655</v>
      </c>
      <c r="E88" s="1" t="s">
        <v>152</v>
      </c>
      <c r="F88" s="1" t="s">
        <v>401</v>
      </c>
      <c r="G88" s="1" t="s">
        <v>177</v>
      </c>
      <c r="H88" s="1" t="s">
        <v>179</v>
      </c>
      <c r="I88" s="1" t="s">
        <v>52</v>
      </c>
      <c r="J88" s="2" t="s">
        <v>656</v>
      </c>
    </row>
    <row r="89">
      <c r="A89" s="1" t="s">
        <v>657</v>
      </c>
      <c r="B89" s="1" t="s">
        <v>658</v>
      </c>
      <c r="C89" s="1" t="s">
        <v>526</v>
      </c>
      <c r="E89" s="1" t="s">
        <v>130</v>
      </c>
      <c r="F89" s="1" t="s">
        <v>268</v>
      </c>
      <c r="G89" s="1" t="s">
        <v>517</v>
      </c>
      <c r="H89" s="1" t="s">
        <v>124</v>
      </c>
      <c r="I89" s="1" t="s">
        <v>222</v>
      </c>
      <c r="J89" s="2" t="s">
        <v>660</v>
      </c>
    </row>
    <row r="90">
      <c r="A90" s="1" t="s">
        <v>661</v>
      </c>
      <c r="B90" s="1" t="s">
        <v>662</v>
      </c>
      <c r="C90" s="1" t="s">
        <v>556</v>
      </c>
      <c r="D90" s="2" t="s">
        <v>302</v>
      </c>
      <c r="E90" s="1" t="s">
        <v>80</v>
      </c>
      <c r="F90" s="1" t="s">
        <v>81</v>
      </c>
      <c r="G90" s="1" t="s">
        <v>132</v>
      </c>
      <c r="H90" s="1" t="s">
        <v>346</v>
      </c>
      <c r="I90" s="1" t="s">
        <v>97</v>
      </c>
      <c r="J90" s="2" t="s">
        <v>663</v>
      </c>
    </row>
    <row r="91">
      <c r="A91" s="1" t="s">
        <v>665</v>
      </c>
      <c r="B91" s="1" t="s">
        <v>666</v>
      </c>
      <c r="C91" s="1" t="s">
        <v>216</v>
      </c>
      <c r="D91" s="2" t="s">
        <v>667</v>
      </c>
      <c r="E91" s="1" t="s">
        <v>152</v>
      </c>
      <c r="F91" s="1" t="s">
        <v>141</v>
      </c>
      <c r="G91" s="1" t="s">
        <v>385</v>
      </c>
      <c r="H91" s="1" t="s">
        <v>210</v>
      </c>
      <c r="I91" s="1" t="s">
        <v>222</v>
      </c>
      <c r="J91" s="2" t="s">
        <v>670</v>
      </c>
    </row>
    <row r="92">
      <c r="A92" s="1" t="s">
        <v>671</v>
      </c>
      <c r="B92" s="1" t="s">
        <v>171</v>
      </c>
      <c r="C92" s="1" t="s">
        <v>254</v>
      </c>
      <c r="D92" s="2" t="s">
        <v>460</v>
      </c>
      <c r="E92" s="1" t="s">
        <v>80</v>
      </c>
      <c r="F92" s="1" t="s">
        <v>571</v>
      </c>
      <c r="G92" s="1" t="s">
        <v>370</v>
      </c>
      <c r="H92" s="1" t="s">
        <v>279</v>
      </c>
      <c r="I92" s="1" t="s">
        <v>97</v>
      </c>
      <c r="J92" s="2" t="s">
        <v>673</v>
      </c>
    </row>
    <row r="93">
      <c r="A93" s="1" t="s">
        <v>674</v>
      </c>
      <c r="B93" s="1" t="s">
        <v>542</v>
      </c>
      <c r="C93" s="1" t="s">
        <v>254</v>
      </c>
      <c r="D93" s="2" t="s">
        <v>675</v>
      </c>
      <c r="E93" s="1" t="s">
        <v>130</v>
      </c>
      <c r="F93" s="1" t="s">
        <v>309</v>
      </c>
      <c r="G93" s="1" t="s">
        <v>677</v>
      </c>
      <c r="H93" s="1" t="s">
        <v>124</v>
      </c>
      <c r="I93" s="1" t="s">
        <v>52</v>
      </c>
      <c r="J93" s="2" t="s">
        <v>678</v>
      </c>
    </row>
    <row r="94">
      <c r="A94" s="1" t="s">
        <v>679</v>
      </c>
      <c r="B94" s="1" t="s">
        <v>171</v>
      </c>
      <c r="C94" s="1" t="s">
        <v>680</v>
      </c>
      <c r="D94" s="2" t="s">
        <v>550</v>
      </c>
      <c r="E94" s="1" t="s">
        <v>80</v>
      </c>
      <c r="F94" s="1" t="s">
        <v>30</v>
      </c>
      <c r="G94" s="1" t="s">
        <v>230</v>
      </c>
      <c r="H94" s="1" t="s">
        <v>231</v>
      </c>
      <c r="I94" s="1" t="s">
        <v>97</v>
      </c>
      <c r="J94" s="2" t="s">
        <v>681</v>
      </c>
    </row>
    <row r="95">
      <c r="A95" s="1" t="s">
        <v>683</v>
      </c>
      <c r="B95" s="1" t="s">
        <v>368</v>
      </c>
      <c r="C95" s="1" t="s">
        <v>159</v>
      </c>
      <c r="D95" s="2" t="s">
        <v>63</v>
      </c>
      <c r="E95" s="1" t="s">
        <v>45</v>
      </c>
      <c r="F95" s="1" t="s">
        <v>256</v>
      </c>
      <c r="G95" s="1" t="s">
        <v>94</v>
      </c>
      <c r="H95" s="1" t="s">
        <v>231</v>
      </c>
      <c r="I95" s="1" t="s">
        <v>211</v>
      </c>
      <c r="J95" s="2" t="s">
        <v>684</v>
      </c>
    </row>
    <row r="96">
      <c r="A96" s="1" t="s">
        <v>687</v>
      </c>
      <c r="B96" s="1" t="s">
        <v>688</v>
      </c>
      <c r="C96" s="1" t="s">
        <v>172</v>
      </c>
      <c r="E96" s="1" t="s">
        <v>130</v>
      </c>
      <c r="F96" s="1" t="s">
        <v>237</v>
      </c>
      <c r="G96" s="1" t="s">
        <v>612</v>
      </c>
      <c r="H96" s="1" t="s">
        <v>691</v>
      </c>
      <c r="I96" s="1" t="s">
        <v>211</v>
      </c>
      <c r="J96" s="2" t="s">
        <v>692</v>
      </c>
    </row>
    <row r="97">
      <c r="A97" s="1" t="s">
        <v>693</v>
      </c>
      <c r="B97" s="1" t="s">
        <v>444</v>
      </c>
      <c r="C97" s="1" t="s">
        <v>374</v>
      </c>
      <c r="D97" s="2" t="s">
        <v>550</v>
      </c>
      <c r="E97" s="1" t="s">
        <v>105</v>
      </c>
      <c r="F97" s="1" t="s">
        <v>64</v>
      </c>
      <c r="G97" s="1" t="s">
        <v>558</v>
      </c>
      <c r="H97" s="1" t="s">
        <v>359</v>
      </c>
      <c r="I97" s="1" t="s">
        <v>97</v>
      </c>
      <c r="J97" s="2" t="s">
        <v>464</v>
      </c>
    </row>
    <row r="98">
      <c r="A98" s="1" t="s">
        <v>695</v>
      </c>
      <c r="B98" s="1" t="s">
        <v>696</v>
      </c>
      <c r="C98" s="1" t="s">
        <v>76</v>
      </c>
      <c r="D98" s="2" t="s">
        <v>631</v>
      </c>
      <c r="E98" s="1" t="s">
        <v>80</v>
      </c>
      <c r="F98" s="1" t="s">
        <v>237</v>
      </c>
      <c r="G98" s="1" t="s">
        <v>551</v>
      </c>
      <c r="H98" s="1" t="s">
        <v>699</v>
      </c>
      <c r="I98" s="1" t="s">
        <v>97</v>
      </c>
      <c r="J98" s="2" t="s">
        <v>700</v>
      </c>
    </row>
    <row r="99">
      <c r="A99" s="1" t="s">
        <v>701</v>
      </c>
      <c r="B99" s="1" t="s">
        <v>343</v>
      </c>
      <c r="C99" s="1" t="s">
        <v>61</v>
      </c>
      <c r="E99" s="1" t="s">
        <v>130</v>
      </c>
      <c r="F99" s="1" t="s">
        <v>364</v>
      </c>
      <c r="G99" s="1" t="s">
        <v>551</v>
      </c>
      <c r="H99" s="1" t="s">
        <v>83</v>
      </c>
      <c r="I99" s="1" t="s">
        <v>211</v>
      </c>
      <c r="J99" s="2" t="s">
        <v>703</v>
      </c>
    </row>
    <row r="100">
      <c r="A100" s="1" t="s">
        <v>704</v>
      </c>
      <c r="B100" s="1" t="s">
        <v>368</v>
      </c>
      <c r="C100" s="1" t="s">
        <v>25</v>
      </c>
      <c r="D100" s="2" t="s">
        <v>185</v>
      </c>
      <c r="E100" s="1" t="s">
        <v>105</v>
      </c>
      <c r="F100" s="1" t="s">
        <v>571</v>
      </c>
      <c r="G100" s="1" t="s">
        <v>238</v>
      </c>
      <c r="H100" s="1" t="s">
        <v>691</v>
      </c>
      <c r="I100" s="1" t="s">
        <v>97</v>
      </c>
      <c r="J100" s="2" t="s">
        <v>706</v>
      </c>
    </row>
    <row r="101">
      <c r="A101" s="1" t="s">
        <v>707</v>
      </c>
      <c r="B101" s="1" t="s">
        <v>399</v>
      </c>
      <c r="C101" s="1" t="s">
        <v>709</v>
      </c>
      <c r="D101" s="2" t="s">
        <v>302</v>
      </c>
      <c r="E101" s="1" t="s">
        <v>80</v>
      </c>
      <c r="F101" s="1" t="s">
        <v>364</v>
      </c>
      <c r="G101" s="1" t="s">
        <v>583</v>
      </c>
      <c r="H101" s="1" t="s">
        <v>96</v>
      </c>
      <c r="I101" s="1" t="s">
        <v>97</v>
      </c>
      <c r="J101" s="2" t="s">
        <v>711</v>
      </c>
    </row>
    <row r="102">
      <c r="A102" s="1" t="s">
        <v>712</v>
      </c>
      <c r="B102" s="1" t="s">
        <v>127</v>
      </c>
      <c r="C102" s="1" t="s">
        <v>713</v>
      </c>
      <c r="D102" s="2" t="s">
        <v>714</v>
      </c>
      <c r="E102" s="1" t="s">
        <v>80</v>
      </c>
      <c r="F102" s="1" t="s">
        <v>237</v>
      </c>
      <c r="G102" s="1" t="s">
        <v>499</v>
      </c>
      <c r="H102" s="1" t="s">
        <v>533</v>
      </c>
      <c r="I102" s="1" t="s">
        <v>222</v>
      </c>
      <c r="J102" s="2" t="s">
        <v>716</v>
      </c>
    </row>
    <row r="103">
      <c r="A103" s="1" t="s">
        <v>717</v>
      </c>
      <c r="B103" s="1" t="s">
        <v>718</v>
      </c>
      <c r="C103" s="1" t="s">
        <v>101</v>
      </c>
      <c r="D103" s="2" t="s">
        <v>353</v>
      </c>
      <c r="E103" s="1" t="s">
        <v>105</v>
      </c>
      <c r="F103" s="1" t="s">
        <v>30</v>
      </c>
      <c r="G103" s="1" t="s">
        <v>642</v>
      </c>
      <c r="H103" s="1" t="s">
        <v>720</v>
      </c>
      <c r="I103" s="1" t="s">
        <v>211</v>
      </c>
      <c r="J103" s="2" t="s">
        <v>721</v>
      </c>
    </row>
    <row r="104">
      <c r="A104" s="1" t="s">
        <v>722</v>
      </c>
      <c r="B104" s="1" t="s">
        <v>723</v>
      </c>
      <c r="C104" s="1" t="s">
        <v>324</v>
      </c>
      <c r="D104" s="2" t="s">
        <v>129</v>
      </c>
      <c r="E104" s="1" t="s">
        <v>105</v>
      </c>
      <c r="F104" s="1" t="s">
        <v>268</v>
      </c>
      <c r="G104" s="1" t="s">
        <v>132</v>
      </c>
      <c r="H104" s="1" t="s">
        <v>286</v>
      </c>
      <c r="I104" s="1" t="s">
        <v>97</v>
      </c>
      <c r="J104" s="2" t="s">
        <v>726</v>
      </c>
    </row>
    <row r="105">
      <c r="A105" s="1" t="s">
        <v>727</v>
      </c>
      <c r="B105" s="1" t="s">
        <v>171</v>
      </c>
      <c r="C105" s="1" t="s">
        <v>148</v>
      </c>
      <c r="D105" s="2" t="s">
        <v>92</v>
      </c>
      <c r="E105" s="1" t="s">
        <v>152</v>
      </c>
      <c r="F105" s="1" t="s">
        <v>393</v>
      </c>
      <c r="G105" s="1" t="s">
        <v>94</v>
      </c>
      <c r="H105" s="1" t="s">
        <v>346</v>
      </c>
      <c r="I105" s="1" t="s">
        <v>35</v>
      </c>
      <c r="J105" s="2" t="s">
        <v>729</v>
      </c>
    </row>
    <row r="106">
      <c r="A106" s="1" t="s">
        <v>730</v>
      </c>
      <c r="B106" s="1" t="s">
        <v>731</v>
      </c>
      <c r="C106" s="1" t="s">
        <v>363</v>
      </c>
      <c r="D106" s="2" t="s">
        <v>733</v>
      </c>
      <c r="E106" s="1" t="s">
        <v>105</v>
      </c>
      <c r="F106" s="1" t="s">
        <v>64</v>
      </c>
      <c r="G106" s="1" t="s">
        <v>142</v>
      </c>
      <c r="H106" s="1" t="s">
        <v>143</v>
      </c>
      <c r="I106" s="1" t="s">
        <v>222</v>
      </c>
      <c r="J106" s="2" t="s">
        <v>736</v>
      </c>
    </row>
    <row r="107">
      <c r="A107" s="1" t="s">
        <v>737</v>
      </c>
      <c r="B107" s="1" t="s">
        <v>127</v>
      </c>
      <c r="C107" s="1" t="s">
        <v>128</v>
      </c>
      <c r="D107" s="2" t="s">
        <v>738</v>
      </c>
      <c r="E107" s="1" t="s">
        <v>130</v>
      </c>
      <c r="F107" s="1" t="s">
        <v>47</v>
      </c>
      <c r="G107" s="1" t="s">
        <v>177</v>
      </c>
      <c r="H107" s="1" t="s">
        <v>477</v>
      </c>
      <c r="I107" s="1" t="s">
        <v>222</v>
      </c>
      <c r="J107" s="2" t="s">
        <v>740</v>
      </c>
    </row>
    <row r="108">
      <c r="A108" s="1" t="s">
        <v>741</v>
      </c>
      <c r="B108" s="1" t="s">
        <v>422</v>
      </c>
      <c r="C108" s="1" t="s">
        <v>363</v>
      </c>
      <c r="D108" s="2" t="s">
        <v>336</v>
      </c>
      <c r="E108" s="1" t="s">
        <v>105</v>
      </c>
      <c r="F108" s="1" t="s">
        <v>393</v>
      </c>
      <c r="G108" s="1" t="s">
        <v>642</v>
      </c>
      <c r="H108" s="1" t="s">
        <v>96</v>
      </c>
      <c r="I108" s="1" t="s">
        <v>97</v>
      </c>
      <c r="J108" s="2" t="s">
        <v>743</v>
      </c>
    </row>
    <row r="109">
      <c r="A109" s="1" t="s">
        <v>744</v>
      </c>
      <c r="B109" s="1" t="s">
        <v>745</v>
      </c>
      <c r="C109" s="1" t="s">
        <v>128</v>
      </c>
      <c r="D109" s="2" t="s">
        <v>429</v>
      </c>
      <c r="E109" s="1" t="s">
        <v>80</v>
      </c>
      <c r="F109" s="1" t="s">
        <v>47</v>
      </c>
      <c r="G109" s="1" t="s">
        <v>188</v>
      </c>
      <c r="H109" s="1" t="s">
        <v>189</v>
      </c>
      <c r="I109" s="1" t="s">
        <v>35</v>
      </c>
      <c r="J109" s="2" t="s">
        <v>748</v>
      </c>
    </row>
    <row r="110">
      <c r="A110" s="1" t="s">
        <v>749</v>
      </c>
      <c r="B110" s="1" t="s">
        <v>307</v>
      </c>
      <c r="C110" s="1" t="s">
        <v>90</v>
      </c>
      <c r="D110" s="2" t="s">
        <v>26</v>
      </c>
      <c r="E110" s="1" t="s">
        <v>45</v>
      </c>
      <c r="F110" s="1" t="s">
        <v>237</v>
      </c>
      <c r="G110" s="1" t="s">
        <v>132</v>
      </c>
      <c r="H110" s="1" t="s">
        <v>67</v>
      </c>
      <c r="I110" s="1" t="s">
        <v>211</v>
      </c>
      <c r="J110" s="2" t="s">
        <v>750</v>
      </c>
    </row>
    <row r="111">
      <c r="A111" s="1" t="s">
        <v>751</v>
      </c>
      <c r="B111" s="1" t="s">
        <v>752</v>
      </c>
      <c r="C111" s="1" t="s">
        <v>753</v>
      </c>
      <c r="D111" s="2" t="s">
        <v>302</v>
      </c>
      <c r="E111" s="1" t="s">
        <v>80</v>
      </c>
      <c r="F111" s="1" t="s">
        <v>309</v>
      </c>
      <c r="G111" s="1" t="s">
        <v>345</v>
      </c>
      <c r="H111" s="1" t="s">
        <v>402</v>
      </c>
      <c r="I111" s="1" t="s">
        <v>97</v>
      </c>
      <c r="J111" s="2" t="s">
        <v>755</v>
      </c>
    </row>
    <row r="112">
      <c r="A112" s="1" t="s">
        <v>756</v>
      </c>
      <c r="B112" s="1" t="s">
        <v>757</v>
      </c>
      <c r="C112" s="1" t="s">
        <v>316</v>
      </c>
      <c r="D112" s="2" t="s">
        <v>353</v>
      </c>
      <c r="E112" s="1" t="s">
        <v>105</v>
      </c>
      <c r="F112" s="1" t="s">
        <v>759</v>
      </c>
      <c r="G112" s="1" t="s">
        <v>123</v>
      </c>
      <c r="H112" s="1" t="s">
        <v>83</v>
      </c>
      <c r="I112" s="1" t="s">
        <v>52</v>
      </c>
      <c r="J112" s="2" t="s">
        <v>760</v>
      </c>
    </row>
    <row r="113">
      <c r="A113" s="1" t="s">
        <v>762</v>
      </c>
      <c r="B113" s="1" t="s">
        <v>763</v>
      </c>
      <c r="C113" s="1" t="s">
        <v>159</v>
      </c>
      <c r="D113" s="2" t="s">
        <v>195</v>
      </c>
      <c r="E113" s="1" t="s">
        <v>28</v>
      </c>
      <c r="F113" s="1" t="s">
        <v>208</v>
      </c>
      <c r="G113" s="1" t="s">
        <v>489</v>
      </c>
      <c r="H113" s="1" t="s">
        <v>110</v>
      </c>
      <c r="I113" s="1" t="s">
        <v>97</v>
      </c>
      <c r="J113" s="2" t="s">
        <v>765</v>
      </c>
    </row>
    <row r="114">
      <c r="A114" s="1" t="s">
        <v>766</v>
      </c>
      <c r="B114" s="1" t="s">
        <v>74</v>
      </c>
      <c r="C114" s="1" t="s">
        <v>42</v>
      </c>
      <c r="D114" s="2" t="s">
        <v>161</v>
      </c>
      <c r="E114" s="1" t="s">
        <v>152</v>
      </c>
      <c r="F114" s="1" t="s">
        <v>393</v>
      </c>
      <c r="G114" s="1" t="s">
        <v>177</v>
      </c>
      <c r="H114" s="1" t="s">
        <v>592</v>
      </c>
      <c r="I114" s="1" t="s">
        <v>52</v>
      </c>
      <c r="J114" s="2" t="s">
        <v>767</v>
      </c>
    </row>
    <row r="115">
      <c r="A115" s="1" t="s">
        <v>768</v>
      </c>
      <c r="B115" s="1" t="s">
        <v>769</v>
      </c>
      <c r="C115" s="1" t="s">
        <v>469</v>
      </c>
      <c r="D115" s="2" t="s">
        <v>488</v>
      </c>
      <c r="E115" s="1" t="s">
        <v>130</v>
      </c>
      <c r="F115" s="1" t="s">
        <v>571</v>
      </c>
      <c r="G115" s="1" t="s">
        <v>499</v>
      </c>
      <c r="H115" s="1" t="s">
        <v>240</v>
      </c>
      <c r="I115" s="1" t="s">
        <v>97</v>
      </c>
      <c r="J115" s="2" t="s">
        <v>770</v>
      </c>
    </row>
    <row r="116">
      <c r="A116" s="1" t="s">
        <v>771</v>
      </c>
      <c r="B116" s="1" t="s">
        <v>772</v>
      </c>
      <c r="C116" s="1" t="s">
        <v>556</v>
      </c>
      <c r="D116" s="2" t="s">
        <v>604</v>
      </c>
      <c r="E116" s="1" t="s">
        <v>130</v>
      </c>
      <c r="F116" s="1" t="s">
        <v>208</v>
      </c>
      <c r="G116" s="1" t="s">
        <v>311</v>
      </c>
      <c r="H116" s="1" t="s">
        <v>260</v>
      </c>
      <c r="I116" s="1" t="s">
        <v>52</v>
      </c>
      <c r="J116" s="2" t="s">
        <v>774</v>
      </c>
    </row>
    <row r="117">
      <c r="A117" s="1" t="s">
        <v>775</v>
      </c>
      <c r="B117" s="1" t="s">
        <v>486</v>
      </c>
      <c r="C117" s="1" t="s">
        <v>776</v>
      </c>
      <c r="D117" s="2" t="s">
        <v>777</v>
      </c>
      <c r="E117" s="1" t="s">
        <v>28</v>
      </c>
      <c r="F117" s="1" t="s">
        <v>268</v>
      </c>
      <c r="G117" s="1" t="s">
        <v>94</v>
      </c>
      <c r="H117" s="1" t="s">
        <v>607</v>
      </c>
      <c r="I117" s="1" t="s">
        <v>211</v>
      </c>
      <c r="J117" s="2" t="s">
        <v>778</v>
      </c>
    </row>
    <row r="118">
      <c r="A118" s="1" t="s">
        <v>780</v>
      </c>
      <c r="B118" s="1" t="s">
        <v>616</v>
      </c>
      <c r="C118" s="1" t="s">
        <v>254</v>
      </c>
      <c r="D118" s="2" t="s">
        <v>92</v>
      </c>
      <c r="E118" s="1" t="s">
        <v>105</v>
      </c>
      <c r="F118" s="1" t="s">
        <v>364</v>
      </c>
      <c r="G118" s="1" t="s">
        <v>489</v>
      </c>
      <c r="H118" s="1" t="s">
        <v>477</v>
      </c>
      <c r="I118" s="1" t="s">
        <v>52</v>
      </c>
      <c r="J118" s="2" t="s">
        <v>782</v>
      </c>
    </row>
    <row r="119">
      <c r="A119" s="1" t="s">
        <v>783</v>
      </c>
      <c r="B119" s="1" t="s">
        <v>784</v>
      </c>
      <c r="C119" s="1" t="s">
        <v>284</v>
      </c>
      <c r="D119" s="2" t="s">
        <v>481</v>
      </c>
      <c r="E119" s="1" t="s">
        <v>130</v>
      </c>
      <c r="F119" s="1" t="s">
        <v>539</v>
      </c>
      <c r="G119" s="1" t="s">
        <v>583</v>
      </c>
      <c r="H119" s="1" t="s">
        <v>279</v>
      </c>
      <c r="I119" s="1" t="s">
        <v>211</v>
      </c>
      <c r="J119" s="2" t="s">
        <v>785</v>
      </c>
    </row>
    <row r="120">
      <c r="A120" s="1" t="s">
        <v>786</v>
      </c>
      <c r="B120" s="1" t="s">
        <v>136</v>
      </c>
      <c r="C120" s="1" t="s">
        <v>788</v>
      </c>
      <c r="D120" s="2" t="s">
        <v>185</v>
      </c>
      <c r="E120" s="1" t="s">
        <v>105</v>
      </c>
      <c r="F120" s="1" t="s">
        <v>64</v>
      </c>
      <c r="G120" s="1" t="s">
        <v>789</v>
      </c>
      <c r="H120" s="1" t="s">
        <v>165</v>
      </c>
      <c r="I120" s="1" t="s">
        <v>97</v>
      </c>
      <c r="J120" s="2" t="s">
        <v>790</v>
      </c>
    </row>
    <row r="121">
      <c r="A121" s="1" t="s">
        <v>791</v>
      </c>
      <c r="B121" s="1" t="s">
        <v>343</v>
      </c>
      <c r="C121" s="1" t="s">
        <v>159</v>
      </c>
      <c r="D121" s="2" t="s">
        <v>302</v>
      </c>
      <c r="E121" s="1" t="s">
        <v>80</v>
      </c>
      <c r="F121" s="1" t="s">
        <v>393</v>
      </c>
      <c r="G121" s="1" t="s">
        <v>642</v>
      </c>
      <c r="H121" s="1" t="s">
        <v>346</v>
      </c>
      <c r="I121" s="1" t="s">
        <v>97</v>
      </c>
      <c r="J121" s="2" t="s">
        <v>794</v>
      </c>
    </row>
    <row r="122">
      <c r="A122" s="1" t="s">
        <v>795</v>
      </c>
      <c r="B122" s="1" t="s">
        <v>745</v>
      </c>
      <c r="C122" s="1" t="s">
        <v>148</v>
      </c>
      <c r="D122" s="2" t="s">
        <v>667</v>
      </c>
      <c r="E122" s="1" t="s">
        <v>45</v>
      </c>
      <c r="F122" s="1" t="s">
        <v>107</v>
      </c>
      <c r="G122" s="1" t="s">
        <v>608</v>
      </c>
      <c r="H122" s="1" t="s">
        <v>110</v>
      </c>
      <c r="I122" s="1" t="s">
        <v>52</v>
      </c>
      <c r="J122" s="2" t="s">
        <v>797</v>
      </c>
    </row>
    <row r="123">
      <c r="A123" s="1" t="s">
        <v>798</v>
      </c>
      <c r="B123" s="1" t="s">
        <v>772</v>
      </c>
      <c r="C123" s="1" t="s">
        <v>128</v>
      </c>
      <c r="D123" s="2" t="s">
        <v>217</v>
      </c>
      <c r="E123" s="1" t="s">
        <v>80</v>
      </c>
      <c r="F123" s="1" t="s">
        <v>539</v>
      </c>
      <c r="G123" s="1" t="s">
        <v>647</v>
      </c>
      <c r="H123" s="1" t="s">
        <v>561</v>
      </c>
      <c r="I123" s="1" t="s">
        <v>52</v>
      </c>
      <c r="J123" s="2" t="s">
        <v>800</v>
      </c>
    </row>
    <row r="124">
      <c r="A124" s="1" t="s">
        <v>801</v>
      </c>
      <c r="B124" s="1" t="s">
        <v>803</v>
      </c>
      <c r="C124" s="1" t="s">
        <v>433</v>
      </c>
      <c r="D124" s="2" t="s">
        <v>667</v>
      </c>
      <c r="E124" s="1" t="s">
        <v>130</v>
      </c>
      <c r="F124" s="1" t="s">
        <v>81</v>
      </c>
      <c r="G124" s="1" t="s">
        <v>408</v>
      </c>
      <c r="H124" s="1" t="s">
        <v>359</v>
      </c>
      <c r="I124" s="1" t="s">
        <v>35</v>
      </c>
      <c r="J124" s="2" t="s">
        <v>804</v>
      </c>
    </row>
    <row r="125">
      <c r="A125" s="1" t="s">
        <v>805</v>
      </c>
      <c r="B125" s="1" t="s">
        <v>658</v>
      </c>
      <c r="C125" s="1" t="s">
        <v>25</v>
      </c>
      <c r="D125" s="2" t="s">
        <v>738</v>
      </c>
      <c r="E125" s="1" t="s">
        <v>80</v>
      </c>
      <c r="F125" s="1" t="s">
        <v>107</v>
      </c>
      <c r="G125" s="1" t="s">
        <v>132</v>
      </c>
      <c r="H125" s="1" t="s">
        <v>346</v>
      </c>
      <c r="I125" s="1" t="s">
        <v>52</v>
      </c>
      <c r="J125" s="2" t="s">
        <v>810</v>
      </c>
    </row>
    <row r="126">
      <c r="A126" s="1" t="s">
        <v>811</v>
      </c>
      <c r="B126" s="1" t="s">
        <v>812</v>
      </c>
      <c r="C126" s="1" t="s">
        <v>216</v>
      </c>
      <c r="D126" s="2" t="s">
        <v>675</v>
      </c>
      <c r="E126" s="1" t="s">
        <v>80</v>
      </c>
      <c r="F126" s="1" t="s">
        <v>107</v>
      </c>
      <c r="G126" s="1" t="s">
        <v>482</v>
      </c>
      <c r="H126" s="1" t="s">
        <v>110</v>
      </c>
      <c r="I126" s="1" t="s">
        <v>222</v>
      </c>
      <c r="J126" s="2" t="s">
        <v>814</v>
      </c>
    </row>
    <row r="127">
      <c r="A127" s="1" t="s">
        <v>815</v>
      </c>
      <c r="B127" s="1" t="s">
        <v>193</v>
      </c>
      <c r="C127" s="1" t="s">
        <v>363</v>
      </c>
      <c r="D127" s="2" t="s">
        <v>285</v>
      </c>
      <c r="E127" s="1" t="s">
        <v>105</v>
      </c>
      <c r="F127" s="1" t="s">
        <v>571</v>
      </c>
      <c r="G127" s="1" t="s">
        <v>789</v>
      </c>
      <c r="H127" s="1" t="s">
        <v>50</v>
      </c>
      <c r="I127" s="1" t="s">
        <v>97</v>
      </c>
      <c r="J127" s="2" t="s">
        <v>817</v>
      </c>
    </row>
    <row r="128">
      <c r="A128" s="1" t="s">
        <v>819</v>
      </c>
      <c r="B128" s="1" t="s">
        <v>820</v>
      </c>
      <c r="C128" s="1" t="s">
        <v>76</v>
      </c>
      <c r="D128" s="2" t="s">
        <v>161</v>
      </c>
      <c r="E128" s="1" t="s">
        <v>28</v>
      </c>
      <c r="F128" s="1" t="s">
        <v>64</v>
      </c>
      <c r="G128" s="1" t="s">
        <v>677</v>
      </c>
      <c r="H128" s="1" t="s">
        <v>699</v>
      </c>
      <c r="I128" s="1" t="s">
        <v>35</v>
      </c>
      <c r="J128" s="2" t="s">
        <v>821</v>
      </c>
    </row>
    <row r="129">
      <c r="A129" s="1" t="s">
        <v>822</v>
      </c>
      <c r="B129" s="1" t="s">
        <v>542</v>
      </c>
      <c r="C129" s="1" t="s">
        <v>264</v>
      </c>
      <c r="D129" s="2" t="s">
        <v>823</v>
      </c>
      <c r="E129" s="1" t="s">
        <v>152</v>
      </c>
      <c r="F129" s="1" t="s">
        <v>364</v>
      </c>
      <c r="G129" s="1" t="s">
        <v>637</v>
      </c>
      <c r="H129" s="1" t="s">
        <v>260</v>
      </c>
      <c r="I129" s="1" t="s">
        <v>35</v>
      </c>
      <c r="J129" s="2" t="s">
        <v>825</v>
      </c>
    </row>
    <row r="130">
      <c r="A130" s="1" t="s">
        <v>826</v>
      </c>
      <c r="B130" s="1" t="s">
        <v>827</v>
      </c>
      <c r="C130" s="1" t="s">
        <v>828</v>
      </c>
      <c r="D130" s="2" t="s">
        <v>185</v>
      </c>
      <c r="E130" s="1" t="s">
        <v>152</v>
      </c>
      <c r="F130" s="1" t="s">
        <v>759</v>
      </c>
      <c r="G130" s="1" t="s">
        <v>209</v>
      </c>
      <c r="H130" s="1" t="s">
        <v>386</v>
      </c>
      <c r="I130" s="1" t="s">
        <v>97</v>
      </c>
      <c r="J130" s="2" t="s">
        <v>829</v>
      </c>
    </row>
    <row r="131">
      <c r="A131" s="1" t="s">
        <v>830</v>
      </c>
      <c r="B131" s="1" t="s">
        <v>831</v>
      </c>
      <c r="C131" s="1" t="s">
        <v>254</v>
      </c>
      <c r="D131" s="2" t="s">
        <v>655</v>
      </c>
      <c r="E131" s="1" t="s">
        <v>45</v>
      </c>
      <c r="F131" s="1" t="s">
        <v>539</v>
      </c>
      <c r="G131" s="1" t="s">
        <v>642</v>
      </c>
      <c r="H131" s="1" t="s">
        <v>260</v>
      </c>
      <c r="I131" s="1" t="s">
        <v>52</v>
      </c>
      <c r="J131" s="2" t="s">
        <v>833</v>
      </c>
    </row>
    <row r="132">
      <c r="A132" s="1" t="s">
        <v>834</v>
      </c>
      <c r="B132" s="1" t="s">
        <v>542</v>
      </c>
      <c r="C132" s="1" t="s">
        <v>713</v>
      </c>
      <c r="D132" s="2" t="s">
        <v>423</v>
      </c>
      <c r="E132" s="1" t="s">
        <v>130</v>
      </c>
      <c r="F132" s="1" t="s">
        <v>268</v>
      </c>
      <c r="G132" s="1" t="s">
        <v>439</v>
      </c>
      <c r="H132" s="1" t="s">
        <v>394</v>
      </c>
      <c r="I132" s="1" t="s">
        <v>97</v>
      </c>
      <c r="J132" s="2" t="s">
        <v>836</v>
      </c>
    </row>
    <row r="133">
      <c r="A133" s="1" t="s">
        <v>837</v>
      </c>
      <c r="B133" s="1" t="s">
        <v>838</v>
      </c>
      <c r="C133" s="1" t="s">
        <v>76</v>
      </c>
      <c r="D133" s="2" t="s">
        <v>302</v>
      </c>
      <c r="E133" s="1" t="s">
        <v>152</v>
      </c>
      <c r="F133" s="1" t="s">
        <v>30</v>
      </c>
      <c r="G133" s="1" t="s">
        <v>142</v>
      </c>
      <c r="H133" s="1" t="s">
        <v>346</v>
      </c>
      <c r="I133" s="1" t="s">
        <v>97</v>
      </c>
      <c r="J133" s="2" t="s">
        <v>840</v>
      </c>
    </row>
    <row r="134">
      <c r="A134" s="1" t="s">
        <v>841</v>
      </c>
      <c r="B134" s="1" t="s">
        <v>843</v>
      </c>
      <c r="C134" s="1" t="s">
        <v>316</v>
      </c>
      <c r="D134" s="2" t="s">
        <v>604</v>
      </c>
      <c r="E134" s="1" t="s">
        <v>80</v>
      </c>
      <c r="F134" s="1" t="s">
        <v>364</v>
      </c>
      <c r="G134" s="1" t="s">
        <v>608</v>
      </c>
      <c r="H134" s="1" t="s">
        <v>179</v>
      </c>
      <c r="I134" s="1" t="s">
        <v>222</v>
      </c>
      <c r="J134" s="2" t="s">
        <v>844</v>
      </c>
    </row>
    <row r="135">
      <c r="A135" s="1" t="s">
        <v>845</v>
      </c>
      <c r="B135" s="1" t="s">
        <v>158</v>
      </c>
      <c r="C135" s="1" t="s">
        <v>148</v>
      </c>
      <c r="E135" s="1" t="s">
        <v>45</v>
      </c>
      <c r="F135" s="1" t="s">
        <v>237</v>
      </c>
      <c r="G135" s="1" t="s">
        <v>482</v>
      </c>
      <c r="H135" s="1" t="s">
        <v>179</v>
      </c>
      <c r="I135" s="1" t="s">
        <v>211</v>
      </c>
      <c r="J135" s="2" t="s">
        <v>848</v>
      </c>
    </row>
    <row r="136">
      <c r="A136" s="1" t="s">
        <v>849</v>
      </c>
      <c r="B136" s="1" t="s">
        <v>136</v>
      </c>
      <c r="C136" s="1" t="s">
        <v>128</v>
      </c>
      <c r="D136" s="2" t="s">
        <v>850</v>
      </c>
      <c r="E136" s="1" t="s">
        <v>28</v>
      </c>
      <c r="F136" s="1" t="s">
        <v>539</v>
      </c>
      <c r="G136" s="1" t="s">
        <v>436</v>
      </c>
      <c r="H136" s="1" t="s">
        <v>851</v>
      </c>
      <c r="I136" s="1" t="s">
        <v>97</v>
      </c>
      <c r="J136" s="2" t="s">
        <v>853</v>
      </c>
    </row>
    <row r="137">
      <c r="A137" s="1" t="s">
        <v>854</v>
      </c>
      <c r="B137" s="1" t="s">
        <v>764</v>
      </c>
      <c r="C137" s="1" t="s">
        <v>374</v>
      </c>
      <c r="D137" s="2" t="s">
        <v>302</v>
      </c>
      <c r="E137" s="1" t="s">
        <v>28</v>
      </c>
      <c r="F137" s="1" t="s">
        <v>393</v>
      </c>
      <c r="G137" s="1" t="s">
        <v>196</v>
      </c>
      <c r="H137" s="1" t="s">
        <v>197</v>
      </c>
      <c r="I137" s="1" t="s">
        <v>97</v>
      </c>
      <c r="J137" s="2" t="s">
        <v>856</v>
      </c>
    </row>
    <row r="138">
      <c r="A138" s="1" t="s">
        <v>857</v>
      </c>
      <c r="B138" s="1" t="s">
        <v>858</v>
      </c>
      <c r="C138" s="1" t="s">
        <v>352</v>
      </c>
      <c r="D138" s="2" t="s">
        <v>383</v>
      </c>
      <c r="E138" s="1" t="s">
        <v>152</v>
      </c>
      <c r="F138" s="1" t="s">
        <v>539</v>
      </c>
      <c r="G138" s="1" t="s">
        <v>345</v>
      </c>
      <c r="H138" s="1" t="s">
        <v>143</v>
      </c>
      <c r="I138" s="1" t="s">
        <v>35</v>
      </c>
      <c r="J138" s="2" t="s">
        <v>860</v>
      </c>
    </row>
    <row r="139">
      <c r="A139" s="1" t="s">
        <v>861</v>
      </c>
      <c r="B139" s="1" t="s">
        <v>411</v>
      </c>
      <c r="C139" s="1" t="s">
        <v>324</v>
      </c>
      <c r="D139" s="2" t="s">
        <v>26</v>
      </c>
      <c r="E139" s="1" t="s">
        <v>28</v>
      </c>
      <c r="F139" s="1" t="s">
        <v>393</v>
      </c>
      <c r="G139" s="1" t="s">
        <v>249</v>
      </c>
      <c r="H139" s="1" t="s">
        <v>124</v>
      </c>
      <c r="I139" s="1" t="s">
        <v>52</v>
      </c>
      <c r="J139" s="2" t="s">
        <v>862</v>
      </c>
    </row>
    <row r="140">
      <c r="A140" s="1" t="s">
        <v>864</v>
      </c>
      <c r="B140" s="1" t="s">
        <v>865</v>
      </c>
      <c r="C140" s="1" t="s">
        <v>244</v>
      </c>
      <c r="D140" s="2" t="s">
        <v>866</v>
      </c>
      <c r="E140" s="1" t="s">
        <v>45</v>
      </c>
      <c r="F140" s="1" t="s">
        <v>64</v>
      </c>
      <c r="G140" s="1" t="s">
        <v>867</v>
      </c>
      <c r="H140" s="1" t="s">
        <v>691</v>
      </c>
      <c r="I140" s="1" t="s">
        <v>222</v>
      </c>
      <c r="J140" s="2" t="s">
        <v>870</v>
      </c>
    </row>
    <row r="141">
      <c r="A141" s="1" t="s">
        <v>871</v>
      </c>
      <c r="B141" s="1" t="s">
        <v>872</v>
      </c>
      <c r="C141" s="1" t="s">
        <v>42</v>
      </c>
      <c r="D141" s="2" t="s">
        <v>873</v>
      </c>
      <c r="E141" s="1" t="s">
        <v>130</v>
      </c>
      <c r="F141" s="1" t="s">
        <v>759</v>
      </c>
      <c r="G141" s="1" t="s">
        <v>874</v>
      </c>
      <c r="H141" s="1" t="s">
        <v>279</v>
      </c>
      <c r="I141" s="1" t="s">
        <v>52</v>
      </c>
      <c r="J141" s="2" t="s">
        <v>875</v>
      </c>
    </row>
    <row r="142">
      <c r="A142" s="1" t="s">
        <v>876</v>
      </c>
      <c r="B142" s="1" t="s">
        <v>877</v>
      </c>
      <c r="C142" s="1" t="s">
        <v>316</v>
      </c>
      <c r="D142" s="2" t="s">
        <v>878</v>
      </c>
      <c r="E142" s="1" t="s">
        <v>152</v>
      </c>
      <c r="F142" s="1" t="s">
        <v>208</v>
      </c>
      <c r="G142" s="1" t="s">
        <v>572</v>
      </c>
      <c r="H142" s="1" t="s">
        <v>699</v>
      </c>
      <c r="I142" s="1" t="s">
        <v>222</v>
      </c>
      <c r="J142" s="2" t="s">
        <v>880</v>
      </c>
    </row>
    <row r="143">
      <c r="A143" s="1" t="s">
        <v>881</v>
      </c>
      <c r="B143" s="1" t="s">
        <v>411</v>
      </c>
      <c r="C143" s="1" t="s">
        <v>90</v>
      </c>
      <c r="D143" s="2" t="s">
        <v>392</v>
      </c>
      <c r="E143" s="1" t="s">
        <v>45</v>
      </c>
      <c r="F143" s="1" t="s">
        <v>539</v>
      </c>
      <c r="G143" s="1" t="s">
        <v>311</v>
      </c>
      <c r="H143" s="1" t="s">
        <v>304</v>
      </c>
      <c r="I143" s="1" t="s">
        <v>52</v>
      </c>
      <c r="J143" s="2" t="s">
        <v>883</v>
      </c>
    </row>
    <row r="144">
      <c r="A144" s="1" t="s">
        <v>884</v>
      </c>
      <c r="B144" s="1" t="s">
        <v>136</v>
      </c>
      <c r="C144" s="1" t="s">
        <v>885</v>
      </c>
      <c r="D144" s="2" t="s">
        <v>886</v>
      </c>
      <c r="E144" s="1" t="s">
        <v>105</v>
      </c>
      <c r="F144" s="1" t="s">
        <v>364</v>
      </c>
      <c r="G144" s="1" t="s">
        <v>177</v>
      </c>
      <c r="H144" s="1" t="s">
        <v>179</v>
      </c>
      <c r="I144" s="1" t="s">
        <v>222</v>
      </c>
      <c r="J144" s="2" t="s">
        <v>888</v>
      </c>
    </row>
    <row r="145">
      <c r="A145" s="1" t="s">
        <v>889</v>
      </c>
      <c r="B145" s="1" t="s">
        <v>764</v>
      </c>
      <c r="C145" s="1" t="s">
        <v>316</v>
      </c>
      <c r="D145" s="2" t="s">
        <v>217</v>
      </c>
      <c r="E145" s="1" t="s">
        <v>28</v>
      </c>
      <c r="F145" s="1" t="s">
        <v>393</v>
      </c>
      <c r="G145" s="1" t="s">
        <v>867</v>
      </c>
      <c r="H145" s="1" t="s">
        <v>500</v>
      </c>
      <c r="I145" s="1" t="s">
        <v>35</v>
      </c>
      <c r="J145" s="2" t="s">
        <v>891</v>
      </c>
    </row>
    <row r="146">
      <c r="A146" s="1" t="s">
        <v>892</v>
      </c>
      <c r="B146" s="1" t="s">
        <v>536</v>
      </c>
      <c r="C146" s="1" t="s">
        <v>894</v>
      </c>
      <c r="D146" s="2" t="s">
        <v>218</v>
      </c>
      <c r="E146" s="1" t="s">
        <v>80</v>
      </c>
      <c r="F146" s="1" t="s">
        <v>309</v>
      </c>
      <c r="G146" s="1" t="s">
        <v>612</v>
      </c>
      <c r="H146" s="1" t="s">
        <v>500</v>
      </c>
      <c r="I146" s="1" t="s">
        <v>52</v>
      </c>
      <c r="J146" s="2" t="s">
        <v>895</v>
      </c>
    </row>
    <row r="147">
      <c r="A147" s="1" t="s">
        <v>897</v>
      </c>
      <c r="B147" s="1" t="s">
        <v>898</v>
      </c>
      <c r="C147" s="1" t="s">
        <v>128</v>
      </c>
      <c r="D147" s="2" t="s">
        <v>331</v>
      </c>
      <c r="E147" s="1" t="s">
        <v>105</v>
      </c>
      <c r="F147" s="1" t="s">
        <v>107</v>
      </c>
      <c r="G147" s="1" t="s">
        <v>551</v>
      </c>
      <c r="H147" s="1" t="s">
        <v>34</v>
      </c>
      <c r="I147" s="1" t="s">
        <v>211</v>
      </c>
      <c r="J147" s="2" t="s">
        <v>900</v>
      </c>
    </row>
    <row r="148">
      <c r="A148" s="1" t="s">
        <v>901</v>
      </c>
      <c r="B148" s="1" t="s">
        <v>902</v>
      </c>
      <c r="C148" s="1" t="s">
        <v>556</v>
      </c>
      <c r="D148" s="2" t="s">
        <v>903</v>
      </c>
      <c r="E148" s="1" t="s">
        <v>152</v>
      </c>
      <c r="F148" s="1" t="s">
        <v>107</v>
      </c>
      <c r="G148" s="1" t="s">
        <v>109</v>
      </c>
      <c r="H148" s="1" t="s">
        <v>110</v>
      </c>
      <c r="I148" s="1" t="s">
        <v>97</v>
      </c>
      <c r="J148" s="2" t="s">
        <v>905</v>
      </c>
    </row>
    <row r="149">
      <c r="A149" s="1" t="s">
        <v>906</v>
      </c>
      <c r="B149" s="1" t="s">
        <v>907</v>
      </c>
      <c r="C149" s="1" t="s">
        <v>128</v>
      </c>
      <c r="D149" s="2" t="s">
        <v>217</v>
      </c>
      <c r="E149" s="1" t="s">
        <v>80</v>
      </c>
      <c r="F149" s="1" t="s">
        <v>30</v>
      </c>
      <c r="G149" s="1" t="s">
        <v>608</v>
      </c>
      <c r="H149" s="1" t="s">
        <v>527</v>
      </c>
      <c r="I149" s="1" t="s">
        <v>52</v>
      </c>
      <c r="J149" s="2" t="s">
        <v>909</v>
      </c>
    </row>
    <row r="150">
      <c r="A150" s="1" t="s">
        <v>910</v>
      </c>
      <c r="B150" s="1" t="s">
        <v>911</v>
      </c>
      <c r="C150" s="1" t="s">
        <v>216</v>
      </c>
      <c r="D150" s="2" t="s">
        <v>912</v>
      </c>
      <c r="E150" s="1" t="s">
        <v>45</v>
      </c>
      <c r="F150" s="1" t="s">
        <v>30</v>
      </c>
      <c r="G150" s="1" t="s">
        <v>209</v>
      </c>
      <c r="H150" s="1" t="s">
        <v>210</v>
      </c>
      <c r="I150" s="1" t="s">
        <v>52</v>
      </c>
      <c r="J150" s="2" t="s">
        <v>913</v>
      </c>
    </row>
    <row r="151">
      <c r="A151" s="1" t="s">
        <v>915</v>
      </c>
      <c r="B151" s="1" t="s">
        <v>696</v>
      </c>
      <c r="C151" s="1" t="s">
        <v>254</v>
      </c>
      <c r="D151" s="2" t="s">
        <v>878</v>
      </c>
      <c r="E151" s="1" t="s">
        <v>130</v>
      </c>
      <c r="F151" s="1" t="s">
        <v>539</v>
      </c>
      <c r="G151" s="1" t="s">
        <v>916</v>
      </c>
      <c r="H151" s="1" t="s">
        <v>319</v>
      </c>
      <c r="I151" s="1" t="s">
        <v>52</v>
      </c>
      <c r="J151" s="2" t="s">
        <v>918</v>
      </c>
    </row>
    <row r="152">
      <c r="A152" s="1" t="s">
        <v>919</v>
      </c>
      <c r="B152" s="1" t="s">
        <v>368</v>
      </c>
      <c r="C152" s="1" t="s">
        <v>128</v>
      </c>
      <c r="D152" s="2" t="s">
        <v>878</v>
      </c>
      <c r="E152" s="1" t="s">
        <v>45</v>
      </c>
      <c r="F152" s="1" t="s">
        <v>131</v>
      </c>
      <c r="G152" s="1" t="s">
        <v>238</v>
      </c>
      <c r="H152" s="1" t="s">
        <v>240</v>
      </c>
      <c r="I152" s="1" t="s">
        <v>211</v>
      </c>
      <c r="J152" s="2" t="s">
        <v>921</v>
      </c>
    </row>
    <row r="153">
      <c r="A153" s="1" t="s">
        <v>922</v>
      </c>
      <c r="B153" s="1" t="s">
        <v>542</v>
      </c>
      <c r="C153" s="1" t="s">
        <v>194</v>
      </c>
      <c r="D153" s="2" t="s">
        <v>714</v>
      </c>
      <c r="E153" s="1" t="s">
        <v>80</v>
      </c>
      <c r="F153" s="1" t="s">
        <v>759</v>
      </c>
      <c r="G153" s="1" t="s">
        <v>142</v>
      </c>
      <c r="H153" s="1" t="s">
        <v>592</v>
      </c>
      <c r="I153" s="1" t="s">
        <v>222</v>
      </c>
      <c r="J153" s="2" t="s">
        <v>923</v>
      </c>
    </row>
    <row r="154">
      <c r="A154" s="1" t="s">
        <v>924</v>
      </c>
      <c r="B154" s="1" t="s">
        <v>925</v>
      </c>
      <c r="C154" s="1" t="s">
        <v>61</v>
      </c>
      <c r="D154" s="2" t="s">
        <v>509</v>
      </c>
      <c r="E154" s="1" t="s">
        <v>80</v>
      </c>
      <c r="F154" s="1" t="s">
        <v>237</v>
      </c>
      <c r="G154" s="1" t="s">
        <v>358</v>
      </c>
      <c r="H154" s="1" t="s">
        <v>561</v>
      </c>
      <c r="I154" s="1" t="s">
        <v>211</v>
      </c>
      <c r="J154" s="2" t="s">
        <v>927</v>
      </c>
    </row>
    <row r="155">
      <c r="A155" s="1" t="s">
        <v>928</v>
      </c>
      <c r="B155" s="1" t="s">
        <v>763</v>
      </c>
      <c r="C155" s="1" t="s">
        <v>374</v>
      </c>
      <c r="E155" s="1" t="s">
        <v>28</v>
      </c>
      <c r="F155" s="1" t="s">
        <v>47</v>
      </c>
      <c r="G155" s="1" t="s">
        <v>188</v>
      </c>
      <c r="H155" s="1" t="s">
        <v>210</v>
      </c>
      <c r="I155" s="1" t="s">
        <v>222</v>
      </c>
      <c r="J155" s="2" t="s">
        <v>930</v>
      </c>
    </row>
    <row r="156">
      <c r="A156" s="1" t="s">
        <v>931</v>
      </c>
      <c r="B156" s="1" t="s">
        <v>422</v>
      </c>
      <c r="C156" s="1" t="s">
        <v>629</v>
      </c>
      <c r="D156" s="2" t="s">
        <v>325</v>
      </c>
      <c r="E156" s="1" t="s">
        <v>45</v>
      </c>
      <c r="F156" s="1" t="s">
        <v>364</v>
      </c>
      <c r="G156" s="1" t="s">
        <v>482</v>
      </c>
      <c r="H156" s="1" t="s">
        <v>179</v>
      </c>
      <c r="I156" s="1" t="s">
        <v>211</v>
      </c>
      <c r="J156" s="2" t="s">
        <v>933</v>
      </c>
    </row>
    <row r="157">
      <c r="A157" s="1" t="s">
        <v>934</v>
      </c>
      <c r="B157" s="1" t="s">
        <v>368</v>
      </c>
      <c r="C157" s="1" t="s">
        <v>128</v>
      </c>
      <c r="D157" s="2" t="s">
        <v>604</v>
      </c>
      <c r="E157" s="1" t="s">
        <v>28</v>
      </c>
      <c r="F157" s="1" t="s">
        <v>81</v>
      </c>
      <c r="G157" s="1" t="s">
        <v>188</v>
      </c>
      <c r="H157" s="1" t="s">
        <v>189</v>
      </c>
      <c r="I157" s="1" t="s">
        <v>222</v>
      </c>
      <c r="J157" s="2" t="s">
        <v>935</v>
      </c>
    </row>
    <row r="158">
      <c r="A158" s="1" t="s">
        <v>936</v>
      </c>
      <c r="B158" s="1" t="s">
        <v>937</v>
      </c>
      <c r="C158" s="1" t="s">
        <v>713</v>
      </c>
      <c r="D158" s="2" t="s">
        <v>878</v>
      </c>
      <c r="E158" s="1" t="s">
        <v>28</v>
      </c>
      <c r="F158" s="1" t="s">
        <v>571</v>
      </c>
      <c r="G158" s="1" t="s">
        <v>385</v>
      </c>
      <c r="H158" s="1" t="s">
        <v>189</v>
      </c>
      <c r="I158" s="1" t="s">
        <v>35</v>
      </c>
      <c r="J158" s="2" t="s">
        <v>939</v>
      </c>
    </row>
    <row r="159">
      <c r="A159" s="1" t="s">
        <v>940</v>
      </c>
      <c r="B159" s="1" t="s">
        <v>941</v>
      </c>
      <c r="C159" s="1" t="s">
        <v>458</v>
      </c>
      <c r="D159" s="2" t="s">
        <v>122</v>
      </c>
      <c r="E159" s="1" t="s">
        <v>28</v>
      </c>
      <c r="F159" s="1" t="s">
        <v>47</v>
      </c>
      <c r="G159" s="1" t="s">
        <v>177</v>
      </c>
      <c r="H159" s="1" t="s">
        <v>179</v>
      </c>
      <c r="I159" s="1" t="s">
        <v>52</v>
      </c>
      <c r="J159" s="2" t="s">
        <v>942</v>
      </c>
    </row>
    <row r="160">
      <c r="A160" s="1" t="s">
        <v>943</v>
      </c>
      <c r="B160" s="1" t="s">
        <v>307</v>
      </c>
      <c r="C160" s="1" t="s">
        <v>316</v>
      </c>
      <c r="D160" s="2" t="s">
        <v>945</v>
      </c>
      <c r="E160" s="1" t="s">
        <v>45</v>
      </c>
      <c r="F160" s="1" t="s">
        <v>393</v>
      </c>
      <c r="G160" s="1" t="s">
        <v>647</v>
      </c>
      <c r="H160" s="1" t="s">
        <v>359</v>
      </c>
      <c r="I160" s="1" t="s">
        <v>35</v>
      </c>
      <c r="J160" s="2" t="s">
        <v>946</v>
      </c>
    </row>
    <row r="161">
      <c r="A161" s="1" t="s">
        <v>947</v>
      </c>
      <c r="B161" s="1" t="s">
        <v>620</v>
      </c>
      <c r="C161" s="1" t="s">
        <v>216</v>
      </c>
      <c r="D161" s="2" t="s">
        <v>866</v>
      </c>
      <c r="E161" s="1" t="s">
        <v>28</v>
      </c>
      <c r="F161" s="1" t="s">
        <v>309</v>
      </c>
      <c r="G161" s="1" t="s">
        <v>177</v>
      </c>
      <c r="H161" s="1" t="s">
        <v>477</v>
      </c>
      <c r="I161" s="1" t="s">
        <v>52</v>
      </c>
      <c r="J161" s="2" t="s">
        <v>949</v>
      </c>
    </row>
    <row r="162">
      <c r="A162" s="1" t="s">
        <v>950</v>
      </c>
      <c r="B162" s="1" t="s">
        <v>127</v>
      </c>
      <c r="C162" s="1" t="s">
        <v>363</v>
      </c>
      <c r="D162" s="2" t="s">
        <v>302</v>
      </c>
      <c r="E162" s="1" t="s">
        <v>152</v>
      </c>
      <c r="F162" s="1" t="s">
        <v>47</v>
      </c>
      <c r="G162" s="1" t="s">
        <v>470</v>
      </c>
      <c r="H162" s="1" t="s">
        <v>96</v>
      </c>
      <c r="I162" s="1" t="s">
        <v>97</v>
      </c>
      <c r="J162" s="2" t="s">
        <v>952</v>
      </c>
    </row>
    <row r="163">
      <c r="A163" s="1" t="s">
        <v>954</v>
      </c>
      <c r="B163" s="1" t="s">
        <v>696</v>
      </c>
      <c r="C163" s="1" t="s">
        <v>788</v>
      </c>
      <c r="D163" s="2" t="s">
        <v>878</v>
      </c>
      <c r="E163" s="1" t="s">
        <v>80</v>
      </c>
      <c r="F163" s="1" t="s">
        <v>268</v>
      </c>
      <c r="G163" s="1" t="s">
        <v>249</v>
      </c>
      <c r="H163" s="1" t="s">
        <v>83</v>
      </c>
      <c r="I163" s="1" t="s">
        <v>52</v>
      </c>
      <c r="J163" s="2" t="s">
        <v>956</v>
      </c>
    </row>
    <row r="164">
      <c r="A164" s="1" t="s">
        <v>957</v>
      </c>
      <c r="B164" s="1" t="s">
        <v>958</v>
      </c>
      <c r="C164" s="1" t="s">
        <v>959</v>
      </c>
      <c r="D164" s="2" t="s">
        <v>460</v>
      </c>
      <c r="E164" s="1" t="s">
        <v>152</v>
      </c>
      <c r="F164" s="1" t="s">
        <v>376</v>
      </c>
      <c r="G164" s="1" t="s">
        <v>642</v>
      </c>
      <c r="H164" s="1" t="s">
        <v>260</v>
      </c>
      <c r="I164" s="1" t="s">
        <v>97</v>
      </c>
      <c r="J164" s="2" t="s">
        <v>961</v>
      </c>
    </row>
    <row r="165">
      <c r="A165" s="1" t="s">
        <v>962</v>
      </c>
      <c r="B165" s="1" t="s">
        <v>963</v>
      </c>
      <c r="C165" s="1" t="s">
        <v>90</v>
      </c>
      <c r="D165" s="2" t="s">
        <v>429</v>
      </c>
      <c r="E165" s="1" t="s">
        <v>80</v>
      </c>
      <c r="F165" s="1" t="s">
        <v>393</v>
      </c>
      <c r="G165" s="1" t="s">
        <v>470</v>
      </c>
      <c r="H165" s="1" t="s">
        <v>592</v>
      </c>
      <c r="I165" s="1" t="s">
        <v>222</v>
      </c>
      <c r="J165" s="2" t="s">
        <v>964</v>
      </c>
    </row>
    <row r="166">
      <c r="A166" s="1" t="s">
        <v>965</v>
      </c>
      <c r="B166" s="1" t="s">
        <v>171</v>
      </c>
      <c r="C166" s="1" t="s">
        <v>148</v>
      </c>
      <c r="D166" s="2" t="s">
        <v>966</v>
      </c>
      <c r="E166" s="1" t="s">
        <v>152</v>
      </c>
      <c r="F166" s="1" t="s">
        <v>47</v>
      </c>
      <c r="G166" s="1" t="s">
        <v>967</v>
      </c>
      <c r="H166" s="1" t="s">
        <v>477</v>
      </c>
      <c r="I166" s="1" t="s">
        <v>97</v>
      </c>
      <c r="J166" s="2" t="s">
        <v>968</v>
      </c>
    </row>
    <row r="167">
      <c r="A167" s="1" t="s">
        <v>969</v>
      </c>
      <c r="B167" s="1" t="s">
        <v>127</v>
      </c>
      <c r="C167" s="1" t="s">
        <v>713</v>
      </c>
      <c r="D167" s="2" t="s">
        <v>460</v>
      </c>
      <c r="E167" s="1" t="s">
        <v>152</v>
      </c>
      <c r="F167" s="1" t="s">
        <v>376</v>
      </c>
      <c r="G167" s="1" t="s">
        <v>462</v>
      </c>
      <c r="H167" s="1" t="s">
        <v>231</v>
      </c>
      <c r="I167" s="1" t="s">
        <v>97</v>
      </c>
      <c r="J167" s="2" t="s">
        <v>464</v>
      </c>
    </row>
    <row r="168">
      <c r="A168" s="1" t="s">
        <v>975</v>
      </c>
      <c r="B168" s="1" t="s">
        <v>411</v>
      </c>
      <c r="C168" s="1" t="s">
        <v>25</v>
      </c>
      <c r="D168" s="2" t="s">
        <v>460</v>
      </c>
      <c r="E168" s="1" t="s">
        <v>45</v>
      </c>
      <c r="F168" s="1" t="s">
        <v>256</v>
      </c>
      <c r="G168" s="1" t="s">
        <v>977</v>
      </c>
      <c r="H168" s="1" t="s">
        <v>394</v>
      </c>
      <c r="I168" s="1" t="s">
        <v>97</v>
      </c>
      <c r="J168" s="2" t="s">
        <v>978</v>
      </c>
    </row>
    <row r="169">
      <c r="A169" s="1" t="s">
        <v>979</v>
      </c>
      <c r="B169" s="1" t="s">
        <v>307</v>
      </c>
      <c r="C169" s="1" t="s">
        <v>216</v>
      </c>
      <c r="D169" s="2" t="s">
        <v>714</v>
      </c>
      <c r="E169" s="1" t="s">
        <v>28</v>
      </c>
      <c r="F169" s="1" t="s">
        <v>64</v>
      </c>
      <c r="G169" s="1" t="s">
        <v>94</v>
      </c>
      <c r="H169" s="1" t="s">
        <v>607</v>
      </c>
      <c r="I169" s="1" t="s">
        <v>35</v>
      </c>
      <c r="J169" s="2" t="s">
        <v>980</v>
      </c>
    </row>
    <row r="170">
      <c r="A170" s="1" t="s">
        <v>982</v>
      </c>
      <c r="B170" s="1" t="s">
        <v>983</v>
      </c>
      <c r="C170" s="1" t="s">
        <v>264</v>
      </c>
      <c r="D170" s="2" t="s">
        <v>488</v>
      </c>
      <c r="E170" s="1" t="s">
        <v>80</v>
      </c>
      <c r="F170" s="1" t="s">
        <v>107</v>
      </c>
      <c r="G170" s="1" t="s">
        <v>637</v>
      </c>
      <c r="H170" s="1" t="s">
        <v>720</v>
      </c>
      <c r="I170" s="1" t="s">
        <v>97</v>
      </c>
      <c r="J170" s="2" t="s">
        <v>985</v>
      </c>
    </row>
    <row r="171">
      <c r="A171" s="1" t="s">
        <v>986</v>
      </c>
      <c r="B171" s="1" t="s">
        <v>411</v>
      </c>
      <c r="C171" s="1" t="s">
        <v>128</v>
      </c>
      <c r="D171" s="2" t="s">
        <v>966</v>
      </c>
      <c r="E171" s="1" t="s">
        <v>28</v>
      </c>
      <c r="F171" s="1" t="s">
        <v>539</v>
      </c>
      <c r="G171" s="1" t="s">
        <v>311</v>
      </c>
      <c r="H171" s="1" t="s">
        <v>546</v>
      </c>
      <c r="I171" s="1" t="s">
        <v>97</v>
      </c>
      <c r="J171" s="2" t="s">
        <v>988</v>
      </c>
    </row>
    <row r="172">
      <c r="A172" s="1" t="s">
        <v>989</v>
      </c>
      <c r="B172" s="1" t="s">
        <v>127</v>
      </c>
      <c r="C172" s="1" t="s">
        <v>556</v>
      </c>
      <c r="D172" s="2" t="s">
        <v>550</v>
      </c>
      <c r="E172" s="1" t="s">
        <v>105</v>
      </c>
      <c r="F172" s="1" t="s">
        <v>237</v>
      </c>
      <c r="G172" s="1" t="s">
        <v>977</v>
      </c>
      <c r="H172" s="1" t="s">
        <v>394</v>
      </c>
      <c r="I172" s="1" t="s">
        <v>97</v>
      </c>
      <c r="J172" s="2" t="s">
        <v>991</v>
      </c>
    </row>
    <row r="173">
      <c r="A173" s="1" t="s">
        <v>992</v>
      </c>
      <c r="B173" s="1" t="s">
        <v>136</v>
      </c>
      <c r="C173" s="1" t="s">
        <v>352</v>
      </c>
      <c r="D173" s="2" t="s">
        <v>383</v>
      </c>
      <c r="E173" s="1" t="s">
        <v>80</v>
      </c>
      <c r="F173" s="1" t="s">
        <v>47</v>
      </c>
      <c r="G173" s="1" t="s">
        <v>612</v>
      </c>
      <c r="H173" s="1" t="s">
        <v>240</v>
      </c>
      <c r="I173" s="1" t="s">
        <v>52</v>
      </c>
      <c r="J173" s="2" t="s">
        <v>994</v>
      </c>
    </row>
    <row r="174">
      <c r="A174" s="1" t="s">
        <v>995</v>
      </c>
      <c r="B174" s="1" t="s">
        <v>827</v>
      </c>
      <c r="C174" s="1" t="s">
        <v>428</v>
      </c>
      <c r="D174" s="2" t="s">
        <v>550</v>
      </c>
      <c r="E174" s="1" t="s">
        <v>80</v>
      </c>
      <c r="F174" s="1" t="s">
        <v>208</v>
      </c>
      <c r="G174" s="1" t="s">
        <v>188</v>
      </c>
      <c r="H174" s="1" t="s">
        <v>210</v>
      </c>
      <c r="I174" s="1" t="s">
        <v>97</v>
      </c>
      <c r="J174" s="2" t="s">
        <v>997</v>
      </c>
    </row>
    <row r="175">
      <c r="A175" s="1" t="s">
        <v>998</v>
      </c>
      <c r="B175" s="1" t="s">
        <v>999</v>
      </c>
      <c r="C175" s="1" t="s">
        <v>959</v>
      </c>
      <c r="D175" s="2" t="s">
        <v>325</v>
      </c>
      <c r="E175" s="1" t="s">
        <v>152</v>
      </c>
      <c r="F175" s="1" t="s">
        <v>393</v>
      </c>
      <c r="G175" s="1" t="s">
        <v>647</v>
      </c>
      <c r="H175" s="1" t="s">
        <v>221</v>
      </c>
      <c r="I175" s="1" t="s">
        <v>222</v>
      </c>
      <c r="J175" s="2" t="s">
        <v>1001</v>
      </c>
    </row>
    <row r="176">
      <c r="A176" s="1" t="s">
        <v>1002</v>
      </c>
      <c r="B176" s="1" t="s">
        <v>158</v>
      </c>
      <c r="C176" s="1" t="s">
        <v>90</v>
      </c>
      <c r="D176" s="2" t="s">
        <v>481</v>
      </c>
      <c r="E176" s="1" t="s">
        <v>28</v>
      </c>
      <c r="F176" s="1" t="s">
        <v>309</v>
      </c>
      <c r="G176" s="1" t="s">
        <v>132</v>
      </c>
      <c r="H176" s="1" t="s">
        <v>592</v>
      </c>
      <c r="I176" s="1" t="s">
        <v>222</v>
      </c>
      <c r="J176" s="2" t="s">
        <v>991</v>
      </c>
    </row>
    <row r="177">
      <c r="A177" s="1" t="s">
        <v>1003</v>
      </c>
      <c r="B177" s="1" t="s">
        <v>1004</v>
      </c>
      <c r="C177" s="1" t="s">
        <v>324</v>
      </c>
      <c r="D177" s="2" t="s">
        <v>521</v>
      </c>
      <c r="E177" s="1" t="s">
        <v>130</v>
      </c>
      <c r="F177" s="1" t="s">
        <v>131</v>
      </c>
      <c r="G177" s="1" t="s">
        <v>576</v>
      </c>
      <c r="H177" s="1" t="s">
        <v>165</v>
      </c>
      <c r="I177" s="1" t="s">
        <v>52</v>
      </c>
      <c r="J177" s="2" t="s">
        <v>1005</v>
      </c>
    </row>
    <row r="178">
      <c r="A178" s="1" t="s">
        <v>1006</v>
      </c>
      <c r="B178" s="1" t="s">
        <v>696</v>
      </c>
      <c r="C178" s="1" t="s">
        <v>172</v>
      </c>
      <c r="D178" s="2" t="s">
        <v>317</v>
      </c>
      <c r="E178" s="1" t="s">
        <v>152</v>
      </c>
      <c r="F178" s="1" t="s">
        <v>237</v>
      </c>
      <c r="G178" s="1" t="s">
        <v>572</v>
      </c>
      <c r="H178" s="1" t="s">
        <v>124</v>
      </c>
      <c r="I178" s="1" t="s">
        <v>97</v>
      </c>
      <c r="J178" s="2" t="s">
        <v>1008</v>
      </c>
    </row>
    <row r="179">
      <c r="A179" s="1" t="s">
        <v>1006</v>
      </c>
      <c r="B179" s="1" t="s">
        <v>696</v>
      </c>
      <c r="C179" s="1" t="s">
        <v>172</v>
      </c>
      <c r="D179" s="2" t="s">
        <v>317</v>
      </c>
      <c r="E179" s="1" t="s">
        <v>152</v>
      </c>
      <c r="F179" s="1" t="s">
        <v>237</v>
      </c>
      <c r="G179" s="1" t="s">
        <v>572</v>
      </c>
      <c r="H179" s="1" t="s">
        <v>124</v>
      </c>
      <c r="I179" s="1" t="s">
        <v>97</v>
      </c>
      <c r="J179" s="2" t="s">
        <v>1008</v>
      </c>
    </row>
    <row r="180">
      <c r="A180" s="1" t="s">
        <v>1010</v>
      </c>
      <c r="B180" s="1" t="s">
        <v>127</v>
      </c>
      <c r="C180" s="1" t="s">
        <v>76</v>
      </c>
      <c r="D180" s="2" t="s">
        <v>317</v>
      </c>
      <c r="E180" s="1" t="s">
        <v>130</v>
      </c>
      <c r="F180" s="1" t="s">
        <v>47</v>
      </c>
      <c r="G180" s="1" t="s">
        <v>123</v>
      </c>
      <c r="H180" s="1" t="s">
        <v>699</v>
      </c>
      <c r="I180" s="1" t="s">
        <v>97</v>
      </c>
      <c r="J180" s="2" t="s">
        <v>1011</v>
      </c>
    </row>
    <row r="181">
      <c r="A181" s="1" t="s">
        <v>1012</v>
      </c>
      <c r="B181" s="1" t="s">
        <v>368</v>
      </c>
      <c r="C181" s="1" t="s">
        <v>469</v>
      </c>
      <c r="D181" s="2" t="s">
        <v>1013</v>
      </c>
      <c r="E181" s="1" t="s">
        <v>105</v>
      </c>
      <c r="F181" s="1" t="s">
        <v>268</v>
      </c>
      <c r="G181" s="1" t="s">
        <v>647</v>
      </c>
      <c r="H181" s="1" t="s">
        <v>561</v>
      </c>
      <c r="I181" s="1" t="s">
        <v>222</v>
      </c>
      <c r="J181" s="2" t="s">
        <v>1015</v>
      </c>
    </row>
    <row r="182">
      <c r="A182" s="1" t="s">
        <v>1016</v>
      </c>
      <c r="B182" s="1" t="s">
        <v>411</v>
      </c>
      <c r="C182" s="1" t="s">
        <v>1017</v>
      </c>
      <c r="D182" s="2" t="s">
        <v>903</v>
      </c>
      <c r="E182" s="1" t="s">
        <v>105</v>
      </c>
      <c r="F182" s="1" t="s">
        <v>47</v>
      </c>
      <c r="G182" s="1" t="s">
        <v>238</v>
      </c>
      <c r="H182" s="1" t="s">
        <v>500</v>
      </c>
      <c r="I182" s="1" t="s">
        <v>97</v>
      </c>
      <c r="J182" s="2" t="s">
        <v>1018</v>
      </c>
    </row>
    <row r="183">
      <c r="A183" s="1" t="s">
        <v>1019</v>
      </c>
      <c r="B183" s="1" t="s">
        <v>1020</v>
      </c>
      <c r="C183" s="1" t="s">
        <v>1021</v>
      </c>
      <c r="D183" s="2" t="s">
        <v>302</v>
      </c>
      <c r="E183" s="1" t="s">
        <v>152</v>
      </c>
      <c r="F183" s="1" t="s">
        <v>131</v>
      </c>
      <c r="G183" s="1" t="s">
        <v>789</v>
      </c>
      <c r="H183" s="1" t="s">
        <v>607</v>
      </c>
      <c r="I183" s="1" t="s">
        <v>97</v>
      </c>
      <c r="J183" s="2" t="s">
        <v>212</v>
      </c>
    </row>
    <row r="184">
      <c r="A184" s="1" t="s">
        <v>1023</v>
      </c>
      <c r="B184" s="1" t="s">
        <v>536</v>
      </c>
      <c r="C184" s="1" t="s">
        <v>363</v>
      </c>
      <c r="D184" s="2" t="s">
        <v>1025</v>
      </c>
      <c r="E184" s="1" t="s">
        <v>152</v>
      </c>
      <c r="F184" s="1" t="s">
        <v>309</v>
      </c>
      <c r="G184" s="1" t="s">
        <v>132</v>
      </c>
      <c r="H184" s="1" t="s">
        <v>50</v>
      </c>
      <c r="I184" s="1" t="s">
        <v>97</v>
      </c>
      <c r="J184" s="2" t="s">
        <v>1027</v>
      </c>
    </row>
    <row r="185">
      <c r="A185" s="1" t="s">
        <v>1029</v>
      </c>
      <c r="B185" s="1" t="s">
        <v>542</v>
      </c>
      <c r="C185" s="1" t="s">
        <v>254</v>
      </c>
      <c r="D185" s="2" t="s">
        <v>903</v>
      </c>
      <c r="E185" s="1" t="s">
        <v>130</v>
      </c>
      <c r="F185" s="1" t="s">
        <v>539</v>
      </c>
      <c r="G185" s="1" t="s">
        <v>311</v>
      </c>
      <c r="H185" s="1" t="s">
        <v>546</v>
      </c>
      <c r="I185" s="1" t="s">
        <v>97</v>
      </c>
      <c r="J185" s="2" t="s">
        <v>1030</v>
      </c>
    </row>
    <row r="186">
      <c r="A186" s="1" t="s">
        <v>1031</v>
      </c>
      <c r="B186" s="1" t="s">
        <v>983</v>
      </c>
      <c r="C186" s="1" t="s">
        <v>244</v>
      </c>
      <c r="D186" s="2" t="s">
        <v>406</v>
      </c>
      <c r="E186" s="1" t="s">
        <v>80</v>
      </c>
      <c r="F186" s="1" t="s">
        <v>401</v>
      </c>
      <c r="G186" s="1" t="s">
        <v>164</v>
      </c>
      <c r="H186" s="1" t="s">
        <v>143</v>
      </c>
      <c r="I186" s="1" t="s">
        <v>97</v>
      </c>
      <c r="J186" s="2" t="s">
        <v>1033</v>
      </c>
    </row>
    <row r="187">
      <c r="A187" s="1" t="s">
        <v>1034</v>
      </c>
      <c r="B187" s="1" t="s">
        <v>171</v>
      </c>
      <c r="C187" s="1" t="s">
        <v>1035</v>
      </c>
      <c r="D187" s="2" t="s">
        <v>873</v>
      </c>
      <c r="E187" s="1" t="s">
        <v>152</v>
      </c>
      <c r="F187" s="1" t="s">
        <v>30</v>
      </c>
      <c r="G187" s="1" t="s">
        <v>66</v>
      </c>
      <c r="H187" s="1" t="s">
        <v>231</v>
      </c>
      <c r="I187" s="1" t="s">
        <v>222</v>
      </c>
      <c r="J187" s="2" t="s">
        <v>1037</v>
      </c>
    </row>
    <row r="188">
      <c r="A188" s="1" t="s">
        <v>1038</v>
      </c>
      <c r="B188" s="1" t="s">
        <v>1040</v>
      </c>
      <c r="C188" s="1" t="s">
        <v>959</v>
      </c>
      <c r="D188" s="2" t="s">
        <v>1041</v>
      </c>
      <c r="E188" s="1" t="s">
        <v>152</v>
      </c>
      <c r="F188" s="1" t="s">
        <v>30</v>
      </c>
      <c r="G188" s="1" t="s">
        <v>311</v>
      </c>
      <c r="H188" s="1" t="s">
        <v>592</v>
      </c>
      <c r="I188" s="1" t="s">
        <v>52</v>
      </c>
      <c r="J188" s="2" t="s">
        <v>1042</v>
      </c>
    </row>
    <row r="189">
      <c r="A189" s="1" t="s">
        <v>1043</v>
      </c>
      <c r="B189" s="1" t="s">
        <v>307</v>
      </c>
      <c r="C189" s="1" t="s">
        <v>556</v>
      </c>
      <c r="D189" s="2" t="s">
        <v>423</v>
      </c>
      <c r="E189" s="1" t="s">
        <v>45</v>
      </c>
      <c r="F189" s="1" t="s">
        <v>759</v>
      </c>
      <c r="G189" s="1" t="s">
        <v>874</v>
      </c>
      <c r="H189" s="1" t="s">
        <v>402</v>
      </c>
      <c r="I189" s="1" t="s">
        <v>97</v>
      </c>
      <c r="J189" s="2" t="s">
        <v>1046</v>
      </c>
    </row>
    <row r="190">
      <c r="A190" s="1" t="s">
        <v>1047</v>
      </c>
      <c r="B190" s="1" t="s">
        <v>688</v>
      </c>
      <c r="C190" s="1" t="s">
        <v>428</v>
      </c>
      <c r="D190" s="2" t="s">
        <v>434</v>
      </c>
      <c r="E190" s="1" t="s">
        <v>80</v>
      </c>
      <c r="F190" s="1" t="s">
        <v>393</v>
      </c>
      <c r="G190" s="1" t="s">
        <v>408</v>
      </c>
      <c r="H190" s="1" t="s">
        <v>851</v>
      </c>
      <c r="I190" s="1" t="s">
        <v>97</v>
      </c>
      <c r="J190" s="2" t="s">
        <v>1050</v>
      </c>
    </row>
    <row r="191">
      <c r="A191" s="1" t="s">
        <v>1051</v>
      </c>
      <c r="B191" s="1" t="s">
        <v>764</v>
      </c>
      <c r="C191" s="1" t="s">
        <v>469</v>
      </c>
      <c r="D191" s="2" t="s">
        <v>460</v>
      </c>
      <c r="E191" s="1" t="s">
        <v>28</v>
      </c>
      <c r="F191" s="1" t="s">
        <v>401</v>
      </c>
      <c r="G191" s="1" t="s">
        <v>258</v>
      </c>
      <c r="H191" s="1" t="s">
        <v>720</v>
      </c>
      <c r="I191" s="1" t="s">
        <v>97</v>
      </c>
      <c r="J191" s="2" t="s">
        <v>1053</v>
      </c>
    </row>
    <row r="192">
      <c r="A192" s="1" t="s">
        <v>1054</v>
      </c>
      <c r="B192" s="1" t="s">
        <v>411</v>
      </c>
      <c r="C192" s="1" t="s">
        <v>959</v>
      </c>
      <c r="D192" s="2" t="s">
        <v>488</v>
      </c>
      <c r="E192" s="1" t="s">
        <v>45</v>
      </c>
      <c r="F192" s="1" t="s">
        <v>30</v>
      </c>
      <c r="G192" s="1" t="s">
        <v>109</v>
      </c>
      <c r="H192" s="1" t="s">
        <v>110</v>
      </c>
      <c r="I192" s="1" t="s">
        <v>97</v>
      </c>
      <c r="J192" s="2" t="s">
        <v>909</v>
      </c>
    </row>
    <row r="193">
      <c r="A193" s="1" t="s">
        <v>1056</v>
      </c>
      <c r="B193" s="1" t="s">
        <v>343</v>
      </c>
      <c r="C193" s="1" t="s">
        <v>629</v>
      </c>
      <c r="D193" s="2" t="s">
        <v>317</v>
      </c>
      <c r="E193" s="1" t="s">
        <v>152</v>
      </c>
      <c r="F193" s="1" t="s">
        <v>393</v>
      </c>
      <c r="G193" s="1" t="s">
        <v>209</v>
      </c>
      <c r="H193" s="1" t="s">
        <v>386</v>
      </c>
      <c r="I193" s="1" t="s">
        <v>97</v>
      </c>
      <c r="J193" s="2" t="s">
        <v>1058</v>
      </c>
    </row>
    <row r="194">
      <c r="A194" s="1" t="s">
        <v>1059</v>
      </c>
      <c r="B194" s="1" t="s">
        <v>1060</v>
      </c>
      <c r="C194" s="1" t="s">
        <v>515</v>
      </c>
      <c r="D194" s="2" t="s">
        <v>675</v>
      </c>
      <c r="E194" s="1" t="s">
        <v>152</v>
      </c>
      <c r="F194" s="1" t="s">
        <v>309</v>
      </c>
      <c r="G194" s="1" t="s">
        <v>209</v>
      </c>
      <c r="H194" s="1" t="s">
        <v>210</v>
      </c>
      <c r="I194" s="1" t="s">
        <v>222</v>
      </c>
      <c r="J194" s="2" t="s">
        <v>1062</v>
      </c>
    </row>
    <row r="195">
      <c r="A195" s="1" t="s">
        <v>1063</v>
      </c>
      <c r="B195" s="1" t="s">
        <v>569</v>
      </c>
      <c r="C195" s="1" t="s">
        <v>128</v>
      </c>
      <c r="D195" s="2" t="s">
        <v>582</v>
      </c>
      <c r="E195" s="1" t="s">
        <v>28</v>
      </c>
      <c r="F195" s="1" t="s">
        <v>393</v>
      </c>
      <c r="G195" s="1" t="s">
        <v>66</v>
      </c>
      <c r="H195" s="1" t="s">
        <v>67</v>
      </c>
      <c r="I195" s="1" t="s">
        <v>222</v>
      </c>
      <c r="J195" s="2" t="s">
        <v>1065</v>
      </c>
    </row>
    <row r="196">
      <c r="A196" s="1" t="s">
        <v>1066</v>
      </c>
      <c r="B196" s="1" t="s">
        <v>158</v>
      </c>
      <c r="C196" s="1" t="s">
        <v>828</v>
      </c>
      <c r="D196" s="2" t="s">
        <v>218</v>
      </c>
      <c r="E196" s="1" t="s">
        <v>45</v>
      </c>
      <c r="F196" s="1" t="s">
        <v>81</v>
      </c>
      <c r="G196" s="1" t="s">
        <v>132</v>
      </c>
      <c r="H196" s="1" t="s">
        <v>96</v>
      </c>
      <c r="I196" s="1" t="s">
        <v>211</v>
      </c>
      <c r="J196" s="2" t="s">
        <v>1067</v>
      </c>
    </row>
    <row r="197">
      <c r="A197" s="1" t="s">
        <v>1068</v>
      </c>
      <c r="B197" s="1" t="s">
        <v>1069</v>
      </c>
      <c r="C197" s="1" t="s">
        <v>1070</v>
      </c>
      <c r="D197" s="2" t="s">
        <v>336</v>
      </c>
      <c r="E197" s="1" t="s">
        <v>152</v>
      </c>
      <c r="F197" s="1" t="s">
        <v>176</v>
      </c>
      <c r="G197" s="1" t="s">
        <v>545</v>
      </c>
      <c r="H197" s="1" t="s">
        <v>546</v>
      </c>
      <c r="I197" s="1" t="s">
        <v>97</v>
      </c>
      <c r="J197" s="2" t="s">
        <v>1071</v>
      </c>
    </row>
    <row r="198">
      <c r="A198" s="1" t="s">
        <v>1072</v>
      </c>
      <c r="B198" s="1" t="s">
        <v>1073</v>
      </c>
      <c r="C198" s="1" t="s">
        <v>254</v>
      </c>
      <c r="D198" s="2" t="s">
        <v>429</v>
      </c>
      <c r="E198" s="1" t="s">
        <v>130</v>
      </c>
      <c r="F198" s="1" t="s">
        <v>237</v>
      </c>
      <c r="G198" s="1" t="s">
        <v>647</v>
      </c>
      <c r="H198" s="1" t="s">
        <v>561</v>
      </c>
      <c r="I198" s="1" t="s">
        <v>211</v>
      </c>
      <c r="J198" s="2" t="s">
        <v>1074</v>
      </c>
    </row>
    <row r="199">
      <c r="A199" s="1" t="s">
        <v>1076</v>
      </c>
      <c r="B199" s="1" t="s">
        <v>1077</v>
      </c>
      <c r="C199" s="1" t="s">
        <v>1035</v>
      </c>
      <c r="D199" s="2" t="s">
        <v>631</v>
      </c>
      <c r="E199" s="1" t="s">
        <v>80</v>
      </c>
      <c r="F199" s="1" t="s">
        <v>393</v>
      </c>
      <c r="G199" s="1" t="s">
        <v>572</v>
      </c>
      <c r="H199" s="1" t="s">
        <v>124</v>
      </c>
      <c r="I199" s="1" t="s">
        <v>97</v>
      </c>
      <c r="J199" s="2" t="s">
        <v>1079</v>
      </c>
    </row>
    <row r="200">
      <c r="A200" s="1" t="s">
        <v>1080</v>
      </c>
      <c r="B200" s="1" t="s">
        <v>368</v>
      </c>
      <c r="C200" s="1" t="s">
        <v>101</v>
      </c>
      <c r="D200" s="2" t="s">
        <v>733</v>
      </c>
      <c r="E200" s="1" t="s">
        <v>105</v>
      </c>
      <c r="F200" s="1" t="s">
        <v>47</v>
      </c>
      <c r="G200" s="1" t="s">
        <v>109</v>
      </c>
      <c r="H200" s="1" t="s">
        <v>527</v>
      </c>
      <c r="I200" s="1" t="s">
        <v>222</v>
      </c>
      <c r="J200" s="2" t="s">
        <v>1083</v>
      </c>
    </row>
    <row r="201">
      <c r="A201" s="1" t="s">
        <v>1084</v>
      </c>
      <c r="B201" s="1" t="s">
        <v>1085</v>
      </c>
      <c r="C201" s="1" t="s">
        <v>216</v>
      </c>
      <c r="D201" s="2" t="s">
        <v>733</v>
      </c>
      <c r="E201" s="1" t="s">
        <v>130</v>
      </c>
      <c r="F201" s="1" t="s">
        <v>64</v>
      </c>
      <c r="G201" s="1" t="s">
        <v>370</v>
      </c>
      <c r="H201" s="1" t="s">
        <v>279</v>
      </c>
      <c r="I201" s="1" t="s">
        <v>52</v>
      </c>
      <c r="J201" s="2" t="s">
        <v>1086</v>
      </c>
    </row>
    <row r="202">
      <c r="A202" s="1" t="s">
        <v>1087</v>
      </c>
      <c r="B202" s="1" t="s">
        <v>536</v>
      </c>
      <c r="C202" s="1" t="s">
        <v>324</v>
      </c>
      <c r="D202" s="2" t="s">
        <v>1013</v>
      </c>
      <c r="E202" s="1" t="s">
        <v>152</v>
      </c>
      <c r="F202" s="1" t="s">
        <v>47</v>
      </c>
      <c r="G202" s="1" t="s">
        <v>311</v>
      </c>
      <c r="H202" s="1" t="s">
        <v>346</v>
      </c>
      <c r="I202" s="1" t="s">
        <v>52</v>
      </c>
      <c r="J202" s="2" t="s">
        <v>1089</v>
      </c>
    </row>
    <row r="203">
      <c r="A203" s="1" t="s">
        <v>1090</v>
      </c>
      <c r="B203" s="1" t="s">
        <v>1092</v>
      </c>
      <c r="C203" s="1" t="s">
        <v>264</v>
      </c>
      <c r="D203" s="2" t="s">
        <v>714</v>
      </c>
      <c r="E203" s="1" t="s">
        <v>130</v>
      </c>
      <c r="F203" s="1" t="s">
        <v>364</v>
      </c>
      <c r="G203" s="1" t="s">
        <v>545</v>
      </c>
      <c r="H203" s="1" t="s">
        <v>260</v>
      </c>
      <c r="I203" s="1" t="s">
        <v>222</v>
      </c>
      <c r="J203" s="2" t="s">
        <v>1094</v>
      </c>
    </row>
    <row r="204">
      <c r="A204" s="1" t="s">
        <v>1095</v>
      </c>
      <c r="B204" s="1" t="s">
        <v>983</v>
      </c>
      <c r="C204" s="1" t="s">
        <v>148</v>
      </c>
      <c r="D204" s="2" t="s">
        <v>302</v>
      </c>
      <c r="E204" s="1" t="s">
        <v>152</v>
      </c>
      <c r="F204" s="1" t="s">
        <v>309</v>
      </c>
      <c r="G204" s="1" t="s">
        <v>499</v>
      </c>
      <c r="H204" s="1" t="s">
        <v>691</v>
      </c>
      <c r="I204" s="1" t="s">
        <v>97</v>
      </c>
      <c r="J204" s="2" t="s">
        <v>1098</v>
      </c>
    </row>
    <row r="205">
      <c r="A205" s="1" t="s">
        <v>1099</v>
      </c>
      <c r="B205" s="1" t="s">
        <v>171</v>
      </c>
      <c r="C205" s="1" t="s">
        <v>363</v>
      </c>
      <c r="D205" s="2" t="s">
        <v>217</v>
      </c>
      <c r="E205" s="1" t="s">
        <v>28</v>
      </c>
      <c r="F205" s="1" t="s">
        <v>364</v>
      </c>
      <c r="G205" s="1" t="s">
        <v>669</v>
      </c>
      <c r="H205" s="1" t="s">
        <v>67</v>
      </c>
      <c r="I205" s="1" t="s">
        <v>52</v>
      </c>
      <c r="J205" s="2" t="s">
        <v>1100</v>
      </c>
    </row>
    <row r="206">
      <c r="A206" s="1" t="s">
        <v>1102</v>
      </c>
      <c r="B206" s="1" t="s">
        <v>772</v>
      </c>
      <c r="C206" s="1" t="s">
        <v>629</v>
      </c>
      <c r="D206" s="2" t="s">
        <v>429</v>
      </c>
      <c r="E206" s="1" t="s">
        <v>152</v>
      </c>
      <c r="F206" s="1" t="s">
        <v>208</v>
      </c>
      <c r="G206" s="1" t="s">
        <v>385</v>
      </c>
      <c r="H206" s="1" t="s">
        <v>189</v>
      </c>
      <c r="I206" s="1" t="s">
        <v>35</v>
      </c>
      <c r="J206" s="2" t="s">
        <v>1103</v>
      </c>
    </row>
    <row r="207">
      <c r="A207" s="1" t="s">
        <v>1104</v>
      </c>
      <c r="B207" s="1" t="s">
        <v>696</v>
      </c>
      <c r="C207" s="1" t="s">
        <v>1105</v>
      </c>
      <c r="D207" s="2" t="s">
        <v>383</v>
      </c>
      <c r="E207" s="1" t="s">
        <v>130</v>
      </c>
      <c r="F207" s="1" t="s">
        <v>208</v>
      </c>
      <c r="G207" s="1" t="s">
        <v>489</v>
      </c>
      <c r="H207" s="1" t="s">
        <v>179</v>
      </c>
      <c r="I207" s="1" t="s">
        <v>52</v>
      </c>
      <c r="J207" s="2" t="s">
        <v>1107</v>
      </c>
    </row>
    <row r="208">
      <c r="A208" s="1" t="s">
        <v>1108</v>
      </c>
      <c r="B208" s="1" t="s">
        <v>432</v>
      </c>
      <c r="C208" s="1" t="s">
        <v>76</v>
      </c>
      <c r="D208" s="2" t="s">
        <v>1013</v>
      </c>
      <c r="E208" s="1" t="s">
        <v>130</v>
      </c>
      <c r="F208" s="1" t="s">
        <v>176</v>
      </c>
      <c r="G208" s="1" t="s">
        <v>177</v>
      </c>
      <c r="H208" s="1" t="s">
        <v>527</v>
      </c>
      <c r="I208" s="1" t="s">
        <v>222</v>
      </c>
      <c r="J208" s="2" t="s">
        <v>1110</v>
      </c>
    </row>
    <row r="209">
      <c r="A209" s="1" t="s">
        <v>1111</v>
      </c>
      <c r="B209" s="1" t="s">
        <v>171</v>
      </c>
      <c r="C209" s="1" t="s">
        <v>806</v>
      </c>
      <c r="D209" s="2" t="s">
        <v>302</v>
      </c>
      <c r="E209" s="1" t="s">
        <v>80</v>
      </c>
      <c r="F209" s="1" t="s">
        <v>364</v>
      </c>
      <c r="G209" s="1" t="s">
        <v>677</v>
      </c>
      <c r="H209" s="1" t="s">
        <v>143</v>
      </c>
      <c r="I209" s="1" t="s">
        <v>97</v>
      </c>
      <c r="J209" s="2" t="s">
        <v>1113</v>
      </c>
    </row>
    <row r="210">
      <c r="A210" s="1" t="s">
        <v>1114</v>
      </c>
      <c r="B210" s="1" t="s">
        <v>1115</v>
      </c>
      <c r="C210" s="1" t="s">
        <v>194</v>
      </c>
      <c r="D210" s="2" t="s">
        <v>966</v>
      </c>
      <c r="E210" s="1" t="s">
        <v>45</v>
      </c>
      <c r="F210" s="1" t="s">
        <v>141</v>
      </c>
      <c r="G210" s="1" t="s">
        <v>499</v>
      </c>
      <c r="H210" s="1" t="s">
        <v>500</v>
      </c>
      <c r="I210" s="1" t="s">
        <v>97</v>
      </c>
      <c r="J210" s="2" t="s">
        <v>1117</v>
      </c>
    </row>
    <row r="211">
      <c r="A211" s="1" t="s">
        <v>1118</v>
      </c>
      <c r="B211" s="1" t="s">
        <v>343</v>
      </c>
      <c r="C211" s="1" t="s">
        <v>90</v>
      </c>
      <c r="D211" s="2" t="s">
        <v>383</v>
      </c>
      <c r="E211" s="1" t="s">
        <v>130</v>
      </c>
      <c r="F211" s="1" t="s">
        <v>237</v>
      </c>
      <c r="G211" s="1" t="s">
        <v>551</v>
      </c>
      <c r="H211" s="1" t="s">
        <v>592</v>
      </c>
      <c r="I211" s="1" t="s">
        <v>211</v>
      </c>
      <c r="J211" s="2" t="s">
        <v>1120</v>
      </c>
    </row>
    <row r="212">
      <c r="A212" s="1" t="s">
        <v>1121</v>
      </c>
      <c r="B212" s="1" t="s">
        <v>158</v>
      </c>
      <c r="C212" s="1" t="s">
        <v>128</v>
      </c>
      <c r="D212" s="2" t="s">
        <v>912</v>
      </c>
      <c r="E212" s="1" t="s">
        <v>28</v>
      </c>
      <c r="F212" s="1" t="s">
        <v>30</v>
      </c>
      <c r="G212" s="1" t="s">
        <v>677</v>
      </c>
      <c r="H212" s="1" t="s">
        <v>83</v>
      </c>
      <c r="I212" s="1" t="s">
        <v>52</v>
      </c>
      <c r="J212" s="2" t="s">
        <v>1122</v>
      </c>
    </row>
    <row r="213">
      <c r="A213" s="1" t="s">
        <v>1123</v>
      </c>
      <c r="B213" s="1" t="s">
        <v>624</v>
      </c>
      <c r="C213" s="1" t="s">
        <v>1124</v>
      </c>
      <c r="D213" s="2" t="s">
        <v>912</v>
      </c>
      <c r="E213" s="1" t="s">
        <v>45</v>
      </c>
      <c r="F213" s="1" t="s">
        <v>30</v>
      </c>
      <c r="G213" s="1" t="s">
        <v>517</v>
      </c>
      <c r="H213" s="1" t="s">
        <v>592</v>
      </c>
      <c r="I213" s="1" t="s">
        <v>35</v>
      </c>
      <c r="J213" s="2" t="s">
        <v>1126</v>
      </c>
    </row>
    <row r="214">
      <c r="A214" s="1" t="s">
        <v>1127</v>
      </c>
      <c r="B214" s="1" t="s">
        <v>831</v>
      </c>
      <c r="C214" s="1" t="s">
        <v>713</v>
      </c>
      <c r="D214" s="2" t="s">
        <v>91</v>
      </c>
      <c r="E214" s="1" t="s">
        <v>28</v>
      </c>
      <c r="F214" s="1" t="s">
        <v>401</v>
      </c>
      <c r="G214" s="1" t="s">
        <v>489</v>
      </c>
      <c r="H214" s="1" t="s">
        <v>179</v>
      </c>
      <c r="I214" s="1" t="s">
        <v>97</v>
      </c>
      <c r="J214" s="2" t="s">
        <v>464</v>
      </c>
    </row>
    <row r="215">
      <c r="A215" s="1" t="s">
        <v>1129</v>
      </c>
      <c r="B215" s="1" t="s">
        <v>136</v>
      </c>
      <c r="C215" s="1" t="s">
        <v>254</v>
      </c>
      <c r="D215" s="2" t="s">
        <v>488</v>
      </c>
      <c r="E215" s="1" t="s">
        <v>105</v>
      </c>
      <c r="F215" s="1" t="s">
        <v>393</v>
      </c>
      <c r="G215" s="1" t="s">
        <v>511</v>
      </c>
      <c r="H215" s="1" t="s">
        <v>304</v>
      </c>
      <c r="I215" s="1" t="s">
        <v>97</v>
      </c>
      <c r="J215" s="2" t="s">
        <v>1131</v>
      </c>
    </row>
    <row r="216">
      <c r="A216" s="1" t="s">
        <v>1132</v>
      </c>
      <c r="B216" s="1" t="s">
        <v>136</v>
      </c>
      <c r="C216" s="1" t="s">
        <v>352</v>
      </c>
      <c r="D216" s="2" t="s">
        <v>302</v>
      </c>
      <c r="E216" s="1" t="s">
        <v>28</v>
      </c>
      <c r="F216" s="1" t="s">
        <v>256</v>
      </c>
      <c r="G216" s="1" t="s">
        <v>583</v>
      </c>
      <c r="H216" s="1" t="s">
        <v>197</v>
      </c>
      <c r="I216" s="1" t="s">
        <v>97</v>
      </c>
      <c r="J216" s="2" t="s">
        <v>471</v>
      </c>
    </row>
    <row r="217">
      <c r="A217" s="1" t="s">
        <v>1135</v>
      </c>
      <c r="B217" s="1" t="s">
        <v>542</v>
      </c>
      <c r="C217" s="1" t="s">
        <v>526</v>
      </c>
      <c r="D217" s="2" t="s">
        <v>667</v>
      </c>
      <c r="E217" s="1" t="s">
        <v>130</v>
      </c>
      <c r="F217" s="1" t="s">
        <v>176</v>
      </c>
      <c r="G217" s="1" t="s">
        <v>94</v>
      </c>
      <c r="H217" s="1" t="s">
        <v>231</v>
      </c>
      <c r="I217" s="1" t="s">
        <v>35</v>
      </c>
      <c r="J217" s="2" t="s">
        <v>1136</v>
      </c>
    </row>
    <row r="218">
      <c r="A218" s="1" t="s">
        <v>1138</v>
      </c>
      <c r="B218" s="1" t="s">
        <v>368</v>
      </c>
      <c r="C218" s="1" t="s">
        <v>1139</v>
      </c>
      <c r="D218" s="2" t="s">
        <v>733</v>
      </c>
      <c r="E218" s="1" t="s">
        <v>105</v>
      </c>
      <c r="F218" s="1" t="s">
        <v>364</v>
      </c>
      <c r="G218" s="1" t="s">
        <v>311</v>
      </c>
      <c r="H218" s="1" t="s">
        <v>592</v>
      </c>
      <c r="I218" s="1" t="s">
        <v>52</v>
      </c>
      <c r="J218" s="2" t="s">
        <v>1141</v>
      </c>
    </row>
    <row r="219">
      <c r="A219" s="1" t="s">
        <v>1142</v>
      </c>
      <c r="B219" s="1" t="s">
        <v>1143</v>
      </c>
      <c r="C219" s="1" t="s">
        <v>76</v>
      </c>
      <c r="D219" s="2" t="s">
        <v>945</v>
      </c>
      <c r="E219" s="1" t="s">
        <v>130</v>
      </c>
      <c r="F219" s="1" t="s">
        <v>30</v>
      </c>
      <c r="G219" s="1" t="s">
        <v>132</v>
      </c>
      <c r="H219" s="1" t="s">
        <v>165</v>
      </c>
      <c r="I219" s="1" t="s">
        <v>211</v>
      </c>
      <c r="J219" s="2" t="s">
        <v>1144</v>
      </c>
    </row>
    <row r="220">
      <c r="A220" s="1" t="s">
        <v>1145</v>
      </c>
      <c r="B220" s="1" t="s">
        <v>136</v>
      </c>
      <c r="C220" s="1" t="s">
        <v>90</v>
      </c>
      <c r="D220" s="2" t="s">
        <v>392</v>
      </c>
      <c r="E220" s="1" t="s">
        <v>105</v>
      </c>
      <c r="F220" s="1" t="s">
        <v>208</v>
      </c>
      <c r="G220" s="1" t="s">
        <v>258</v>
      </c>
      <c r="H220" s="1" t="s">
        <v>304</v>
      </c>
      <c r="I220" s="1" t="s">
        <v>52</v>
      </c>
      <c r="J220" s="2" t="s">
        <v>1147</v>
      </c>
    </row>
    <row r="221">
      <c r="A221" s="1" t="s">
        <v>1148</v>
      </c>
      <c r="B221" s="1" t="s">
        <v>1149</v>
      </c>
      <c r="C221" s="1" t="s">
        <v>128</v>
      </c>
      <c r="D221" s="2" t="s">
        <v>1150</v>
      </c>
      <c r="E221" s="1" t="s">
        <v>45</v>
      </c>
      <c r="F221" s="1" t="s">
        <v>237</v>
      </c>
      <c r="G221" s="1" t="s">
        <v>669</v>
      </c>
      <c r="H221" s="1" t="s">
        <v>231</v>
      </c>
      <c r="I221" s="1" t="s">
        <v>222</v>
      </c>
      <c r="J221" s="2" t="s">
        <v>1151</v>
      </c>
    </row>
    <row r="222">
      <c r="A222" s="1" t="s">
        <v>1152</v>
      </c>
      <c r="B222" s="1" t="s">
        <v>620</v>
      </c>
      <c r="C222" s="1" t="s">
        <v>25</v>
      </c>
      <c r="D222" s="2" t="s">
        <v>295</v>
      </c>
      <c r="E222" s="1" t="s">
        <v>105</v>
      </c>
      <c r="F222" s="1" t="s">
        <v>539</v>
      </c>
      <c r="G222" s="1" t="s">
        <v>370</v>
      </c>
      <c r="H222" s="1" t="s">
        <v>197</v>
      </c>
      <c r="I222" s="1" t="s">
        <v>97</v>
      </c>
      <c r="J222" s="2" t="s">
        <v>1154</v>
      </c>
    </row>
    <row r="223">
      <c r="A223" s="1" t="s">
        <v>1155</v>
      </c>
      <c r="B223" s="1" t="s">
        <v>411</v>
      </c>
      <c r="C223" s="1" t="s">
        <v>363</v>
      </c>
      <c r="D223" s="2" t="s">
        <v>129</v>
      </c>
      <c r="E223" s="1" t="s">
        <v>28</v>
      </c>
      <c r="F223" s="1" t="s">
        <v>30</v>
      </c>
      <c r="G223" s="1" t="s">
        <v>209</v>
      </c>
      <c r="H223" s="1" t="s">
        <v>210</v>
      </c>
      <c r="I223" s="1" t="s">
        <v>97</v>
      </c>
      <c r="J223" s="2" t="s">
        <v>1157</v>
      </c>
    </row>
    <row r="224">
      <c r="A224" s="1" t="s">
        <v>1158</v>
      </c>
      <c r="B224" s="1" t="s">
        <v>1160</v>
      </c>
      <c r="C224" s="1" t="s">
        <v>316</v>
      </c>
      <c r="D224" s="2" t="s">
        <v>353</v>
      </c>
      <c r="E224" s="1" t="s">
        <v>152</v>
      </c>
      <c r="F224" s="1" t="s">
        <v>393</v>
      </c>
      <c r="G224" s="1" t="s">
        <v>311</v>
      </c>
      <c r="H224" s="1" t="s">
        <v>720</v>
      </c>
      <c r="I224" s="1" t="s">
        <v>52</v>
      </c>
      <c r="J224" s="2" t="s">
        <v>1161</v>
      </c>
    </row>
    <row r="225">
      <c r="A225" s="1" t="s">
        <v>1158</v>
      </c>
      <c r="B225" s="1" t="s">
        <v>1160</v>
      </c>
      <c r="C225" s="1" t="s">
        <v>316</v>
      </c>
      <c r="D225" s="2" t="s">
        <v>353</v>
      </c>
      <c r="E225" s="1" t="s">
        <v>152</v>
      </c>
      <c r="F225" s="1" t="s">
        <v>393</v>
      </c>
      <c r="G225" s="1" t="s">
        <v>311</v>
      </c>
      <c r="H225" s="1" t="s">
        <v>720</v>
      </c>
      <c r="I225" s="1" t="s">
        <v>52</v>
      </c>
      <c r="J225" s="2" t="s">
        <v>1161</v>
      </c>
    </row>
    <row r="226">
      <c r="A226" s="1" t="s">
        <v>1163</v>
      </c>
      <c r="B226" s="1" t="s">
        <v>171</v>
      </c>
      <c r="C226" s="1" t="s">
        <v>128</v>
      </c>
      <c r="D226" s="2" t="s">
        <v>150</v>
      </c>
      <c r="E226" s="1" t="s">
        <v>130</v>
      </c>
      <c r="F226" s="1" t="s">
        <v>107</v>
      </c>
      <c r="G226" s="1" t="s">
        <v>558</v>
      </c>
      <c r="H226" s="1" t="s">
        <v>561</v>
      </c>
      <c r="I226" s="1" t="s">
        <v>97</v>
      </c>
      <c r="J226" s="2" t="s">
        <v>1164</v>
      </c>
    </row>
    <row r="227">
      <c r="A227" s="1" t="s">
        <v>1165</v>
      </c>
      <c r="B227" s="1" t="s">
        <v>1166</v>
      </c>
      <c r="C227" s="1" t="s">
        <v>713</v>
      </c>
      <c r="D227" s="2" t="s">
        <v>565</v>
      </c>
      <c r="E227" s="1" t="s">
        <v>45</v>
      </c>
      <c r="F227" s="1" t="s">
        <v>30</v>
      </c>
      <c r="G227" s="1" t="s">
        <v>109</v>
      </c>
      <c r="H227" s="1" t="s">
        <v>477</v>
      </c>
      <c r="I227" s="1" t="s">
        <v>35</v>
      </c>
      <c r="J227" s="2" t="s">
        <v>1168</v>
      </c>
    </row>
    <row r="228">
      <c r="A228" s="1" t="s">
        <v>1169</v>
      </c>
      <c r="B228" s="1" t="s">
        <v>136</v>
      </c>
      <c r="C228" s="1" t="s">
        <v>495</v>
      </c>
      <c r="D228" s="2" t="s">
        <v>434</v>
      </c>
      <c r="E228" s="1" t="s">
        <v>28</v>
      </c>
      <c r="F228" s="1" t="s">
        <v>237</v>
      </c>
      <c r="G228" s="1" t="s">
        <v>82</v>
      </c>
      <c r="H228" s="1" t="s">
        <v>34</v>
      </c>
      <c r="I228" s="1" t="s">
        <v>97</v>
      </c>
      <c r="J228" s="2" t="s">
        <v>1171</v>
      </c>
    </row>
    <row r="229">
      <c r="A229" s="1" t="s">
        <v>1173</v>
      </c>
      <c r="B229" s="1" t="s">
        <v>307</v>
      </c>
      <c r="C229" s="1" t="s">
        <v>128</v>
      </c>
      <c r="D229" s="2" t="s">
        <v>185</v>
      </c>
      <c r="E229" s="1" t="s">
        <v>45</v>
      </c>
      <c r="F229" s="1" t="s">
        <v>571</v>
      </c>
      <c r="G229" s="1" t="s">
        <v>49</v>
      </c>
      <c r="H229" s="1" t="s">
        <v>607</v>
      </c>
      <c r="I229" s="1" t="s">
        <v>97</v>
      </c>
      <c r="J229" s="2" t="s">
        <v>1174</v>
      </c>
    </row>
    <row r="230">
      <c r="A230" s="1" t="s">
        <v>1175</v>
      </c>
      <c r="B230" s="1" t="s">
        <v>658</v>
      </c>
      <c r="C230" s="1" t="s">
        <v>254</v>
      </c>
      <c r="D230" s="2" t="s">
        <v>317</v>
      </c>
      <c r="E230" s="1" t="s">
        <v>130</v>
      </c>
      <c r="F230" s="1" t="s">
        <v>107</v>
      </c>
      <c r="G230" s="1" t="s">
        <v>470</v>
      </c>
      <c r="H230" s="1" t="s">
        <v>592</v>
      </c>
      <c r="I230" s="1" t="s">
        <v>97</v>
      </c>
      <c r="J230" s="2" t="s">
        <v>1178</v>
      </c>
    </row>
    <row r="231">
      <c r="A231" s="1" t="s">
        <v>1179</v>
      </c>
      <c r="B231" s="1" t="s">
        <v>136</v>
      </c>
      <c r="C231" s="1" t="s">
        <v>1017</v>
      </c>
      <c r="D231" s="2" t="s">
        <v>1180</v>
      </c>
      <c r="E231" s="1" t="s">
        <v>105</v>
      </c>
      <c r="F231" s="1" t="s">
        <v>47</v>
      </c>
      <c r="G231" s="1" t="s">
        <v>551</v>
      </c>
      <c r="H231" s="1" t="s">
        <v>96</v>
      </c>
      <c r="I231" s="1" t="s">
        <v>52</v>
      </c>
      <c r="J231" s="2" t="s">
        <v>1181</v>
      </c>
    </row>
    <row r="232">
      <c r="A232" s="1" t="s">
        <v>1182</v>
      </c>
      <c r="B232" s="1" t="s">
        <v>865</v>
      </c>
      <c r="C232" s="1" t="s">
        <v>76</v>
      </c>
      <c r="D232" s="2" t="s">
        <v>912</v>
      </c>
      <c r="E232" s="1" t="s">
        <v>45</v>
      </c>
      <c r="F232" s="1" t="s">
        <v>64</v>
      </c>
      <c r="G232" s="1" t="s">
        <v>370</v>
      </c>
      <c r="H232" s="1" t="s">
        <v>197</v>
      </c>
      <c r="I232" s="1" t="s">
        <v>52</v>
      </c>
      <c r="J232" s="2" t="s">
        <v>1184</v>
      </c>
    </row>
    <row r="233">
      <c r="A233" s="1" t="s">
        <v>1185</v>
      </c>
      <c r="B233" s="1" t="s">
        <v>1186</v>
      </c>
      <c r="C233" s="1" t="s">
        <v>1187</v>
      </c>
      <c r="D233" s="2" t="s">
        <v>185</v>
      </c>
      <c r="E233" s="1" t="s">
        <v>80</v>
      </c>
      <c r="F233" s="1" t="s">
        <v>64</v>
      </c>
      <c r="G233" s="1" t="s">
        <v>1188</v>
      </c>
      <c r="H233" s="1" t="s">
        <v>691</v>
      </c>
      <c r="I233" s="1" t="s">
        <v>97</v>
      </c>
      <c r="J233" s="2" t="s">
        <v>1190</v>
      </c>
    </row>
    <row r="234">
      <c r="A234" s="1" t="s">
        <v>1191</v>
      </c>
      <c r="B234" s="1" t="s">
        <v>158</v>
      </c>
      <c r="C234" s="1" t="s">
        <v>244</v>
      </c>
      <c r="D234" s="2" t="s">
        <v>92</v>
      </c>
      <c r="E234" s="1" t="s">
        <v>45</v>
      </c>
      <c r="F234" s="1" t="s">
        <v>64</v>
      </c>
      <c r="G234" s="1" t="s">
        <v>789</v>
      </c>
      <c r="H234" s="1" t="s">
        <v>165</v>
      </c>
      <c r="I234" s="1" t="s">
        <v>52</v>
      </c>
      <c r="J234" s="2" t="s">
        <v>1192</v>
      </c>
    </row>
    <row r="235">
      <c r="A235" s="1" t="s">
        <v>1193</v>
      </c>
      <c r="B235" s="1" t="s">
        <v>171</v>
      </c>
      <c r="C235" s="1" t="s">
        <v>254</v>
      </c>
      <c r="D235" s="2" t="s">
        <v>173</v>
      </c>
      <c r="E235" s="1" t="s">
        <v>130</v>
      </c>
      <c r="F235" s="1" t="s">
        <v>47</v>
      </c>
      <c r="G235" s="1" t="s">
        <v>511</v>
      </c>
      <c r="H235" s="1" t="s">
        <v>304</v>
      </c>
      <c r="I235" s="1" t="s">
        <v>97</v>
      </c>
      <c r="J235" s="2" t="s">
        <v>1195</v>
      </c>
    </row>
    <row r="236">
      <c r="A236" s="1" t="s">
        <v>1196</v>
      </c>
      <c r="B236" s="1" t="s">
        <v>658</v>
      </c>
      <c r="C236" s="1" t="s">
        <v>101</v>
      </c>
      <c r="E236" s="1" t="s">
        <v>130</v>
      </c>
      <c r="F236" s="1" t="s">
        <v>393</v>
      </c>
      <c r="G236" s="1" t="s">
        <v>258</v>
      </c>
      <c r="H236" s="1" t="s">
        <v>592</v>
      </c>
      <c r="I236" s="1" t="s">
        <v>35</v>
      </c>
      <c r="J236" s="2" t="s">
        <v>1197</v>
      </c>
    </row>
    <row r="237">
      <c r="A237" s="1" t="s">
        <v>1198</v>
      </c>
      <c r="B237" s="1" t="s">
        <v>1199</v>
      </c>
      <c r="C237" s="1" t="s">
        <v>959</v>
      </c>
      <c r="D237" s="2" t="s">
        <v>236</v>
      </c>
      <c r="E237" s="1" t="s">
        <v>45</v>
      </c>
      <c r="F237" s="1" t="s">
        <v>131</v>
      </c>
      <c r="G237" s="1" t="s">
        <v>462</v>
      </c>
      <c r="H237" s="1" t="s">
        <v>67</v>
      </c>
      <c r="I237" s="1" t="s">
        <v>35</v>
      </c>
      <c r="J237" s="2" t="s">
        <v>1200</v>
      </c>
    </row>
    <row r="238">
      <c r="A238" s="1" t="s">
        <v>1201</v>
      </c>
      <c r="B238" s="1" t="s">
        <v>127</v>
      </c>
      <c r="C238" s="1" t="s">
        <v>172</v>
      </c>
      <c r="D238" s="2" t="s">
        <v>1041</v>
      </c>
      <c r="E238" s="1" t="s">
        <v>130</v>
      </c>
      <c r="F238" s="1" t="s">
        <v>176</v>
      </c>
      <c r="G238" s="1" t="s">
        <v>370</v>
      </c>
      <c r="H238" s="1" t="s">
        <v>319</v>
      </c>
      <c r="I238" s="1" t="s">
        <v>211</v>
      </c>
      <c r="J238" s="2" t="s">
        <v>1202</v>
      </c>
    </row>
    <row r="239">
      <c r="A239" s="1" t="s">
        <v>1204</v>
      </c>
      <c r="B239" s="1" t="s">
        <v>569</v>
      </c>
      <c r="C239" s="1" t="s">
        <v>374</v>
      </c>
      <c r="D239" s="2" t="s">
        <v>185</v>
      </c>
      <c r="E239" s="1" t="s">
        <v>105</v>
      </c>
      <c r="F239" s="1" t="s">
        <v>131</v>
      </c>
      <c r="G239" s="1" t="s">
        <v>789</v>
      </c>
      <c r="H239" s="1" t="s">
        <v>50</v>
      </c>
      <c r="I239" s="1" t="s">
        <v>97</v>
      </c>
      <c r="J239" s="2" t="s">
        <v>1205</v>
      </c>
    </row>
    <row r="240">
      <c r="A240" s="1" t="s">
        <v>1206</v>
      </c>
      <c r="B240" s="1" t="s">
        <v>1077</v>
      </c>
      <c r="C240" s="1" t="s">
        <v>1207</v>
      </c>
      <c r="D240" s="2" t="s">
        <v>460</v>
      </c>
      <c r="E240" s="1" t="s">
        <v>152</v>
      </c>
      <c r="F240" s="1" t="s">
        <v>256</v>
      </c>
      <c r="G240" s="1" t="s">
        <v>867</v>
      </c>
      <c r="H240" s="1" t="s">
        <v>691</v>
      </c>
      <c r="I240" s="1" t="s">
        <v>97</v>
      </c>
      <c r="J240" s="2" t="s">
        <v>1209</v>
      </c>
    </row>
    <row r="241">
      <c r="A241" s="1" t="s">
        <v>1210</v>
      </c>
      <c r="B241" s="1" t="s">
        <v>688</v>
      </c>
      <c r="C241" s="1" t="s">
        <v>713</v>
      </c>
      <c r="D241" s="2" t="s">
        <v>823</v>
      </c>
      <c r="E241" s="1" t="s">
        <v>152</v>
      </c>
      <c r="F241" s="1" t="s">
        <v>64</v>
      </c>
      <c r="G241" s="1" t="s">
        <v>164</v>
      </c>
      <c r="H241" s="1" t="s">
        <v>607</v>
      </c>
      <c r="I241" s="1" t="s">
        <v>211</v>
      </c>
      <c r="J241" s="2" t="s">
        <v>1212</v>
      </c>
    </row>
    <row r="242">
      <c r="A242" s="1" t="s">
        <v>1213</v>
      </c>
      <c r="B242" s="1" t="s">
        <v>1060</v>
      </c>
      <c r="C242" s="1" t="s">
        <v>1035</v>
      </c>
      <c r="D242" s="2" t="s">
        <v>195</v>
      </c>
      <c r="E242" s="1" t="s">
        <v>130</v>
      </c>
      <c r="F242" s="1" t="s">
        <v>539</v>
      </c>
      <c r="G242" s="1" t="s">
        <v>418</v>
      </c>
      <c r="H242" s="1" t="s">
        <v>210</v>
      </c>
      <c r="I242" s="1" t="s">
        <v>97</v>
      </c>
      <c r="J242" s="2" t="s">
        <v>952</v>
      </c>
    </row>
    <row r="243">
      <c r="A243" s="1" t="s">
        <v>1215</v>
      </c>
      <c r="B243" s="1" t="s">
        <v>456</v>
      </c>
      <c r="C243" s="1" t="s">
        <v>148</v>
      </c>
      <c r="D243" s="2" t="s">
        <v>217</v>
      </c>
      <c r="E243" s="1" t="s">
        <v>28</v>
      </c>
      <c r="F243" s="1" t="s">
        <v>393</v>
      </c>
      <c r="G243" s="1" t="s">
        <v>164</v>
      </c>
      <c r="H243" s="1" t="s">
        <v>143</v>
      </c>
      <c r="I243" s="1" t="s">
        <v>222</v>
      </c>
      <c r="J243" s="2" t="s">
        <v>1217</v>
      </c>
    </row>
    <row r="244">
      <c r="A244" s="1" t="s">
        <v>1218</v>
      </c>
      <c r="B244" s="1" t="s">
        <v>343</v>
      </c>
      <c r="C244" s="1" t="s">
        <v>316</v>
      </c>
      <c r="E244" s="1" t="s">
        <v>80</v>
      </c>
      <c r="F244" s="1" t="s">
        <v>208</v>
      </c>
      <c r="G244" s="1" t="s">
        <v>517</v>
      </c>
      <c r="H244" s="1" t="s">
        <v>124</v>
      </c>
      <c r="I244" s="1" t="s">
        <v>35</v>
      </c>
      <c r="J244" s="2" t="s">
        <v>1220</v>
      </c>
    </row>
    <row r="245">
      <c r="A245" s="1" t="s">
        <v>1221</v>
      </c>
      <c r="B245" s="1" t="s">
        <v>127</v>
      </c>
      <c r="C245" s="1" t="s">
        <v>254</v>
      </c>
      <c r="D245" s="2" t="s">
        <v>1013</v>
      </c>
      <c r="E245" s="1" t="s">
        <v>80</v>
      </c>
      <c r="F245" s="1" t="s">
        <v>208</v>
      </c>
      <c r="G245" s="1" t="s">
        <v>132</v>
      </c>
      <c r="H245" s="1" t="s">
        <v>271</v>
      </c>
      <c r="I245" s="1" t="s">
        <v>35</v>
      </c>
      <c r="J245" s="2" t="s">
        <v>1223</v>
      </c>
    </row>
    <row r="246">
      <c r="A246" s="1" t="s">
        <v>1224</v>
      </c>
      <c r="B246" s="1" t="s">
        <v>1225</v>
      </c>
      <c r="C246" s="1" t="s">
        <v>713</v>
      </c>
      <c r="D246" s="2" t="s">
        <v>733</v>
      </c>
      <c r="E246" s="1" t="s">
        <v>28</v>
      </c>
      <c r="F246" s="1" t="s">
        <v>64</v>
      </c>
      <c r="G246" s="1" t="s">
        <v>1188</v>
      </c>
      <c r="H246" s="1" t="s">
        <v>500</v>
      </c>
      <c r="I246" s="1" t="s">
        <v>211</v>
      </c>
      <c r="J246" s="2" t="s">
        <v>1226</v>
      </c>
    </row>
    <row r="247">
      <c r="A247" s="1" t="s">
        <v>1227</v>
      </c>
      <c r="B247" s="1" t="s">
        <v>158</v>
      </c>
      <c r="C247" s="1" t="s">
        <v>42</v>
      </c>
      <c r="D247" s="2" t="s">
        <v>850</v>
      </c>
      <c r="E247" s="1" t="s">
        <v>28</v>
      </c>
      <c r="F247" s="1" t="s">
        <v>393</v>
      </c>
      <c r="G247" s="1" t="s">
        <v>311</v>
      </c>
      <c r="H247" s="1" t="s">
        <v>592</v>
      </c>
      <c r="I247" s="1" t="s">
        <v>97</v>
      </c>
      <c r="J247" s="2" t="s">
        <v>1228</v>
      </c>
    </row>
    <row r="248">
      <c r="A248" s="1" t="s">
        <v>1229</v>
      </c>
      <c r="B248" s="1" t="s">
        <v>368</v>
      </c>
      <c r="C248" s="1" t="s">
        <v>284</v>
      </c>
      <c r="D248" s="2" t="s">
        <v>91</v>
      </c>
      <c r="E248" s="1" t="s">
        <v>105</v>
      </c>
      <c r="F248" s="1" t="s">
        <v>237</v>
      </c>
      <c r="G248" s="1" t="s">
        <v>385</v>
      </c>
      <c r="H248" s="1" t="s">
        <v>394</v>
      </c>
      <c r="I248" s="1" t="s">
        <v>97</v>
      </c>
      <c r="J248" s="2" t="s">
        <v>190</v>
      </c>
    </row>
    <row r="249">
      <c r="A249" s="1" t="s">
        <v>1230</v>
      </c>
      <c r="B249" s="1" t="s">
        <v>820</v>
      </c>
      <c r="C249" s="1" t="s">
        <v>301</v>
      </c>
      <c r="D249" s="2" t="s">
        <v>1231</v>
      </c>
      <c r="E249" s="1" t="s">
        <v>28</v>
      </c>
      <c r="F249" s="1" t="s">
        <v>571</v>
      </c>
      <c r="G249" s="1" t="s">
        <v>132</v>
      </c>
      <c r="H249" s="1" t="s">
        <v>607</v>
      </c>
      <c r="I249" s="1" t="s">
        <v>97</v>
      </c>
      <c r="J249" s="2" t="s">
        <v>1233</v>
      </c>
    </row>
    <row r="250">
      <c r="A250" s="1" t="s">
        <v>1234</v>
      </c>
      <c r="B250" s="1" t="s">
        <v>136</v>
      </c>
      <c r="C250" s="1" t="s">
        <v>324</v>
      </c>
      <c r="D250" s="2" t="s">
        <v>218</v>
      </c>
      <c r="E250" s="1" t="s">
        <v>45</v>
      </c>
      <c r="F250" s="1" t="s">
        <v>393</v>
      </c>
      <c r="G250" s="1" t="s">
        <v>418</v>
      </c>
      <c r="H250" s="1" t="s">
        <v>189</v>
      </c>
      <c r="I250" s="1" t="s">
        <v>222</v>
      </c>
      <c r="J250" s="2" t="s">
        <v>1235</v>
      </c>
    </row>
    <row r="251">
      <c r="A251" s="1" t="s">
        <v>1236</v>
      </c>
      <c r="B251" s="1" t="s">
        <v>1237</v>
      </c>
      <c r="C251" s="1" t="s">
        <v>1238</v>
      </c>
      <c r="D251" s="2" t="s">
        <v>1013</v>
      </c>
      <c r="E251" s="1" t="s">
        <v>80</v>
      </c>
      <c r="F251" s="1" t="s">
        <v>237</v>
      </c>
      <c r="G251" s="1" t="s">
        <v>558</v>
      </c>
      <c r="H251" s="1" t="s">
        <v>851</v>
      </c>
      <c r="I251" s="1" t="s">
        <v>211</v>
      </c>
      <c r="J251" s="2" t="s">
        <v>1240</v>
      </c>
    </row>
    <row r="252">
      <c r="A252" s="1" t="s">
        <v>1241</v>
      </c>
      <c r="B252" s="1" t="s">
        <v>911</v>
      </c>
      <c r="C252" s="1" t="s">
        <v>1105</v>
      </c>
      <c r="D252" s="2" t="s">
        <v>229</v>
      </c>
      <c r="E252" s="1" t="s">
        <v>45</v>
      </c>
      <c r="F252" s="1" t="s">
        <v>237</v>
      </c>
      <c r="G252" s="1" t="s">
        <v>94</v>
      </c>
      <c r="H252" s="1" t="s">
        <v>96</v>
      </c>
      <c r="I252" s="1" t="s">
        <v>97</v>
      </c>
      <c r="J252" s="2" t="s">
        <v>1243</v>
      </c>
    </row>
    <row r="253">
      <c r="A253" s="1" t="s">
        <v>1245</v>
      </c>
      <c r="B253" s="1" t="s">
        <v>542</v>
      </c>
      <c r="C253" s="1" t="s">
        <v>556</v>
      </c>
      <c r="E253" s="1" t="s">
        <v>80</v>
      </c>
      <c r="F253" s="1" t="s">
        <v>237</v>
      </c>
      <c r="G253" s="1" t="s">
        <v>677</v>
      </c>
      <c r="H253" s="1" t="s">
        <v>592</v>
      </c>
      <c r="I253" s="1" t="s">
        <v>52</v>
      </c>
      <c r="J253" s="2" t="s">
        <v>1247</v>
      </c>
    </row>
    <row r="254">
      <c r="A254" s="1" t="s">
        <v>1248</v>
      </c>
      <c r="B254" s="1" t="s">
        <v>542</v>
      </c>
      <c r="C254" s="1" t="s">
        <v>254</v>
      </c>
      <c r="D254" s="2" t="s">
        <v>481</v>
      </c>
      <c r="E254" s="1" t="s">
        <v>80</v>
      </c>
      <c r="F254" s="1" t="s">
        <v>268</v>
      </c>
      <c r="G254" s="1" t="s">
        <v>49</v>
      </c>
      <c r="H254" s="1" t="s">
        <v>286</v>
      </c>
      <c r="I254" s="1" t="s">
        <v>52</v>
      </c>
      <c r="J254" s="2" t="s">
        <v>1250</v>
      </c>
    </row>
    <row r="255">
      <c r="A255" s="1" t="s">
        <v>1251</v>
      </c>
      <c r="B255" s="1" t="s">
        <v>745</v>
      </c>
      <c r="C255" s="1" t="s">
        <v>1252</v>
      </c>
      <c r="D255" s="2" t="s">
        <v>1041</v>
      </c>
      <c r="E255" s="1" t="s">
        <v>80</v>
      </c>
      <c r="F255" s="1" t="s">
        <v>364</v>
      </c>
      <c r="G255" s="1" t="s">
        <v>408</v>
      </c>
      <c r="H255" s="1" t="s">
        <v>561</v>
      </c>
      <c r="I255" s="1" t="s">
        <v>211</v>
      </c>
      <c r="J255" s="2" t="s">
        <v>1254</v>
      </c>
    </row>
    <row r="256">
      <c r="A256" s="1" t="s">
        <v>1255</v>
      </c>
      <c r="B256" s="1" t="s">
        <v>368</v>
      </c>
      <c r="C256" s="1" t="s">
        <v>1256</v>
      </c>
      <c r="D256" s="2" t="s">
        <v>945</v>
      </c>
      <c r="E256" s="1" t="s">
        <v>28</v>
      </c>
      <c r="F256" s="1" t="s">
        <v>47</v>
      </c>
      <c r="G256" s="1" t="s">
        <v>209</v>
      </c>
      <c r="H256" s="1" t="s">
        <v>189</v>
      </c>
      <c r="I256" s="1" t="s">
        <v>222</v>
      </c>
      <c r="J256" s="2" t="s">
        <v>1257</v>
      </c>
    </row>
    <row r="257">
      <c r="A257" s="1" t="s">
        <v>1258</v>
      </c>
      <c r="B257" s="1" t="s">
        <v>688</v>
      </c>
      <c r="C257" s="1" t="s">
        <v>1187</v>
      </c>
      <c r="D257" s="2" t="s">
        <v>434</v>
      </c>
      <c r="E257" s="1" t="s">
        <v>80</v>
      </c>
      <c r="F257" s="1" t="s">
        <v>81</v>
      </c>
      <c r="G257" s="1" t="s">
        <v>517</v>
      </c>
      <c r="H257" s="1" t="s">
        <v>34</v>
      </c>
      <c r="I257" s="1" t="s">
        <v>97</v>
      </c>
      <c r="J257" s="2" t="s">
        <v>1260</v>
      </c>
    </row>
    <row r="258">
      <c r="A258" s="1" t="s">
        <v>1261</v>
      </c>
      <c r="B258" s="1" t="s">
        <v>307</v>
      </c>
      <c r="C258" s="1" t="s">
        <v>1070</v>
      </c>
      <c r="D258" s="2" t="s">
        <v>481</v>
      </c>
      <c r="E258" s="1" t="s">
        <v>28</v>
      </c>
      <c r="F258" s="1" t="s">
        <v>107</v>
      </c>
      <c r="G258" s="1" t="s">
        <v>608</v>
      </c>
      <c r="H258" s="1" t="s">
        <v>179</v>
      </c>
      <c r="I258" s="1" t="s">
        <v>222</v>
      </c>
      <c r="J258" s="2" t="s">
        <v>464</v>
      </c>
    </row>
    <row r="259">
      <c r="A259" s="1" t="s">
        <v>1263</v>
      </c>
      <c r="B259" s="1" t="s">
        <v>368</v>
      </c>
      <c r="C259" s="1" t="s">
        <v>128</v>
      </c>
      <c r="D259" s="2" t="s">
        <v>866</v>
      </c>
      <c r="E259" s="1" t="s">
        <v>105</v>
      </c>
      <c r="F259" s="1" t="s">
        <v>256</v>
      </c>
      <c r="G259" s="1" t="s">
        <v>558</v>
      </c>
      <c r="H259" s="1" t="s">
        <v>359</v>
      </c>
      <c r="I259" s="1" t="s">
        <v>211</v>
      </c>
      <c r="J259" s="2" t="s">
        <v>1264</v>
      </c>
    </row>
    <row r="260">
      <c r="A260" s="1" t="s">
        <v>1266</v>
      </c>
      <c r="B260" s="1" t="s">
        <v>1267</v>
      </c>
      <c r="C260" s="1" t="s">
        <v>433</v>
      </c>
      <c r="D260" s="2" t="s">
        <v>878</v>
      </c>
      <c r="E260" s="1" t="s">
        <v>152</v>
      </c>
      <c r="F260" s="1" t="s">
        <v>107</v>
      </c>
      <c r="G260" s="1" t="s">
        <v>1269</v>
      </c>
      <c r="H260" s="1" t="s">
        <v>179</v>
      </c>
      <c r="I260" s="1" t="s">
        <v>222</v>
      </c>
      <c r="J260" s="2" t="s">
        <v>1270</v>
      </c>
    </row>
    <row r="261">
      <c r="A261" s="1" t="s">
        <v>1271</v>
      </c>
      <c r="B261" s="1" t="s">
        <v>158</v>
      </c>
      <c r="C261" s="1" t="s">
        <v>526</v>
      </c>
      <c r="D261" s="2" t="s">
        <v>344</v>
      </c>
      <c r="E261" s="1" t="s">
        <v>28</v>
      </c>
      <c r="F261" s="1" t="s">
        <v>393</v>
      </c>
      <c r="G261" s="1" t="s">
        <v>258</v>
      </c>
      <c r="H261" s="1" t="s">
        <v>346</v>
      </c>
      <c r="I261" s="1" t="s">
        <v>211</v>
      </c>
      <c r="J261" s="2" t="s">
        <v>1273</v>
      </c>
    </row>
    <row r="262">
      <c r="A262" s="1" t="s">
        <v>1274</v>
      </c>
      <c r="B262" s="1" t="s">
        <v>542</v>
      </c>
      <c r="C262" s="1" t="s">
        <v>284</v>
      </c>
      <c r="D262" s="2" t="s">
        <v>878</v>
      </c>
      <c r="E262" s="1" t="s">
        <v>152</v>
      </c>
      <c r="F262" s="1" t="s">
        <v>268</v>
      </c>
      <c r="G262" s="1" t="s">
        <v>385</v>
      </c>
      <c r="H262" s="1" t="s">
        <v>210</v>
      </c>
      <c r="I262" s="1" t="s">
        <v>211</v>
      </c>
      <c r="J262" s="2" t="s">
        <v>1277</v>
      </c>
    </row>
    <row r="263">
      <c r="A263" s="1" t="s">
        <v>1279</v>
      </c>
      <c r="B263" s="1" t="s">
        <v>542</v>
      </c>
      <c r="C263" s="1" t="s">
        <v>216</v>
      </c>
      <c r="D263" s="2" t="s">
        <v>733</v>
      </c>
      <c r="E263" s="1" t="s">
        <v>130</v>
      </c>
      <c r="F263" s="1" t="s">
        <v>30</v>
      </c>
      <c r="G263" s="1" t="s">
        <v>789</v>
      </c>
      <c r="H263" s="1" t="s">
        <v>286</v>
      </c>
      <c r="I263" s="1" t="s">
        <v>211</v>
      </c>
      <c r="J263" s="2" t="s">
        <v>1281</v>
      </c>
    </row>
    <row r="264">
      <c r="A264" s="1" t="s">
        <v>1282</v>
      </c>
      <c r="B264" s="1" t="s">
        <v>1283</v>
      </c>
      <c r="C264" s="1" t="s">
        <v>324</v>
      </c>
      <c r="D264" s="2" t="s">
        <v>777</v>
      </c>
      <c r="E264" s="1" t="s">
        <v>105</v>
      </c>
      <c r="F264" s="1" t="s">
        <v>393</v>
      </c>
      <c r="G264" s="1" t="s">
        <v>612</v>
      </c>
      <c r="H264" s="1" t="s">
        <v>691</v>
      </c>
      <c r="I264" s="1" t="s">
        <v>52</v>
      </c>
      <c r="J264" s="2" t="s">
        <v>1285</v>
      </c>
    </row>
    <row r="265">
      <c r="A265" s="1" t="s">
        <v>1286</v>
      </c>
      <c r="B265" s="1" t="s">
        <v>1267</v>
      </c>
      <c r="C265" s="1" t="s">
        <v>713</v>
      </c>
      <c r="D265" s="2" t="s">
        <v>509</v>
      </c>
      <c r="E265" s="1" t="s">
        <v>80</v>
      </c>
      <c r="F265" s="1" t="s">
        <v>107</v>
      </c>
      <c r="G265" s="1" t="s">
        <v>669</v>
      </c>
      <c r="H265" s="1" t="s">
        <v>271</v>
      </c>
      <c r="I265" s="1" t="s">
        <v>211</v>
      </c>
      <c r="J265" s="2" t="s">
        <v>1288</v>
      </c>
    </row>
    <row r="266">
      <c r="A266" s="1" t="s">
        <v>1289</v>
      </c>
      <c r="B266" s="1" t="s">
        <v>803</v>
      </c>
      <c r="C266" s="1" t="s">
        <v>244</v>
      </c>
      <c r="D266" s="2" t="s">
        <v>331</v>
      </c>
      <c r="E266" s="1" t="s">
        <v>152</v>
      </c>
      <c r="F266" s="1" t="s">
        <v>141</v>
      </c>
      <c r="G266" s="1" t="s">
        <v>1290</v>
      </c>
      <c r="H266" s="1" t="s">
        <v>533</v>
      </c>
      <c r="I266" s="1" t="s">
        <v>222</v>
      </c>
      <c r="J266" s="2" t="s">
        <v>1292</v>
      </c>
    </row>
    <row r="267">
      <c r="A267" s="1" t="s">
        <v>1293</v>
      </c>
      <c r="B267" s="1" t="s">
        <v>1294</v>
      </c>
      <c r="C267" s="1" t="s">
        <v>753</v>
      </c>
      <c r="E267" s="1" t="s">
        <v>152</v>
      </c>
      <c r="F267" s="1" t="s">
        <v>47</v>
      </c>
      <c r="G267" s="1" t="s">
        <v>94</v>
      </c>
      <c r="H267" s="1" t="s">
        <v>165</v>
      </c>
      <c r="I267" s="1" t="s">
        <v>222</v>
      </c>
      <c r="J267" s="2" t="s">
        <v>1295</v>
      </c>
    </row>
    <row r="268">
      <c r="A268" s="1" t="s">
        <v>1296</v>
      </c>
      <c r="B268" s="1" t="s">
        <v>171</v>
      </c>
      <c r="C268" s="1" t="s">
        <v>629</v>
      </c>
      <c r="D268" s="2" t="s">
        <v>521</v>
      </c>
      <c r="E268" s="1" t="s">
        <v>152</v>
      </c>
      <c r="F268" s="1" t="s">
        <v>237</v>
      </c>
      <c r="G268" s="1" t="s">
        <v>551</v>
      </c>
      <c r="H268" s="1" t="s">
        <v>83</v>
      </c>
      <c r="I268" s="1" t="s">
        <v>35</v>
      </c>
      <c r="J268" s="2" t="s">
        <v>1298</v>
      </c>
    </row>
    <row r="269">
      <c r="A269" s="1" t="s">
        <v>1299</v>
      </c>
      <c r="B269" s="1" t="s">
        <v>763</v>
      </c>
      <c r="C269" s="1" t="s">
        <v>363</v>
      </c>
      <c r="D269" s="2" t="s">
        <v>423</v>
      </c>
      <c r="E269" s="1" t="s">
        <v>105</v>
      </c>
      <c r="F269" s="1" t="s">
        <v>364</v>
      </c>
      <c r="G269" s="1" t="s">
        <v>385</v>
      </c>
      <c r="H269" s="1" t="s">
        <v>386</v>
      </c>
      <c r="I269" s="1" t="s">
        <v>97</v>
      </c>
      <c r="J269" s="2" t="s">
        <v>1301</v>
      </c>
    </row>
    <row r="270">
      <c r="A270" s="1" t="s">
        <v>1302</v>
      </c>
      <c r="B270" s="1" t="s">
        <v>531</v>
      </c>
      <c r="C270" s="1" t="s">
        <v>433</v>
      </c>
      <c r="D270" s="2" t="s">
        <v>675</v>
      </c>
      <c r="E270" s="1" t="s">
        <v>105</v>
      </c>
      <c r="F270" s="1" t="s">
        <v>309</v>
      </c>
      <c r="G270" s="1" t="s">
        <v>637</v>
      </c>
      <c r="H270" s="1" t="s">
        <v>720</v>
      </c>
      <c r="I270" s="1" t="s">
        <v>222</v>
      </c>
      <c r="J270" s="2" t="s">
        <v>1304</v>
      </c>
    </row>
    <row r="271">
      <c r="A271" s="1" t="s">
        <v>1305</v>
      </c>
      <c r="B271" s="1" t="s">
        <v>1306</v>
      </c>
      <c r="C271" s="1" t="s">
        <v>128</v>
      </c>
      <c r="D271" s="2" t="s">
        <v>521</v>
      </c>
      <c r="E271" s="1" t="s">
        <v>130</v>
      </c>
      <c r="F271" s="1" t="s">
        <v>47</v>
      </c>
      <c r="G271" s="1" t="s">
        <v>132</v>
      </c>
      <c r="H271" s="1" t="s">
        <v>143</v>
      </c>
      <c r="I271" s="1" t="s">
        <v>35</v>
      </c>
      <c r="J271" s="2" t="s">
        <v>1308</v>
      </c>
    </row>
    <row r="272">
      <c r="A272" s="1" t="s">
        <v>1309</v>
      </c>
      <c r="B272" s="1" t="s">
        <v>74</v>
      </c>
      <c r="C272" s="1" t="s">
        <v>25</v>
      </c>
      <c r="D272" s="2" t="s">
        <v>229</v>
      </c>
      <c r="E272" s="1" t="s">
        <v>130</v>
      </c>
      <c r="F272" s="1" t="s">
        <v>256</v>
      </c>
      <c r="G272" s="1" t="s">
        <v>439</v>
      </c>
      <c r="H272" s="1" t="s">
        <v>210</v>
      </c>
      <c r="I272" s="1" t="s">
        <v>97</v>
      </c>
      <c r="J272" s="2" t="s">
        <v>1310</v>
      </c>
    </row>
    <row r="273">
      <c r="A273" s="1" t="s">
        <v>1311</v>
      </c>
      <c r="B273" s="1" t="s">
        <v>171</v>
      </c>
      <c r="C273" s="1" t="s">
        <v>1312</v>
      </c>
      <c r="D273" s="2" t="s">
        <v>344</v>
      </c>
      <c r="E273" s="1" t="s">
        <v>130</v>
      </c>
      <c r="F273" s="1" t="s">
        <v>364</v>
      </c>
      <c r="G273" s="1" t="s">
        <v>470</v>
      </c>
      <c r="H273" s="1" t="s">
        <v>592</v>
      </c>
      <c r="I273" s="1" t="s">
        <v>222</v>
      </c>
      <c r="J273" s="2" t="s">
        <v>1313</v>
      </c>
    </row>
    <row r="274">
      <c r="A274" s="1" t="s">
        <v>1314</v>
      </c>
      <c r="B274" s="1" t="s">
        <v>898</v>
      </c>
      <c r="C274" s="1" t="s">
        <v>128</v>
      </c>
      <c r="D274" s="2" t="s">
        <v>302</v>
      </c>
      <c r="E274" s="1" t="s">
        <v>105</v>
      </c>
      <c r="F274" s="1" t="s">
        <v>107</v>
      </c>
      <c r="G274" s="1" t="s">
        <v>49</v>
      </c>
      <c r="H274" s="1" t="s">
        <v>607</v>
      </c>
      <c r="I274" s="1" t="s">
        <v>97</v>
      </c>
      <c r="J274" s="2" t="s">
        <v>1316</v>
      </c>
    </row>
    <row r="275">
      <c r="A275" s="1" t="s">
        <v>1317</v>
      </c>
      <c r="B275" s="1" t="s">
        <v>158</v>
      </c>
      <c r="C275" s="1" t="s">
        <v>76</v>
      </c>
      <c r="D275" s="2" t="s">
        <v>195</v>
      </c>
      <c r="E275" s="1" t="s">
        <v>28</v>
      </c>
      <c r="F275" s="1" t="s">
        <v>237</v>
      </c>
      <c r="G275" s="1" t="s">
        <v>489</v>
      </c>
      <c r="H275" s="1" t="s">
        <v>477</v>
      </c>
      <c r="I275" s="1" t="s">
        <v>97</v>
      </c>
      <c r="J275" s="2" t="s">
        <v>1320</v>
      </c>
    </row>
    <row r="276">
      <c r="A276" s="1" t="s">
        <v>1321</v>
      </c>
      <c r="B276" s="1" t="s">
        <v>368</v>
      </c>
      <c r="C276" s="1" t="s">
        <v>1322</v>
      </c>
      <c r="D276" s="2" t="s">
        <v>675</v>
      </c>
      <c r="E276" s="1" t="s">
        <v>45</v>
      </c>
      <c r="F276" s="1" t="s">
        <v>393</v>
      </c>
      <c r="G276" s="1" t="s">
        <v>677</v>
      </c>
      <c r="H276" s="1" t="s">
        <v>592</v>
      </c>
      <c r="I276" s="1" t="s">
        <v>52</v>
      </c>
      <c r="J276" s="2" t="s">
        <v>1323</v>
      </c>
    </row>
    <row r="277">
      <c r="A277" s="1" t="s">
        <v>1324</v>
      </c>
      <c r="B277" s="1" t="s">
        <v>1326</v>
      </c>
      <c r="C277" s="1" t="s">
        <v>324</v>
      </c>
      <c r="D277" s="2" t="s">
        <v>285</v>
      </c>
      <c r="E277" s="1" t="s">
        <v>80</v>
      </c>
      <c r="F277" s="1" t="s">
        <v>176</v>
      </c>
      <c r="G277" s="1" t="s">
        <v>642</v>
      </c>
      <c r="H277" s="1" t="s">
        <v>546</v>
      </c>
      <c r="I277" s="1" t="s">
        <v>97</v>
      </c>
      <c r="J277" s="2" t="s">
        <v>1327</v>
      </c>
    </row>
    <row r="278">
      <c r="A278" s="1" t="s">
        <v>1328</v>
      </c>
      <c r="B278" s="1" t="s">
        <v>1329</v>
      </c>
      <c r="C278" s="1" t="s">
        <v>25</v>
      </c>
      <c r="E278" s="1" t="s">
        <v>130</v>
      </c>
      <c r="F278" s="1" t="s">
        <v>376</v>
      </c>
      <c r="G278" s="1" t="s">
        <v>311</v>
      </c>
      <c r="H278" s="1" t="s">
        <v>143</v>
      </c>
      <c r="I278" s="1" t="s">
        <v>211</v>
      </c>
      <c r="J278" s="2" t="s">
        <v>1330</v>
      </c>
    </row>
    <row r="279">
      <c r="A279" s="1" t="s">
        <v>1332</v>
      </c>
      <c r="B279" s="1" t="s">
        <v>127</v>
      </c>
      <c r="C279" s="1" t="s">
        <v>959</v>
      </c>
      <c r="D279" s="2" t="s">
        <v>295</v>
      </c>
      <c r="E279" s="1" t="s">
        <v>130</v>
      </c>
      <c r="F279" s="1" t="s">
        <v>30</v>
      </c>
      <c r="G279" s="1" t="s">
        <v>258</v>
      </c>
      <c r="H279" s="1" t="s">
        <v>546</v>
      </c>
      <c r="I279" s="1" t="s">
        <v>97</v>
      </c>
      <c r="J279" s="2" t="s">
        <v>1335</v>
      </c>
    </row>
    <row r="280">
      <c r="A280" s="1" t="s">
        <v>1336</v>
      </c>
      <c r="B280" s="1" t="s">
        <v>100</v>
      </c>
      <c r="C280" s="1" t="s">
        <v>363</v>
      </c>
      <c r="D280" s="2" t="s">
        <v>460</v>
      </c>
      <c r="E280" s="1" t="s">
        <v>130</v>
      </c>
      <c r="F280" s="1" t="s">
        <v>30</v>
      </c>
      <c r="G280" s="1" t="s">
        <v>345</v>
      </c>
      <c r="H280" s="1" t="s">
        <v>346</v>
      </c>
      <c r="I280" s="1" t="s">
        <v>97</v>
      </c>
      <c r="J280" s="2" t="s">
        <v>1337</v>
      </c>
    </row>
    <row r="281">
      <c r="A281" s="1" t="s">
        <v>1339</v>
      </c>
      <c r="B281" s="1" t="s">
        <v>542</v>
      </c>
      <c r="C281" s="1" t="s">
        <v>428</v>
      </c>
      <c r="D281" s="2" t="s">
        <v>353</v>
      </c>
      <c r="E281" s="1" t="s">
        <v>45</v>
      </c>
      <c r="F281" s="1" t="s">
        <v>571</v>
      </c>
      <c r="G281" s="1" t="s">
        <v>82</v>
      </c>
      <c r="H281" s="1" t="s">
        <v>699</v>
      </c>
      <c r="I281" s="1" t="s">
        <v>52</v>
      </c>
      <c r="J281" s="2" t="s">
        <v>1340</v>
      </c>
    </row>
    <row r="282">
      <c r="A282" s="1" t="s">
        <v>1341</v>
      </c>
      <c r="B282" s="1" t="s">
        <v>937</v>
      </c>
      <c r="C282" s="1" t="s">
        <v>1017</v>
      </c>
      <c r="D282" s="2" t="s">
        <v>1343</v>
      </c>
      <c r="E282" s="1" t="s">
        <v>28</v>
      </c>
      <c r="F282" s="1" t="s">
        <v>256</v>
      </c>
      <c r="G282" s="1" t="s">
        <v>669</v>
      </c>
      <c r="H282" s="1" t="s">
        <v>67</v>
      </c>
      <c r="I282" s="1" t="s">
        <v>97</v>
      </c>
      <c r="J282" s="2" t="s">
        <v>1344</v>
      </c>
    </row>
    <row r="283">
      <c r="A283" s="1" t="s">
        <v>1345</v>
      </c>
      <c r="B283" s="1" t="s">
        <v>1347</v>
      </c>
      <c r="C283" s="1" t="s">
        <v>1124</v>
      </c>
      <c r="D283" s="2" t="s">
        <v>122</v>
      </c>
      <c r="E283" s="1" t="s">
        <v>130</v>
      </c>
      <c r="F283" s="1" t="s">
        <v>268</v>
      </c>
      <c r="G283" s="1" t="s">
        <v>123</v>
      </c>
      <c r="H283" s="1" t="s">
        <v>699</v>
      </c>
      <c r="I283" s="1" t="s">
        <v>35</v>
      </c>
      <c r="J283" s="2" t="s">
        <v>1349</v>
      </c>
    </row>
    <row r="284">
      <c r="A284" s="1" t="s">
        <v>1350</v>
      </c>
      <c r="B284" s="1" t="s">
        <v>1115</v>
      </c>
      <c r="C284" s="1" t="s">
        <v>128</v>
      </c>
      <c r="D284" s="2" t="s">
        <v>873</v>
      </c>
      <c r="E284" s="1" t="s">
        <v>105</v>
      </c>
      <c r="F284" s="1" t="s">
        <v>393</v>
      </c>
      <c r="G284" s="1" t="s">
        <v>608</v>
      </c>
      <c r="H284" s="1" t="s">
        <v>179</v>
      </c>
      <c r="I284" s="1" t="s">
        <v>211</v>
      </c>
      <c r="J284" s="2" t="s">
        <v>1351</v>
      </c>
    </row>
    <row r="285">
      <c r="A285" s="1" t="s">
        <v>1352</v>
      </c>
      <c r="B285" s="1" t="s">
        <v>569</v>
      </c>
      <c r="C285" s="1" t="s">
        <v>42</v>
      </c>
      <c r="D285" s="2" t="s">
        <v>92</v>
      </c>
      <c r="E285" s="1" t="s">
        <v>105</v>
      </c>
      <c r="F285" s="1" t="s">
        <v>30</v>
      </c>
      <c r="G285" s="1" t="s">
        <v>326</v>
      </c>
      <c r="H285" s="1" t="s">
        <v>527</v>
      </c>
      <c r="I285" s="1" t="s">
        <v>35</v>
      </c>
      <c r="J285" s="2" t="s">
        <v>464</v>
      </c>
    </row>
    <row r="286">
      <c r="A286" s="1" t="s">
        <v>1353</v>
      </c>
      <c r="B286" s="1" t="s">
        <v>127</v>
      </c>
      <c r="C286" s="1" t="s">
        <v>244</v>
      </c>
      <c r="D286" s="2" t="s">
        <v>1231</v>
      </c>
      <c r="E286" s="1" t="s">
        <v>130</v>
      </c>
      <c r="F286" s="1" t="s">
        <v>47</v>
      </c>
      <c r="G286" s="1" t="s">
        <v>177</v>
      </c>
      <c r="H286" s="1" t="s">
        <v>477</v>
      </c>
      <c r="I286" s="1" t="s">
        <v>97</v>
      </c>
      <c r="J286" s="2" t="s">
        <v>1355</v>
      </c>
    </row>
    <row r="287">
      <c r="A287" s="1" t="s">
        <v>1356</v>
      </c>
      <c r="B287" s="1" t="s">
        <v>307</v>
      </c>
      <c r="C287" s="1" t="s">
        <v>495</v>
      </c>
      <c r="D287" s="2" t="s">
        <v>866</v>
      </c>
      <c r="E287" s="1" t="s">
        <v>105</v>
      </c>
      <c r="F287" s="1" t="s">
        <v>237</v>
      </c>
      <c r="G287" s="1" t="s">
        <v>94</v>
      </c>
      <c r="H287" s="1" t="s">
        <v>67</v>
      </c>
      <c r="I287" s="1" t="s">
        <v>211</v>
      </c>
      <c r="J287" s="2" t="s">
        <v>464</v>
      </c>
    </row>
    <row r="288">
      <c r="A288" s="1" t="s">
        <v>1357</v>
      </c>
      <c r="B288" s="1" t="s">
        <v>136</v>
      </c>
      <c r="C288" s="1" t="s">
        <v>301</v>
      </c>
      <c r="D288" s="2" t="s">
        <v>886</v>
      </c>
      <c r="E288" s="1" t="s">
        <v>28</v>
      </c>
      <c r="F288" s="1" t="s">
        <v>364</v>
      </c>
      <c r="G288" s="1" t="s">
        <v>418</v>
      </c>
      <c r="H288" s="1" t="s">
        <v>210</v>
      </c>
      <c r="I288" s="1" t="s">
        <v>52</v>
      </c>
      <c r="J288" s="2" t="s">
        <v>935</v>
      </c>
    </row>
    <row r="289">
      <c r="A289" s="1" t="s">
        <v>1358</v>
      </c>
      <c r="B289" s="1" t="s">
        <v>723</v>
      </c>
      <c r="C289" s="1" t="s">
        <v>128</v>
      </c>
      <c r="D289" s="2" t="s">
        <v>434</v>
      </c>
      <c r="E289" s="1" t="s">
        <v>45</v>
      </c>
      <c r="F289" s="1" t="s">
        <v>141</v>
      </c>
      <c r="G289" s="1" t="s">
        <v>1290</v>
      </c>
      <c r="H289" s="1" t="s">
        <v>533</v>
      </c>
      <c r="I289" s="1" t="s">
        <v>97</v>
      </c>
      <c r="J289" s="2" t="s">
        <v>1359</v>
      </c>
    </row>
    <row r="290">
      <c r="A290" s="1" t="s">
        <v>1360</v>
      </c>
      <c r="B290" s="1" t="s">
        <v>486</v>
      </c>
      <c r="C290" s="1" t="s">
        <v>1361</v>
      </c>
      <c r="D290" s="2" t="s">
        <v>173</v>
      </c>
      <c r="E290" s="1" t="s">
        <v>45</v>
      </c>
      <c r="F290" s="1" t="s">
        <v>47</v>
      </c>
      <c r="G290" s="1" t="s">
        <v>177</v>
      </c>
      <c r="H290" s="1" t="s">
        <v>179</v>
      </c>
      <c r="I290" s="1" t="s">
        <v>97</v>
      </c>
      <c r="J290" s="2" t="s">
        <v>1363</v>
      </c>
    </row>
    <row r="291">
      <c r="A291" s="1" t="s">
        <v>1364</v>
      </c>
      <c r="B291" s="1" t="s">
        <v>307</v>
      </c>
      <c r="C291" s="1" t="s">
        <v>90</v>
      </c>
      <c r="D291" s="2" t="s">
        <v>139</v>
      </c>
      <c r="E291" s="1" t="s">
        <v>105</v>
      </c>
      <c r="F291" s="1" t="s">
        <v>47</v>
      </c>
      <c r="G291" s="1" t="s">
        <v>345</v>
      </c>
      <c r="H291" s="1" t="s">
        <v>346</v>
      </c>
      <c r="I291" s="1" t="s">
        <v>97</v>
      </c>
      <c r="J291" s="2" t="s">
        <v>1365</v>
      </c>
    </row>
    <row r="292">
      <c r="A292" s="1" t="s">
        <v>1367</v>
      </c>
      <c r="B292" s="1" t="s">
        <v>696</v>
      </c>
      <c r="C292" s="1" t="s">
        <v>128</v>
      </c>
      <c r="D292" s="2" t="s">
        <v>26</v>
      </c>
      <c r="E292" s="1" t="s">
        <v>130</v>
      </c>
      <c r="F292" s="1" t="s">
        <v>571</v>
      </c>
      <c r="G292" s="1" t="s">
        <v>142</v>
      </c>
      <c r="H292" s="1" t="s">
        <v>96</v>
      </c>
      <c r="I292" s="1" t="s">
        <v>222</v>
      </c>
      <c r="J292" s="2" t="s">
        <v>1368</v>
      </c>
    </row>
    <row r="293">
      <c r="A293" s="1" t="s">
        <v>1369</v>
      </c>
      <c r="B293" s="1" t="s">
        <v>645</v>
      </c>
      <c r="C293" s="1" t="s">
        <v>148</v>
      </c>
      <c r="D293" s="2" t="s">
        <v>738</v>
      </c>
      <c r="E293" s="1" t="s">
        <v>28</v>
      </c>
      <c r="F293" s="1" t="s">
        <v>571</v>
      </c>
      <c r="G293" s="1" t="s">
        <v>132</v>
      </c>
      <c r="H293" s="1" t="s">
        <v>50</v>
      </c>
      <c r="I293" s="1" t="s">
        <v>35</v>
      </c>
      <c r="J293" s="2" t="s">
        <v>1371</v>
      </c>
    </row>
    <row r="294">
      <c r="A294" s="1" t="s">
        <v>1372</v>
      </c>
      <c r="B294" s="1" t="s">
        <v>343</v>
      </c>
      <c r="C294" s="1" t="s">
        <v>363</v>
      </c>
      <c r="D294" s="2" t="s">
        <v>91</v>
      </c>
      <c r="E294" s="1" t="s">
        <v>130</v>
      </c>
      <c r="F294" s="1" t="s">
        <v>30</v>
      </c>
      <c r="G294" s="1" t="s">
        <v>94</v>
      </c>
      <c r="H294" s="1" t="s">
        <v>286</v>
      </c>
      <c r="I294" s="1" t="s">
        <v>97</v>
      </c>
      <c r="J294" s="2" t="s">
        <v>1373</v>
      </c>
    </row>
    <row r="295">
      <c r="A295" s="1" t="s">
        <v>1374</v>
      </c>
      <c r="B295" s="1" t="s">
        <v>784</v>
      </c>
      <c r="C295" s="1" t="s">
        <v>428</v>
      </c>
      <c r="D295" s="2" t="s">
        <v>344</v>
      </c>
      <c r="E295" s="1" t="s">
        <v>80</v>
      </c>
      <c r="F295" s="1" t="s">
        <v>47</v>
      </c>
      <c r="G295" s="1" t="s">
        <v>583</v>
      </c>
      <c r="H295" s="1" t="s">
        <v>96</v>
      </c>
      <c r="I295" s="1" t="s">
        <v>211</v>
      </c>
      <c r="J295" s="2" t="s">
        <v>1376</v>
      </c>
    </row>
    <row r="296">
      <c r="A296" s="1" t="s">
        <v>1377</v>
      </c>
      <c r="B296" s="1" t="s">
        <v>171</v>
      </c>
      <c r="C296" s="1" t="s">
        <v>324</v>
      </c>
      <c r="D296" s="2" t="s">
        <v>139</v>
      </c>
      <c r="E296" s="1" t="s">
        <v>80</v>
      </c>
      <c r="F296" s="1" t="s">
        <v>47</v>
      </c>
      <c r="G296" s="1" t="s">
        <v>132</v>
      </c>
      <c r="H296" s="1" t="s">
        <v>50</v>
      </c>
      <c r="I296" s="1" t="s">
        <v>97</v>
      </c>
      <c r="J296" s="2" t="s">
        <v>1379</v>
      </c>
    </row>
    <row r="297">
      <c r="A297" s="1" t="s">
        <v>1380</v>
      </c>
      <c r="B297" s="1" t="s">
        <v>542</v>
      </c>
      <c r="C297" s="1" t="s">
        <v>526</v>
      </c>
      <c r="D297" s="2" t="s">
        <v>655</v>
      </c>
      <c r="E297" s="1" t="s">
        <v>80</v>
      </c>
      <c r="F297" s="1" t="s">
        <v>571</v>
      </c>
      <c r="G297" s="1" t="s">
        <v>94</v>
      </c>
      <c r="H297" s="1" t="s">
        <v>271</v>
      </c>
      <c r="I297" s="1" t="s">
        <v>222</v>
      </c>
      <c r="J297" s="2" t="s">
        <v>1383</v>
      </c>
    </row>
    <row r="298">
      <c r="A298" s="1" t="s">
        <v>1384</v>
      </c>
      <c r="B298" s="1" t="s">
        <v>292</v>
      </c>
      <c r="C298" s="1" t="s">
        <v>216</v>
      </c>
      <c r="D298" s="2" t="s">
        <v>445</v>
      </c>
      <c r="E298" s="1" t="s">
        <v>105</v>
      </c>
      <c r="F298" s="1" t="s">
        <v>393</v>
      </c>
      <c r="G298" s="1" t="s">
        <v>669</v>
      </c>
      <c r="H298" s="1" t="s">
        <v>67</v>
      </c>
      <c r="I298" s="1" t="s">
        <v>97</v>
      </c>
      <c r="J298" s="2" t="s">
        <v>1386</v>
      </c>
    </row>
    <row r="299">
      <c r="A299" s="1" t="s">
        <v>1387</v>
      </c>
      <c r="B299" s="1" t="s">
        <v>772</v>
      </c>
      <c r="C299" s="1" t="s">
        <v>159</v>
      </c>
      <c r="D299" s="2" t="s">
        <v>1091</v>
      </c>
      <c r="E299" s="1" t="s">
        <v>80</v>
      </c>
      <c r="F299" s="1" t="s">
        <v>393</v>
      </c>
      <c r="G299" s="1" t="s">
        <v>123</v>
      </c>
      <c r="H299" s="1" t="s">
        <v>699</v>
      </c>
      <c r="I299" s="1" t="s">
        <v>35</v>
      </c>
      <c r="J299" s="2" t="s">
        <v>1388</v>
      </c>
    </row>
    <row r="300">
      <c r="A300" s="1" t="s">
        <v>1389</v>
      </c>
      <c r="B300" s="1" t="s">
        <v>1391</v>
      </c>
      <c r="C300" s="1" t="s">
        <v>128</v>
      </c>
      <c r="D300" s="2" t="s">
        <v>218</v>
      </c>
      <c r="E300" s="1" t="s">
        <v>80</v>
      </c>
      <c r="F300" s="1" t="s">
        <v>571</v>
      </c>
      <c r="G300" s="1" t="s">
        <v>94</v>
      </c>
      <c r="H300" s="1" t="s">
        <v>165</v>
      </c>
      <c r="I300" s="1" t="s">
        <v>35</v>
      </c>
      <c r="J300" s="2" t="s">
        <v>1393</v>
      </c>
    </row>
    <row r="301">
      <c r="A301" s="1" t="s">
        <v>1394</v>
      </c>
      <c r="B301" s="1" t="s">
        <v>1060</v>
      </c>
      <c r="C301" s="1" t="s">
        <v>515</v>
      </c>
      <c r="D301" s="2" t="s">
        <v>317</v>
      </c>
      <c r="E301" s="1" t="s">
        <v>130</v>
      </c>
      <c r="F301" s="1" t="s">
        <v>47</v>
      </c>
      <c r="G301" s="1" t="s">
        <v>311</v>
      </c>
      <c r="H301" s="1" t="s">
        <v>720</v>
      </c>
      <c r="I301" s="1" t="s">
        <v>97</v>
      </c>
      <c r="J301" s="2" t="s">
        <v>1395</v>
      </c>
    </row>
    <row r="302">
      <c r="A302" s="1" t="s">
        <v>1397</v>
      </c>
      <c r="B302" s="1" t="s">
        <v>422</v>
      </c>
      <c r="C302" s="1" t="s">
        <v>713</v>
      </c>
      <c r="D302" s="2" t="s">
        <v>1041</v>
      </c>
      <c r="E302" s="1" t="s">
        <v>105</v>
      </c>
      <c r="F302" s="1" t="s">
        <v>364</v>
      </c>
      <c r="G302" s="1" t="s">
        <v>333</v>
      </c>
      <c r="H302" s="1" t="s">
        <v>231</v>
      </c>
      <c r="I302" s="1" t="s">
        <v>35</v>
      </c>
      <c r="J302" s="2" t="s">
        <v>1399</v>
      </c>
    </row>
    <row r="303">
      <c r="A303" s="1" t="s">
        <v>1400</v>
      </c>
      <c r="B303" s="1" t="s">
        <v>696</v>
      </c>
      <c r="C303" s="1" t="s">
        <v>159</v>
      </c>
      <c r="D303" s="2" t="s">
        <v>195</v>
      </c>
      <c r="E303" s="1" t="s">
        <v>152</v>
      </c>
      <c r="F303" s="1" t="s">
        <v>47</v>
      </c>
      <c r="G303" s="1" t="s">
        <v>576</v>
      </c>
      <c r="H303" s="1" t="s">
        <v>286</v>
      </c>
      <c r="I303" s="1" t="s">
        <v>97</v>
      </c>
      <c r="J303" s="2" t="s">
        <v>1402</v>
      </c>
    </row>
    <row r="304">
      <c r="A304" s="1" t="s">
        <v>1400</v>
      </c>
      <c r="B304" s="1" t="s">
        <v>696</v>
      </c>
      <c r="C304" s="1" t="s">
        <v>159</v>
      </c>
      <c r="D304" s="2" t="s">
        <v>195</v>
      </c>
      <c r="E304" s="1" t="s">
        <v>152</v>
      </c>
      <c r="F304" s="1" t="s">
        <v>47</v>
      </c>
      <c r="G304" s="1" t="s">
        <v>576</v>
      </c>
      <c r="H304" s="1" t="s">
        <v>286</v>
      </c>
      <c r="I304" s="1" t="s">
        <v>97</v>
      </c>
      <c r="J304" s="2" t="s">
        <v>1402</v>
      </c>
    </row>
    <row r="305">
      <c r="A305" s="1" t="s">
        <v>1404</v>
      </c>
      <c r="B305" s="1" t="s">
        <v>127</v>
      </c>
      <c r="C305" s="1" t="s">
        <v>1187</v>
      </c>
      <c r="D305" s="2" t="s">
        <v>434</v>
      </c>
      <c r="E305" s="1" t="s">
        <v>80</v>
      </c>
      <c r="F305" s="1" t="s">
        <v>571</v>
      </c>
      <c r="G305" s="1" t="s">
        <v>637</v>
      </c>
      <c r="H305" s="1" t="s">
        <v>260</v>
      </c>
      <c r="I305" s="1" t="s">
        <v>97</v>
      </c>
      <c r="J305" s="2" t="s">
        <v>491</v>
      </c>
    </row>
    <row r="306">
      <c r="A306" s="1" t="s">
        <v>1406</v>
      </c>
      <c r="B306" s="1" t="s">
        <v>307</v>
      </c>
      <c r="C306" s="1" t="s">
        <v>374</v>
      </c>
      <c r="D306" s="2" t="s">
        <v>1150</v>
      </c>
      <c r="E306" s="1" t="s">
        <v>28</v>
      </c>
      <c r="F306" s="1" t="s">
        <v>401</v>
      </c>
      <c r="G306" s="1" t="s">
        <v>326</v>
      </c>
      <c r="H306" s="1" t="s">
        <v>477</v>
      </c>
      <c r="I306" s="1" t="s">
        <v>35</v>
      </c>
      <c r="J306" s="2" t="s">
        <v>1407</v>
      </c>
    </row>
    <row r="307">
      <c r="A307" s="1" t="s">
        <v>1408</v>
      </c>
      <c r="B307" s="1" t="s">
        <v>696</v>
      </c>
      <c r="C307" s="1" t="s">
        <v>172</v>
      </c>
      <c r="D307" s="2" t="s">
        <v>122</v>
      </c>
      <c r="E307" s="1" t="s">
        <v>105</v>
      </c>
      <c r="F307" s="1" t="s">
        <v>64</v>
      </c>
      <c r="G307" s="1" t="s">
        <v>238</v>
      </c>
      <c r="H307" s="1" t="s">
        <v>533</v>
      </c>
      <c r="I307" s="1" t="s">
        <v>211</v>
      </c>
      <c r="J307" s="2" t="s">
        <v>1410</v>
      </c>
    </row>
    <row r="308">
      <c r="A308" s="1" t="s">
        <v>1411</v>
      </c>
      <c r="B308" s="1" t="s">
        <v>136</v>
      </c>
      <c r="C308" s="1" t="s">
        <v>469</v>
      </c>
      <c r="D308" s="2" t="s">
        <v>325</v>
      </c>
      <c r="E308" s="1" t="s">
        <v>45</v>
      </c>
      <c r="F308" s="1" t="s">
        <v>64</v>
      </c>
      <c r="G308" s="1" t="s">
        <v>249</v>
      </c>
      <c r="H308" s="1" t="s">
        <v>34</v>
      </c>
      <c r="I308" s="1" t="s">
        <v>222</v>
      </c>
      <c r="J308" s="2" t="s">
        <v>1412</v>
      </c>
    </row>
    <row r="309">
      <c r="A309" s="1" t="s">
        <v>1414</v>
      </c>
      <c r="B309" s="1" t="s">
        <v>1415</v>
      </c>
      <c r="C309" s="1" t="s">
        <v>244</v>
      </c>
      <c r="D309" s="2" t="s">
        <v>738</v>
      </c>
      <c r="E309" s="1" t="s">
        <v>80</v>
      </c>
      <c r="F309" s="1" t="s">
        <v>309</v>
      </c>
      <c r="G309" s="1" t="s">
        <v>220</v>
      </c>
      <c r="H309" s="1" t="s">
        <v>221</v>
      </c>
      <c r="I309" s="1" t="s">
        <v>35</v>
      </c>
      <c r="J309" s="2" t="s">
        <v>1417</v>
      </c>
    </row>
    <row r="310">
      <c r="A310" s="1" t="s">
        <v>1418</v>
      </c>
      <c r="B310" s="1" t="s">
        <v>1419</v>
      </c>
      <c r="C310" s="1" t="s">
        <v>254</v>
      </c>
      <c r="D310" s="2" t="s">
        <v>139</v>
      </c>
      <c r="E310" s="1" t="s">
        <v>80</v>
      </c>
      <c r="F310" s="1" t="s">
        <v>47</v>
      </c>
      <c r="G310" s="1" t="s">
        <v>345</v>
      </c>
      <c r="H310" s="1" t="s">
        <v>592</v>
      </c>
      <c r="I310" s="1" t="s">
        <v>97</v>
      </c>
      <c r="J310" s="2" t="s">
        <v>760</v>
      </c>
    </row>
    <row r="311">
      <c r="A311" s="1" t="s">
        <v>1421</v>
      </c>
      <c r="B311" s="1" t="s">
        <v>1422</v>
      </c>
      <c r="C311" s="1" t="s">
        <v>244</v>
      </c>
      <c r="D311" s="2" t="s">
        <v>353</v>
      </c>
      <c r="E311" s="1" t="s">
        <v>45</v>
      </c>
      <c r="F311" s="1" t="s">
        <v>393</v>
      </c>
      <c r="G311" s="1" t="s">
        <v>647</v>
      </c>
      <c r="H311" s="1" t="s">
        <v>851</v>
      </c>
      <c r="I311" s="1" t="s">
        <v>35</v>
      </c>
      <c r="J311" s="2" t="s">
        <v>1424</v>
      </c>
    </row>
    <row r="312">
      <c r="A312" s="1" t="s">
        <v>1425</v>
      </c>
      <c r="B312" s="1" t="s">
        <v>171</v>
      </c>
      <c r="C312" s="1" t="s">
        <v>148</v>
      </c>
      <c r="E312" s="1" t="s">
        <v>80</v>
      </c>
      <c r="F312" s="1" t="s">
        <v>176</v>
      </c>
      <c r="G312" s="1" t="s">
        <v>196</v>
      </c>
      <c r="H312" s="1" t="s">
        <v>402</v>
      </c>
      <c r="I312" s="1" t="s">
        <v>222</v>
      </c>
      <c r="J312" s="2" t="s">
        <v>1426</v>
      </c>
    </row>
    <row r="313">
      <c r="A313" s="1" t="s">
        <v>1427</v>
      </c>
      <c r="B313" s="1" t="s">
        <v>689</v>
      </c>
      <c r="C313" s="1" t="s">
        <v>363</v>
      </c>
      <c r="D313" s="2" t="s">
        <v>850</v>
      </c>
      <c r="E313" s="1" t="s">
        <v>130</v>
      </c>
      <c r="F313" s="1" t="s">
        <v>131</v>
      </c>
      <c r="G313" s="1" t="s">
        <v>482</v>
      </c>
      <c r="H313" s="1" t="s">
        <v>527</v>
      </c>
      <c r="I313" s="1" t="s">
        <v>97</v>
      </c>
      <c r="J313" s="2" t="s">
        <v>1428</v>
      </c>
    </row>
    <row r="314">
      <c r="A314" s="1" t="s">
        <v>1430</v>
      </c>
      <c r="B314" s="1" t="s">
        <v>158</v>
      </c>
      <c r="C314" s="1" t="s">
        <v>42</v>
      </c>
      <c r="D314" s="2" t="s">
        <v>481</v>
      </c>
      <c r="E314" s="1" t="s">
        <v>28</v>
      </c>
      <c r="F314" s="1" t="s">
        <v>47</v>
      </c>
      <c r="G314" s="1" t="s">
        <v>385</v>
      </c>
      <c r="H314" s="1" t="s">
        <v>394</v>
      </c>
      <c r="I314" s="1" t="s">
        <v>52</v>
      </c>
      <c r="J314" s="2" t="s">
        <v>491</v>
      </c>
    </row>
    <row r="315">
      <c r="A315" s="1" t="s">
        <v>1432</v>
      </c>
      <c r="B315" s="1" t="s">
        <v>763</v>
      </c>
      <c r="C315" s="1" t="s">
        <v>959</v>
      </c>
      <c r="D315" s="2" t="s">
        <v>26</v>
      </c>
      <c r="E315" s="1" t="s">
        <v>28</v>
      </c>
      <c r="F315" s="1" t="s">
        <v>47</v>
      </c>
      <c r="G315" s="1" t="s">
        <v>209</v>
      </c>
      <c r="H315" s="1" t="s">
        <v>394</v>
      </c>
      <c r="I315" s="1" t="s">
        <v>35</v>
      </c>
      <c r="J315" s="2" t="s">
        <v>1434</v>
      </c>
    </row>
    <row r="316">
      <c r="A316" s="1" t="s">
        <v>1435</v>
      </c>
      <c r="B316" s="1" t="s">
        <v>368</v>
      </c>
      <c r="C316" s="1" t="s">
        <v>254</v>
      </c>
      <c r="D316" s="2" t="s">
        <v>161</v>
      </c>
      <c r="E316" s="1" t="s">
        <v>45</v>
      </c>
      <c r="F316" s="1" t="s">
        <v>256</v>
      </c>
      <c r="G316" s="1" t="s">
        <v>612</v>
      </c>
      <c r="H316" s="1" t="s">
        <v>691</v>
      </c>
      <c r="I316" s="1" t="s">
        <v>52</v>
      </c>
      <c r="J316" s="2" t="s">
        <v>1437</v>
      </c>
    </row>
    <row r="317">
      <c r="A317" s="1" t="s">
        <v>1438</v>
      </c>
      <c r="B317" s="1" t="s">
        <v>1329</v>
      </c>
      <c r="C317" s="1" t="s">
        <v>301</v>
      </c>
      <c r="D317" s="2" t="s">
        <v>325</v>
      </c>
      <c r="E317" s="1" t="s">
        <v>80</v>
      </c>
      <c r="F317" s="1" t="s">
        <v>64</v>
      </c>
      <c r="G317" s="1" t="s">
        <v>462</v>
      </c>
      <c r="H317" s="1" t="s">
        <v>452</v>
      </c>
      <c r="I317" s="1" t="s">
        <v>35</v>
      </c>
      <c r="J317" s="2" t="s">
        <v>1440</v>
      </c>
    </row>
    <row r="318">
      <c r="A318" s="1" t="s">
        <v>1441</v>
      </c>
      <c r="B318" s="1" t="s">
        <v>343</v>
      </c>
      <c r="C318" s="1" t="s">
        <v>713</v>
      </c>
      <c r="D318" s="2" t="s">
        <v>1442</v>
      </c>
      <c r="E318" s="1" t="s">
        <v>80</v>
      </c>
      <c r="F318" s="1" t="s">
        <v>256</v>
      </c>
      <c r="G318" s="1" t="s">
        <v>551</v>
      </c>
      <c r="H318" s="1" t="s">
        <v>83</v>
      </c>
      <c r="I318" s="1" t="s">
        <v>97</v>
      </c>
      <c r="J318" s="2" t="s">
        <v>1443</v>
      </c>
    </row>
    <row r="319">
      <c r="A319" s="1" t="s">
        <v>1444</v>
      </c>
      <c r="B319" s="1" t="s">
        <v>620</v>
      </c>
      <c r="C319" s="1" t="s">
        <v>148</v>
      </c>
      <c r="D319" s="2" t="s">
        <v>1091</v>
      </c>
      <c r="E319" s="1" t="s">
        <v>45</v>
      </c>
      <c r="F319" s="1" t="s">
        <v>571</v>
      </c>
      <c r="G319" s="1" t="s">
        <v>164</v>
      </c>
      <c r="H319" s="1" t="s">
        <v>50</v>
      </c>
      <c r="I319" s="1" t="s">
        <v>52</v>
      </c>
      <c r="J319" s="2" t="s">
        <v>1446</v>
      </c>
    </row>
    <row r="320">
      <c r="A320" s="1" t="s">
        <v>1447</v>
      </c>
      <c r="B320" s="1" t="s">
        <v>1294</v>
      </c>
      <c r="C320" s="1" t="s">
        <v>61</v>
      </c>
      <c r="D320" s="2" t="s">
        <v>823</v>
      </c>
      <c r="E320" s="1" t="s">
        <v>130</v>
      </c>
      <c r="F320" s="1" t="s">
        <v>64</v>
      </c>
      <c r="G320" s="1" t="s">
        <v>470</v>
      </c>
      <c r="H320" s="1" t="s">
        <v>592</v>
      </c>
      <c r="I320" s="1" t="s">
        <v>211</v>
      </c>
      <c r="J320" s="2" t="s">
        <v>1449</v>
      </c>
    </row>
    <row r="321">
      <c r="A321" s="1" t="s">
        <v>1450</v>
      </c>
      <c r="B321" s="1" t="s">
        <v>127</v>
      </c>
      <c r="C321" s="1" t="s">
        <v>1451</v>
      </c>
      <c r="D321" s="2" t="s">
        <v>777</v>
      </c>
      <c r="E321" s="1" t="s">
        <v>80</v>
      </c>
      <c r="F321" s="1" t="s">
        <v>309</v>
      </c>
      <c r="G321" s="1" t="s">
        <v>499</v>
      </c>
      <c r="H321" s="1" t="s">
        <v>533</v>
      </c>
      <c r="I321" s="1" t="s">
        <v>52</v>
      </c>
      <c r="J321" s="2" t="s">
        <v>1453</v>
      </c>
    </row>
    <row r="322">
      <c r="A322" s="1" t="s">
        <v>1454</v>
      </c>
      <c r="B322" s="1" t="s">
        <v>1455</v>
      </c>
      <c r="C322" s="1" t="s">
        <v>1322</v>
      </c>
      <c r="D322" s="2" t="s">
        <v>1041</v>
      </c>
      <c r="E322" s="1" t="s">
        <v>152</v>
      </c>
      <c r="F322" s="1" t="s">
        <v>208</v>
      </c>
      <c r="G322" s="1" t="s">
        <v>177</v>
      </c>
      <c r="H322" s="1" t="s">
        <v>346</v>
      </c>
      <c r="I322" s="1" t="s">
        <v>35</v>
      </c>
      <c r="J322" s="2" t="s">
        <v>1457</v>
      </c>
    </row>
    <row r="323">
      <c r="A323" s="1" t="s">
        <v>1458</v>
      </c>
      <c r="B323" s="1" t="s">
        <v>803</v>
      </c>
      <c r="C323" s="1" t="s">
        <v>1459</v>
      </c>
      <c r="D323" s="2" t="s">
        <v>714</v>
      </c>
      <c r="E323" s="1" t="s">
        <v>130</v>
      </c>
      <c r="F323" s="1" t="s">
        <v>47</v>
      </c>
      <c r="G323" s="1" t="s">
        <v>470</v>
      </c>
      <c r="H323" s="1" t="s">
        <v>96</v>
      </c>
      <c r="I323" s="1" t="s">
        <v>35</v>
      </c>
      <c r="J323" s="2" t="s">
        <v>1461</v>
      </c>
    </row>
    <row r="324">
      <c r="A324" s="1" t="s">
        <v>1463</v>
      </c>
      <c r="B324" s="1" t="s">
        <v>368</v>
      </c>
      <c r="C324" s="1" t="s">
        <v>301</v>
      </c>
      <c r="E324" s="1" t="s">
        <v>105</v>
      </c>
      <c r="F324" s="1" t="s">
        <v>64</v>
      </c>
      <c r="G324" s="1" t="s">
        <v>1269</v>
      </c>
      <c r="H324" s="1" t="s">
        <v>110</v>
      </c>
      <c r="I324" s="1" t="s">
        <v>52</v>
      </c>
      <c r="J324" s="2" t="s">
        <v>1464</v>
      </c>
    </row>
    <row r="325">
      <c r="A325" s="1" t="s">
        <v>1465</v>
      </c>
      <c r="B325" s="1" t="s">
        <v>542</v>
      </c>
      <c r="C325" s="1" t="s">
        <v>458</v>
      </c>
      <c r="D325" s="2" t="s">
        <v>295</v>
      </c>
      <c r="E325" s="1" t="s">
        <v>130</v>
      </c>
      <c r="F325" s="1" t="s">
        <v>176</v>
      </c>
      <c r="G325" s="1" t="s">
        <v>576</v>
      </c>
      <c r="H325" s="1" t="s">
        <v>50</v>
      </c>
      <c r="I325" s="1" t="s">
        <v>97</v>
      </c>
      <c r="J325" s="2" t="s">
        <v>1466</v>
      </c>
    </row>
    <row r="326">
      <c r="A326" s="1" t="s">
        <v>1467</v>
      </c>
      <c r="B326" s="1" t="s">
        <v>158</v>
      </c>
      <c r="C326" s="1" t="s">
        <v>244</v>
      </c>
      <c r="D326" s="2" t="s">
        <v>1025</v>
      </c>
      <c r="E326" s="1" t="s">
        <v>105</v>
      </c>
      <c r="F326" s="1" t="s">
        <v>256</v>
      </c>
      <c r="G326" s="1" t="s">
        <v>677</v>
      </c>
      <c r="H326" s="1" t="s">
        <v>699</v>
      </c>
      <c r="I326" s="1" t="s">
        <v>97</v>
      </c>
      <c r="J326" s="2" t="s">
        <v>1468</v>
      </c>
    </row>
    <row r="327">
      <c r="A327" s="1" t="s">
        <v>1469</v>
      </c>
      <c r="B327" s="1" t="s">
        <v>1422</v>
      </c>
      <c r="C327" s="1" t="s">
        <v>495</v>
      </c>
      <c r="D327" s="2" t="s">
        <v>161</v>
      </c>
      <c r="E327" s="1" t="s">
        <v>45</v>
      </c>
      <c r="F327" s="1" t="s">
        <v>571</v>
      </c>
      <c r="G327" s="1" t="s">
        <v>439</v>
      </c>
      <c r="H327" s="1" t="s">
        <v>189</v>
      </c>
      <c r="I327" s="1" t="s">
        <v>52</v>
      </c>
      <c r="J327" s="2" t="s">
        <v>1471</v>
      </c>
    </row>
    <row r="328">
      <c r="A328" s="1" t="s">
        <v>1472</v>
      </c>
      <c r="B328" s="1" t="s">
        <v>136</v>
      </c>
      <c r="C328" s="1" t="s">
        <v>556</v>
      </c>
      <c r="D328" s="2" t="s">
        <v>582</v>
      </c>
      <c r="E328" s="1" t="s">
        <v>105</v>
      </c>
      <c r="F328" s="1" t="s">
        <v>208</v>
      </c>
      <c r="G328" s="1" t="s">
        <v>1290</v>
      </c>
      <c r="H328" s="1" t="s">
        <v>240</v>
      </c>
      <c r="I328" s="1" t="s">
        <v>35</v>
      </c>
      <c r="J328" s="2" t="s">
        <v>1473</v>
      </c>
    </row>
    <row r="329">
      <c r="A329" s="1" t="s">
        <v>1474</v>
      </c>
      <c r="B329" s="1" t="s">
        <v>411</v>
      </c>
      <c r="C329" s="1" t="s">
        <v>374</v>
      </c>
      <c r="D329" s="2" t="s">
        <v>565</v>
      </c>
      <c r="E329" s="1" t="s">
        <v>105</v>
      </c>
      <c r="F329" s="1" t="s">
        <v>268</v>
      </c>
      <c r="G329" s="1" t="s">
        <v>967</v>
      </c>
      <c r="H329" s="1" t="s">
        <v>179</v>
      </c>
      <c r="I329" s="1" t="s">
        <v>52</v>
      </c>
      <c r="J329" s="2" t="s">
        <v>1476</v>
      </c>
    </row>
    <row r="330">
      <c r="A330" s="1" t="s">
        <v>1477</v>
      </c>
      <c r="B330" s="1" t="s">
        <v>100</v>
      </c>
      <c r="C330" s="1" t="s">
        <v>254</v>
      </c>
      <c r="D330" s="2" t="s">
        <v>122</v>
      </c>
      <c r="E330" s="1" t="s">
        <v>105</v>
      </c>
      <c r="F330" s="1" t="s">
        <v>393</v>
      </c>
      <c r="G330" s="1" t="s">
        <v>326</v>
      </c>
      <c r="H330" s="1" t="s">
        <v>477</v>
      </c>
      <c r="I330" s="1" t="s">
        <v>222</v>
      </c>
      <c r="J330" s="2" t="s">
        <v>1478</v>
      </c>
    </row>
    <row r="331">
      <c r="A331" s="1" t="s">
        <v>1480</v>
      </c>
      <c r="B331" s="1" t="s">
        <v>158</v>
      </c>
      <c r="C331" s="1" t="s">
        <v>90</v>
      </c>
      <c r="D331" s="2" t="s">
        <v>873</v>
      </c>
      <c r="E331" s="1" t="s">
        <v>28</v>
      </c>
      <c r="F331" s="1" t="s">
        <v>237</v>
      </c>
      <c r="G331" s="1" t="s">
        <v>482</v>
      </c>
      <c r="H331" s="1" t="s">
        <v>477</v>
      </c>
      <c r="I331" s="1" t="s">
        <v>211</v>
      </c>
      <c r="J331" s="2" t="s">
        <v>1481</v>
      </c>
    </row>
    <row r="332">
      <c r="A332" s="1" t="s">
        <v>1482</v>
      </c>
      <c r="B332" s="1" t="s">
        <v>696</v>
      </c>
      <c r="C332" s="1" t="s">
        <v>428</v>
      </c>
      <c r="D332" s="2" t="s">
        <v>161</v>
      </c>
      <c r="E332" s="1" t="s">
        <v>130</v>
      </c>
      <c r="F332" s="1" t="s">
        <v>208</v>
      </c>
      <c r="G332" s="1" t="s">
        <v>377</v>
      </c>
      <c r="H332" s="1" t="s">
        <v>96</v>
      </c>
      <c r="I332" s="1" t="s">
        <v>222</v>
      </c>
      <c r="J332" s="2" t="s">
        <v>1483</v>
      </c>
    </row>
    <row r="333">
      <c r="A333" s="1" t="s">
        <v>1484</v>
      </c>
      <c r="B333" s="1" t="s">
        <v>542</v>
      </c>
      <c r="C333" s="1" t="s">
        <v>1486</v>
      </c>
      <c r="D333" s="2" t="s">
        <v>1487</v>
      </c>
      <c r="E333" s="1" t="s">
        <v>130</v>
      </c>
      <c r="F333" s="1" t="s">
        <v>268</v>
      </c>
      <c r="G333" s="1" t="s">
        <v>188</v>
      </c>
      <c r="H333" s="1" t="s">
        <v>394</v>
      </c>
      <c r="I333" s="1" t="s">
        <v>222</v>
      </c>
      <c r="J333" s="2" t="s">
        <v>1292</v>
      </c>
    </row>
    <row r="334">
      <c r="A334" s="1" t="s">
        <v>1488</v>
      </c>
      <c r="B334" s="1" t="s">
        <v>307</v>
      </c>
      <c r="C334" s="1" t="s">
        <v>264</v>
      </c>
      <c r="D334" s="2" t="s">
        <v>445</v>
      </c>
      <c r="E334" s="1" t="s">
        <v>45</v>
      </c>
      <c r="F334" s="1" t="s">
        <v>237</v>
      </c>
      <c r="G334" s="1" t="s">
        <v>874</v>
      </c>
      <c r="H334" s="1" t="s">
        <v>319</v>
      </c>
      <c r="I334" s="1" t="s">
        <v>97</v>
      </c>
      <c r="J334" s="2" t="s">
        <v>1489</v>
      </c>
    </row>
    <row r="335">
      <c r="A335" s="1" t="s">
        <v>1490</v>
      </c>
      <c r="B335" s="1" t="s">
        <v>127</v>
      </c>
      <c r="C335" s="1" t="s">
        <v>495</v>
      </c>
      <c r="D335" s="2" t="s">
        <v>565</v>
      </c>
      <c r="E335" s="1" t="s">
        <v>80</v>
      </c>
      <c r="F335" s="1" t="s">
        <v>30</v>
      </c>
      <c r="G335" s="1" t="s">
        <v>789</v>
      </c>
      <c r="H335" s="1" t="s">
        <v>165</v>
      </c>
      <c r="I335" s="1" t="s">
        <v>52</v>
      </c>
      <c r="J335" s="2" t="s">
        <v>1493</v>
      </c>
    </row>
    <row r="336">
      <c r="A336" s="1" t="s">
        <v>1494</v>
      </c>
      <c r="B336" s="1" t="s">
        <v>1495</v>
      </c>
      <c r="C336" s="1" t="s">
        <v>1187</v>
      </c>
      <c r="D336" s="2" t="s">
        <v>266</v>
      </c>
      <c r="E336" s="1" t="s">
        <v>152</v>
      </c>
      <c r="F336" s="1" t="s">
        <v>393</v>
      </c>
      <c r="G336" s="1" t="s">
        <v>677</v>
      </c>
      <c r="H336" s="1" t="s">
        <v>34</v>
      </c>
      <c r="I336" s="1" t="s">
        <v>97</v>
      </c>
      <c r="J336" s="2" t="s">
        <v>1497</v>
      </c>
    </row>
    <row r="337">
      <c r="A337" s="1" t="s">
        <v>1498</v>
      </c>
      <c r="B337" s="1" t="s">
        <v>1422</v>
      </c>
      <c r="C337" s="1" t="s">
        <v>1322</v>
      </c>
      <c r="D337" s="2" t="s">
        <v>966</v>
      </c>
      <c r="E337" s="1" t="s">
        <v>28</v>
      </c>
      <c r="F337" s="1" t="s">
        <v>64</v>
      </c>
      <c r="G337" s="1" t="s">
        <v>49</v>
      </c>
      <c r="H337" s="1" t="s">
        <v>607</v>
      </c>
      <c r="I337" s="1" t="s">
        <v>97</v>
      </c>
      <c r="J337" s="2" t="s">
        <v>1500</v>
      </c>
    </row>
    <row r="338">
      <c r="A338" s="1" t="s">
        <v>1501</v>
      </c>
      <c r="B338" s="1" t="s">
        <v>158</v>
      </c>
      <c r="C338" s="1" t="s">
        <v>128</v>
      </c>
      <c r="D338" s="2" t="s">
        <v>63</v>
      </c>
      <c r="E338" s="1" t="s">
        <v>105</v>
      </c>
      <c r="F338" s="1" t="s">
        <v>47</v>
      </c>
      <c r="G338" s="1" t="s">
        <v>258</v>
      </c>
      <c r="H338" s="1" t="s">
        <v>260</v>
      </c>
      <c r="I338" s="1" t="s">
        <v>211</v>
      </c>
      <c r="J338" s="2" t="s">
        <v>1503</v>
      </c>
    </row>
    <row r="339">
      <c r="A339" s="1" t="s">
        <v>1504</v>
      </c>
      <c r="B339" s="1" t="s">
        <v>368</v>
      </c>
      <c r="C339" s="1" t="s">
        <v>959</v>
      </c>
      <c r="D339" s="2" t="s">
        <v>295</v>
      </c>
      <c r="E339" s="1" t="s">
        <v>45</v>
      </c>
      <c r="F339" s="1" t="s">
        <v>208</v>
      </c>
      <c r="G339" s="1" t="s">
        <v>977</v>
      </c>
      <c r="H339" s="1" t="s">
        <v>394</v>
      </c>
      <c r="I339" s="1" t="s">
        <v>97</v>
      </c>
      <c r="J339" s="2" t="s">
        <v>1506</v>
      </c>
    </row>
    <row r="340">
      <c r="A340" s="1" t="s">
        <v>1507</v>
      </c>
      <c r="B340" s="1" t="s">
        <v>620</v>
      </c>
      <c r="C340" s="1" t="s">
        <v>788</v>
      </c>
      <c r="D340" s="2" t="s">
        <v>675</v>
      </c>
      <c r="E340" s="1" t="s">
        <v>28</v>
      </c>
      <c r="F340" s="1" t="s">
        <v>176</v>
      </c>
      <c r="G340" s="1" t="s">
        <v>572</v>
      </c>
      <c r="H340" s="1" t="s">
        <v>124</v>
      </c>
      <c r="I340" s="1" t="s">
        <v>52</v>
      </c>
      <c r="J340" s="2" t="s">
        <v>1509</v>
      </c>
    </row>
    <row r="341">
      <c r="A341" s="1" t="s">
        <v>1510</v>
      </c>
      <c r="B341" s="1" t="s">
        <v>368</v>
      </c>
      <c r="C341" s="1" t="s">
        <v>495</v>
      </c>
      <c r="D341" s="2" t="s">
        <v>488</v>
      </c>
      <c r="E341" s="1" t="s">
        <v>45</v>
      </c>
      <c r="F341" s="1" t="s">
        <v>237</v>
      </c>
      <c r="G341" s="1" t="s">
        <v>377</v>
      </c>
      <c r="H341" s="1" t="s">
        <v>143</v>
      </c>
      <c r="I341" s="1" t="s">
        <v>97</v>
      </c>
      <c r="J341" s="2" t="s">
        <v>1512</v>
      </c>
    </row>
    <row r="342">
      <c r="A342" s="1" t="s">
        <v>1510</v>
      </c>
      <c r="B342" s="1" t="s">
        <v>368</v>
      </c>
      <c r="C342" s="1" t="s">
        <v>495</v>
      </c>
      <c r="D342" s="2" t="s">
        <v>488</v>
      </c>
      <c r="E342" s="1" t="s">
        <v>45</v>
      </c>
      <c r="F342" s="1" t="s">
        <v>237</v>
      </c>
      <c r="G342" s="1" t="s">
        <v>377</v>
      </c>
      <c r="H342" s="1" t="s">
        <v>143</v>
      </c>
      <c r="I342" s="1" t="s">
        <v>97</v>
      </c>
      <c r="J342" s="2" t="s">
        <v>1512</v>
      </c>
    </row>
    <row r="343">
      <c r="A343" s="1" t="s">
        <v>1513</v>
      </c>
      <c r="B343" s="1" t="s">
        <v>820</v>
      </c>
      <c r="C343" s="1" t="s">
        <v>556</v>
      </c>
      <c r="D343" s="2" t="s">
        <v>866</v>
      </c>
      <c r="E343" s="1" t="s">
        <v>105</v>
      </c>
      <c r="F343" s="1" t="s">
        <v>64</v>
      </c>
      <c r="G343" s="1" t="s">
        <v>142</v>
      </c>
      <c r="H343" s="1" t="s">
        <v>96</v>
      </c>
      <c r="I343" s="1" t="s">
        <v>52</v>
      </c>
      <c r="J343" s="2" t="s">
        <v>1514</v>
      </c>
    </row>
    <row r="344">
      <c r="A344" s="1" t="s">
        <v>1515</v>
      </c>
      <c r="B344" s="1" t="s">
        <v>89</v>
      </c>
      <c r="C344" s="1" t="s">
        <v>1252</v>
      </c>
      <c r="D344" s="2" t="s">
        <v>1180</v>
      </c>
      <c r="E344" s="1" t="s">
        <v>45</v>
      </c>
      <c r="F344" s="1" t="s">
        <v>364</v>
      </c>
      <c r="G344" s="1" t="s">
        <v>209</v>
      </c>
      <c r="H344" s="1" t="s">
        <v>386</v>
      </c>
      <c r="I344" s="1" t="s">
        <v>35</v>
      </c>
      <c r="J344" s="2" t="s">
        <v>1228</v>
      </c>
    </row>
    <row r="345">
      <c r="A345" s="1" t="s">
        <v>1516</v>
      </c>
      <c r="B345" s="1" t="s">
        <v>689</v>
      </c>
      <c r="C345" s="1" t="s">
        <v>159</v>
      </c>
      <c r="D345" s="2" t="s">
        <v>406</v>
      </c>
      <c r="E345" s="1" t="s">
        <v>130</v>
      </c>
      <c r="F345" s="1" t="s">
        <v>759</v>
      </c>
      <c r="G345" s="1" t="s">
        <v>439</v>
      </c>
      <c r="H345" s="1" t="s">
        <v>189</v>
      </c>
      <c r="I345" s="1" t="s">
        <v>97</v>
      </c>
      <c r="J345" s="2" t="s">
        <v>829</v>
      </c>
    </row>
    <row r="346">
      <c r="A346" s="1" t="s">
        <v>1517</v>
      </c>
      <c r="B346" s="1" t="s">
        <v>1518</v>
      </c>
      <c r="C346" s="1" t="s">
        <v>101</v>
      </c>
      <c r="D346" s="2" t="s">
        <v>325</v>
      </c>
      <c r="E346" s="1" t="s">
        <v>130</v>
      </c>
      <c r="F346" s="1" t="s">
        <v>309</v>
      </c>
      <c r="G346" s="1" t="s">
        <v>511</v>
      </c>
      <c r="H346" s="1" t="s">
        <v>260</v>
      </c>
      <c r="I346" s="1" t="s">
        <v>222</v>
      </c>
      <c r="J346" s="2" t="s">
        <v>1521</v>
      </c>
    </row>
    <row r="347">
      <c r="A347" s="1" t="s">
        <v>1522</v>
      </c>
      <c r="B347" s="1" t="s">
        <v>193</v>
      </c>
      <c r="C347" s="1" t="s">
        <v>42</v>
      </c>
      <c r="D347" s="2" t="s">
        <v>173</v>
      </c>
      <c r="E347" s="1" t="s">
        <v>45</v>
      </c>
      <c r="F347" s="1" t="s">
        <v>107</v>
      </c>
      <c r="G347" s="1" t="s">
        <v>608</v>
      </c>
      <c r="H347" s="1" t="s">
        <v>477</v>
      </c>
      <c r="I347" s="1" t="s">
        <v>97</v>
      </c>
      <c r="J347" s="2" t="s">
        <v>1523</v>
      </c>
    </row>
    <row r="348">
      <c r="A348" s="1" t="s">
        <v>1524</v>
      </c>
      <c r="B348" s="1" t="s">
        <v>1525</v>
      </c>
      <c r="C348" s="1" t="s">
        <v>629</v>
      </c>
      <c r="D348" s="2" t="s">
        <v>509</v>
      </c>
      <c r="E348" s="1" t="s">
        <v>152</v>
      </c>
      <c r="F348" s="1" t="s">
        <v>81</v>
      </c>
      <c r="G348" s="1" t="s">
        <v>669</v>
      </c>
      <c r="H348" s="1" t="s">
        <v>67</v>
      </c>
      <c r="I348" s="1" t="s">
        <v>35</v>
      </c>
      <c r="J348" s="2" t="s">
        <v>1527</v>
      </c>
    </row>
    <row r="349">
      <c r="A349" s="1" t="s">
        <v>1528</v>
      </c>
      <c r="B349" s="1" t="s">
        <v>827</v>
      </c>
      <c r="C349" s="1" t="s">
        <v>1529</v>
      </c>
      <c r="D349" s="2" t="s">
        <v>103</v>
      </c>
      <c r="E349" s="1" t="s">
        <v>152</v>
      </c>
      <c r="F349" s="1" t="s">
        <v>107</v>
      </c>
      <c r="G349" s="1" t="s">
        <v>258</v>
      </c>
      <c r="H349" s="1" t="s">
        <v>346</v>
      </c>
      <c r="I349" s="1" t="s">
        <v>97</v>
      </c>
      <c r="J349" s="2" t="s">
        <v>939</v>
      </c>
    </row>
    <row r="350">
      <c r="A350" s="1" t="s">
        <v>1530</v>
      </c>
      <c r="B350" s="1" t="s">
        <v>1531</v>
      </c>
      <c r="C350" s="1" t="s">
        <v>148</v>
      </c>
      <c r="D350" s="2" t="s">
        <v>481</v>
      </c>
      <c r="E350" s="1" t="s">
        <v>130</v>
      </c>
      <c r="F350" s="1" t="s">
        <v>81</v>
      </c>
      <c r="G350" s="1" t="s">
        <v>874</v>
      </c>
      <c r="H350" s="1" t="s">
        <v>402</v>
      </c>
      <c r="I350" s="1" t="s">
        <v>211</v>
      </c>
      <c r="J350" s="2" t="s">
        <v>1533</v>
      </c>
    </row>
    <row r="351">
      <c r="A351" s="1" t="s">
        <v>1534</v>
      </c>
      <c r="B351" s="1" t="s">
        <v>147</v>
      </c>
      <c r="C351" s="1" t="s">
        <v>806</v>
      </c>
      <c r="D351" s="2" t="s">
        <v>423</v>
      </c>
      <c r="E351" s="1" t="s">
        <v>80</v>
      </c>
      <c r="F351" s="1" t="s">
        <v>30</v>
      </c>
      <c r="G351" s="1" t="s">
        <v>608</v>
      </c>
      <c r="H351" s="1" t="s">
        <v>143</v>
      </c>
      <c r="I351" s="1" t="s">
        <v>97</v>
      </c>
      <c r="J351" s="2" t="s">
        <v>1535</v>
      </c>
    </row>
    <row r="352">
      <c r="A352" s="1" t="s">
        <v>1536</v>
      </c>
      <c r="B352" s="1" t="s">
        <v>620</v>
      </c>
      <c r="C352" s="1" t="s">
        <v>101</v>
      </c>
      <c r="D352" s="2" t="s">
        <v>217</v>
      </c>
      <c r="E352" s="1" t="s">
        <v>28</v>
      </c>
      <c r="F352" s="1" t="s">
        <v>47</v>
      </c>
      <c r="G352" s="1" t="s">
        <v>249</v>
      </c>
      <c r="H352" s="1" t="s">
        <v>699</v>
      </c>
      <c r="I352" s="1" t="s">
        <v>52</v>
      </c>
      <c r="J352" s="2" t="s">
        <v>1538</v>
      </c>
    </row>
    <row r="353">
      <c r="A353" s="1" t="s">
        <v>1539</v>
      </c>
      <c r="B353" s="1" t="s">
        <v>368</v>
      </c>
      <c r="C353" s="1" t="s">
        <v>1540</v>
      </c>
      <c r="D353" s="2" t="s">
        <v>550</v>
      </c>
      <c r="E353" s="1" t="s">
        <v>28</v>
      </c>
      <c r="F353" s="1" t="s">
        <v>208</v>
      </c>
      <c r="G353" s="1" t="s">
        <v>49</v>
      </c>
      <c r="H353" s="1" t="s">
        <v>50</v>
      </c>
      <c r="I353" s="1" t="s">
        <v>97</v>
      </c>
      <c r="J353" s="2" t="s">
        <v>1541</v>
      </c>
    </row>
    <row r="354">
      <c r="A354" s="1" t="s">
        <v>1542</v>
      </c>
      <c r="B354" s="1" t="s">
        <v>820</v>
      </c>
      <c r="C354" s="1" t="s">
        <v>324</v>
      </c>
      <c r="D354" s="2" t="s">
        <v>481</v>
      </c>
      <c r="E354" s="1" t="s">
        <v>105</v>
      </c>
      <c r="F354" s="1" t="s">
        <v>107</v>
      </c>
      <c r="G354" s="1" t="s">
        <v>196</v>
      </c>
      <c r="H354" s="1" t="s">
        <v>402</v>
      </c>
      <c r="I354" s="1" t="s">
        <v>211</v>
      </c>
      <c r="J354" s="2" t="s">
        <v>1011</v>
      </c>
    </row>
    <row r="355">
      <c r="A355" s="1" t="s">
        <v>1544</v>
      </c>
      <c r="B355" s="1" t="s">
        <v>1004</v>
      </c>
      <c r="C355" s="1" t="s">
        <v>1545</v>
      </c>
      <c r="D355" s="2" t="s">
        <v>236</v>
      </c>
      <c r="E355" s="1" t="s">
        <v>130</v>
      </c>
      <c r="F355" s="1" t="s">
        <v>64</v>
      </c>
      <c r="G355" s="1" t="s">
        <v>977</v>
      </c>
      <c r="H355" s="1" t="s">
        <v>386</v>
      </c>
      <c r="I355" s="1" t="s">
        <v>222</v>
      </c>
      <c r="J355" s="2" t="s">
        <v>1546</v>
      </c>
    </row>
    <row r="356">
      <c r="A356" s="1" t="s">
        <v>1548</v>
      </c>
      <c r="B356" s="1" t="s">
        <v>411</v>
      </c>
      <c r="C356" s="1" t="s">
        <v>301</v>
      </c>
      <c r="D356" s="2" t="s">
        <v>738</v>
      </c>
      <c r="E356" s="1" t="s">
        <v>28</v>
      </c>
      <c r="F356" s="1" t="s">
        <v>47</v>
      </c>
      <c r="G356" s="1" t="s">
        <v>418</v>
      </c>
      <c r="H356" s="1" t="s">
        <v>394</v>
      </c>
      <c r="I356" s="1" t="s">
        <v>35</v>
      </c>
      <c r="J356" s="2" t="s">
        <v>1549</v>
      </c>
    </row>
    <row r="357">
      <c r="A357" s="1" t="s">
        <v>1550</v>
      </c>
      <c r="B357" s="1" t="s">
        <v>542</v>
      </c>
      <c r="C357" s="1" t="s">
        <v>828</v>
      </c>
      <c r="D357" s="2" t="s">
        <v>276</v>
      </c>
      <c r="E357" s="1" t="s">
        <v>80</v>
      </c>
      <c r="F357" s="1" t="s">
        <v>539</v>
      </c>
      <c r="G357" s="1" t="s">
        <v>572</v>
      </c>
      <c r="H357" s="1" t="s">
        <v>124</v>
      </c>
      <c r="I357" s="1" t="s">
        <v>35</v>
      </c>
      <c r="J357" s="2" t="s">
        <v>1552</v>
      </c>
    </row>
    <row r="358">
      <c r="A358" s="1" t="s">
        <v>1553</v>
      </c>
      <c r="B358" s="1" t="s">
        <v>343</v>
      </c>
      <c r="C358" s="1" t="s">
        <v>264</v>
      </c>
      <c r="D358" s="2" t="s">
        <v>229</v>
      </c>
      <c r="E358" s="1" t="s">
        <v>152</v>
      </c>
      <c r="F358" s="1" t="s">
        <v>47</v>
      </c>
      <c r="G358" s="1" t="s">
        <v>418</v>
      </c>
      <c r="H358" s="1" t="s">
        <v>189</v>
      </c>
      <c r="I358" s="1" t="s">
        <v>97</v>
      </c>
      <c r="J358" s="2" t="s">
        <v>1554</v>
      </c>
    </row>
    <row r="359">
      <c r="A359" s="1" t="s">
        <v>1556</v>
      </c>
      <c r="B359" s="1" t="s">
        <v>171</v>
      </c>
      <c r="C359" s="1" t="s">
        <v>469</v>
      </c>
      <c r="D359" s="2" t="s">
        <v>1442</v>
      </c>
      <c r="E359" s="1" t="s">
        <v>152</v>
      </c>
      <c r="F359" s="1" t="s">
        <v>759</v>
      </c>
      <c r="G359" s="1" t="s">
        <v>188</v>
      </c>
      <c r="H359" s="1" t="s">
        <v>210</v>
      </c>
      <c r="I359" s="1" t="s">
        <v>97</v>
      </c>
      <c r="J359" s="2" t="s">
        <v>1557</v>
      </c>
    </row>
    <row r="360">
      <c r="A360" s="1" t="s">
        <v>1558</v>
      </c>
      <c r="B360" s="1" t="s">
        <v>411</v>
      </c>
      <c r="C360" s="1" t="s">
        <v>458</v>
      </c>
      <c r="D360" s="2" t="s">
        <v>675</v>
      </c>
      <c r="E360" s="1" t="s">
        <v>45</v>
      </c>
      <c r="F360" s="1" t="s">
        <v>237</v>
      </c>
      <c r="G360" s="1" t="s">
        <v>345</v>
      </c>
      <c r="H360" s="1" t="s">
        <v>402</v>
      </c>
      <c r="I360" s="1" t="s">
        <v>211</v>
      </c>
      <c r="J360" s="2" t="s">
        <v>1560</v>
      </c>
    </row>
    <row r="361">
      <c r="A361" s="1" t="s">
        <v>1561</v>
      </c>
      <c r="B361" s="1" t="s">
        <v>411</v>
      </c>
      <c r="C361" s="1" t="s">
        <v>1562</v>
      </c>
      <c r="D361" s="2" t="s">
        <v>655</v>
      </c>
      <c r="E361" s="1" t="s">
        <v>45</v>
      </c>
      <c r="F361" s="1" t="s">
        <v>393</v>
      </c>
      <c r="G361" s="1" t="s">
        <v>345</v>
      </c>
      <c r="H361" s="1" t="s">
        <v>279</v>
      </c>
      <c r="I361" s="1" t="s">
        <v>35</v>
      </c>
      <c r="J361" s="2" t="s">
        <v>1563</v>
      </c>
    </row>
    <row r="362">
      <c r="A362" s="1" t="s">
        <v>1564</v>
      </c>
      <c r="B362" s="1" t="s">
        <v>368</v>
      </c>
      <c r="C362" s="1" t="s">
        <v>76</v>
      </c>
      <c r="D362" s="2" t="s">
        <v>325</v>
      </c>
      <c r="E362" s="1" t="s">
        <v>28</v>
      </c>
      <c r="F362" s="1" t="s">
        <v>131</v>
      </c>
      <c r="G362" s="1" t="s">
        <v>209</v>
      </c>
      <c r="H362" s="1" t="s">
        <v>189</v>
      </c>
      <c r="I362" s="1" t="s">
        <v>52</v>
      </c>
      <c r="J362" s="2" t="s">
        <v>1566</v>
      </c>
    </row>
    <row r="363">
      <c r="A363" s="1" t="s">
        <v>1567</v>
      </c>
      <c r="B363" s="1" t="s">
        <v>158</v>
      </c>
      <c r="C363" s="1" t="s">
        <v>1568</v>
      </c>
      <c r="D363" s="2" t="s">
        <v>675</v>
      </c>
      <c r="E363" s="1" t="s">
        <v>105</v>
      </c>
      <c r="F363" s="1" t="s">
        <v>759</v>
      </c>
      <c r="G363" s="1" t="s">
        <v>572</v>
      </c>
      <c r="H363" s="1" t="s">
        <v>34</v>
      </c>
      <c r="I363" s="1" t="s">
        <v>222</v>
      </c>
      <c r="J363" s="2" t="s">
        <v>1570</v>
      </c>
    </row>
    <row r="364">
      <c r="A364" s="1" t="s">
        <v>1571</v>
      </c>
      <c r="B364" s="1" t="s">
        <v>343</v>
      </c>
      <c r="C364" s="1" t="s">
        <v>1322</v>
      </c>
      <c r="E364" s="1" t="s">
        <v>1572</v>
      </c>
      <c r="F364" s="1" t="s">
        <v>309</v>
      </c>
      <c r="G364" s="1" t="s">
        <v>789</v>
      </c>
      <c r="H364" s="1" t="s">
        <v>50</v>
      </c>
      <c r="I364" s="1" t="s">
        <v>52</v>
      </c>
      <c r="J364" s="2" t="s">
        <v>1573</v>
      </c>
    </row>
    <row r="365">
      <c r="A365" s="1" t="s">
        <v>1574</v>
      </c>
      <c r="B365" s="1" t="s">
        <v>542</v>
      </c>
      <c r="C365" s="1" t="s">
        <v>374</v>
      </c>
      <c r="D365" s="2" t="s">
        <v>344</v>
      </c>
      <c r="E365" s="1" t="s">
        <v>80</v>
      </c>
      <c r="F365" s="1" t="s">
        <v>131</v>
      </c>
      <c r="G365" s="1" t="s">
        <v>82</v>
      </c>
      <c r="H365" s="1" t="s">
        <v>83</v>
      </c>
      <c r="I365" s="1" t="s">
        <v>211</v>
      </c>
      <c r="J365" s="2" t="s">
        <v>1576</v>
      </c>
    </row>
    <row r="366">
      <c r="A366" s="1" t="s">
        <v>1577</v>
      </c>
      <c r="B366" s="1" t="s">
        <v>307</v>
      </c>
      <c r="C366" s="1" t="s">
        <v>1451</v>
      </c>
      <c r="D366" s="2" t="s">
        <v>733</v>
      </c>
      <c r="E366" s="1" t="s">
        <v>45</v>
      </c>
      <c r="F366" s="1" t="s">
        <v>30</v>
      </c>
      <c r="G366" s="1" t="s">
        <v>326</v>
      </c>
      <c r="H366" s="1" t="s">
        <v>110</v>
      </c>
      <c r="I366" s="1" t="s">
        <v>35</v>
      </c>
      <c r="J366" s="2" t="s">
        <v>1578</v>
      </c>
    </row>
    <row r="367">
      <c r="A367" s="1" t="s">
        <v>1579</v>
      </c>
      <c r="B367" s="1" t="s">
        <v>127</v>
      </c>
      <c r="C367" s="1" t="s">
        <v>1070</v>
      </c>
      <c r="D367" s="2" t="s">
        <v>1091</v>
      </c>
      <c r="E367" s="1" t="s">
        <v>152</v>
      </c>
      <c r="F367" s="1" t="s">
        <v>141</v>
      </c>
      <c r="G367" s="1" t="s">
        <v>583</v>
      </c>
      <c r="H367" s="1" t="s">
        <v>279</v>
      </c>
      <c r="I367" s="1" t="s">
        <v>222</v>
      </c>
      <c r="J367" s="2" t="s">
        <v>1581</v>
      </c>
    </row>
    <row r="368">
      <c r="A368" s="1" t="s">
        <v>1582</v>
      </c>
      <c r="B368" s="1" t="s">
        <v>620</v>
      </c>
      <c r="C368" s="1" t="s">
        <v>458</v>
      </c>
      <c r="D368" s="2" t="s">
        <v>655</v>
      </c>
      <c r="E368" s="1" t="s">
        <v>105</v>
      </c>
      <c r="F368" s="1" t="s">
        <v>208</v>
      </c>
      <c r="G368" s="1" t="s">
        <v>558</v>
      </c>
      <c r="H368" s="1" t="s">
        <v>561</v>
      </c>
      <c r="I368" s="1" t="s">
        <v>222</v>
      </c>
      <c r="J368" s="2" t="s">
        <v>1584</v>
      </c>
    </row>
    <row r="369">
      <c r="A369" s="1" t="s">
        <v>1585</v>
      </c>
      <c r="B369" s="1" t="s">
        <v>343</v>
      </c>
      <c r="C369" s="1" t="s">
        <v>194</v>
      </c>
      <c r="D369" s="2" t="s">
        <v>392</v>
      </c>
      <c r="E369" s="1" t="s">
        <v>130</v>
      </c>
      <c r="F369" s="1" t="s">
        <v>393</v>
      </c>
      <c r="G369" s="1" t="s">
        <v>511</v>
      </c>
      <c r="H369" s="1" t="s">
        <v>720</v>
      </c>
      <c r="I369" s="1" t="s">
        <v>35</v>
      </c>
      <c r="J369" s="2" t="s">
        <v>1587</v>
      </c>
    </row>
    <row r="370">
      <c r="A370" s="1" t="s">
        <v>1588</v>
      </c>
      <c r="B370" s="1" t="s">
        <v>1589</v>
      </c>
      <c r="C370" s="1" t="s">
        <v>244</v>
      </c>
      <c r="D370" s="2" t="s">
        <v>481</v>
      </c>
      <c r="E370" s="1" t="s">
        <v>45</v>
      </c>
      <c r="F370" s="1" t="s">
        <v>208</v>
      </c>
      <c r="G370" s="1" t="s">
        <v>551</v>
      </c>
      <c r="H370" s="1" t="s">
        <v>699</v>
      </c>
      <c r="I370" s="1" t="s">
        <v>211</v>
      </c>
      <c r="J370" s="2" t="s">
        <v>1590</v>
      </c>
    </row>
    <row r="371">
      <c r="A371" s="1" t="s">
        <v>1591</v>
      </c>
      <c r="B371" s="1" t="s">
        <v>343</v>
      </c>
      <c r="C371" s="1" t="s">
        <v>137</v>
      </c>
      <c r="E371" s="1" t="s">
        <v>152</v>
      </c>
      <c r="F371" s="1" t="s">
        <v>47</v>
      </c>
      <c r="G371" s="1" t="s">
        <v>1592</v>
      </c>
      <c r="H371" s="1" t="s">
        <v>34</v>
      </c>
      <c r="I371" s="1" t="s">
        <v>52</v>
      </c>
      <c r="J371" s="2" t="s">
        <v>1593</v>
      </c>
    </row>
    <row r="372">
      <c r="A372" s="1" t="s">
        <v>1594</v>
      </c>
      <c r="B372" s="1" t="s">
        <v>307</v>
      </c>
      <c r="C372" s="1" t="s">
        <v>159</v>
      </c>
      <c r="D372" s="2" t="s">
        <v>873</v>
      </c>
      <c r="E372" s="1" t="s">
        <v>45</v>
      </c>
      <c r="F372" s="1" t="s">
        <v>401</v>
      </c>
      <c r="G372" s="1" t="s">
        <v>345</v>
      </c>
      <c r="H372" s="1" t="s">
        <v>96</v>
      </c>
      <c r="I372" s="1" t="s">
        <v>35</v>
      </c>
      <c r="J372" s="2" t="s">
        <v>1596</v>
      </c>
    </row>
    <row r="373">
      <c r="A373" s="1" t="s">
        <v>1597</v>
      </c>
      <c r="B373" s="1" t="s">
        <v>1598</v>
      </c>
      <c r="C373" s="1" t="s">
        <v>374</v>
      </c>
      <c r="D373" s="2" t="s">
        <v>429</v>
      </c>
      <c r="E373" s="1" t="s">
        <v>105</v>
      </c>
      <c r="F373" s="1" t="s">
        <v>571</v>
      </c>
      <c r="G373" s="1" t="s">
        <v>164</v>
      </c>
      <c r="H373" s="1" t="s">
        <v>592</v>
      </c>
      <c r="I373" s="1" t="s">
        <v>211</v>
      </c>
      <c r="J373" s="2" t="s">
        <v>1599</v>
      </c>
    </row>
    <row r="374">
      <c r="A374" s="1" t="s">
        <v>1600</v>
      </c>
      <c r="B374" s="1" t="s">
        <v>171</v>
      </c>
      <c r="C374" s="1" t="s">
        <v>433</v>
      </c>
      <c r="D374" s="2" t="s">
        <v>423</v>
      </c>
      <c r="E374" s="1" t="s">
        <v>152</v>
      </c>
      <c r="F374" s="1" t="s">
        <v>47</v>
      </c>
      <c r="G374" s="1" t="s">
        <v>418</v>
      </c>
      <c r="H374" s="1" t="s">
        <v>394</v>
      </c>
      <c r="I374" s="1" t="s">
        <v>97</v>
      </c>
      <c r="J374" s="2" t="s">
        <v>1602</v>
      </c>
    </row>
    <row r="375">
      <c r="A375" s="1" t="s">
        <v>1603</v>
      </c>
      <c r="B375" s="1" t="s">
        <v>827</v>
      </c>
      <c r="C375" s="1" t="s">
        <v>556</v>
      </c>
      <c r="D375" s="2" t="s">
        <v>733</v>
      </c>
      <c r="E375" s="1" t="s">
        <v>130</v>
      </c>
      <c r="F375" s="1" t="s">
        <v>30</v>
      </c>
      <c r="G375" s="1" t="s">
        <v>94</v>
      </c>
      <c r="H375" s="1" t="s">
        <v>143</v>
      </c>
      <c r="I375" s="1" t="s">
        <v>211</v>
      </c>
      <c r="J375" s="2" t="s">
        <v>1605</v>
      </c>
    </row>
    <row r="376">
      <c r="A376" s="1" t="s">
        <v>1606</v>
      </c>
      <c r="B376" s="1" t="s">
        <v>1531</v>
      </c>
      <c r="C376" s="1" t="s">
        <v>172</v>
      </c>
      <c r="D376" s="2" t="s">
        <v>92</v>
      </c>
      <c r="E376" s="1" t="s">
        <v>130</v>
      </c>
      <c r="F376" s="1" t="s">
        <v>393</v>
      </c>
      <c r="G376" s="1" t="s">
        <v>1188</v>
      </c>
      <c r="H376" s="1" t="s">
        <v>500</v>
      </c>
      <c r="I376" s="1" t="s">
        <v>211</v>
      </c>
      <c r="J376" s="2" t="s">
        <v>1607</v>
      </c>
    </row>
    <row r="377">
      <c r="A377" s="1" t="s">
        <v>1608</v>
      </c>
      <c r="B377" s="1" t="s">
        <v>368</v>
      </c>
      <c r="C377" s="1" t="s">
        <v>1105</v>
      </c>
      <c r="D377" s="2" t="s">
        <v>733</v>
      </c>
      <c r="E377" s="1" t="s">
        <v>105</v>
      </c>
      <c r="F377" s="1" t="s">
        <v>107</v>
      </c>
      <c r="G377" s="1" t="s">
        <v>1188</v>
      </c>
      <c r="H377" s="1" t="s">
        <v>500</v>
      </c>
      <c r="I377" s="1" t="s">
        <v>211</v>
      </c>
      <c r="J377" s="2" t="s">
        <v>1610</v>
      </c>
    </row>
    <row r="378">
      <c r="A378" s="1" t="s">
        <v>1611</v>
      </c>
      <c r="B378" s="1" t="s">
        <v>983</v>
      </c>
      <c r="C378" s="1" t="s">
        <v>128</v>
      </c>
      <c r="D378" s="2" t="s">
        <v>823</v>
      </c>
      <c r="E378" s="1" t="s">
        <v>130</v>
      </c>
      <c r="F378" s="1" t="s">
        <v>393</v>
      </c>
      <c r="G378" s="1" t="s">
        <v>269</v>
      </c>
      <c r="H378" s="1" t="s">
        <v>271</v>
      </c>
      <c r="I378" s="1" t="s">
        <v>211</v>
      </c>
      <c r="J378" s="2" t="s">
        <v>1613</v>
      </c>
    </row>
    <row r="379">
      <c r="A379" s="1" t="s">
        <v>1614</v>
      </c>
      <c r="B379" s="1" t="s">
        <v>411</v>
      </c>
      <c r="C379" s="1" t="s">
        <v>301</v>
      </c>
      <c r="D379" s="2" t="s">
        <v>276</v>
      </c>
      <c r="E379" s="1" t="s">
        <v>105</v>
      </c>
      <c r="F379" s="1" t="s">
        <v>393</v>
      </c>
      <c r="G379" s="1" t="s">
        <v>1269</v>
      </c>
      <c r="H379" s="1" t="s">
        <v>110</v>
      </c>
      <c r="I379" s="1" t="s">
        <v>211</v>
      </c>
      <c r="J379" s="2" t="s">
        <v>1615</v>
      </c>
    </row>
    <row r="380">
      <c r="A380" s="1" t="s">
        <v>1616</v>
      </c>
      <c r="B380" s="1" t="s">
        <v>1004</v>
      </c>
      <c r="C380" s="1" t="s">
        <v>254</v>
      </c>
      <c r="D380" s="2" t="s">
        <v>218</v>
      </c>
      <c r="E380" s="1" t="s">
        <v>130</v>
      </c>
      <c r="F380" s="1" t="s">
        <v>364</v>
      </c>
      <c r="G380" s="1" t="s">
        <v>642</v>
      </c>
      <c r="H380" s="1" t="s">
        <v>546</v>
      </c>
      <c r="I380" s="1" t="s">
        <v>52</v>
      </c>
      <c r="J380" s="2" t="s">
        <v>1618</v>
      </c>
    </row>
    <row r="381">
      <c r="A381" s="1" t="s">
        <v>1619</v>
      </c>
      <c r="B381" s="1" t="s">
        <v>542</v>
      </c>
      <c r="C381" s="1" t="s">
        <v>148</v>
      </c>
      <c r="D381" s="2" t="s">
        <v>91</v>
      </c>
      <c r="E381" s="1" t="s">
        <v>152</v>
      </c>
      <c r="F381" s="1" t="s">
        <v>30</v>
      </c>
      <c r="G381" s="1" t="s">
        <v>164</v>
      </c>
      <c r="H381" s="1" t="s">
        <v>231</v>
      </c>
      <c r="I381" s="1" t="s">
        <v>97</v>
      </c>
      <c r="J381" s="2" t="s">
        <v>1622</v>
      </c>
    </row>
    <row r="382">
      <c r="A382" s="1" t="s">
        <v>1623</v>
      </c>
      <c r="B382" s="1" t="s">
        <v>307</v>
      </c>
      <c r="C382" s="1" t="s">
        <v>1322</v>
      </c>
      <c r="D382" s="2" t="s">
        <v>383</v>
      </c>
      <c r="E382" s="1" t="s">
        <v>105</v>
      </c>
      <c r="F382" s="1" t="s">
        <v>81</v>
      </c>
      <c r="G382" s="1" t="s">
        <v>867</v>
      </c>
      <c r="H382" s="1" t="s">
        <v>691</v>
      </c>
      <c r="I382" s="1" t="s">
        <v>211</v>
      </c>
      <c r="J382" s="2" t="s">
        <v>1624</v>
      </c>
    </row>
    <row r="383">
      <c r="A383" s="1" t="s">
        <v>1625</v>
      </c>
      <c r="B383" s="1" t="s">
        <v>1329</v>
      </c>
      <c r="C383" s="1" t="s">
        <v>90</v>
      </c>
      <c r="D383" s="2" t="s">
        <v>325</v>
      </c>
      <c r="E383" s="1" t="s">
        <v>80</v>
      </c>
      <c r="F383" s="1" t="s">
        <v>64</v>
      </c>
      <c r="G383" s="1" t="s">
        <v>916</v>
      </c>
      <c r="H383" s="1" t="s">
        <v>197</v>
      </c>
      <c r="I383" s="1" t="s">
        <v>52</v>
      </c>
      <c r="J383" s="2" t="s">
        <v>1627</v>
      </c>
    </row>
    <row r="384">
      <c r="A384" s="1" t="s">
        <v>1628</v>
      </c>
      <c r="B384" s="1" t="s">
        <v>158</v>
      </c>
      <c r="C384" s="1" t="s">
        <v>128</v>
      </c>
      <c r="D384" s="2" t="s">
        <v>353</v>
      </c>
      <c r="E384" s="1" t="s">
        <v>105</v>
      </c>
      <c r="F384" s="1" t="s">
        <v>64</v>
      </c>
      <c r="G384" s="1" t="s">
        <v>977</v>
      </c>
      <c r="H384" s="1" t="s">
        <v>210</v>
      </c>
      <c r="I384" s="1" t="s">
        <v>222</v>
      </c>
      <c r="J384" s="2" t="s">
        <v>1629</v>
      </c>
    </row>
    <row r="385">
      <c r="A385" s="1" t="s">
        <v>1631</v>
      </c>
      <c r="B385" s="1" t="s">
        <v>171</v>
      </c>
      <c r="C385" s="1" t="s">
        <v>788</v>
      </c>
      <c r="D385" s="2" t="s">
        <v>139</v>
      </c>
      <c r="E385" s="1" t="s">
        <v>80</v>
      </c>
      <c r="F385" s="1" t="s">
        <v>364</v>
      </c>
      <c r="G385" s="1" t="s">
        <v>123</v>
      </c>
      <c r="H385" s="1" t="s">
        <v>34</v>
      </c>
      <c r="I385" s="1" t="s">
        <v>97</v>
      </c>
      <c r="J385" s="2" t="s">
        <v>1632</v>
      </c>
    </row>
    <row r="386">
      <c r="A386" s="1" t="s">
        <v>1633</v>
      </c>
      <c r="B386" s="1" t="s">
        <v>827</v>
      </c>
      <c r="C386" s="1" t="s">
        <v>254</v>
      </c>
      <c r="D386" s="2" t="s">
        <v>667</v>
      </c>
      <c r="E386" s="1" t="s">
        <v>130</v>
      </c>
      <c r="F386" s="1" t="s">
        <v>30</v>
      </c>
      <c r="G386" s="1" t="s">
        <v>669</v>
      </c>
      <c r="H386" s="1" t="s">
        <v>452</v>
      </c>
      <c r="I386" s="1" t="s">
        <v>222</v>
      </c>
      <c r="J386" s="2" t="s">
        <v>1635</v>
      </c>
    </row>
    <row r="387">
      <c r="A387" s="1" t="s">
        <v>1636</v>
      </c>
      <c r="B387" s="1" t="s">
        <v>158</v>
      </c>
      <c r="C387" s="1" t="s">
        <v>1637</v>
      </c>
      <c r="D387" s="2" t="s">
        <v>63</v>
      </c>
      <c r="E387" s="1" t="s">
        <v>105</v>
      </c>
      <c r="F387" s="1" t="s">
        <v>176</v>
      </c>
      <c r="G387" s="1" t="s">
        <v>576</v>
      </c>
      <c r="H387" s="1" t="s">
        <v>286</v>
      </c>
      <c r="I387" s="1" t="s">
        <v>52</v>
      </c>
      <c r="J387" s="2" t="s">
        <v>1638</v>
      </c>
    </row>
    <row r="388">
      <c r="A388" s="1" t="s">
        <v>1639</v>
      </c>
      <c r="B388" s="1" t="s">
        <v>136</v>
      </c>
      <c r="C388" s="1" t="s">
        <v>254</v>
      </c>
      <c r="D388" s="2" t="s">
        <v>150</v>
      </c>
      <c r="E388" s="1" t="s">
        <v>28</v>
      </c>
      <c r="F388" s="1" t="s">
        <v>47</v>
      </c>
      <c r="G388" s="1" t="s">
        <v>576</v>
      </c>
      <c r="H388" s="1" t="s">
        <v>50</v>
      </c>
      <c r="I388" s="1" t="s">
        <v>97</v>
      </c>
      <c r="J388" s="2" t="s">
        <v>1641</v>
      </c>
    </row>
    <row r="389">
      <c r="A389" s="1" t="s">
        <v>1642</v>
      </c>
      <c r="B389" s="1" t="s">
        <v>877</v>
      </c>
      <c r="C389" s="1" t="s">
        <v>25</v>
      </c>
      <c r="D389" s="2" t="s">
        <v>1487</v>
      </c>
      <c r="E389" s="1" t="s">
        <v>152</v>
      </c>
      <c r="F389" s="1" t="s">
        <v>364</v>
      </c>
      <c r="G389" s="1" t="s">
        <v>916</v>
      </c>
      <c r="H389" s="1" t="s">
        <v>402</v>
      </c>
      <c r="I389" s="1" t="s">
        <v>222</v>
      </c>
      <c r="J389" s="2" t="s">
        <v>1643</v>
      </c>
    </row>
    <row r="390">
      <c r="A390" s="1" t="s">
        <v>1644</v>
      </c>
      <c r="B390" s="1" t="s">
        <v>158</v>
      </c>
      <c r="C390" s="1" t="s">
        <v>76</v>
      </c>
      <c r="D390" s="2" t="s">
        <v>878</v>
      </c>
      <c r="E390" s="1" t="s">
        <v>105</v>
      </c>
      <c r="F390" s="1" t="s">
        <v>759</v>
      </c>
      <c r="G390" s="1" t="s">
        <v>82</v>
      </c>
      <c r="H390" s="1" t="s">
        <v>83</v>
      </c>
      <c r="I390" s="1" t="s">
        <v>35</v>
      </c>
      <c r="J390" s="2" t="s">
        <v>1646</v>
      </c>
    </row>
    <row r="391">
      <c r="A391" s="1" t="s">
        <v>1647</v>
      </c>
      <c r="B391" s="1" t="s">
        <v>411</v>
      </c>
      <c r="C391" s="1" t="s">
        <v>254</v>
      </c>
      <c r="D391" s="2" t="s">
        <v>229</v>
      </c>
      <c r="E391" s="1" t="s">
        <v>28</v>
      </c>
      <c r="F391" s="1" t="s">
        <v>30</v>
      </c>
      <c r="G391" s="1" t="s">
        <v>436</v>
      </c>
      <c r="H391" s="1" t="s">
        <v>561</v>
      </c>
      <c r="I391" s="1" t="s">
        <v>97</v>
      </c>
      <c r="J391" s="2" t="s">
        <v>1648</v>
      </c>
    </row>
    <row r="392">
      <c r="A392" s="1" t="s">
        <v>1649</v>
      </c>
      <c r="B392" s="1" t="s">
        <v>831</v>
      </c>
      <c r="C392" s="1" t="s">
        <v>1650</v>
      </c>
      <c r="D392" s="2" t="s">
        <v>550</v>
      </c>
      <c r="E392" s="1" t="s">
        <v>105</v>
      </c>
      <c r="F392" s="1" t="s">
        <v>309</v>
      </c>
      <c r="G392" s="1" t="s">
        <v>608</v>
      </c>
      <c r="H392" s="1" t="s">
        <v>346</v>
      </c>
      <c r="I392" s="1" t="s">
        <v>97</v>
      </c>
      <c r="J392" s="2" t="s">
        <v>1651</v>
      </c>
    </row>
    <row r="393">
      <c r="A393" s="1" t="s">
        <v>1652</v>
      </c>
      <c r="B393" s="1" t="s">
        <v>542</v>
      </c>
      <c r="C393" s="1" t="s">
        <v>194</v>
      </c>
      <c r="D393" s="2" t="s">
        <v>295</v>
      </c>
      <c r="E393" s="1" t="s">
        <v>80</v>
      </c>
      <c r="F393" s="1" t="s">
        <v>759</v>
      </c>
      <c r="G393" s="1" t="s">
        <v>462</v>
      </c>
      <c r="H393" s="1" t="s">
        <v>67</v>
      </c>
      <c r="I393" s="1" t="s">
        <v>97</v>
      </c>
      <c r="J393" s="2" t="s">
        <v>1653</v>
      </c>
    </row>
    <row r="394">
      <c r="A394" s="1" t="s">
        <v>1652</v>
      </c>
      <c r="B394" s="1" t="s">
        <v>542</v>
      </c>
      <c r="C394" s="1" t="s">
        <v>194</v>
      </c>
      <c r="D394" s="2" t="s">
        <v>295</v>
      </c>
      <c r="E394" s="1" t="s">
        <v>80</v>
      </c>
      <c r="F394" s="1" t="s">
        <v>759</v>
      </c>
      <c r="G394" s="1" t="s">
        <v>462</v>
      </c>
      <c r="H394" s="1" t="s">
        <v>67</v>
      </c>
      <c r="I394" s="1" t="s">
        <v>97</v>
      </c>
      <c r="J394" s="2" t="s">
        <v>1653</v>
      </c>
    </row>
    <row r="395">
      <c r="A395" s="1" t="s">
        <v>1655</v>
      </c>
      <c r="B395" s="1" t="s">
        <v>1656</v>
      </c>
      <c r="C395" s="1" t="s">
        <v>324</v>
      </c>
      <c r="D395" s="2" t="s">
        <v>392</v>
      </c>
      <c r="E395" s="1" t="s">
        <v>130</v>
      </c>
      <c r="F395" s="1" t="s">
        <v>237</v>
      </c>
      <c r="G395" s="1" t="s">
        <v>82</v>
      </c>
      <c r="H395" s="1" t="s">
        <v>124</v>
      </c>
      <c r="I395" s="1" t="s">
        <v>222</v>
      </c>
      <c r="J395" s="2" t="s">
        <v>1657</v>
      </c>
    </row>
    <row r="396">
      <c r="A396" s="1" t="s">
        <v>1655</v>
      </c>
      <c r="B396" s="1" t="s">
        <v>1656</v>
      </c>
      <c r="C396" s="1" t="s">
        <v>324</v>
      </c>
      <c r="D396" s="2" t="s">
        <v>392</v>
      </c>
      <c r="E396" s="1" t="s">
        <v>130</v>
      </c>
      <c r="F396" s="1" t="s">
        <v>237</v>
      </c>
      <c r="G396" s="1" t="s">
        <v>82</v>
      </c>
      <c r="H396" s="1" t="s">
        <v>124</v>
      </c>
      <c r="I396" s="1" t="s">
        <v>222</v>
      </c>
      <c r="J396" s="2" t="s">
        <v>1657</v>
      </c>
    </row>
    <row r="397">
      <c r="A397" s="1" t="s">
        <v>1659</v>
      </c>
      <c r="B397" s="1" t="s">
        <v>820</v>
      </c>
      <c r="C397" s="1" t="s">
        <v>1451</v>
      </c>
      <c r="D397" s="2" t="s">
        <v>604</v>
      </c>
      <c r="E397" s="1" t="s">
        <v>105</v>
      </c>
      <c r="F397" s="1" t="s">
        <v>131</v>
      </c>
      <c r="G397" s="1" t="s">
        <v>558</v>
      </c>
      <c r="H397" s="1" t="s">
        <v>359</v>
      </c>
      <c r="I397" s="1" t="s">
        <v>211</v>
      </c>
      <c r="J397" s="2" t="s">
        <v>1660</v>
      </c>
    </row>
    <row r="398">
      <c r="A398" s="1" t="s">
        <v>1661</v>
      </c>
      <c r="B398" s="1" t="s">
        <v>542</v>
      </c>
      <c r="C398" s="1" t="s">
        <v>556</v>
      </c>
      <c r="D398" s="2" t="s">
        <v>521</v>
      </c>
      <c r="E398" s="1" t="s">
        <v>130</v>
      </c>
      <c r="F398" s="1" t="s">
        <v>208</v>
      </c>
      <c r="G398" s="1" t="s">
        <v>439</v>
      </c>
      <c r="H398" s="1" t="s">
        <v>210</v>
      </c>
      <c r="I398" s="1" t="s">
        <v>52</v>
      </c>
      <c r="J398" s="2" t="s">
        <v>1663</v>
      </c>
    </row>
    <row r="399">
      <c r="A399" s="1" t="s">
        <v>1664</v>
      </c>
      <c r="B399" s="1" t="s">
        <v>1665</v>
      </c>
      <c r="C399" s="1" t="s">
        <v>264</v>
      </c>
      <c r="D399" s="2" t="s">
        <v>63</v>
      </c>
      <c r="E399" s="1" t="s">
        <v>130</v>
      </c>
      <c r="F399" s="1" t="s">
        <v>141</v>
      </c>
      <c r="G399" s="1" t="s">
        <v>230</v>
      </c>
      <c r="H399" s="1" t="s">
        <v>271</v>
      </c>
      <c r="I399" s="1" t="s">
        <v>211</v>
      </c>
      <c r="J399" s="2" t="s">
        <v>1667</v>
      </c>
    </row>
    <row r="400">
      <c r="A400" s="1" t="s">
        <v>1668</v>
      </c>
      <c r="B400" s="1" t="s">
        <v>171</v>
      </c>
      <c r="C400" s="1" t="s">
        <v>244</v>
      </c>
      <c r="D400" s="2" t="s">
        <v>1091</v>
      </c>
      <c r="E400" s="1" t="s">
        <v>152</v>
      </c>
      <c r="F400" s="1" t="s">
        <v>309</v>
      </c>
      <c r="G400" s="1" t="s">
        <v>677</v>
      </c>
      <c r="H400" s="1" t="s">
        <v>124</v>
      </c>
      <c r="I400" s="1" t="s">
        <v>52</v>
      </c>
      <c r="J400" s="2" t="s">
        <v>1669</v>
      </c>
    </row>
    <row r="401">
      <c r="A401" s="1" t="s">
        <v>1670</v>
      </c>
      <c r="B401" s="1" t="s">
        <v>234</v>
      </c>
      <c r="C401" s="1" t="s">
        <v>1361</v>
      </c>
      <c r="D401" s="2" t="s">
        <v>150</v>
      </c>
      <c r="E401" s="1" t="s">
        <v>105</v>
      </c>
      <c r="F401" s="1" t="s">
        <v>47</v>
      </c>
      <c r="G401" s="1" t="s">
        <v>1188</v>
      </c>
      <c r="H401" s="1" t="s">
        <v>691</v>
      </c>
      <c r="I401" s="1" t="s">
        <v>97</v>
      </c>
      <c r="J401" s="2" t="s">
        <v>1672</v>
      </c>
    </row>
    <row r="402">
      <c r="A402" s="1" t="s">
        <v>1673</v>
      </c>
      <c r="B402" s="1" t="s">
        <v>307</v>
      </c>
      <c r="C402" s="1" t="s">
        <v>556</v>
      </c>
      <c r="D402" s="2" t="s">
        <v>667</v>
      </c>
      <c r="E402" s="1" t="s">
        <v>105</v>
      </c>
      <c r="F402" s="1" t="s">
        <v>237</v>
      </c>
      <c r="G402" s="1" t="s">
        <v>1290</v>
      </c>
      <c r="H402" s="1" t="s">
        <v>691</v>
      </c>
      <c r="I402" s="1" t="s">
        <v>211</v>
      </c>
      <c r="J402" s="2" t="s">
        <v>1674</v>
      </c>
    </row>
    <row r="403">
      <c r="A403" s="1" t="s">
        <v>1675</v>
      </c>
      <c r="B403" s="1" t="s">
        <v>616</v>
      </c>
      <c r="C403" s="1" t="s">
        <v>1677</v>
      </c>
      <c r="D403" s="2" t="s">
        <v>823</v>
      </c>
      <c r="E403" s="1" t="s">
        <v>105</v>
      </c>
      <c r="F403" s="1" t="s">
        <v>176</v>
      </c>
      <c r="G403" s="1" t="s">
        <v>874</v>
      </c>
      <c r="H403" s="1" t="s">
        <v>319</v>
      </c>
      <c r="I403" s="1" t="s">
        <v>35</v>
      </c>
      <c r="J403" s="2" t="s">
        <v>1678</v>
      </c>
    </row>
    <row r="404">
      <c r="A404" s="1" t="s">
        <v>1679</v>
      </c>
      <c r="B404" s="1" t="s">
        <v>542</v>
      </c>
      <c r="C404" s="1" t="s">
        <v>128</v>
      </c>
      <c r="D404" s="2" t="s">
        <v>557</v>
      </c>
      <c r="E404" s="1" t="s">
        <v>130</v>
      </c>
      <c r="F404" s="1" t="s">
        <v>64</v>
      </c>
      <c r="G404" s="1" t="s">
        <v>462</v>
      </c>
      <c r="H404" s="1" t="s">
        <v>231</v>
      </c>
      <c r="I404" s="1" t="s">
        <v>97</v>
      </c>
      <c r="J404" s="2" t="s">
        <v>1681</v>
      </c>
    </row>
    <row r="405">
      <c r="A405" s="1" t="s">
        <v>1682</v>
      </c>
      <c r="B405" s="1" t="s">
        <v>1683</v>
      </c>
      <c r="C405" s="1" t="s">
        <v>324</v>
      </c>
      <c r="D405" s="2" t="s">
        <v>229</v>
      </c>
      <c r="E405" s="1" t="s">
        <v>105</v>
      </c>
      <c r="F405" s="1" t="s">
        <v>64</v>
      </c>
      <c r="G405" s="1" t="s">
        <v>439</v>
      </c>
      <c r="H405" s="1" t="s">
        <v>210</v>
      </c>
      <c r="I405" s="1" t="s">
        <v>97</v>
      </c>
      <c r="J405" s="2" t="s">
        <v>1684</v>
      </c>
    </row>
    <row r="406">
      <c r="A406" s="1" t="s">
        <v>1685</v>
      </c>
      <c r="B406" s="1" t="s">
        <v>411</v>
      </c>
      <c r="C406" s="1" t="s">
        <v>363</v>
      </c>
      <c r="D406" s="2" t="s">
        <v>1343</v>
      </c>
      <c r="E406" s="1" t="s">
        <v>28</v>
      </c>
      <c r="F406" s="1" t="s">
        <v>393</v>
      </c>
      <c r="G406" s="1" t="s">
        <v>436</v>
      </c>
      <c r="H406" s="1" t="s">
        <v>221</v>
      </c>
      <c r="I406" s="1" t="s">
        <v>97</v>
      </c>
      <c r="J406" s="2" t="s">
        <v>1687</v>
      </c>
    </row>
    <row r="407">
      <c r="A407" s="1" t="s">
        <v>1688</v>
      </c>
      <c r="B407" s="1" t="s">
        <v>865</v>
      </c>
      <c r="C407" s="1" t="s">
        <v>25</v>
      </c>
      <c r="D407" s="2" t="s">
        <v>302</v>
      </c>
      <c r="E407" s="1" t="s">
        <v>45</v>
      </c>
      <c r="F407" s="1" t="s">
        <v>30</v>
      </c>
      <c r="G407" s="1" t="s">
        <v>345</v>
      </c>
      <c r="H407" s="1" t="s">
        <v>319</v>
      </c>
      <c r="I407" s="1" t="s">
        <v>97</v>
      </c>
      <c r="J407" s="2" t="s">
        <v>1690</v>
      </c>
    </row>
    <row r="408">
      <c r="A408" s="1" t="s">
        <v>1691</v>
      </c>
      <c r="B408" s="1" t="s">
        <v>1199</v>
      </c>
      <c r="C408" s="1" t="s">
        <v>374</v>
      </c>
      <c r="D408" s="2" t="s">
        <v>325</v>
      </c>
      <c r="E408" s="1" t="s">
        <v>45</v>
      </c>
      <c r="F408" s="1" t="s">
        <v>571</v>
      </c>
      <c r="G408" s="1" t="s">
        <v>647</v>
      </c>
      <c r="H408" s="1" t="s">
        <v>561</v>
      </c>
      <c r="I408" s="1" t="s">
        <v>35</v>
      </c>
      <c r="J408" s="2" t="s">
        <v>1692</v>
      </c>
    </row>
    <row r="409">
      <c r="A409" s="1" t="s">
        <v>1694</v>
      </c>
      <c r="B409" s="1" t="s">
        <v>411</v>
      </c>
      <c r="C409" s="1" t="s">
        <v>1486</v>
      </c>
      <c r="D409" s="2" t="s">
        <v>336</v>
      </c>
      <c r="E409" s="1" t="s">
        <v>45</v>
      </c>
      <c r="F409" s="1" t="s">
        <v>237</v>
      </c>
      <c r="G409" s="1" t="s">
        <v>220</v>
      </c>
      <c r="H409" s="1" t="s">
        <v>851</v>
      </c>
      <c r="I409" s="1" t="s">
        <v>97</v>
      </c>
      <c r="J409" s="2" t="s">
        <v>1696</v>
      </c>
    </row>
    <row r="410">
      <c r="A410" s="1" t="s">
        <v>1697</v>
      </c>
      <c r="B410" s="1" t="s">
        <v>542</v>
      </c>
      <c r="C410" s="1" t="s">
        <v>324</v>
      </c>
      <c r="D410" s="2" t="s">
        <v>406</v>
      </c>
      <c r="E410" s="1" t="s">
        <v>80</v>
      </c>
      <c r="F410" s="1" t="s">
        <v>176</v>
      </c>
      <c r="G410" s="1" t="s">
        <v>238</v>
      </c>
      <c r="H410" s="1" t="s">
        <v>691</v>
      </c>
      <c r="I410" s="1" t="s">
        <v>97</v>
      </c>
      <c r="J410" s="2" t="s">
        <v>1698</v>
      </c>
    </row>
    <row r="411">
      <c r="A411" s="1" t="s">
        <v>1699</v>
      </c>
      <c r="B411" s="1" t="s">
        <v>1700</v>
      </c>
      <c r="C411" s="1" t="s">
        <v>806</v>
      </c>
      <c r="D411" s="2" t="s">
        <v>103</v>
      </c>
      <c r="E411" s="1" t="s">
        <v>28</v>
      </c>
      <c r="F411" s="1" t="s">
        <v>47</v>
      </c>
      <c r="G411" s="1" t="s">
        <v>109</v>
      </c>
      <c r="H411" s="1" t="s">
        <v>527</v>
      </c>
      <c r="I411" s="1" t="s">
        <v>97</v>
      </c>
      <c r="J411" s="2" t="s">
        <v>1702</v>
      </c>
    </row>
    <row r="412">
      <c r="A412" s="1" t="s">
        <v>1703</v>
      </c>
      <c r="B412" s="1" t="s">
        <v>411</v>
      </c>
      <c r="C412" s="1" t="s">
        <v>128</v>
      </c>
      <c r="D412" s="2" t="s">
        <v>557</v>
      </c>
      <c r="E412" s="1" t="s">
        <v>105</v>
      </c>
      <c r="F412" s="1" t="s">
        <v>141</v>
      </c>
      <c r="G412" s="1" t="s">
        <v>583</v>
      </c>
      <c r="H412" s="1" t="s">
        <v>96</v>
      </c>
      <c r="I412" s="1" t="s">
        <v>97</v>
      </c>
      <c r="J412" s="2" t="s">
        <v>1704</v>
      </c>
    </row>
    <row r="413">
      <c r="A413" s="1" t="s">
        <v>1706</v>
      </c>
      <c r="B413" s="1" t="s">
        <v>100</v>
      </c>
      <c r="C413" s="1" t="s">
        <v>172</v>
      </c>
      <c r="D413" s="2" t="s">
        <v>903</v>
      </c>
      <c r="E413" s="1" t="s">
        <v>45</v>
      </c>
      <c r="F413" s="1" t="s">
        <v>47</v>
      </c>
      <c r="G413" s="1" t="s">
        <v>551</v>
      </c>
      <c r="H413" s="1" t="s">
        <v>83</v>
      </c>
      <c r="I413" s="1" t="s">
        <v>97</v>
      </c>
      <c r="J413" s="2" t="s">
        <v>1707</v>
      </c>
    </row>
    <row r="414">
      <c r="A414" s="1" t="s">
        <v>1709</v>
      </c>
      <c r="B414" s="1" t="s">
        <v>1149</v>
      </c>
      <c r="C414" s="1" t="s">
        <v>128</v>
      </c>
      <c r="D414" s="2" t="s">
        <v>509</v>
      </c>
      <c r="E414" s="1" t="s">
        <v>28</v>
      </c>
      <c r="F414" s="1" t="s">
        <v>268</v>
      </c>
      <c r="G414" s="1" t="s">
        <v>94</v>
      </c>
      <c r="H414" s="1" t="s">
        <v>67</v>
      </c>
      <c r="I414" s="1" t="s">
        <v>211</v>
      </c>
      <c r="J414" s="2" t="s">
        <v>1711</v>
      </c>
    </row>
    <row r="415">
      <c r="A415" s="1" t="s">
        <v>1712</v>
      </c>
      <c r="B415" s="1" t="s">
        <v>1713</v>
      </c>
      <c r="C415" s="1" t="s">
        <v>495</v>
      </c>
      <c r="D415" s="2" t="s">
        <v>122</v>
      </c>
      <c r="E415" s="1" t="s">
        <v>45</v>
      </c>
      <c r="F415" s="1" t="s">
        <v>64</v>
      </c>
      <c r="G415" s="1" t="s">
        <v>967</v>
      </c>
      <c r="H415" s="1" t="s">
        <v>527</v>
      </c>
      <c r="I415" s="1" t="s">
        <v>52</v>
      </c>
      <c r="J415" s="2" t="s">
        <v>1714</v>
      </c>
    </row>
    <row r="416">
      <c r="A416" s="1" t="s">
        <v>1715</v>
      </c>
      <c r="B416" s="1" t="s">
        <v>803</v>
      </c>
      <c r="C416" s="1" t="s">
        <v>556</v>
      </c>
      <c r="D416" s="2" t="s">
        <v>317</v>
      </c>
      <c r="E416" s="1" t="s">
        <v>152</v>
      </c>
      <c r="F416" s="1" t="s">
        <v>81</v>
      </c>
      <c r="G416" s="1" t="s">
        <v>132</v>
      </c>
      <c r="H416" s="1" t="s">
        <v>165</v>
      </c>
      <c r="I416" s="1" t="s">
        <v>97</v>
      </c>
      <c r="J416" s="2" t="s">
        <v>1717</v>
      </c>
    </row>
    <row r="417">
      <c r="A417" s="1" t="s">
        <v>1718</v>
      </c>
      <c r="B417" s="1" t="s">
        <v>147</v>
      </c>
      <c r="C417" s="1" t="s">
        <v>556</v>
      </c>
      <c r="D417" s="2" t="s">
        <v>823</v>
      </c>
      <c r="E417" s="1" t="s">
        <v>80</v>
      </c>
      <c r="F417" s="1" t="s">
        <v>64</v>
      </c>
      <c r="G417" s="1" t="s">
        <v>916</v>
      </c>
      <c r="H417" s="1" t="s">
        <v>319</v>
      </c>
      <c r="I417" s="1" t="s">
        <v>35</v>
      </c>
      <c r="J417" s="2" t="s">
        <v>1720</v>
      </c>
    </row>
    <row r="418">
      <c r="A418" s="1" t="s">
        <v>1721</v>
      </c>
      <c r="B418" s="1" t="s">
        <v>343</v>
      </c>
      <c r="C418" s="1" t="s">
        <v>713</v>
      </c>
      <c r="D418" s="2" t="s">
        <v>777</v>
      </c>
      <c r="E418" s="1" t="s">
        <v>130</v>
      </c>
      <c r="F418" s="1" t="s">
        <v>30</v>
      </c>
      <c r="G418" s="1" t="s">
        <v>1188</v>
      </c>
      <c r="H418" s="1" t="s">
        <v>500</v>
      </c>
      <c r="I418" s="1" t="s">
        <v>211</v>
      </c>
      <c r="J418" s="2" t="s">
        <v>1722</v>
      </c>
    </row>
    <row r="419">
      <c r="A419" s="1" t="s">
        <v>1723</v>
      </c>
      <c r="B419" s="1" t="s">
        <v>1525</v>
      </c>
      <c r="C419" s="1" t="s">
        <v>254</v>
      </c>
      <c r="D419" s="2" t="s">
        <v>1041</v>
      </c>
      <c r="E419" s="1" t="s">
        <v>80</v>
      </c>
      <c r="F419" s="1" t="s">
        <v>131</v>
      </c>
      <c r="G419" s="1" t="s">
        <v>489</v>
      </c>
      <c r="H419" s="1" t="s">
        <v>110</v>
      </c>
      <c r="I419" s="1" t="s">
        <v>52</v>
      </c>
      <c r="J419" s="2" t="s">
        <v>1725</v>
      </c>
    </row>
    <row r="420">
      <c r="A420" s="1" t="s">
        <v>1726</v>
      </c>
      <c r="B420" s="1" t="s">
        <v>158</v>
      </c>
      <c r="C420" s="1" t="s">
        <v>316</v>
      </c>
      <c r="D420" s="2" t="s">
        <v>325</v>
      </c>
      <c r="E420" s="1" t="s">
        <v>45</v>
      </c>
      <c r="F420" s="1" t="s">
        <v>571</v>
      </c>
      <c r="G420" s="1" t="s">
        <v>196</v>
      </c>
      <c r="H420" s="1" t="s">
        <v>319</v>
      </c>
      <c r="I420" s="1" t="s">
        <v>52</v>
      </c>
      <c r="J420" s="2" t="s">
        <v>1728</v>
      </c>
    </row>
    <row r="421">
      <c r="A421" s="1" t="s">
        <v>1730</v>
      </c>
      <c r="B421" s="1" t="s">
        <v>193</v>
      </c>
      <c r="C421" s="1" t="s">
        <v>1124</v>
      </c>
      <c r="D421" s="2" t="s">
        <v>383</v>
      </c>
      <c r="E421" s="1" t="s">
        <v>105</v>
      </c>
      <c r="F421" s="1" t="s">
        <v>30</v>
      </c>
      <c r="G421" s="1" t="s">
        <v>109</v>
      </c>
      <c r="H421" s="1" t="s">
        <v>110</v>
      </c>
      <c r="I421" s="1" t="s">
        <v>222</v>
      </c>
      <c r="J421" s="2" t="s">
        <v>464</v>
      </c>
    </row>
    <row r="422">
      <c r="A422" s="1" t="s">
        <v>1732</v>
      </c>
      <c r="B422" s="1" t="s">
        <v>307</v>
      </c>
      <c r="C422" s="1" t="s">
        <v>495</v>
      </c>
      <c r="D422" s="2" t="s">
        <v>150</v>
      </c>
      <c r="E422" s="1" t="s">
        <v>28</v>
      </c>
      <c r="F422" s="1" t="s">
        <v>208</v>
      </c>
      <c r="G422" s="1" t="s">
        <v>311</v>
      </c>
      <c r="H422" s="1" t="s">
        <v>96</v>
      </c>
      <c r="I422" s="1" t="s">
        <v>97</v>
      </c>
      <c r="J422" s="2" t="s">
        <v>1734</v>
      </c>
    </row>
    <row r="423">
      <c r="A423" s="1" t="s">
        <v>1735</v>
      </c>
      <c r="B423" s="1" t="s">
        <v>645</v>
      </c>
      <c r="C423" s="1" t="s">
        <v>216</v>
      </c>
      <c r="D423" s="2" t="s">
        <v>1025</v>
      </c>
      <c r="E423" s="1" t="s">
        <v>45</v>
      </c>
      <c r="F423" s="1" t="s">
        <v>30</v>
      </c>
      <c r="G423" s="1" t="s">
        <v>385</v>
      </c>
      <c r="H423" s="1" t="s">
        <v>189</v>
      </c>
      <c r="I423" s="1" t="s">
        <v>97</v>
      </c>
      <c r="J423" s="2" t="s">
        <v>1736</v>
      </c>
    </row>
    <row r="424">
      <c r="A424" s="1" t="s">
        <v>1738</v>
      </c>
      <c r="B424" s="1" t="s">
        <v>757</v>
      </c>
      <c r="C424" s="1" t="s">
        <v>324</v>
      </c>
      <c r="D424" s="2" t="s">
        <v>353</v>
      </c>
      <c r="E424" s="1" t="s">
        <v>45</v>
      </c>
      <c r="F424" s="1" t="s">
        <v>64</v>
      </c>
      <c r="G424" s="1" t="s">
        <v>408</v>
      </c>
      <c r="H424" s="1" t="s">
        <v>221</v>
      </c>
      <c r="I424" s="1" t="s">
        <v>52</v>
      </c>
      <c r="J424" s="2" t="s">
        <v>1740</v>
      </c>
    </row>
    <row r="425">
      <c r="A425" s="1" t="s">
        <v>1741</v>
      </c>
      <c r="B425" s="1" t="s">
        <v>1531</v>
      </c>
      <c r="C425" s="1" t="s">
        <v>1540</v>
      </c>
      <c r="D425" s="2" t="s">
        <v>161</v>
      </c>
      <c r="E425" s="1" t="s">
        <v>152</v>
      </c>
      <c r="F425" s="1" t="s">
        <v>208</v>
      </c>
      <c r="G425" s="1" t="s">
        <v>436</v>
      </c>
      <c r="H425" s="1" t="s">
        <v>221</v>
      </c>
      <c r="I425" s="1" t="s">
        <v>222</v>
      </c>
      <c r="J425" s="2" t="s">
        <v>1742</v>
      </c>
    </row>
    <row r="426">
      <c r="A426" s="1" t="s">
        <v>1743</v>
      </c>
      <c r="B426" s="1" t="s">
        <v>877</v>
      </c>
      <c r="C426" s="1" t="s">
        <v>76</v>
      </c>
      <c r="D426" s="2" t="s">
        <v>1150</v>
      </c>
      <c r="E426" s="1" t="s">
        <v>152</v>
      </c>
      <c r="F426" s="1" t="s">
        <v>208</v>
      </c>
      <c r="G426" s="1" t="s">
        <v>551</v>
      </c>
      <c r="H426" s="1" t="s">
        <v>346</v>
      </c>
      <c r="I426" s="1" t="s">
        <v>52</v>
      </c>
      <c r="J426" s="2" t="s">
        <v>1745</v>
      </c>
    </row>
    <row r="427">
      <c r="A427" s="1" t="s">
        <v>1746</v>
      </c>
      <c r="B427" s="1" t="s">
        <v>827</v>
      </c>
      <c r="C427" s="1" t="s">
        <v>301</v>
      </c>
      <c r="D427" s="2" t="s">
        <v>1025</v>
      </c>
      <c r="E427" s="1" t="s">
        <v>130</v>
      </c>
      <c r="F427" s="1" t="s">
        <v>47</v>
      </c>
      <c r="G427" s="1" t="s">
        <v>318</v>
      </c>
      <c r="H427" s="1" t="s">
        <v>402</v>
      </c>
      <c r="I427" s="1" t="s">
        <v>97</v>
      </c>
      <c r="J427" s="2" t="s">
        <v>1749</v>
      </c>
    </row>
    <row r="428">
      <c r="A428" s="1" t="s">
        <v>1750</v>
      </c>
      <c r="B428" s="1" t="s">
        <v>456</v>
      </c>
      <c r="C428" s="1" t="s">
        <v>254</v>
      </c>
      <c r="D428" s="2" t="s">
        <v>1025</v>
      </c>
      <c r="E428" s="1" t="s">
        <v>105</v>
      </c>
      <c r="F428" s="1" t="s">
        <v>30</v>
      </c>
      <c r="G428" s="1" t="s">
        <v>177</v>
      </c>
      <c r="H428" s="1" t="s">
        <v>477</v>
      </c>
      <c r="I428" s="1" t="s">
        <v>97</v>
      </c>
      <c r="J428" s="2" t="s">
        <v>1751</v>
      </c>
    </row>
    <row r="429">
      <c r="A429" s="1" t="s">
        <v>1752</v>
      </c>
      <c r="B429" s="1" t="s">
        <v>74</v>
      </c>
      <c r="C429" s="1" t="s">
        <v>1562</v>
      </c>
      <c r="D429" s="2" t="s">
        <v>1091</v>
      </c>
      <c r="E429" s="1" t="s">
        <v>130</v>
      </c>
      <c r="F429" s="1" t="s">
        <v>64</v>
      </c>
      <c r="G429" s="1" t="s">
        <v>109</v>
      </c>
      <c r="H429" s="1" t="s">
        <v>110</v>
      </c>
      <c r="I429" s="1" t="s">
        <v>222</v>
      </c>
      <c r="J429" s="2" t="s">
        <v>1754</v>
      </c>
    </row>
    <row r="430">
      <c r="A430" s="1" t="s">
        <v>1755</v>
      </c>
      <c r="B430" s="1" t="s">
        <v>307</v>
      </c>
      <c r="C430" s="1" t="s">
        <v>284</v>
      </c>
      <c r="D430" s="2" t="s">
        <v>733</v>
      </c>
      <c r="E430" s="1" t="s">
        <v>45</v>
      </c>
      <c r="F430" s="1" t="s">
        <v>107</v>
      </c>
      <c r="G430" s="1" t="s">
        <v>583</v>
      </c>
      <c r="H430" s="1" t="s">
        <v>319</v>
      </c>
      <c r="I430" s="1" t="s">
        <v>211</v>
      </c>
      <c r="J430" s="2" t="s">
        <v>1756</v>
      </c>
    </row>
    <row r="431">
      <c r="A431" s="1" t="s">
        <v>1757</v>
      </c>
      <c r="B431" s="1" t="s">
        <v>158</v>
      </c>
      <c r="C431" s="1" t="s">
        <v>90</v>
      </c>
      <c r="D431" s="2" t="s">
        <v>429</v>
      </c>
      <c r="E431" s="1" t="s">
        <v>130</v>
      </c>
      <c r="F431" s="1" t="s">
        <v>141</v>
      </c>
      <c r="G431" s="1" t="s">
        <v>517</v>
      </c>
      <c r="H431" s="1" t="s">
        <v>34</v>
      </c>
      <c r="I431" s="1" t="s">
        <v>211</v>
      </c>
      <c r="J431" s="2" t="s">
        <v>1523</v>
      </c>
    </row>
    <row r="432">
      <c r="A432" s="1" t="s">
        <v>1759</v>
      </c>
      <c r="B432" s="1" t="s">
        <v>784</v>
      </c>
      <c r="C432" s="1" t="s">
        <v>101</v>
      </c>
      <c r="D432" s="2" t="s">
        <v>733</v>
      </c>
      <c r="E432" s="1" t="s">
        <v>152</v>
      </c>
      <c r="F432" s="1" t="s">
        <v>364</v>
      </c>
      <c r="G432" s="1" t="s">
        <v>188</v>
      </c>
      <c r="H432" s="1" t="s">
        <v>189</v>
      </c>
      <c r="I432" s="1" t="s">
        <v>35</v>
      </c>
      <c r="J432" s="2" t="s">
        <v>1760</v>
      </c>
    </row>
    <row r="433">
      <c r="A433" s="1" t="s">
        <v>1761</v>
      </c>
      <c r="B433" s="1" t="s">
        <v>1329</v>
      </c>
      <c r="C433" s="1" t="s">
        <v>1762</v>
      </c>
      <c r="D433" s="2" t="s">
        <v>63</v>
      </c>
      <c r="E433" s="1" t="s">
        <v>130</v>
      </c>
      <c r="F433" s="1" t="s">
        <v>401</v>
      </c>
      <c r="G433" s="1" t="s">
        <v>318</v>
      </c>
      <c r="H433" s="1" t="s">
        <v>197</v>
      </c>
      <c r="I433" s="1" t="s">
        <v>211</v>
      </c>
      <c r="J433" s="2" t="s">
        <v>1764</v>
      </c>
    </row>
    <row r="434">
      <c r="A434" s="1" t="s">
        <v>1765</v>
      </c>
      <c r="B434" s="1" t="s">
        <v>136</v>
      </c>
      <c r="C434" s="1" t="s">
        <v>324</v>
      </c>
      <c r="D434" s="2" t="s">
        <v>738</v>
      </c>
      <c r="E434" s="1" t="s">
        <v>28</v>
      </c>
      <c r="F434" s="1" t="s">
        <v>237</v>
      </c>
      <c r="G434" s="1" t="s">
        <v>677</v>
      </c>
      <c r="H434" s="1" t="s">
        <v>96</v>
      </c>
      <c r="I434" s="1" t="s">
        <v>222</v>
      </c>
      <c r="J434" s="2" t="s">
        <v>1766</v>
      </c>
    </row>
    <row r="435">
      <c r="A435" s="1" t="s">
        <v>1767</v>
      </c>
      <c r="B435" s="1" t="s">
        <v>838</v>
      </c>
      <c r="C435" s="1" t="s">
        <v>1540</v>
      </c>
      <c r="D435" s="2" t="s">
        <v>1150</v>
      </c>
      <c r="E435" s="1" t="s">
        <v>80</v>
      </c>
      <c r="F435" s="1" t="s">
        <v>30</v>
      </c>
      <c r="G435" s="1" t="s">
        <v>612</v>
      </c>
      <c r="H435" s="1" t="s">
        <v>691</v>
      </c>
      <c r="I435" s="1" t="s">
        <v>52</v>
      </c>
      <c r="J435" s="2" t="s">
        <v>1769</v>
      </c>
    </row>
    <row r="436">
      <c r="A436" s="1" t="s">
        <v>1770</v>
      </c>
      <c r="B436" s="1" t="s">
        <v>411</v>
      </c>
      <c r="C436" s="1" t="s">
        <v>959</v>
      </c>
      <c r="D436" s="2" t="s">
        <v>217</v>
      </c>
      <c r="E436" s="1" t="s">
        <v>105</v>
      </c>
      <c r="F436" s="1" t="s">
        <v>393</v>
      </c>
      <c r="G436" s="1" t="s">
        <v>164</v>
      </c>
      <c r="H436" s="1" t="s">
        <v>67</v>
      </c>
      <c r="I436" s="1" t="s">
        <v>35</v>
      </c>
      <c r="J436" s="2" t="s">
        <v>464</v>
      </c>
    </row>
    <row r="437">
      <c r="A437" s="1" t="s">
        <v>1772</v>
      </c>
      <c r="B437" s="1" t="s">
        <v>390</v>
      </c>
      <c r="C437" s="1" t="s">
        <v>374</v>
      </c>
      <c r="D437" s="2" t="s">
        <v>966</v>
      </c>
      <c r="E437" s="1" t="s">
        <v>80</v>
      </c>
      <c r="F437" s="1" t="s">
        <v>47</v>
      </c>
      <c r="G437" s="1" t="s">
        <v>196</v>
      </c>
      <c r="H437" s="1" t="s">
        <v>197</v>
      </c>
      <c r="I437" s="1" t="s">
        <v>97</v>
      </c>
      <c r="J437" s="2" t="s">
        <v>1773</v>
      </c>
    </row>
    <row r="438">
      <c r="A438" s="1" t="s">
        <v>1774</v>
      </c>
      <c r="B438" s="1" t="s">
        <v>171</v>
      </c>
      <c r="C438" s="1" t="s">
        <v>324</v>
      </c>
      <c r="D438" s="2" t="s">
        <v>383</v>
      </c>
      <c r="E438" s="1" t="s">
        <v>152</v>
      </c>
      <c r="F438" s="1" t="s">
        <v>237</v>
      </c>
      <c r="G438" s="1" t="s">
        <v>489</v>
      </c>
      <c r="H438" s="1" t="s">
        <v>179</v>
      </c>
      <c r="I438" s="1" t="s">
        <v>35</v>
      </c>
      <c r="J438" s="2" t="s">
        <v>1776</v>
      </c>
    </row>
    <row r="439">
      <c r="A439" s="1" t="s">
        <v>1777</v>
      </c>
      <c r="B439" s="1" t="s">
        <v>1455</v>
      </c>
      <c r="C439" s="1" t="s">
        <v>959</v>
      </c>
      <c r="D439" s="2" t="s">
        <v>557</v>
      </c>
      <c r="E439" s="1" t="s">
        <v>80</v>
      </c>
      <c r="F439" s="1" t="s">
        <v>571</v>
      </c>
      <c r="G439" s="1" t="s">
        <v>94</v>
      </c>
      <c r="H439" s="1" t="s">
        <v>286</v>
      </c>
      <c r="I439" s="1" t="s">
        <v>97</v>
      </c>
      <c r="J439" s="2" t="s">
        <v>1779</v>
      </c>
    </row>
    <row r="440">
      <c r="A440" s="1" t="s">
        <v>1780</v>
      </c>
      <c r="B440" s="1" t="s">
        <v>307</v>
      </c>
      <c r="C440" s="1" t="s">
        <v>428</v>
      </c>
      <c r="D440" s="2" t="s">
        <v>236</v>
      </c>
      <c r="E440" s="1" t="s">
        <v>105</v>
      </c>
      <c r="F440" s="1" t="s">
        <v>268</v>
      </c>
      <c r="G440" s="1" t="s">
        <v>49</v>
      </c>
      <c r="H440" s="1" t="s">
        <v>165</v>
      </c>
      <c r="I440" s="1" t="s">
        <v>52</v>
      </c>
      <c r="J440" s="2" t="s">
        <v>1446</v>
      </c>
    </row>
    <row r="441">
      <c r="A441" s="1" t="s">
        <v>1781</v>
      </c>
      <c r="B441" s="1" t="s">
        <v>136</v>
      </c>
      <c r="C441" s="1" t="s">
        <v>1782</v>
      </c>
      <c r="D441" s="2" t="s">
        <v>63</v>
      </c>
      <c r="E441" s="1" t="s">
        <v>80</v>
      </c>
      <c r="F441" s="1" t="s">
        <v>393</v>
      </c>
      <c r="G441" s="1" t="s">
        <v>177</v>
      </c>
      <c r="H441" s="1" t="s">
        <v>346</v>
      </c>
      <c r="I441" s="1" t="s">
        <v>211</v>
      </c>
      <c r="J441" s="2" t="s">
        <v>1784</v>
      </c>
    </row>
    <row r="442">
      <c r="A442" s="1" t="s">
        <v>1785</v>
      </c>
      <c r="B442" s="1" t="s">
        <v>688</v>
      </c>
      <c r="C442" s="1" t="s">
        <v>556</v>
      </c>
      <c r="E442" s="1" t="s">
        <v>130</v>
      </c>
      <c r="F442" s="1" t="s">
        <v>309</v>
      </c>
      <c r="G442" s="1" t="s">
        <v>94</v>
      </c>
      <c r="H442" s="1" t="s">
        <v>50</v>
      </c>
      <c r="I442" s="1" t="s">
        <v>211</v>
      </c>
      <c r="J442" s="2" t="s">
        <v>1786</v>
      </c>
    </row>
    <row r="443">
      <c r="A443" s="1" t="s">
        <v>1787</v>
      </c>
      <c r="B443" s="1" t="s">
        <v>1788</v>
      </c>
      <c r="C443" s="1" t="s">
        <v>159</v>
      </c>
      <c r="D443" s="2" t="s">
        <v>1487</v>
      </c>
      <c r="E443" s="1" t="s">
        <v>45</v>
      </c>
      <c r="F443" s="1" t="s">
        <v>81</v>
      </c>
      <c r="G443" s="1" t="s">
        <v>436</v>
      </c>
      <c r="H443" s="1" t="s">
        <v>221</v>
      </c>
      <c r="I443" s="1" t="s">
        <v>222</v>
      </c>
      <c r="J443" s="2" t="s">
        <v>1790</v>
      </c>
    </row>
    <row r="444">
      <c r="A444" s="1" t="s">
        <v>1791</v>
      </c>
      <c r="B444" s="1" t="s">
        <v>158</v>
      </c>
      <c r="C444" s="1" t="s">
        <v>556</v>
      </c>
      <c r="D444" s="2" t="s">
        <v>423</v>
      </c>
      <c r="E444" s="1" t="s">
        <v>105</v>
      </c>
      <c r="F444" s="1" t="s">
        <v>309</v>
      </c>
      <c r="G444" s="1" t="s">
        <v>377</v>
      </c>
      <c r="H444" s="1" t="s">
        <v>319</v>
      </c>
      <c r="I444" s="1" t="s">
        <v>97</v>
      </c>
      <c r="J444" s="2" t="s">
        <v>1793</v>
      </c>
    </row>
    <row r="445">
      <c r="A445" s="1" t="s">
        <v>1794</v>
      </c>
      <c r="B445" s="1" t="s">
        <v>171</v>
      </c>
      <c r="C445" s="1" t="s">
        <v>76</v>
      </c>
      <c r="D445" s="2" t="s">
        <v>139</v>
      </c>
      <c r="E445" s="1" t="s">
        <v>130</v>
      </c>
      <c r="F445" s="1" t="s">
        <v>759</v>
      </c>
      <c r="G445" s="1" t="s">
        <v>109</v>
      </c>
      <c r="H445" s="1" t="s">
        <v>527</v>
      </c>
      <c r="I445" s="1" t="s">
        <v>97</v>
      </c>
      <c r="J445" s="2" t="s">
        <v>1795</v>
      </c>
    </row>
    <row r="446">
      <c r="A446" s="1" t="s">
        <v>1796</v>
      </c>
      <c r="B446" s="1" t="s">
        <v>127</v>
      </c>
      <c r="C446" s="1" t="s">
        <v>254</v>
      </c>
      <c r="D446" s="2" t="s">
        <v>886</v>
      </c>
      <c r="E446" s="1" t="s">
        <v>152</v>
      </c>
      <c r="F446" s="1" t="s">
        <v>364</v>
      </c>
      <c r="G446" s="1" t="s">
        <v>511</v>
      </c>
      <c r="H446" s="1" t="s">
        <v>260</v>
      </c>
      <c r="I446" s="1" t="s">
        <v>52</v>
      </c>
      <c r="J446" s="2" t="s">
        <v>1798</v>
      </c>
    </row>
    <row r="447">
      <c r="A447" s="1" t="s">
        <v>1799</v>
      </c>
      <c r="B447" s="1" t="s">
        <v>89</v>
      </c>
      <c r="C447" s="1" t="s">
        <v>352</v>
      </c>
      <c r="D447" s="2" t="s">
        <v>43</v>
      </c>
      <c r="E447" s="1" t="s">
        <v>45</v>
      </c>
      <c r="F447" s="1" t="s">
        <v>64</v>
      </c>
      <c r="G447" s="1" t="s">
        <v>642</v>
      </c>
      <c r="H447" s="1" t="s">
        <v>720</v>
      </c>
      <c r="I447" s="1" t="s">
        <v>211</v>
      </c>
      <c r="J447" s="2" t="s">
        <v>921</v>
      </c>
    </row>
    <row r="448">
      <c r="A448" s="1" t="s">
        <v>1801</v>
      </c>
      <c r="B448" s="1" t="s">
        <v>1085</v>
      </c>
      <c r="C448" s="1" t="s">
        <v>284</v>
      </c>
      <c r="E448" s="1" t="s">
        <v>80</v>
      </c>
      <c r="F448" s="1" t="s">
        <v>364</v>
      </c>
      <c r="G448" s="1" t="s">
        <v>545</v>
      </c>
      <c r="H448" s="1" t="s">
        <v>260</v>
      </c>
      <c r="I448" s="1" t="s">
        <v>211</v>
      </c>
      <c r="J448" s="2" t="s">
        <v>1802</v>
      </c>
    </row>
    <row r="449">
      <c r="A449" s="1" t="s">
        <v>1803</v>
      </c>
      <c r="B449" s="1" t="s">
        <v>625</v>
      </c>
      <c r="C449" s="1" t="s">
        <v>90</v>
      </c>
      <c r="D449" s="2" t="s">
        <v>406</v>
      </c>
      <c r="E449" s="1" t="s">
        <v>45</v>
      </c>
      <c r="F449" s="1" t="s">
        <v>47</v>
      </c>
      <c r="G449" s="1" t="s">
        <v>517</v>
      </c>
      <c r="H449" s="1" t="s">
        <v>699</v>
      </c>
      <c r="I449" s="1" t="s">
        <v>97</v>
      </c>
      <c r="J449" s="2" t="s">
        <v>1804</v>
      </c>
    </row>
    <row r="450">
      <c r="A450" s="1" t="s">
        <v>1805</v>
      </c>
      <c r="B450" s="1" t="s">
        <v>542</v>
      </c>
      <c r="C450" s="1" t="s">
        <v>363</v>
      </c>
      <c r="D450" s="2" t="s">
        <v>631</v>
      </c>
      <c r="E450" s="1" t="s">
        <v>130</v>
      </c>
      <c r="F450" s="1" t="s">
        <v>47</v>
      </c>
      <c r="G450" s="1" t="s">
        <v>164</v>
      </c>
      <c r="H450" s="1" t="s">
        <v>165</v>
      </c>
      <c r="I450" s="1" t="s">
        <v>97</v>
      </c>
      <c r="J450" s="2" t="s">
        <v>1806</v>
      </c>
    </row>
    <row r="451">
      <c r="A451" s="1" t="s">
        <v>1808</v>
      </c>
      <c r="B451" s="1" t="s">
        <v>1809</v>
      </c>
      <c r="C451" s="1" t="s">
        <v>216</v>
      </c>
      <c r="D451" s="2" t="s">
        <v>63</v>
      </c>
      <c r="E451" s="1" t="s">
        <v>152</v>
      </c>
      <c r="F451" s="1" t="s">
        <v>107</v>
      </c>
      <c r="G451" s="1" t="s">
        <v>612</v>
      </c>
      <c r="H451" s="1" t="s">
        <v>691</v>
      </c>
      <c r="I451" s="1" t="s">
        <v>52</v>
      </c>
      <c r="J451" s="2" t="s">
        <v>1811</v>
      </c>
    </row>
    <row r="452">
      <c r="A452" s="1" t="s">
        <v>1812</v>
      </c>
      <c r="B452" s="1" t="s">
        <v>1186</v>
      </c>
      <c r="C452" s="1" t="s">
        <v>76</v>
      </c>
      <c r="D452" s="2" t="s">
        <v>26</v>
      </c>
      <c r="E452" s="1" t="s">
        <v>152</v>
      </c>
      <c r="F452" s="1" t="s">
        <v>237</v>
      </c>
      <c r="G452" s="1" t="s">
        <v>377</v>
      </c>
      <c r="H452" s="1" t="s">
        <v>402</v>
      </c>
      <c r="I452" s="1" t="s">
        <v>211</v>
      </c>
      <c r="J452" s="2" t="s">
        <v>491</v>
      </c>
    </row>
    <row r="453">
      <c r="A453" s="1" t="s">
        <v>1814</v>
      </c>
      <c r="B453" s="1" t="s">
        <v>411</v>
      </c>
      <c r="C453" s="1" t="s">
        <v>515</v>
      </c>
      <c r="D453" s="2" t="s">
        <v>302</v>
      </c>
      <c r="E453" s="1" t="s">
        <v>105</v>
      </c>
      <c r="F453" s="1" t="s">
        <v>30</v>
      </c>
      <c r="G453" s="1" t="s">
        <v>977</v>
      </c>
      <c r="H453" s="1" t="s">
        <v>394</v>
      </c>
      <c r="I453" s="1" t="s">
        <v>97</v>
      </c>
      <c r="J453" s="2" t="s">
        <v>1816</v>
      </c>
    </row>
    <row r="454">
      <c r="A454" s="1" t="s">
        <v>1817</v>
      </c>
      <c r="B454" s="1" t="s">
        <v>171</v>
      </c>
      <c r="C454" s="1" t="s">
        <v>264</v>
      </c>
      <c r="D454" s="2" t="s">
        <v>92</v>
      </c>
      <c r="E454" s="1" t="s">
        <v>80</v>
      </c>
      <c r="F454" s="1" t="s">
        <v>237</v>
      </c>
      <c r="G454" s="1" t="s">
        <v>238</v>
      </c>
      <c r="H454" s="1" t="s">
        <v>240</v>
      </c>
      <c r="I454" s="1" t="s">
        <v>211</v>
      </c>
      <c r="J454" s="2" t="s">
        <v>1818</v>
      </c>
    </row>
    <row r="455">
      <c r="A455" s="1" t="s">
        <v>1819</v>
      </c>
      <c r="B455" s="1" t="s">
        <v>183</v>
      </c>
      <c r="C455" s="1" t="s">
        <v>374</v>
      </c>
      <c r="D455" s="2" t="s">
        <v>302</v>
      </c>
      <c r="E455" s="1" t="s">
        <v>80</v>
      </c>
      <c r="F455" s="1" t="s">
        <v>571</v>
      </c>
      <c r="G455" s="1" t="s">
        <v>358</v>
      </c>
      <c r="H455" s="1" t="s">
        <v>359</v>
      </c>
      <c r="I455" s="1" t="s">
        <v>97</v>
      </c>
      <c r="J455" s="2" t="s">
        <v>1821</v>
      </c>
    </row>
    <row r="456">
      <c r="A456" s="1" t="s">
        <v>1822</v>
      </c>
      <c r="B456" s="1" t="s">
        <v>24</v>
      </c>
      <c r="C456" s="1" t="s">
        <v>556</v>
      </c>
      <c r="D456" s="2" t="s">
        <v>945</v>
      </c>
      <c r="E456" s="1" t="s">
        <v>105</v>
      </c>
      <c r="F456" s="1" t="s">
        <v>107</v>
      </c>
      <c r="G456" s="1" t="s">
        <v>345</v>
      </c>
      <c r="H456" s="1" t="s">
        <v>592</v>
      </c>
      <c r="I456" s="1" t="s">
        <v>52</v>
      </c>
      <c r="J456" s="2" t="s">
        <v>1824</v>
      </c>
    </row>
    <row r="457">
      <c r="A457" s="1" t="s">
        <v>1825</v>
      </c>
      <c r="B457" s="1" t="s">
        <v>820</v>
      </c>
      <c r="C457" s="1" t="s">
        <v>194</v>
      </c>
      <c r="D457" s="2" t="s">
        <v>1025</v>
      </c>
      <c r="E457" s="1" t="s">
        <v>28</v>
      </c>
      <c r="F457" s="1" t="s">
        <v>237</v>
      </c>
      <c r="G457" s="1" t="s">
        <v>238</v>
      </c>
      <c r="H457" s="1" t="s">
        <v>240</v>
      </c>
      <c r="I457" s="1" t="s">
        <v>97</v>
      </c>
      <c r="J457" s="2" t="s">
        <v>1826</v>
      </c>
    </row>
    <row r="458">
      <c r="A458" s="1" t="s">
        <v>1825</v>
      </c>
      <c r="B458" s="1" t="s">
        <v>820</v>
      </c>
      <c r="C458" s="1" t="s">
        <v>194</v>
      </c>
      <c r="D458" s="2" t="s">
        <v>1025</v>
      </c>
      <c r="E458" s="1" t="s">
        <v>28</v>
      </c>
      <c r="F458" s="1" t="s">
        <v>237</v>
      </c>
      <c r="G458" s="1" t="s">
        <v>238</v>
      </c>
      <c r="H458" s="1" t="s">
        <v>240</v>
      </c>
      <c r="I458" s="1" t="s">
        <v>97</v>
      </c>
      <c r="J458" s="2" t="s">
        <v>1826</v>
      </c>
    </row>
    <row r="459">
      <c r="A459" s="1" t="s">
        <v>1828</v>
      </c>
      <c r="B459" s="1" t="s">
        <v>1829</v>
      </c>
      <c r="C459" s="1" t="s">
        <v>828</v>
      </c>
      <c r="D459" s="2" t="s">
        <v>481</v>
      </c>
      <c r="E459" s="1" t="s">
        <v>130</v>
      </c>
      <c r="F459" s="1" t="s">
        <v>47</v>
      </c>
      <c r="G459" s="1" t="s">
        <v>370</v>
      </c>
      <c r="H459" s="1" t="s">
        <v>319</v>
      </c>
      <c r="I459" s="1" t="s">
        <v>52</v>
      </c>
      <c r="J459" s="2" t="s">
        <v>1830</v>
      </c>
    </row>
    <row r="460">
      <c r="A460" s="1" t="s">
        <v>1831</v>
      </c>
      <c r="B460" s="1" t="s">
        <v>1583</v>
      </c>
      <c r="C460" s="1" t="s">
        <v>1105</v>
      </c>
      <c r="E460" s="1" t="s">
        <v>28</v>
      </c>
      <c r="F460" s="1" t="s">
        <v>176</v>
      </c>
      <c r="G460" s="1" t="s">
        <v>551</v>
      </c>
      <c r="H460" s="1" t="s">
        <v>83</v>
      </c>
      <c r="I460" s="1" t="s">
        <v>222</v>
      </c>
      <c r="J460" s="2" t="s">
        <v>1832</v>
      </c>
    </row>
    <row r="461">
      <c r="A461" s="1" t="s">
        <v>1833</v>
      </c>
      <c r="B461" s="1" t="s">
        <v>234</v>
      </c>
      <c r="C461" s="1" t="s">
        <v>363</v>
      </c>
      <c r="D461" s="2" t="s">
        <v>738</v>
      </c>
      <c r="E461" s="1" t="s">
        <v>45</v>
      </c>
      <c r="F461" s="1" t="s">
        <v>309</v>
      </c>
      <c r="G461" s="1" t="s">
        <v>967</v>
      </c>
      <c r="H461" s="1" t="s">
        <v>527</v>
      </c>
      <c r="I461" s="1" t="s">
        <v>52</v>
      </c>
      <c r="J461" s="2" t="s">
        <v>464</v>
      </c>
    </row>
    <row r="462">
      <c r="A462" s="1" t="s">
        <v>1834</v>
      </c>
      <c r="B462" s="1" t="s">
        <v>1149</v>
      </c>
      <c r="C462" s="1" t="s">
        <v>1835</v>
      </c>
      <c r="D462" s="2" t="s">
        <v>302</v>
      </c>
      <c r="E462" s="1" t="s">
        <v>28</v>
      </c>
      <c r="F462" s="1" t="s">
        <v>64</v>
      </c>
      <c r="G462" s="1" t="s">
        <v>439</v>
      </c>
      <c r="H462" s="1" t="s">
        <v>189</v>
      </c>
      <c r="I462" s="1" t="s">
        <v>97</v>
      </c>
      <c r="J462" s="2" t="s">
        <v>1837</v>
      </c>
    </row>
    <row r="463">
      <c r="A463" s="1" t="s">
        <v>1838</v>
      </c>
      <c r="B463" s="1" t="s">
        <v>136</v>
      </c>
      <c r="C463" s="1" t="s">
        <v>324</v>
      </c>
      <c r="D463" s="2" t="s">
        <v>218</v>
      </c>
      <c r="E463" s="1" t="s">
        <v>45</v>
      </c>
      <c r="F463" s="1" t="s">
        <v>309</v>
      </c>
      <c r="G463" s="1" t="s">
        <v>326</v>
      </c>
      <c r="H463" s="1" t="s">
        <v>110</v>
      </c>
      <c r="I463" s="1" t="s">
        <v>35</v>
      </c>
      <c r="J463" s="2" t="s">
        <v>1839</v>
      </c>
    </row>
    <row r="464">
      <c r="A464" s="1" t="s">
        <v>1840</v>
      </c>
      <c r="B464" s="1" t="s">
        <v>89</v>
      </c>
      <c r="C464" s="1" t="s">
        <v>254</v>
      </c>
      <c r="D464" s="2" t="s">
        <v>850</v>
      </c>
      <c r="E464" s="1" t="s">
        <v>28</v>
      </c>
      <c r="F464" s="1" t="s">
        <v>131</v>
      </c>
      <c r="G464" s="1" t="s">
        <v>164</v>
      </c>
      <c r="H464" s="1" t="s">
        <v>286</v>
      </c>
      <c r="I464" s="1" t="s">
        <v>97</v>
      </c>
      <c r="J464" s="2" t="s">
        <v>1842</v>
      </c>
    </row>
    <row r="465">
      <c r="A465" s="1" t="s">
        <v>1843</v>
      </c>
      <c r="B465" s="1" t="s">
        <v>1143</v>
      </c>
      <c r="C465" s="1" t="s">
        <v>520</v>
      </c>
      <c r="D465" s="2" t="s">
        <v>229</v>
      </c>
      <c r="E465" s="1" t="s">
        <v>130</v>
      </c>
      <c r="F465" s="1" t="s">
        <v>571</v>
      </c>
      <c r="G465" s="1" t="s">
        <v>436</v>
      </c>
      <c r="H465" s="1" t="s">
        <v>359</v>
      </c>
      <c r="I465" s="1" t="s">
        <v>97</v>
      </c>
      <c r="J465" s="2" t="s">
        <v>1844</v>
      </c>
    </row>
    <row r="466">
      <c r="A466" s="1" t="s">
        <v>1846</v>
      </c>
      <c r="B466" s="1" t="s">
        <v>171</v>
      </c>
      <c r="C466" s="1" t="s">
        <v>90</v>
      </c>
      <c r="D466" s="2" t="s">
        <v>1231</v>
      </c>
      <c r="E466" s="1" t="s">
        <v>130</v>
      </c>
      <c r="F466" s="1" t="s">
        <v>571</v>
      </c>
      <c r="G466" s="1" t="s">
        <v>377</v>
      </c>
      <c r="H466" s="1" t="s">
        <v>197</v>
      </c>
      <c r="I466" s="1" t="s">
        <v>97</v>
      </c>
      <c r="J466" s="2" t="s">
        <v>1847</v>
      </c>
    </row>
    <row r="467">
      <c r="A467" s="1" t="s">
        <v>1848</v>
      </c>
      <c r="B467" s="1" t="s">
        <v>898</v>
      </c>
      <c r="C467" s="1" t="s">
        <v>1361</v>
      </c>
      <c r="D467" s="2" t="s">
        <v>1013</v>
      </c>
      <c r="E467" s="1" t="s">
        <v>28</v>
      </c>
      <c r="F467" s="1" t="s">
        <v>309</v>
      </c>
      <c r="G467" s="1" t="s">
        <v>358</v>
      </c>
      <c r="H467" s="1" t="s">
        <v>221</v>
      </c>
      <c r="I467" s="1" t="s">
        <v>52</v>
      </c>
      <c r="J467" s="2" t="s">
        <v>1850</v>
      </c>
    </row>
    <row r="468">
      <c r="A468" s="1" t="s">
        <v>1851</v>
      </c>
      <c r="B468" s="1" t="s">
        <v>368</v>
      </c>
      <c r="C468" s="1" t="s">
        <v>148</v>
      </c>
      <c r="D468" s="2" t="s">
        <v>631</v>
      </c>
      <c r="E468" s="1" t="s">
        <v>80</v>
      </c>
      <c r="F468" s="1" t="s">
        <v>539</v>
      </c>
      <c r="G468" s="1" t="s">
        <v>345</v>
      </c>
      <c r="H468" s="1" t="s">
        <v>197</v>
      </c>
      <c r="I468" s="1" t="s">
        <v>97</v>
      </c>
      <c r="J468" s="2" t="s">
        <v>1570</v>
      </c>
    </row>
    <row r="469">
      <c r="A469" s="1" t="s">
        <v>1852</v>
      </c>
      <c r="B469" s="1" t="s">
        <v>307</v>
      </c>
      <c r="C469" s="1" t="s">
        <v>128</v>
      </c>
      <c r="D469" s="2" t="s">
        <v>429</v>
      </c>
      <c r="E469" s="1" t="s">
        <v>45</v>
      </c>
      <c r="F469" s="1" t="s">
        <v>176</v>
      </c>
      <c r="G469" s="1" t="s">
        <v>642</v>
      </c>
      <c r="H469" s="1" t="s">
        <v>346</v>
      </c>
      <c r="I469" s="1" t="s">
        <v>35</v>
      </c>
      <c r="J469" s="2" t="s">
        <v>1854</v>
      </c>
    </row>
    <row r="470">
      <c r="A470" s="1" t="s">
        <v>1855</v>
      </c>
      <c r="B470" s="1" t="s">
        <v>1856</v>
      </c>
      <c r="C470" s="1" t="s">
        <v>433</v>
      </c>
      <c r="D470" s="2" t="s">
        <v>195</v>
      </c>
      <c r="E470" s="1" t="s">
        <v>105</v>
      </c>
      <c r="F470" s="1" t="s">
        <v>393</v>
      </c>
      <c r="G470" s="1" t="s">
        <v>82</v>
      </c>
      <c r="H470" s="1" t="s">
        <v>34</v>
      </c>
      <c r="I470" s="1" t="s">
        <v>97</v>
      </c>
      <c r="J470" s="2" t="s">
        <v>1857</v>
      </c>
    </row>
    <row r="471">
      <c r="A471" s="1" t="s">
        <v>1858</v>
      </c>
      <c r="B471" s="1" t="s">
        <v>127</v>
      </c>
      <c r="C471" s="1" t="s">
        <v>128</v>
      </c>
      <c r="E471" s="1" t="s">
        <v>152</v>
      </c>
      <c r="F471" s="1" t="s">
        <v>47</v>
      </c>
      <c r="G471" s="1" t="s">
        <v>583</v>
      </c>
      <c r="H471" s="1" t="s">
        <v>197</v>
      </c>
      <c r="I471" s="1" t="s">
        <v>35</v>
      </c>
      <c r="J471" s="2" t="s">
        <v>1859</v>
      </c>
    </row>
    <row r="472">
      <c r="A472" s="1" t="s">
        <v>1861</v>
      </c>
      <c r="B472" s="1" t="s">
        <v>1788</v>
      </c>
      <c r="C472" s="1" t="s">
        <v>1862</v>
      </c>
      <c r="D472" s="2" t="s">
        <v>92</v>
      </c>
      <c r="E472" s="1" t="s">
        <v>152</v>
      </c>
      <c r="F472" s="1" t="s">
        <v>393</v>
      </c>
      <c r="G472" s="1" t="s">
        <v>258</v>
      </c>
      <c r="H472" s="1" t="s">
        <v>546</v>
      </c>
      <c r="I472" s="1" t="s">
        <v>222</v>
      </c>
      <c r="J472" s="2" t="s">
        <v>1773</v>
      </c>
    </row>
    <row r="473">
      <c r="A473" s="1" t="s">
        <v>1864</v>
      </c>
      <c r="B473" s="1" t="s">
        <v>158</v>
      </c>
      <c r="C473" s="1" t="s">
        <v>25</v>
      </c>
      <c r="D473" s="2" t="s">
        <v>122</v>
      </c>
      <c r="E473" s="1" t="s">
        <v>28</v>
      </c>
      <c r="F473" s="1" t="s">
        <v>237</v>
      </c>
      <c r="G473" s="1" t="s">
        <v>132</v>
      </c>
      <c r="H473" s="1" t="s">
        <v>607</v>
      </c>
      <c r="I473" s="1" t="s">
        <v>52</v>
      </c>
      <c r="J473" s="2" t="s">
        <v>1865</v>
      </c>
    </row>
    <row r="474">
      <c r="A474" s="1" t="s">
        <v>1866</v>
      </c>
      <c r="B474" s="1" t="s">
        <v>307</v>
      </c>
      <c r="C474" s="1" t="s">
        <v>374</v>
      </c>
      <c r="D474" s="2" t="s">
        <v>195</v>
      </c>
      <c r="E474" s="1" t="s">
        <v>105</v>
      </c>
      <c r="F474" s="1" t="s">
        <v>393</v>
      </c>
      <c r="G474" s="1" t="s">
        <v>436</v>
      </c>
      <c r="H474" s="1" t="s">
        <v>221</v>
      </c>
      <c r="I474" s="1" t="s">
        <v>97</v>
      </c>
      <c r="J474" s="2" t="s">
        <v>1868</v>
      </c>
    </row>
    <row r="475">
      <c r="A475" s="1" t="s">
        <v>1869</v>
      </c>
      <c r="B475" s="1" t="s">
        <v>136</v>
      </c>
      <c r="C475" s="1" t="s">
        <v>128</v>
      </c>
      <c r="D475" s="2" t="s">
        <v>195</v>
      </c>
      <c r="E475" s="1" t="s">
        <v>28</v>
      </c>
      <c r="F475" s="1" t="s">
        <v>64</v>
      </c>
      <c r="G475" s="1" t="s">
        <v>311</v>
      </c>
      <c r="H475" s="1" t="s">
        <v>143</v>
      </c>
      <c r="I475" s="1" t="s">
        <v>97</v>
      </c>
      <c r="J475" s="2" t="s">
        <v>1257</v>
      </c>
    </row>
    <row r="476">
      <c r="A476" s="1" t="s">
        <v>1870</v>
      </c>
      <c r="B476" s="1" t="s">
        <v>158</v>
      </c>
      <c r="C476" s="1" t="s">
        <v>363</v>
      </c>
      <c r="D476" s="2" t="s">
        <v>1343</v>
      </c>
      <c r="E476" s="1" t="s">
        <v>45</v>
      </c>
      <c r="F476" s="1" t="s">
        <v>539</v>
      </c>
      <c r="G476" s="1" t="s">
        <v>637</v>
      </c>
      <c r="H476" s="1" t="s">
        <v>260</v>
      </c>
      <c r="I476" s="1" t="s">
        <v>97</v>
      </c>
      <c r="J476" s="2" t="s">
        <v>1872</v>
      </c>
    </row>
    <row r="477">
      <c r="A477" s="1" t="s">
        <v>1874</v>
      </c>
      <c r="B477" s="1" t="s">
        <v>1875</v>
      </c>
      <c r="C477" s="1" t="s">
        <v>828</v>
      </c>
      <c r="D477" s="2" t="s">
        <v>1180</v>
      </c>
      <c r="E477" s="1" t="s">
        <v>152</v>
      </c>
      <c r="F477" s="1" t="s">
        <v>30</v>
      </c>
      <c r="G477" s="1" t="s">
        <v>499</v>
      </c>
      <c r="H477" s="1" t="s">
        <v>240</v>
      </c>
      <c r="I477" s="1" t="s">
        <v>222</v>
      </c>
      <c r="J477" s="2" t="s">
        <v>1876</v>
      </c>
    </row>
    <row r="478">
      <c r="A478" s="1" t="s">
        <v>1878</v>
      </c>
      <c r="B478" s="1" t="s">
        <v>411</v>
      </c>
      <c r="C478" s="1" t="s">
        <v>128</v>
      </c>
      <c r="E478" s="1" t="s">
        <v>105</v>
      </c>
      <c r="F478" s="1" t="s">
        <v>237</v>
      </c>
      <c r="G478" s="1" t="s">
        <v>558</v>
      </c>
      <c r="H478" s="1" t="s">
        <v>561</v>
      </c>
      <c r="I478" s="1" t="s">
        <v>35</v>
      </c>
      <c r="J478" s="2" t="s">
        <v>1879</v>
      </c>
    </row>
    <row r="479">
      <c r="A479" s="1" t="s">
        <v>1880</v>
      </c>
      <c r="B479" s="1" t="s">
        <v>193</v>
      </c>
      <c r="C479" s="1" t="s">
        <v>216</v>
      </c>
      <c r="D479" s="2" t="s">
        <v>336</v>
      </c>
      <c r="E479" s="1" t="s">
        <v>45</v>
      </c>
      <c r="F479" s="1" t="s">
        <v>268</v>
      </c>
      <c r="G479" s="1" t="s">
        <v>439</v>
      </c>
      <c r="H479" s="1" t="s">
        <v>386</v>
      </c>
      <c r="I479" s="1" t="s">
        <v>97</v>
      </c>
      <c r="J479" s="2" t="s">
        <v>1881</v>
      </c>
    </row>
    <row r="480">
      <c r="A480" s="1" t="s">
        <v>1882</v>
      </c>
      <c r="B480" s="1" t="s">
        <v>307</v>
      </c>
      <c r="C480" s="1" t="s">
        <v>301</v>
      </c>
      <c r="D480" s="2" t="s">
        <v>1442</v>
      </c>
      <c r="E480" s="1" t="s">
        <v>105</v>
      </c>
      <c r="F480" s="1" t="s">
        <v>30</v>
      </c>
      <c r="G480" s="1" t="s">
        <v>345</v>
      </c>
      <c r="H480" s="1" t="s">
        <v>402</v>
      </c>
      <c r="I480" s="1" t="s">
        <v>97</v>
      </c>
      <c r="J480" s="2" t="s">
        <v>1883</v>
      </c>
    </row>
    <row r="481">
      <c r="A481" s="1" t="s">
        <v>1884</v>
      </c>
      <c r="B481" s="1" t="s">
        <v>645</v>
      </c>
      <c r="C481" s="1" t="s">
        <v>254</v>
      </c>
      <c r="D481" s="2" t="s">
        <v>236</v>
      </c>
      <c r="E481" s="1" t="s">
        <v>45</v>
      </c>
      <c r="F481" s="1" t="s">
        <v>237</v>
      </c>
      <c r="G481" s="1" t="s">
        <v>482</v>
      </c>
      <c r="H481" s="1" t="s">
        <v>527</v>
      </c>
      <c r="I481" s="1" t="s">
        <v>211</v>
      </c>
      <c r="J481" s="2" t="s">
        <v>1886</v>
      </c>
    </row>
    <row r="482">
      <c r="A482" s="1" t="s">
        <v>1887</v>
      </c>
      <c r="B482" s="1" t="s">
        <v>757</v>
      </c>
      <c r="C482" s="1" t="s">
        <v>1562</v>
      </c>
      <c r="D482" s="2" t="s">
        <v>738</v>
      </c>
      <c r="E482" s="1" t="s">
        <v>45</v>
      </c>
      <c r="F482" s="1" t="s">
        <v>364</v>
      </c>
      <c r="G482" s="1" t="s">
        <v>385</v>
      </c>
      <c r="H482" s="1" t="s">
        <v>394</v>
      </c>
      <c r="I482" s="1" t="s">
        <v>52</v>
      </c>
      <c r="J482" s="2" t="s">
        <v>1888</v>
      </c>
    </row>
    <row r="483">
      <c r="A483" s="1" t="s">
        <v>1889</v>
      </c>
      <c r="B483" s="1" t="s">
        <v>411</v>
      </c>
      <c r="C483" s="1" t="s">
        <v>148</v>
      </c>
      <c r="D483" s="2" t="s">
        <v>521</v>
      </c>
      <c r="E483" s="1" t="s">
        <v>28</v>
      </c>
      <c r="F483" s="1" t="s">
        <v>256</v>
      </c>
      <c r="G483" s="1" t="s">
        <v>470</v>
      </c>
      <c r="H483" s="1" t="s">
        <v>96</v>
      </c>
      <c r="I483" s="1" t="s">
        <v>222</v>
      </c>
      <c r="J483" s="2" t="s">
        <v>1891</v>
      </c>
    </row>
    <row r="484">
      <c r="A484" s="1" t="s">
        <v>1892</v>
      </c>
      <c r="B484" s="1" t="s">
        <v>772</v>
      </c>
      <c r="C484" s="1" t="s">
        <v>374</v>
      </c>
      <c r="D484" s="2" t="s">
        <v>878</v>
      </c>
      <c r="E484" s="1" t="s">
        <v>80</v>
      </c>
      <c r="F484" s="1" t="s">
        <v>141</v>
      </c>
      <c r="G484" s="1" t="s">
        <v>132</v>
      </c>
      <c r="H484" s="1" t="s">
        <v>231</v>
      </c>
      <c r="I484" s="1" t="s">
        <v>52</v>
      </c>
      <c r="J484" s="2" t="s">
        <v>1894</v>
      </c>
    </row>
    <row r="485">
      <c r="A485" s="1" t="s">
        <v>1895</v>
      </c>
      <c r="B485" s="1" t="s">
        <v>620</v>
      </c>
      <c r="C485" s="1" t="s">
        <v>159</v>
      </c>
      <c r="D485" s="2" t="s">
        <v>521</v>
      </c>
      <c r="E485" s="1" t="s">
        <v>105</v>
      </c>
      <c r="F485" s="1" t="s">
        <v>393</v>
      </c>
      <c r="G485" s="1" t="s">
        <v>545</v>
      </c>
      <c r="H485" s="1" t="s">
        <v>260</v>
      </c>
      <c r="I485" s="1" t="s">
        <v>222</v>
      </c>
      <c r="J485" s="2" t="s">
        <v>1896</v>
      </c>
    </row>
    <row r="486">
      <c r="A486" s="1" t="s">
        <v>1897</v>
      </c>
      <c r="B486" s="1" t="s">
        <v>1809</v>
      </c>
      <c r="C486" s="1" t="s">
        <v>128</v>
      </c>
      <c r="D486" s="2" t="s">
        <v>903</v>
      </c>
      <c r="E486" s="1" t="s">
        <v>80</v>
      </c>
      <c r="F486" s="1" t="s">
        <v>131</v>
      </c>
      <c r="G486" s="1" t="s">
        <v>647</v>
      </c>
      <c r="H486" s="1" t="s">
        <v>359</v>
      </c>
      <c r="I486" s="1" t="s">
        <v>97</v>
      </c>
      <c r="J486" s="2" t="s">
        <v>1899</v>
      </c>
    </row>
    <row r="487">
      <c r="A487" s="1" t="s">
        <v>1900</v>
      </c>
      <c r="B487" s="1" t="s">
        <v>323</v>
      </c>
      <c r="C487" s="1" t="s">
        <v>244</v>
      </c>
      <c r="D487" s="2" t="s">
        <v>91</v>
      </c>
      <c r="E487" s="1" t="s">
        <v>105</v>
      </c>
      <c r="F487" s="1" t="s">
        <v>64</v>
      </c>
      <c r="G487" s="1" t="s">
        <v>142</v>
      </c>
      <c r="H487" s="1" t="s">
        <v>477</v>
      </c>
      <c r="I487" s="1" t="s">
        <v>97</v>
      </c>
      <c r="J487" s="2" t="s">
        <v>1901</v>
      </c>
    </row>
    <row r="488">
      <c r="A488" s="1" t="s">
        <v>1902</v>
      </c>
      <c r="B488" s="1" t="s">
        <v>307</v>
      </c>
      <c r="C488" s="1" t="s">
        <v>25</v>
      </c>
      <c r="D488" s="2" t="s">
        <v>383</v>
      </c>
      <c r="E488" s="1" t="s">
        <v>28</v>
      </c>
      <c r="F488" s="1" t="s">
        <v>30</v>
      </c>
      <c r="G488" s="1" t="s">
        <v>482</v>
      </c>
      <c r="H488" s="1" t="s">
        <v>179</v>
      </c>
      <c r="I488" s="1" t="s">
        <v>211</v>
      </c>
      <c r="J488" s="2" t="s">
        <v>1904</v>
      </c>
    </row>
    <row r="489">
      <c r="A489" s="1" t="s">
        <v>1905</v>
      </c>
      <c r="B489" s="1" t="s">
        <v>1267</v>
      </c>
      <c r="C489" s="1" t="s">
        <v>363</v>
      </c>
      <c r="D489" s="2" t="s">
        <v>1231</v>
      </c>
      <c r="E489" s="1" t="s">
        <v>130</v>
      </c>
      <c r="F489" s="1" t="s">
        <v>30</v>
      </c>
      <c r="G489" s="1" t="s">
        <v>1269</v>
      </c>
      <c r="H489" s="1" t="s">
        <v>527</v>
      </c>
      <c r="I489" s="1" t="s">
        <v>97</v>
      </c>
      <c r="J489" s="2" t="s">
        <v>464</v>
      </c>
    </row>
    <row r="490">
      <c r="A490" s="1" t="s">
        <v>1906</v>
      </c>
      <c r="B490" s="1" t="s">
        <v>127</v>
      </c>
      <c r="C490" s="1" t="s">
        <v>428</v>
      </c>
      <c r="E490" s="1" t="s">
        <v>80</v>
      </c>
      <c r="F490" s="1" t="s">
        <v>64</v>
      </c>
      <c r="G490" s="1" t="s">
        <v>142</v>
      </c>
      <c r="H490" s="1" t="s">
        <v>346</v>
      </c>
      <c r="I490" s="1" t="s">
        <v>211</v>
      </c>
      <c r="J490" s="2" t="s">
        <v>491</v>
      </c>
    </row>
    <row r="491">
      <c r="A491" s="1" t="s">
        <v>1908</v>
      </c>
      <c r="B491" s="1" t="s">
        <v>1329</v>
      </c>
      <c r="C491" s="1" t="s">
        <v>254</v>
      </c>
      <c r="D491" s="2" t="s">
        <v>481</v>
      </c>
      <c r="E491" s="1" t="s">
        <v>130</v>
      </c>
      <c r="F491" s="1" t="s">
        <v>401</v>
      </c>
      <c r="G491" s="1" t="s">
        <v>94</v>
      </c>
      <c r="H491" s="1" t="s">
        <v>452</v>
      </c>
      <c r="I491" s="1" t="s">
        <v>52</v>
      </c>
      <c r="J491" s="2" t="s">
        <v>464</v>
      </c>
    </row>
    <row r="492">
      <c r="A492" s="1" t="s">
        <v>1911</v>
      </c>
      <c r="B492" s="1" t="s">
        <v>820</v>
      </c>
      <c r="C492" s="1" t="s">
        <v>128</v>
      </c>
      <c r="D492" s="2" t="s">
        <v>325</v>
      </c>
      <c r="E492" s="1" t="s">
        <v>105</v>
      </c>
      <c r="F492" s="1" t="s">
        <v>47</v>
      </c>
      <c r="G492" s="1" t="s">
        <v>132</v>
      </c>
      <c r="H492" s="1" t="s">
        <v>346</v>
      </c>
      <c r="I492" s="1" t="s">
        <v>35</v>
      </c>
      <c r="J492" s="2" t="s">
        <v>1243</v>
      </c>
    </row>
    <row r="493">
      <c r="A493" s="1" t="s">
        <v>1913</v>
      </c>
      <c r="B493" s="1" t="s">
        <v>531</v>
      </c>
      <c r="C493" s="1" t="s">
        <v>42</v>
      </c>
      <c r="D493" s="2" t="s">
        <v>445</v>
      </c>
      <c r="E493" s="1" t="s">
        <v>28</v>
      </c>
      <c r="F493" s="1" t="s">
        <v>30</v>
      </c>
      <c r="G493" s="1" t="s">
        <v>177</v>
      </c>
      <c r="H493" s="1" t="s">
        <v>527</v>
      </c>
      <c r="I493" s="1" t="s">
        <v>97</v>
      </c>
      <c r="J493" s="2" t="s">
        <v>1914</v>
      </c>
    </row>
    <row r="494">
      <c r="A494" s="1" t="s">
        <v>1915</v>
      </c>
      <c r="B494" s="1" t="s">
        <v>1916</v>
      </c>
      <c r="C494" s="1" t="s">
        <v>959</v>
      </c>
      <c r="D494" s="2" t="s">
        <v>43</v>
      </c>
      <c r="E494" s="1" t="s">
        <v>105</v>
      </c>
      <c r="F494" s="1" t="s">
        <v>401</v>
      </c>
      <c r="G494" s="1" t="s">
        <v>612</v>
      </c>
      <c r="H494" s="1" t="s">
        <v>240</v>
      </c>
      <c r="I494" s="1" t="s">
        <v>52</v>
      </c>
      <c r="J494" s="2" t="s">
        <v>1918</v>
      </c>
    </row>
    <row r="495">
      <c r="A495" s="1" t="s">
        <v>1919</v>
      </c>
      <c r="B495" s="1" t="s">
        <v>171</v>
      </c>
      <c r="C495" s="1" t="s">
        <v>172</v>
      </c>
      <c r="D495" s="2" t="s">
        <v>655</v>
      </c>
      <c r="E495" s="1" t="s">
        <v>80</v>
      </c>
      <c r="F495" s="1" t="s">
        <v>268</v>
      </c>
      <c r="G495" s="1" t="s">
        <v>1188</v>
      </c>
      <c r="H495" s="1" t="s">
        <v>533</v>
      </c>
      <c r="I495" s="1" t="s">
        <v>52</v>
      </c>
      <c r="J495" s="2" t="s">
        <v>1920</v>
      </c>
    </row>
    <row r="496">
      <c r="A496" s="1" t="s">
        <v>1921</v>
      </c>
      <c r="B496" s="1" t="s">
        <v>1665</v>
      </c>
      <c r="C496" s="1" t="s">
        <v>495</v>
      </c>
      <c r="D496" s="2" t="s">
        <v>185</v>
      </c>
      <c r="E496" s="1" t="s">
        <v>152</v>
      </c>
      <c r="F496" s="1" t="s">
        <v>30</v>
      </c>
      <c r="G496" s="1" t="s">
        <v>418</v>
      </c>
      <c r="H496" s="1" t="s">
        <v>386</v>
      </c>
      <c r="I496" s="1" t="s">
        <v>97</v>
      </c>
      <c r="J496" s="2" t="s">
        <v>1923</v>
      </c>
    </row>
    <row r="497">
      <c r="A497" s="1" t="s">
        <v>1924</v>
      </c>
      <c r="B497" s="1" t="s">
        <v>411</v>
      </c>
      <c r="C497" s="1" t="s">
        <v>128</v>
      </c>
      <c r="D497" s="2" t="s">
        <v>488</v>
      </c>
      <c r="E497" s="1" t="s">
        <v>45</v>
      </c>
      <c r="F497" s="1" t="s">
        <v>47</v>
      </c>
      <c r="G497" s="1" t="s">
        <v>164</v>
      </c>
      <c r="H497" s="1" t="s">
        <v>67</v>
      </c>
      <c r="I497" s="1" t="s">
        <v>97</v>
      </c>
      <c r="J497" s="2" t="s">
        <v>273</v>
      </c>
    </row>
    <row r="498">
      <c r="A498" s="1" t="s">
        <v>1925</v>
      </c>
      <c r="B498" s="1" t="s">
        <v>1583</v>
      </c>
      <c r="C498" s="1" t="s">
        <v>526</v>
      </c>
      <c r="D498" s="2" t="s">
        <v>675</v>
      </c>
      <c r="E498" s="1" t="s">
        <v>105</v>
      </c>
      <c r="F498" s="1" t="s">
        <v>571</v>
      </c>
      <c r="G498" s="1" t="s">
        <v>517</v>
      </c>
      <c r="H498" s="1" t="s">
        <v>346</v>
      </c>
      <c r="I498" s="1" t="s">
        <v>52</v>
      </c>
      <c r="J498" s="2" t="s">
        <v>1927</v>
      </c>
    </row>
    <row r="499">
      <c r="A499" s="1" t="s">
        <v>1928</v>
      </c>
      <c r="B499" s="1" t="s">
        <v>689</v>
      </c>
      <c r="C499" s="1" t="s">
        <v>458</v>
      </c>
      <c r="D499" s="2" t="s">
        <v>383</v>
      </c>
      <c r="E499" s="1" t="s">
        <v>152</v>
      </c>
      <c r="F499" s="1" t="s">
        <v>401</v>
      </c>
      <c r="G499" s="1" t="s">
        <v>311</v>
      </c>
      <c r="H499" s="1" t="s">
        <v>304</v>
      </c>
      <c r="I499" s="1" t="s">
        <v>211</v>
      </c>
      <c r="J499" s="2" t="s">
        <v>1930</v>
      </c>
    </row>
    <row r="500">
      <c r="A500" s="1" t="s">
        <v>1931</v>
      </c>
      <c r="B500" s="1" t="s">
        <v>171</v>
      </c>
      <c r="C500" s="1" t="s">
        <v>101</v>
      </c>
      <c r="D500" s="2" t="s">
        <v>1041</v>
      </c>
      <c r="E500" s="1" t="s">
        <v>80</v>
      </c>
      <c r="F500" s="1" t="s">
        <v>47</v>
      </c>
      <c r="G500" s="1" t="s">
        <v>608</v>
      </c>
      <c r="H500" s="1" t="s">
        <v>110</v>
      </c>
      <c r="I500" s="1" t="s">
        <v>222</v>
      </c>
      <c r="J500" s="2" t="s">
        <v>1932</v>
      </c>
    </row>
    <row r="501">
      <c r="A501" s="1" t="s">
        <v>1933</v>
      </c>
      <c r="B501" s="1" t="s">
        <v>193</v>
      </c>
      <c r="C501" s="1" t="s">
        <v>76</v>
      </c>
      <c r="D501" s="2" t="s">
        <v>392</v>
      </c>
      <c r="E501" s="1" t="s">
        <v>105</v>
      </c>
      <c r="F501" s="1" t="s">
        <v>107</v>
      </c>
      <c r="G501" s="1" t="s">
        <v>123</v>
      </c>
      <c r="H501" s="1" t="s">
        <v>34</v>
      </c>
      <c r="I501" s="1" t="s">
        <v>52</v>
      </c>
      <c r="J501" s="2" t="s">
        <v>1934</v>
      </c>
    </row>
    <row r="502">
      <c r="A502" s="1" t="s">
        <v>1935</v>
      </c>
      <c r="B502" s="1" t="s">
        <v>1531</v>
      </c>
      <c r="C502" s="1" t="s">
        <v>301</v>
      </c>
      <c r="D502" s="2" t="s">
        <v>1025</v>
      </c>
      <c r="E502" s="1" t="s">
        <v>152</v>
      </c>
      <c r="F502" s="1" t="s">
        <v>30</v>
      </c>
      <c r="G502" s="1" t="s">
        <v>608</v>
      </c>
      <c r="H502" s="1" t="s">
        <v>477</v>
      </c>
      <c r="I502" s="1" t="s">
        <v>97</v>
      </c>
      <c r="J502" s="2" t="s">
        <v>1937</v>
      </c>
    </row>
    <row r="503">
      <c r="A503" s="1" t="s">
        <v>1938</v>
      </c>
      <c r="B503" s="1" t="s">
        <v>1939</v>
      </c>
      <c r="C503" s="1" t="s">
        <v>556</v>
      </c>
      <c r="D503" s="2" t="s">
        <v>91</v>
      </c>
      <c r="E503" s="1" t="s">
        <v>45</v>
      </c>
      <c r="F503" s="1" t="s">
        <v>208</v>
      </c>
      <c r="G503" s="1" t="s">
        <v>517</v>
      </c>
      <c r="H503" s="1" t="s">
        <v>34</v>
      </c>
      <c r="I503" s="1" t="s">
        <v>97</v>
      </c>
      <c r="J503" s="2" t="s">
        <v>1941</v>
      </c>
    </row>
    <row r="504">
      <c r="A504" s="1" t="s">
        <v>1942</v>
      </c>
      <c r="B504" s="1" t="s">
        <v>343</v>
      </c>
      <c r="C504" s="1" t="s">
        <v>495</v>
      </c>
      <c r="D504" s="2" t="s">
        <v>738</v>
      </c>
      <c r="E504" s="1" t="s">
        <v>80</v>
      </c>
      <c r="F504" s="1" t="s">
        <v>47</v>
      </c>
      <c r="G504" s="1" t="s">
        <v>258</v>
      </c>
      <c r="H504" s="1" t="s">
        <v>720</v>
      </c>
      <c r="I504" s="1" t="s">
        <v>35</v>
      </c>
      <c r="J504" s="2" t="s">
        <v>1648</v>
      </c>
    </row>
    <row r="505">
      <c r="A505" s="1" t="s">
        <v>1943</v>
      </c>
      <c r="B505" s="1" t="s">
        <v>1945</v>
      </c>
      <c r="C505" s="1" t="s">
        <v>148</v>
      </c>
      <c r="D505" s="2" t="s">
        <v>565</v>
      </c>
      <c r="E505" s="1" t="s">
        <v>28</v>
      </c>
      <c r="F505" s="1" t="s">
        <v>30</v>
      </c>
      <c r="G505" s="1" t="s">
        <v>358</v>
      </c>
      <c r="H505" s="1" t="s">
        <v>359</v>
      </c>
      <c r="I505" s="1" t="s">
        <v>211</v>
      </c>
      <c r="J505" s="2" t="s">
        <v>1946</v>
      </c>
    </row>
    <row r="506">
      <c r="A506" s="1" t="s">
        <v>1947</v>
      </c>
      <c r="B506" s="1" t="s">
        <v>307</v>
      </c>
      <c r="C506" s="1" t="s">
        <v>254</v>
      </c>
      <c r="D506" s="2" t="s">
        <v>139</v>
      </c>
      <c r="E506" s="1" t="s">
        <v>28</v>
      </c>
      <c r="F506" s="1" t="s">
        <v>364</v>
      </c>
      <c r="G506" s="1" t="s">
        <v>551</v>
      </c>
      <c r="H506" s="1" t="s">
        <v>124</v>
      </c>
      <c r="I506" s="1" t="s">
        <v>97</v>
      </c>
      <c r="J506" s="2" t="s">
        <v>1949</v>
      </c>
    </row>
    <row r="507">
      <c r="A507" s="1" t="s">
        <v>1950</v>
      </c>
      <c r="B507" s="1" t="s">
        <v>1951</v>
      </c>
      <c r="C507" s="1" t="s">
        <v>1952</v>
      </c>
      <c r="D507" s="2" t="s">
        <v>878</v>
      </c>
      <c r="E507" s="1" t="s">
        <v>45</v>
      </c>
      <c r="F507" s="1" t="s">
        <v>131</v>
      </c>
      <c r="G507" s="1" t="s">
        <v>177</v>
      </c>
      <c r="H507" s="1" t="s">
        <v>110</v>
      </c>
      <c r="I507" s="1" t="s">
        <v>222</v>
      </c>
      <c r="J507" s="2" t="s">
        <v>1953</v>
      </c>
    </row>
    <row r="508">
      <c r="A508" s="1" t="s">
        <v>1954</v>
      </c>
      <c r="B508" s="1" t="s">
        <v>307</v>
      </c>
      <c r="C508" s="1" t="s">
        <v>25</v>
      </c>
      <c r="D508" s="2" t="s">
        <v>966</v>
      </c>
      <c r="E508" s="1" t="s">
        <v>45</v>
      </c>
      <c r="F508" s="1" t="s">
        <v>47</v>
      </c>
      <c r="G508" s="1" t="s">
        <v>311</v>
      </c>
      <c r="H508" s="1" t="s">
        <v>592</v>
      </c>
      <c r="I508" s="1" t="s">
        <v>97</v>
      </c>
      <c r="J508" s="2" t="s">
        <v>1956</v>
      </c>
    </row>
    <row r="509">
      <c r="A509" s="1" t="s">
        <v>1957</v>
      </c>
      <c r="B509" s="1" t="s">
        <v>1951</v>
      </c>
      <c r="C509" s="1" t="s">
        <v>1322</v>
      </c>
      <c r="D509" s="2" t="s">
        <v>604</v>
      </c>
      <c r="E509" s="1" t="s">
        <v>45</v>
      </c>
      <c r="F509" s="1" t="s">
        <v>47</v>
      </c>
      <c r="G509" s="1" t="s">
        <v>511</v>
      </c>
      <c r="H509" s="1" t="s">
        <v>260</v>
      </c>
      <c r="I509" s="1" t="s">
        <v>35</v>
      </c>
      <c r="J509" s="2" t="s">
        <v>1958</v>
      </c>
    </row>
    <row r="510">
      <c r="A510" s="1" t="s">
        <v>1959</v>
      </c>
      <c r="B510" s="1" t="s">
        <v>89</v>
      </c>
      <c r="C510" s="1" t="s">
        <v>216</v>
      </c>
      <c r="D510" s="2" t="s">
        <v>302</v>
      </c>
      <c r="E510" s="1" t="s">
        <v>28</v>
      </c>
      <c r="F510" s="1" t="s">
        <v>30</v>
      </c>
      <c r="G510" s="1" t="s">
        <v>647</v>
      </c>
      <c r="H510" s="1" t="s">
        <v>561</v>
      </c>
      <c r="I510" s="1" t="s">
        <v>97</v>
      </c>
      <c r="J510" s="2" t="s">
        <v>1961</v>
      </c>
    </row>
    <row r="511">
      <c r="A511" s="1" t="s">
        <v>1962</v>
      </c>
      <c r="B511" s="1" t="s">
        <v>625</v>
      </c>
      <c r="C511" s="1" t="s">
        <v>25</v>
      </c>
      <c r="D511" s="2" t="s">
        <v>738</v>
      </c>
      <c r="E511" s="1" t="s">
        <v>105</v>
      </c>
      <c r="F511" s="1" t="s">
        <v>401</v>
      </c>
      <c r="G511" s="1" t="s">
        <v>142</v>
      </c>
      <c r="H511" s="1" t="s">
        <v>527</v>
      </c>
      <c r="I511" s="1" t="s">
        <v>35</v>
      </c>
      <c r="J511" s="2" t="s">
        <v>1963</v>
      </c>
    </row>
    <row r="512">
      <c r="A512" s="1" t="s">
        <v>1964</v>
      </c>
      <c r="B512" s="1" t="s">
        <v>350</v>
      </c>
      <c r="C512" s="1" t="s">
        <v>244</v>
      </c>
      <c r="D512" s="2" t="s">
        <v>823</v>
      </c>
      <c r="E512" s="1" t="s">
        <v>28</v>
      </c>
      <c r="F512" s="1" t="s">
        <v>393</v>
      </c>
      <c r="G512" s="1" t="s">
        <v>418</v>
      </c>
      <c r="H512" s="1" t="s">
        <v>189</v>
      </c>
      <c r="I512" s="1" t="s">
        <v>222</v>
      </c>
      <c r="J512" s="2" t="s">
        <v>1965</v>
      </c>
    </row>
    <row r="513">
      <c r="A513" s="1" t="s">
        <v>1966</v>
      </c>
      <c r="B513" s="1" t="s">
        <v>343</v>
      </c>
      <c r="C513" s="1" t="s">
        <v>254</v>
      </c>
      <c r="D513" s="2" t="s">
        <v>63</v>
      </c>
      <c r="E513" s="1" t="s">
        <v>152</v>
      </c>
      <c r="F513" s="1" t="s">
        <v>393</v>
      </c>
      <c r="G513" s="1" t="s">
        <v>482</v>
      </c>
      <c r="H513" s="1" t="s">
        <v>477</v>
      </c>
      <c r="I513" s="1" t="s">
        <v>222</v>
      </c>
      <c r="J513" s="2" t="s">
        <v>1627</v>
      </c>
    </row>
    <row r="514">
      <c r="A514" s="1" t="s">
        <v>1968</v>
      </c>
      <c r="B514" s="1" t="s">
        <v>307</v>
      </c>
      <c r="C514" s="1" t="s">
        <v>254</v>
      </c>
      <c r="D514" s="2" t="s">
        <v>26</v>
      </c>
      <c r="E514" s="1" t="s">
        <v>105</v>
      </c>
      <c r="F514" s="1" t="s">
        <v>64</v>
      </c>
      <c r="G514" s="1" t="s">
        <v>470</v>
      </c>
      <c r="H514" s="1" t="s">
        <v>527</v>
      </c>
      <c r="I514" s="1" t="s">
        <v>52</v>
      </c>
      <c r="J514" s="2" t="s">
        <v>1970</v>
      </c>
    </row>
    <row r="515">
      <c r="A515" s="1" t="s">
        <v>1971</v>
      </c>
      <c r="B515" s="1" t="s">
        <v>486</v>
      </c>
      <c r="C515" s="1" t="s">
        <v>76</v>
      </c>
      <c r="D515" s="2" t="s">
        <v>236</v>
      </c>
      <c r="E515" s="1" t="s">
        <v>45</v>
      </c>
      <c r="F515" s="1" t="s">
        <v>141</v>
      </c>
      <c r="G515" s="1" t="s">
        <v>164</v>
      </c>
      <c r="H515" s="1" t="s">
        <v>231</v>
      </c>
      <c r="I515" s="1" t="s">
        <v>35</v>
      </c>
      <c r="J515" s="2" t="s">
        <v>1972</v>
      </c>
    </row>
    <row r="516">
      <c r="A516" s="1" t="s">
        <v>1973</v>
      </c>
      <c r="B516" s="1" t="s">
        <v>1974</v>
      </c>
      <c r="C516" s="1" t="s">
        <v>254</v>
      </c>
      <c r="D516" s="2" t="s">
        <v>557</v>
      </c>
      <c r="E516" s="1" t="s">
        <v>80</v>
      </c>
      <c r="F516" s="1" t="s">
        <v>393</v>
      </c>
      <c r="G516" s="1" t="s">
        <v>269</v>
      </c>
      <c r="H516" s="1" t="s">
        <v>231</v>
      </c>
      <c r="I516" s="1" t="s">
        <v>97</v>
      </c>
      <c r="J516" s="2" t="s">
        <v>1976</v>
      </c>
    </row>
    <row r="517">
      <c r="A517" s="1" t="s">
        <v>1977</v>
      </c>
      <c r="B517" s="1" t="s">
        <v>183</v>
      </c>
      <c r="C517" s="1" t="s">
        <v>128</v>
      </c>
      <c r="D517" s="2" t="s">
        <v>1025</v>
      </c>
      <c r="E517" s="1" t="s">
        <v>152</v>
      </c>
      <c r="F517" s="1" t="s">
        <v>107</v>
      </c>
      <c r="G517" s="1" t="s">
        <v>669</v>
      </c>
      <c r="H517" s="1" t="s">
        <v>452</v>
      </c>
      <c r="I517" s="1" t="s">
        <v>97</v>
      </c>
      <c r="J517" s="2" t="s">
        <v>1978</v>
      </c>
    </row>
    <row r="518">
      <c r="A518" s="1" t="s">
        <v>1979</v>
      </c>
      <c r="B518" s="1" t="s">
        <v>127</v>
      </c>
      <c r="C518" s="1" t="s">
        <v>90</v>
      </c>
      <c r="D518" s="2" t="s">
        <v>1150</v>
      </c>
      <c r="E518" s="1" t="s">
        <v>80</v>
      </c>
      <c r="F518" s="1" t="s">
        <v>107</v>
      </c>
      <c r="G518" s="1" t="s">
        <v>345</v>
      </c>
      <c r="H518" s="1" t="s">
        <v>96</v>
      </c>
      <c r="I518" s="1" t="s">
        <v>35</v>
      </c>
      <c r="J518" s="2" t="s">
        <v>1981</v>
      </c>
    </row>
    <row r="519">
      <c r="A519" s="1" t="s">
        <v>1982</v>
      </c>
      <c r="B519" s="1" t="s">
        <v>343</v>
      </c>
      <c r="C519" s="1" t="s">
        <v>526</v>
      </c>
      <c r="D519" s="2" t="s">
        <v>850</v>
      </c>
      <c r="E519" s="1" t="s">
        <v>130</v>
      </c>
      <c r="F519" s="1" t="s">
        <v>107</v>
      </c>
      <c r="G519" s="1" t="s">
        <v>558</v>
      </c>
      <c r="H519" s="1" t="s">
        <v>851</v>
      </c>
      <c r="I519" s="1" t="s">
        <v>97</v>
      </c>
      <c r="J519" s="2" t="s">
        <v>927</v>
      </c>
    </row>
    <row r="520">
      <c r="A520" s="1" t="s">
        <v>1984</v>
      </c>
      <c r="B520" s="1" t="s">
        <v>411</v>
      </c>
      <c r="C520" s="1" t="s">
        <v>1540</v>
      </c>
      <c r="D520" s="2" t="s">
        <v>139</v>
      </c>
      <c r="E520" s="1" t="s">
        <v>45</v>
      </c>
      <c r="F520" s="1" t="s">
        <v>64</v>
      </c>
      <c r="G520" s="1" t="s">
        <v>94</v>
      </c>
      <c r="H520" s="1" t="s">
        <v>592</v>
      </c>
      <c r="I520" s="1" t="s">
        <v>97</v>
      </c>
      <c r="J520" s="2" t="s">
        <v>1986</v>
      </c>
    </row>
    <row r="521">
      <c r="A521" s="1" t="s">
        <v>1987</v>
      </c>
      <c r="B521" s="1" t="s">
        <v>1415</v>
      </c>
      <c r="C521" s="1" t="s">
        <v>90</v>
      </c>
      <c r="E521" s="1" t="s">
        <v>152</v>
      </c>
      <c r="F521" s="1" t="s">
        <v>401</v>
      </c>
      <c r="G521" s="1" t="s">
        <v>1188</v>
      </c>
      <c r="H521" s="1" t="s">
        <v>691</v>
      </c>
      <c r="I521" s="1" t="s">
        <v>52</v>
      </c>
      <c r="J521" s="2" t="s">
        <v>1989</v>
      </c>
    </row>
    <row r="522">
      <c r="A522" s="1" t="s">
        <v>1990</v>
      </c>
      <c r="B522" s="1" t="s">
        <v>1991</v>
      </c>
      <c r="C522" s="1" t="s">
        <v>264</v>
      </c>
      <c r="D522" s="2" t="s">
        <v>325</v>
      </c>
      <c r="E522" s="1" t="s">
        <v>152</v>
      </c>
      <c r="F522" s="1" t="s">
        <v>30</v>
      </c>
      <c r="G522" s="1" t="s">
        <v>977</v>
      </c>
      <c r="H522" s="1" t="s">
        <v>394</v>
      </c>
      <c r="I522" s="1" t="s">
        <v>222</v>
      </c>
      <c r="J522" s="2" t="s">
        <v>1993</v>
      </c>
    </row>
    <row r="523">
      <c r="A523" s="1" t="s">
        <v>1994</v>
      </c>
      <c r="B523" s="1" t="s">
        <v>1199</v>
      </c>
      <c r="C523" s="1" t="s">
        <v>428</v>
      </c>
      <c r="D523" s="2" t="s">
        <v>229</v>
      </c>
      <c r="E523" s="1" t="s">
        <v>105</v>
      </c>
      <c r="F523" s="1" t="s">
        <v>107</v>
      </c>
      <c r="G523" s="1" t="s">
        <v>377</v>
      </c>
      <c r="H523" s="1" t="s">
        <v>402</v>
      </c>
      <c r="I523" s="1" t="s">
        <v>97</v>
      </c>
      <c r="J523" s="2" t="s">
        <v>1996</v>
      </c>
    </row>
    <row r="524">
      <c r="A524" s="1" t="s">
        <v>1997</v>
      </c>
      <c r="B524" s="1" t="s">
        <v>343</v>
      </c>
      <c r="C524" s="1" t="s">
        <v>556</v>
      </c>
      <c r="D524" s="2" t="s">
        <v>604</v>
      </c>
      <c r="E524" s="1" t="s">
        <v>152</v>
      </c>
      <c r="F524" s="1" t="s">
        <v>30</v>
      </c>
      <c r="G524" s="1" t="s">
        <v>164</v>
      </c>
      <c r="H524" s="1" t="s">
        <v>592</v>
      </c>
      <c r="I524" s="1" t="s">
        <v>222</v>
      </c>
      <c r="J524" s="2" t="s">
        <v>1998</v>
      </c>
    </row>
    <row r="525">
      <c r="A525" s="1" t="s">
        <v>1999</v>
      </c>
      <c r="B525" s="1" t="s">
        <v>343</v>
      </c>
      <c r="C525" s="1" t="s">
        <v>90</v>
      </c>
      <c r="D525" s="2" t="s">
        <v>873</v>
      </c>
      <c r="E525" s="1" t="s">
        <v>130</v>
      </c>
      <c r="F525" s="1" t="s">
        <v>141</v>
      </c>
      <c r="G525" s="1" t="s">
        <v>1269</v>
      </c>
      <c r="H525" s="1" t="s">
        <v>110</v>
      </c>
      <c r="I525" s="1" t="s">
        <v>35</v>
      </c>
      <c r="J525" s="2" t="s">
        <v>2000</v>
      </c>
    </row>
    <row r="526">
      <c r="A526" s="1" t="s">
        <v>1999</v>
      </c>
      <c r="B526" s="1" t="s">
        <v>343</v>
      </c>
      <c r="C526" s="1" t="s">
        <v>90</v>
      </c>
      <c r="D526" s="2" t="s">
        <v>873</v>
      </c>
      <c r="E526" s="1" t="s">
        <v>130</v>
      </c>
      <c r="F526" s="1" t="s">
        <v>141</v>
      </c>
      <c r="G526" s="1" t="s">
        <v>1269</v>
      </c>
      <c r="H526" s="1" t="s">
        <v>110</v>
      </c>
      <c r="I526" s="1" t="s">
        <v>35</v>
      </c>
      <c r="J526" s="2" t="s">
        <v>2000</v>
      </c>
    </row>
    <row r="527">
      <c r="A527" s="1" t="s">
        <v>2001</v>
      </c>
      <c r="B527" s="1" t="s">
        <v>1788</v>
      </c>
      <c r="C527" s="1" t="s">
        <v>216</v>
      </c>
      <c r="D527" s="2" t="s">
        <v>92</v>
      </c>
      <c r="E527" s="1" t="s">
        <v>80</v>
      </c>
      <c r="F527" s="1" t="s">
        <v>376</v>
      </c>
      <c r="G527" s="1" t="s">
        <v>489</v>
      </c>
      <c r="H527" s="1" t="s">
        <v>179</v>
      </c>
      <c r="I527" s="1" t="s">
        <v>52</v>
      </c>
      <c r="J527" s="2" t="s">
        <v>2002</v>
      </c>
    </row>
    <row r="528">
      <c r="A528" s="1" t="s">
        <v>2003</v>
      </c>
      <c r="B528" s="1" t="s">
        <v>456</v>
      </c>
      <c r="C528" s="1" t="s">
        <v>469</v>
      </c>
      <c r="D528" s="2" t="s">
        <v>631</v>
      </c>
      <c r="E528" s="1" t="s">
        <v>105</v>
      </c>
      <c r="F528" s="1" t="s">
        <v>571</v>
      </c>
      <c r="G528" s="1" t="s">
        <v>977</v>
      </c>
      <c r="H528" s="1" t="s">
        <v>210</v>
      </c>
      <c r="I528" s="1" t="s">
        <v>97</v>
      </c>
      <c r="J528" s="2" t="s">
        <v>2005</v>
      </c>
    </row>
    <row r="529">
      <c r="A529" s="1" t="s">
        <v>2006</v>
      </c>
      <c r="B529" s="1" t="s">
        <v>411</v>
      </c>
      <c r="C529" s="1" t="s">
        <v>128</v>
      </c>
      <c r="D529" s="2" t="s">
        <v>63</v>
      </c>
      <c r="E529" s="1" t="s">
        <v>45</v>
      </c>
      <c r="F529" s="1" t="s">
        <v>30</v>
      </c>
      <c r="G529" s="1" t="s">
        <v>647</v>
      </c>
      <c r="H529" s="1" t="s">
        <v>221</v>
      </c>
      <c r="I529" s="1" t="s">
        <v>35</v>
      </c>
      <c r="J529" s="2" t="s">
        <v>2009</v>
      </c>
    </row>
    <row r="530">
      <c r="A530" s="1" t="s">
        <v>2010</v>
      </c>
      <c r="B530" s="1" t="s">
        <v>723</v>
      </c>
      <c r="C530" s="1" t="s">
        <v>101</v>
      </c>
      <c r="D530" s="2" t="s">
        <v>878</v>
      </c>
      <c r="E530" s="1" t="s">
        <v>105</v>
      </c>
      <c r="F530" s="1" t="s">
        <v>539</v>
      </c>
      <c r="G530" s="1" t="s">
        <v>558</v>
      </c>
      <c r="H530" s="1" t="s">
        <v>851</v>
      </c>
      <c r="I530" s="1" t="s">
        <v>222</v>
      </c>
      <c r="J530" s="2" t="s">
        <v>2011</v>
      </c>
    </row>
    <row r="531">
      <c r="A531" s="1" t="s">
        <v>2012</v>
      </c>
      <c r="B531" s="1" t="s">
        <v>2013</v>
      </c>
      <c r="C531" s="1" t="s">
        <v>363</v>
      </c>
      <c r="D531" s="2" t="s">
        <v>429</v>
      </c>
      <c r="E531" s="1" t="s">
        <v>45</v>
      </c>
      <c r="F531" s="1" t="s">
        <v>393</v>
      </c>
      <c r="G531" s="1" t="s">
        <v>132</v>
      </c>
      <c r="H531" s="1" t="s">
        <v>286</v>
      </c>
      <c r="I531" s="1" t="s">
        <v>222</v>
      </c>
      <c r="J531" s="2" t="s">
        <v>2015</v>
      </c>
    </row>
    <row r="532">
      <c r="A532" s="1" t="s">
        <v>2016</v>
      </c>
      <c r="B532" s="1" t="s">
        <v>1267</v>
      </c>
      <c r="C532" s="1" t="s">
        <v>25</v>
      </c>
      <c r="D532" s="2" t="s">
        <v>173</v>
      </c>
      <c r="E532" s="1" t="s">
        <v>130</v>
      </c>
      <c r="F532" s="1" t="s">
        <v>571</v>
      </c>
      <c r="G532" s="1" t="s">
        <v>482</v>
      </c>
      <c r="H532" s="1" t="s">
        <v>477</v>
      </c>
      <c r="I532" s="1" t="s">
        <v>97</v>
      </c>
      <c r="J532" s="2" t="s">
        <v>2017</v>
      </c>
    </row>
    <row r="533">
      <c r="A533" s="1" t="s">
        <v>2018</v>
      </c>
      <c r="B533" s="1" t="s">
        <v>234</v>
      </c>
      <c r="C533" s="1" t="s">
        <v>374</v>
      </c>
      <c r="D533" s="2" t="s">
        <v>565</v>
      </c>
      <c r="E533" s="1" t="s">
        <v>28</v>
      </c>
      <c r="F533" s="1" t="s">
        <v>256</v>
      </c>
      <c r="G533" s="1" t="s">
        <v>576</v>
      </c>
      <c r="H533" s="1" t="s">
        <v>286</v>
      </c>
      <c r="I533" s="1" t="s">
        <v>52</v>
      </c>
      <c r="J533" s="2" t="s">
        <v>2020</v>
      </c>
    </row>
    <row r="534">
      <c r="A534" s="1" t="s">
        <v>2021</v>
      </c>
      <c r="B534" s="1" t="s">
        <v>1415</v>
      </c>
      <c r="C534" s="1" t="s">
        <v>469</v>
      </c>
      <c r="D534" s="2" t="s">
        <v>445</v>
      </c>
      <c r="E534" s="1" t="s">
        <v>152</v>
      </c>
      <c r="F534" s="1" t="s">
        <v>47</v>
      </c>
      <c r="G534" s="1" t="s">
        <v>576</v>
      </c>
      <c r="H534" s="1" t="s">
        <v>50</v>
      </c>
      <c r="I534" s="1" t="s">
        <v>97</v>
      </c>
      <c r="J534" s="2" t="s">
        <v>2022</v>
      </c>
    </row>
    <row r="535">
      <c r="A535" s="1" t="s">
        <v>2023</v>
      </c>
      <c r="B535" s="1" t="s">
        <v>763</v>
      </c>
      <c r="C535" s="1" t="s">
        <v>495</v>
      </c>
      <c r="D535" s="2" t="s">
        <v>521</v>
      </c>
      <c r="E535" s="1" t="s">
        <v>45</v>
      </c>
      <c r="F535" s="1" t="s">
        <v>30</v>
      </c>
      <c r="G535" s="1" t="s">
        <v>470</v>
      </c>
      <c r="H535" s="1" t="s">
        <v>179</v>
      </c>
      <c r="I535" s="1" t="s">
        <v>222</v>
      </c>
      <c r="J535" s="2" t="s">
        <v>2024</v>
      </c>
    </row>
    <row r="536">
      <c r="A536" s="1" t="s">
        <v>2025</v>
      </c>
      <c r="B536" s="1" t="s">
        <v>158</v>
      </c>
      <c r="C536" s="1" t="s">
        <v>458</v>
      </c>
      <c r="D536" s="2" t="s">
        <v>122</v>
      </c>
      <c r="E536" s="1" t="s">
        <v>105</v>
      </c>
      <c r="F536" s="1" t="s">
        <v>64</v>
      </c>
      <c r="G536" s="1" t="s">
        <v>977</v>
      </c>
      <c r="H536" s="1" t="s">
        <v>394</v>
      </c>
      <c r="I536" s="1" t="s">
        <v>52</v>
      </c>
      <c r="J536" s="2" t="s">
        <v>2026</v>
      </c>
    </row>
    <row r="537">
      <c r="A537" s="1" t="s">
        <v>2028</v>
      </c>
      <c r="B537" s="1" t="s">
        <v>411</v>
      </c>
      <c r="C537" s="1" t="s">
        <v>1105</v>
      </c>
      <c r="D537" s="2" t="s">
        <v>43</v>
      </c>
      <c r="E537" s="1" t="s">
        <v>28</v>
      </c>
      <c r="F537" s="1" t="s">
        <v>237</v>
      </c>
      <c r="G537" s="1" t="s">
        <v>132</v>
      </c>
      <c r="H537" s="1" t="s">
        <v>165</v>
      </c>
      <c r="I537" s="1" t="s">
        <v>222</v>
      </c>
      <c r="J537" s="2" t="s">
        <v>1083</v>
      </c>
    </row>
    <row r="538">
      <c r="A538" s="1" t="s">
        <v>2029</v>
      </c>
      <c r="B538" s="1" t="s">
        <v>983</v>
      </c>
      <c r="C538" s="1" t="s">
        <v>959</v>
      </c>
      <c r="D538" s="2" t="s">
        <v>1487</v>
      </c>
      <c r="E538" s="1" t="s">
        <v>152</v>
      </c>
      <c r="F538" s="1" t="s">
        <v>393</v>
      </c>
      <c r="G538" s="1" t="s">
        <v>677</v>
      </c>
      <c r="H538" s="1" t="s">
        <v>96</v>
      </c>
      <c r="I538" s="1" t="s">
        <v>222</v>
      </c>
      <c r="J538" s="2" t="s">
        <v>1410</v>
      </c>
    </row>
    <row r="539">
      <c r="A539" s="1" t="s">
        <v>2030</v>
      </c>
      <c r="B539" s="1" t="s">
        <v>827</v>
      </c>
      <c r="C539" s="1" t="s">
        <v>76</v>
      </c>
      <c r="D539" s="2" t="s">
        <v>733</v>
      </c>
      <c r="E539" s="1" t="s">
        <v>80</v>
      </c>
      <c r="F539" s="1" t="s">
        <v>393</v>
      </c>
      <c r="G539" s="1" t="s">
        <v>311</v>
      </c>
      <c r="H539" s="1" t="s">
        <v>260</v>
      </c>
      <c r="I539" s="1" t="s">
        <v>211</v>
      </c>
      <c r="J539" s="2" t="s">
        <v>2032</v>
      </c>
    </row>
    <row r="540">
      <c r="A540" s="1" t="s">
        <v>2033</v>
      </c>
      <c r="B540" s="1" t="s">
        <v>368</v>
      </c>
      <c r="C540" s="1" t="s">
        <v>216</v>
      </c>
      <c r="D540" s="2" t="s">
        <v>903</v>
      </c>
      <c r="E540" s="1" t="s">
        <v>45</v>
      </c>
      <c r="F540" s="1" t="s">
        <v>237</v>
      </c>
      <c r="G540" s="1" t="s">
        <v>258</v>
      </c>
      <c r="H540" s="1" t="s">
        <v>143</v>
      </c>
      <c r="I540" s="1" t="s">
        <v>97</v>
      </c>
      <c r="J540" s="2" t="s">
        <v>588</v>
      </c>
    </row>
    <row r="541">
      <c r="A541" s="1" t="s">
        <v>2036</v>
      </c>
      <c r="B541" s="1" t="s">
        <v>136</v>
      </c>
      <c r="C541" s="1" t="s">
        <v>363</v>
      </c>
      <c r="D541" s="2" t="s">
        <v>26</v>
      </c>
      <c r="E541" s="1" t="s">
        <v>28</v>
      </c>
      <c r="F541" s="1" t="s">
        <v>376</v>
      </c>
      <c r="G541" s="1" t="s">
        <v>608</v>
      </c>
      <c r="H541" s="1" t="s">
        <v>477</v>
      </c>
      <c r="I541" s="1" t="s">
        <v>52</v>
      </c>
      <c r="J541" s="2" t="s">
        <v>2037</v>
      </c>
    </row>
    <row r="542">
      <c r="A542" s="1" t="s">
        <v>2038</v>
      </c>
      <c r="B542" s="1" t="s">
        <v>350</v>
      </c>
      <c r="C542" s="1" t="s">
        <v>526</v>
      </c>
      <c r="D542" s="2" t="s">
        <v>302</v>
      </c>
      <c r="E542" s="1" t="s">
        <v>45</v>
      </c>
      <c r="F542" s="1" t="s">
        <v>64</v>
      </c>
      <c r="G542" s="1" t="s">
        <v>109</v>
      </c>
      <c r="H542" s="1" t="s">
        <v>110</v>
      </c>
      <c r="I542" s="1" t="s">
        <v>97</v>
      </c>
      <c r="J542" s="2" t="s">
        <v>2040</v>
      </c>
    </row>
    <row r="543">
      <c r="A543" s="1" t="s">
        <v>2041</v>
      </c>
      <c r="B543" s="1" t="s">
        <v>2042</v>
      </c>
      <c r="C543" s="1" t="s">
        <v>128</v>
      </c>
      <c r="D543" s="2" t="s">
        <v>565</v>
      </c>
      <c r="E543" s="1" t="s">
        <v>152</v>
      </c>
      <c r="F543" s="1" t="s">
        <v>64</v>
      </c>
      <c r="G543" s="1" t="s">
        <v>977</v>
      </c>
      <c r="H543" s="1" t="s">
        <v>386</v>
      </c>
      <c r="I543" s="1" t="s">
        <v>222</v>
      </c>
      <c r="J543" s="2" t="s">
        <v>2043</v>
      </c>
    </row>
    <row r="544">
      <c r="A544" s="1" t="s">
        <v>2044</v>
      </c>
      <c r="B544" s="1" t="s">
        <v>411</v>
      </c>
      <c r="C544" s="1" t="s">
        <v>828</v>
      </c>
      <c r="D544" s="2" t="s">
        <v>903</v>
      </c>
      <c r="E544" s="1" t="s">
        <v>28</v>
      </c>
      <c r="F544" s="1" t="s">
        <v>393</v>
      </c>
      <c r="G544" s="1" t="s">
        <v>318</v>
      </c>
      <c r="H544" s="1" t="s">
        <v>197</v>
      </c>
      <c r="I544" s="1" t="s">
        <v>97</v>
      </c>
      <c r="J544" s="2" t="s">
        <v>2045</v>
      </c>
    </row>
    <row r="545">
      <c r="A545" s="1" t="s">
        <v>2046</v>
      </c>
      <c r="B545" s="1" t="s">
        <v>569</v>
      </c>
      <c r="C545" s="1" t="s">
        <v>2047</v>
      </c>
      <c r="D545" s="2" t="s">
        <v>675</v>
      </c>
      <c r="E545" s="1" t="s">
        <v>105</v>
      </c>
      <c r="F545" s="1" t="s">
        <v>30</v>
      </c>
      <c r="G545" s="1" t="s">
        <v>32</v>
      </c>
      <c r="H545" s="1" t="s">
        <v>699</v>
      </c>
      <c r="I545" s="1" t="s">
        <v>222</v>
      </c>
      <c r="J545" s="2" t="s">
        <v>1570</v>
      </c>
    </row>
    <row r="546">
      <c r="A546" s="1" t="s">
        <v>2048</v>
      </c>
      <c r="B546" s="1" t="s">
        <v>2049</v>
      </c>
      <c r="C546" s="1" t="s">
        <v>324</v>
      </c>
      <c r="D546" s="2" t="s">
        <v>550</v>
      </c>
      <c r="E546" s="1" t="s">
        <v>105</v>
      </c>
      <c r="F546" s="1" t="s">
        <v>393</v>
      </c>
      <c r="G546" s="1" t="s">
        <v>436</v>
      </c>
      <c r="H546" s="1" t="s">
        <v>561</v>
      </c>
      <c r="I546" s="1" t="s">
        <v>97</v>
      </c>
      <c r="J546" s="2" t="s">
        <v>2051</v>
      </c>
    </row>
    <row r="547">
      <c r="A547" s="1" t="s">
        <v>2052</v>
      </c>
      <c r="B547" s="1" t="s">
        <v>292</v>
      </c>
      <c r="C547" s="1" t="s">
        <v>128</v>
      </c>
      <c r="D547" s="2" t="s">
        <v>336</v>
      </c>
      <c r="E547" s="1" t="s">
        <v>105</v>
      </c>
      <c r="F547" s="1" t="s">
        <v>176</v>
      </c>
      <c r="G547" s="1" t="s">
        <v>558</v>
      </c>
      <c r="H547" s="1" t="s">
        <v>851</v>
      </c>
      <c r="I547" s="1" t="s">
        <v>97</v>
      </c>
      <c r="J547" s="2" t="s">
        <v>2053</v>
      </c>
    </row>
    <row r="548">
      <c r="A548" s="1" t="s">
        <v>2055</v>
      </c>
      <c r="B548" s="1" t="s">
        <v>696</v>
      </c>
      <c r="C548" s="1" t="s">
        <v>316</v>
      </c>
      <c r="D548" s="2" t="s">
        <v>302</v>
      </c>
      <c r="E548" s="1" t="s">
        <v>105</v>
      </c>
      <c r="F548" s="1" t="s">
        <v>176</v>
      </c>
      <c r="G548" s="1" t="s">
        <v>867</v>
      </c>
      <c r="H548" s="1" t="s">
        <v>533</v>
      </c>
      <c r="I548" s="1" t="s">
        <v>97</v>
      </c>
      <c r="J548" s="2" t="s">
        <v>2056</v>
      </c>
    </row>
    <row r="549">
      <c r="A549" s="1" t="s">
        <v>2057</v>
      </c>
      <c r="B549" s="1" t="s">
        <v>1149</v>
      </c>
      <c r="C549" s="1" t="s">
        <v>264</v>
      </c>
      <c r="D549" s="2" t="s">
        <v>481</v>
      </c>
      <c r="E549" s="1" t="s">
        <v>28</v>
      </c>
      <c r="F549" s="1" t="s">
        <v>30</v>
      </c>
      <c r="G549" s="1" t="s">
        <v>867</v>
      </c>
      <c r="H549" s="1" t="s">
        <v>240</v>
      </c>
      <c r="I549" s="1" t="s">
        <v>211</v>
      </c>
      <c r="J549" s="2" t="s">
        <v>2059</v>
      </c>
    </row>
    <row r="550">
      <c r="A550" s="1" t="s">
        <v>2060</v>
      </c>
      <c r="B550" s="1" t="s">
        <v>620</v>
      </c>
      <c r="C550" s="1" t="s">
        <v>556</v>
      </c>
      <c r="D550" s="2" t="s">
        <v>1487</v>
      </c>
      <c r="E550" s="1" t="s">
        <v>28</v>
      </c>
      <c r="F550" s="1" t="s">
        <v>237</v>
      </c>
      <c r="G550" s="1" t="s">
        <v>66</v>
      </c>
      <c r="H550" s="1" t="s">
        <v>67</v>
      </c>
      <c r="I550" s="1" t="s">
        <v>52</v>
      </c>
      <c r="J550" s="2" t="s">
        <v>2061</v>
      </c>
    </row>
    <row r="551">
      <c r="A551" s="1" t="s">
        <v>2063</v>
      </c>
      <c r="B551" s="1" t="s">
        <v>136</v>
      </c>
      <c r="C551" s="1" t="s">
        <v>374</v>
      </c>
      <c r="D551" s="2" t="s">
        <v>406</v>
      </c>
      <c r="E551" s="1" t="s">
        <v>28</v>
      </c>
      <c r="F551" s="1" t="s">
        <v>364</v>
      </c>
      <c r="G551" s="1" t="s">
        <v>377</v>
      </c>
      <c r="H551" s="1" t="s">
        <v>96</v>
      </c>
      <c r="I551" s="1" t="s">
        <v>97</v>
      </c>
      <c r="J551" s="2" t="s">
        <v>2064</v>
      </c>
    </row>
    <row r="552">
      <c r="A552" s="1" t="s">
        <v>21</v>
      </c>
      <c r="B552" s="1" t="s">
        <v>24</v>
      </c>
      <c r="C552" s="1" t="s">
        <v>25</v>
      </c>
      <c r="D552" s="2" t="s">
        <v>26</v>
      </c>
      <c r="E552" s="1" t="s">
        <v>28</v>
      </c>
      <c r="F552" s="1" t="s">
        <v>30</v>
      </c>
      <c r="G552" s="1" t="s">
        <v>32</v>
      </c>
      <c r="H552" s="1" t="s">
        <v>34</v>
      </c>
      <c r="I552" s="1" t="s">
        <v>35</v>
      </c>
      <c r="J552" s="2" t="s">
        <v>37</v>
      </c>
    </row>
    <row r="553">
      <c r="A553" s="1" t="s">
        <v>40</v>
      </c>
      <c r="B553" s="1" t="s">
        <v>41</v>
      </c>
      <c r="C553" s="1" t="s">
        <v>42</v>
      </c>
      <c r="D553" s="2" t="s">
        <v>43</v>
      </c>
      <c r="E553" s="1" t="s">
        <v>45</v>
      </c>
      <c r="F553" s="1" t="s">
        <v>47</v>
      </c>
      <c r="G553" s="1" t="s">
        <v>49</v>
      </c>
      <c r="H553" s="1" t="s">
        <v>50</v>
      </c>
      <c r="I553" s="1" t="s">
        <v>52</v>
      </c>
      <c r="J553" s="2" t="s">
        <v>55</v>
      </c>
    </row>
    <row r="554">
      <c r="A554" s="1" t="s">
        <v>40</v>
      </c>
      <c r="B554" s="1" t="s">
        <v>41</v>
      </c>
      <c r="C554" s="1" t="s">
        <v>42</v>
      </c>
      <c r="D554" s="2" t="s">
        <v>43</v>
      </c>
      <c r="E554" s="1" t="s">
        <v>45</v>
      </c>
      <c r="F554" s="1" t="s">
        <v>47</v>
      </c>
      <c r="G554" s="1" t="s">
        <v>49</v>
      </c>
      <c r="H554" s="1" t="s">
        <v>50</v>
      </c>
      <c r="I554" s="1" t="s">
        <v>52</v>
      </c>
      <c r="J554" s="2" t="s">
        <v>55</v>
      </c>
    </row>
    <row r="555">
      <c r="A555" s="1" t="s">
        <v>57</v>
      </c>
      <c r="B555" s="1" t="s">
        <v>59</v>
      </c>
      <c r="C555" s="1" t="s">
        <v>61</v>
      </c>
      <c r="D555" s="2" t="s">
        <v>63</v>
      </c>
      <c r="E555" s="1" t="s">
        <v>45</v>
      </c>
      <c r="F555" s="1" t="s">
        <v>64</v>
      </c>
      <c r="G555" s="1" t="s">
        <v>66</v>
      </c>
      <c r="H555" s="1" t="s">
        <v>67</v>
      </c>
      <c r="I555" s="1" t="s">
        <v>52</v>
      </c>
      <c r="J555" s="2" t="s">
        <v>70</v>
      </c>
    </row>
    <row r="556">
      <c r="A556" s="1" t="s">
        <v>72</v>
      </c>
      <c r="B556" s="1" t="s">
        <v>74</v>
      </c>
      <c r="C556" s="1" t="s">
        <v>76</v>
      </c>
      <c r="D556" s="2" t="s">
        <v>78</v>
      </c>
      <c r="E556" s="1" t="s">
        <v>80</v>
      </c>
      <c r="F556" s="1" t="s">
        <v>81</v>
      </c>
      <c r="G556" s="1" t="s">
        <v>82</v>
      </c>
      <c r="H556" s="1" t="s">
        <v>83</v>
      </c>
      <c r="I556" s="1" t="s">
        <v>52</v>
      </c>
      <c r="J556" s="2" t="s">
        <v>85</v>
      </c>
    </row>
    <row r="557">
      <c r="A557" s="1" t="s">
        <v>87</v>
      </c>
      <c r="B557" s="1" t="s">
        <v>89</v>
      </c>
      <c r="C557" s="1" t="s">
        <v>90</v>
      </c>
      <c r="D557" s="2" t="s">
        <v>91</v>
      </c>
      <c r="E557" s="1" t="s">
        <v>28</v>
      </c>
      <c r="F557" s="1" t="s">
        <v>64</v>
      </c>
      <c r="G557" s="1" t="s">
        <v>94</v>
      </c>
      <c r="H557" s="1" t="s">
        <v>96</v>
      </c>
      <c r="I557" s="1" t="s">
        <v>97</v>
      </c>
      <c r="J557" s="2" t="s">
        <v>98</v>
      </c>
    </row>
    <row r="558">
      <c r="A558" s="1" t="s">
        <v>99</v>
      </c>
      <c r="B558" s="1" t="s">
        <v>100</v>
      </c>
      <c r="C558" s="1" t="s">
        <v>101</v>
      </c>
      <c r="D558" s="2" t="s">
        <v>103</v>
      </c>
      <c r="E558" s="1" t="s">
        <v>105</v>
      </c>
      <c r="F558" s="1" t="s">
        <v>107</v>
      </c>
      <c r="G558" s="1" t="s">
        <v>109</v>
      </c>
      <c r="H558" s="1" t="s">
        <v>110</v>
      </c>
      <c r="I558" s="1" t="s">
        <v>97</v>
      </c>
      <c r="J558" s="2" t="s">
        <v>112</v>
      </c>
    </row>
    <row r="559">
      <c r="A559" s="1" t="s">
        <v>119</v>
      </c>
      <c r="B559" s="1" t="s">
        <v>120</v>
      </c>
      <c r="C559" s="1" t="s">
        <v>121</v>
      </c>
      <c r="D559" s="2" t="s">
        <v>122</v>
      </c>
      <c r="E559" s="1" t="s">
        <v>28</v>
      </c>
      <c r="F559" s="1" t="s">
        <v>107</v>
      </c>
      <c r="G559" s="1" t="s">
        <v>123</v>
      </c>
      <c r="H559" s="1" t="s">
        <v>124</v>
      </c>
      <c r="I559" s="1" t="s">
        <v>52</v>
      </c>
      <c r="J559" s="2" t="s">
        <v>125</v>
      </c>
    </row>
    <row r="560">
      <c r="A560" s="1" t="s">
        <v>126</v>
      </c>
      <c r="B560" s="1" t="s">
        <v>127</v>
      </c>
      <c r="C560" s="1" t="s">
        <v>128</v>
      </c>
      <c r="D560" s="2" t="s">
        <v>129</v>
      </c>
      <c r="E560" s="1" t="s">
        <v>130</v>
      </c>
      <c r="F560" s="1" t="s">
        <v>131</v>
      </c>
      <c r="G560" s="1" t="s">
        <v>132</v>
      </c>
      <c r="H560" s="1" t="s">
        <v>67</v>
      </c>
      <c r="I560" s="1" t="s">
        <v>97</v>
      </c>
      <c r="J560" s="2" t="s">
        <v>133</v>
      </c>
    </row>
    <row r="561">
      <c r="A561" s="1" t="s">
        <v>134</v>
      </c>
      <c r="B561" s="1" t="s">
        <v>136</v>
      </c>
      <c r="C561" s="1" t="s">
        <v>137</v>
      </c>
      <c r="D561" s="2" t="s">
        <v>139</v>
      </c>
      <c r="E561" s="1" t="s">
        <v>45</v>
      </c>
      <c r="F561" s="1" t="s">
        <v>141</v>
      </c>
      <c r="G561" s="1" t="s">
        <v>142</v>
      </c>
      <c r="H561" s="1" t="s">
        <v>143</v>
      </c>
      <c r="I561" s="1" t="s">
        <v>97</v>
      </c>
      <c r="J561" s="2" t="s">
        <v>144</v>
      </c>
    </row>
    <row r="562">
      <c r="A562" s="1" t="s">
        <v>145</v>
      </c>
      <c r="B562" s="1" t="s">
        <v>147</v>
      </c>
      <c r="C562" s="1" t="s">
        <v>148</v>
      </c>
      <c r="D562" s="2" t="s">
        <v>150</v>
      </c>
      <c r="E562" s="1" t="s">
        <v>152</v>
      </c>
      <c r="F562" s="1" t="s">
        <v>81</v>
      </c>
      <c r="G562" s="1" t="s">
        <v>109</v>
      </c>
      <c r="H562" s="1" t="s">
        <v>110</v>
      </c>
      <c r="I562" s="1" t="s">
        <v>97</v>
      </c>
      <c r="J562" s="2" t="s">
        <v>155</v>
      </c>
    </row>
    <row r="563">
      <c r="A563" s="1" t="s">
        <v>2071</v>
      </c>
      <c r="B563" s="1" t="s">
        <v>2072</v>
      </c>
      <c r="C563" s="1" t="s">
        <v>2073</v>
      </c>
      <c r="D563" s="2" t="s">
        <v>1041</v>
      </c>
      <c r="E563" s="1" t="s">
        <v>80</v>
      </c>
      <c r="F563" s="1" t="s">
        <v>64</v>
      </c>
      <c r="G563" s="1" t="s">
        <v>358</v>
      </c>
      <c r="H563" s="1" t="s">
        <v>359</v>
      </c>
      <c r="I563" s="1" t="s">
        <v>211</v>
      </c>
      <c r="J563" s="2" t="s">
        <v>2075</v>
      </c>
    </row>
    <row r="564">
      <c r="A564" s="1" t="s">
        <v>2076</v>
      </c>
      <c r="B564" s="1" t="s">
        <v>2077</v>
      </c>
      <c r="C564" s="1" t="s">
        <v>2078</v>
      </c>
      <c r="D564" s="2" t="s">
        <v>317</v>
      </c>
      <c r="E564" s="1" t="s">
        <v>80</v>
      </c>
      <c r="F564" s="1" t="s">
        <v>47</v>
      </c>
      <c r="G564" s="1" t="s">
        <v>94</v>
      </c>
      <c r="H564" s="1" t="s">
        <v>271</v>
      </c>
      <c r="I564" s="1" t="s">
        <v>97</v>
      </c>
      <c r="J564" s="2" t="s">
        <v>2080</v>
      </c>
    </row>
    <row r="565">
      <c r="A565" s="1" t="s">
        <v>2081</v>
      </c>
      <c r="B565" s="1" t="s">
        <v>2008</v>
      </c>
      <c r="C565" s="1" t="s">
        <v>2082</v>
      </c>
      <c r="D565" s="2" t="s">
        <v>43</v>
      </c>
      <c r="E565" s="1" t="s">
        <v>28</v>
      </c>
      <c r="F565" s="1" t="s">
        <v>376</v>
      </c>
      <c r="G565" s="1" t="s">
        <v>1290</v>
      </c>
      <c r="H565" s="1" t="s">
        <v>240</v>
      </c>
      <c r="I565" s="1" t="s">
        <v>222</v>
      </c>
      <c r="J565" s="2" t="s">
        <v>2084</v>
      </c>
    </row>
    <row r="566">
      <c r="A566" s="1" t="s">
        <v>2085</v>
      </c>
      <c r="B566" s="1" t="s">
        <v>2086</v>
      </c>
      <c r="C566" s="1" t="s">
        <v>2087</v>
      </c>
      <c r="D566" s="2" t="s">
        <v>285</v>
      </c>
      <c r="E566" s="1" t="s">
        <v>80</v>
      </c>
      <c r="F566" s="1" t="s">
        <v>47</v>
      </c>
      <c r="G566" s="1" t="s">
        <v>32</v>
      </c>
      <c r="H566" s="1" t="s">
        <v>83</v>
      </c>
      <c r="I566" s="1" t="s">
        <v>97</v>
      </c>
      <c r="J566" s="2" t="s">
        <v>2088</v>
      </c>
    </row>
    <row r="567">
      <c r="A567" s="1" t="s">
        <v>2089</v>
      </c>
      <c r="B567" s="1" t="s">
        <v>1329</v>
      </c>
      <c r="C567" s="1" t="s">
        <v>2090</v>
      </c>
      <c r="D567" s="2" t="s">
        <v>139</v>
      </c>
      <c r="E567" s="1" t="s">
        <v>105</v>
      </c>
      <c r="F567" s="1" t="s">
        <v>47</v>
      </c>
      <c r="G567" s="1" t="s">
        <v>517</v>
      </c>
      <c r="H567" s="1" t="s">
        <v>143</v>
      </c>
      <c r="I567" s="1" t="s">
        <v>97</v>
      </c>
      <c r="J567" s="2" t="s">
        <v>2092</v>
      </c>
    </row>
    <row r="568">
      <c r="A568" s="1" t="s">
        <v>2093</v>
      </c>
      <c r="B568" s="1" t="s">
        <v>2094</v>
      </c>
      <c r="C568" s="1" t="s">
        <v>2095</v>
      </c>
      <c r="D568" s="2" t="s">
        <v>276</v>
      </c>
      <c r="E568" s="1" t="s">
        <v>152</v>
      </c>
      <c r="F568" s="1" t="s">
        <v>107</v>
      </c>
      <c r="G568" s="1" t="s">
        <v>94</v>
      </c>
      <c r="H568" s="1" t="s">
        <v>592</v>
      </c>
      <c r="I568" s="1" t="s">
        <v>52</v>
      </c>
      <c r="J568" s="2" t="s">
        <v>2096</v>
      </c>
    </row>
    <row r="569">
      <c r="A569" s="1" t="s">
        <v>2098</v>
      </c>
      <c r="B569" s="1" t="s">
        <v>2099</v>
      </c>
      <c r="C569" s="1" t="s">
        <v>2100</v>
      </c>
      <c r="D569" s="2" t="s">
        <v>850</v>
      </c>
      <c r="E569" s="1" t="s">
        <v>1572</v>
      </c>
      <c r="F569" s="1" t="s">
        <v>208</v>
      </c>
      <c r="G569" s="1" t="s">
        <v>196</v>
      </c>
      <c r="H569" s="1" t="s">
        <v>197</v>
      </c>
      <c r="I569" s="1" t="s">
        <v>97</v>
      </c>
      <c r="J569" s="2" t="s">
        <v>2101</v>
      </c>
    </row>
    <row r="570">
      <c r="A570" s="1" t="s">
        <v>2102</v>
      </c>
      <c r="B570" s="1" t="s">
        <v>2103</v>
      </c>
      <c r="C570" s="1" t="s">
        <v>2104</v>
      </c>
      <c r="D570" s="2" t="s">
        <v>317</v>
      </c>
      <c r="E570" s="1" t="s">
        <v>28</v>
      </c>
      <c r="F570" s="1" t="s">
        <v>309</v>
      </c>
      <c r="G570" s="1" t="s">
        <v>94</v>
      </c>
      <c r="H570" s="1" t="s">
        <v>96</v>
      </c>
      <c r="I570" s="1" t="s">
        <v>97</v>
      </c>
      <c r="J570" s="2" t="s">
        <v>2106</v>
      </c>
    </row>
    <row r="571">
      <c r="A571" s="1" t="s">
        <v>2107</v>
      </c>
      <c r="B571" s="1" t="s">
        <v>2108</v>
      </c>
      <c r="C571" s="1" t="s">
        <v>2109</v>
      </c>
      <c r="D571" s="2" t="s">
        <v>195</v>
      </c>
      <c r="E571" s="1" t="s">
        <v>105</v>
      </c>
      <c r="F571" s="1" t="s">
        <v>309</v>
      </c>
      <c r="G571" s="1" t="s">
        <v>608</v>
      </c>
      <c r="H571" s="1" t="s">
        <v>143</v>
      </c>
      <c r="I571" s="1" t="s">
        <v>97</v>
      </c>
      <c r="J571" s="2" t="s">
        <v>2110</v>
      </c>
    </row>
    <row r="572">
      <c r="A572" s="1" t="s">
        <v>2111</v>
      </c>
      <c r="B572" s="1" t="s">
        <v>2112</v>
      </c>
      <c r="C572" s="1" t="s">
        <v>2113</v>
      </c>
      <c r="D572" s="2" t="s">
        <v>285</v>
      </c>
      <c r="E572" s="1" t="s">
        <v>45</v>
      </c>
      <c r="F572" s="1" t="s">
        <v>30</v>
      </c>
      <c r="G572" s="1" t="s">
        <v>132</v>
      </c>
      <c r="H572" s="1" t="s">
        <v>607</v>
      </c>
      <c r="I572" s="1" t="s">
        <v>97</v>
      </c>
      <c r="J572" s="2" t="s">
        <v>2115</v>
      </c>
    </row>
    <row r="573">
      <c r="A573" s="1" t="s">
        <v>2116</v>
      </c>
      <c r="B573" s="1" t="s">
        <v>1237</v>
      </c>
      <c r="C573" s="1" t="s">
        <v>2073</v>
      </c>
      <c r="D573" s="2" t="s">
        <v>195</v>
      </c>
      <c r="E573" s="1" t="s">
        <v>1572</v>
      </c>
      <c r="F573" s="1" t="s">
        <v>107</v>
      </c>
      <c r="G573" s="1" t="s">
        <v>408</v>
      </c>
      <c r="H573" s="1" t="s">
        <v>851</v>
      </c>
      <c r="I573" s="1" t="s">
        <v>97</v>
      </c>
      <c r="J573" s="2" t="s">
        <v>2117</v>
      </c>
    </row>
    <row r="574">
      <c r="A574" s="1" t="s">
        <v>2118</v>
      </c>
      <c r="B574" s="1" t="s">
        <v>2119</v>
      </c>
      <c r="C574" s="1" t="s">
        <v>2120</v>
      </c>
      <c r="D574" s="2" t="s">
        <v>434</v>
      </c>
      <c r="E574" s="1" t="s">
        <v>80</v>
      </c>
      <c r="F574" s="1" t="s">
        <v>107</v>
      </c>
      <c r="G574" s="1" t="s">
        <v>677</v>
      </c>
      <c r="H574" s="1" t="s">
        <v>143</v>
      </c>
      <c r="I574" s="1" t="s">
        <v>97</v>
      </c>
      <c r="J574" s="2" t="s">
        <v>2121</v>
      </c>
    </row>
    <row r="575">
      <c r="A575" s="1" t="s">
        <v>2122</v>
      </c>
      <c r="B575" s="1" t="s">
        <v>2123</v>
      </c>
      <c r="C575" s="1" t="s">
        <v>2090</v>
      </c>
      <c r="D575" s="2" t="s">
        <v>276</v>
      </c>
      <c r="E575" s="1" t="s">
        <v>80</v>
      </c>
      <c r="F575" s="1" t="s">
        <v>47</v>
      </c>
      <c r="G575" s="1" t="s">
        <v>1188</v>
      </c>
      <c r="H575" s="1" t="s">
        <v>500</v>
      </c>
      <c r="I575" s="1" t="s">
        <v>211</v>
      </c>
      <c r="J575" s="2" t="s">
        <v>1638</v>
      </c>
    </row>
    <row r="576">
      <c r="A576" s="1" t="s">
        <v>2125</v>
      </c>
      <c r="B576" s="1" t="s">
        <v>2126</v>
      </c>
      <c r="C576" s="1" t="s">
        <v>2127</v>
      </c>
      <c r="D576" s="2" t="s">
        <v>325</v>
      </c>
      <c r="E576" s="1" t="s">
        <v>45</v>
      </c>
      <c r="F576" s="1" t="s">
        <v>268</v>
      </c>
      <c r="G576" s="1" t="s">
        <v>583</v>
      </c>
      <c r="H576" s="1" t="s">
        <v>592</v>
      </c>
      <c r="I576" s="1" t="s">
        <v>35</v>
      </c>
      <c r="J576" s="2" t="s">
        <v>491</v>
      </c>
    </row>
    <row r="577">
      <c r="A577" s="1" t="s">
        <v>2128</v>
      </c>
      <c r="B577" s="1" t="s">
        <v>2130</v>
      </c>
      <c r="C577" s="1" t="s">
        <v>90</v>
      </c>
      <c r="D577" s="2" t="s">
        <v>460</v>
      </c>
      <c r="E577" s="1" t="s">
        <v>28</v>
      </c>
      <c r="F577" s="1" t="s">
        <v>107</v>
      </c>
      <c r="G577" s="1" t="s">
        <v>408</v>
      </c>
      <c r="H577" s="1" t="s">
        <v>851</v>
      </c>
      <c r="I577" s="1" t="s">
        <v>97</v>
      </c>
      <c r="J577" s="2" t="s">
        <v>2131</v>
      </c>
    </row>
    <row r="578">
      <c r="A578" s="1" t="s">
        <v>2132</v>
      </c>
      <c r="B578" s="1" t="s">
        <v>2134</v>
      </c>
      <c r="C578" s="1" t="s">
        <v>2135</v>
      </c>
      <c r="D578" s="2" t="s">
        <v>481</v>
      </c>
      <c r="E578" s="1" t="s">
        <v>28</v>
      </c>
      <c r="F578" s="1" t="s">
        <v>81</v>
      </c>
      <c r="G578" s="1" t="s">
        <v>551</v>
      </c>
      <c r="H578" s="1" t="s">
        <v>346</v>
      </c>
      <c r="I578" s="1" t="s">
        <v>222</v>
      </c>
      <c r="J578" s="2" t="s">
        <v>2137</v>
      </c>
    </row>
    <row r="579">
      <c r="A579" s="1" t="s">
        <v>2138</v>
      </c>
      <c r="B579" s="1" t="s">
        <v>2139</v>
      </c>
      <c r="C579" s="1" t="s">
        <v>2140</v>
      </c>
      <c r="D579" s="2" t="s">
        <v>336</v>
      </c>
      <c r="E579" s="1" t="s">
        <v>28</v>
      </c>
      <c r="F579" s="1" t="s">
        <v>309</v>
      </c>
      <c r="G579" s="1" t="s">
        <v>408</v>
      </c>
      <c r="H579" s="1" t="s">
        <v>561</v>
      </c>
      <c r="I579" s="1" t="s">
        <v>97</v>
      </c>
      <c r="J579" s="2" t="s">
        <v>1687</v>
      </c>
    </row>
    <row r="580">
      <c r="A580" s="1" t="s">
        <v>2141</v>
      </c>
      <c r="B580" s="1" t="s">
        <v>171</v>
      </c>
      <c r="C580" s="1" t="s">
        <v>2103</v>
      </c>
      <c r="D580" s="2" t="s">
        <v>565</v>
      </c>
      <c r="E580" s="1" t="s">
        <v>152</v>
      </c>
      <c r="F580" s="1" t="s">
        <v>81</v>
      </c>
      <c r="G580" s="1" t="s">
        <v>311</v>
      </c>
      <c r="H580" s="1" t="s">
        <v>304</v>
      </c>
      <c r="I580" s="1" t="s">
        <v>211</v>
      </c>
      <c r="J580" s="2" t="s">
        <v>2142</v>
      </c>
    </row>
    <row r="581">
      <c r="A581" s="1" t="s">
        <v>2143</v>
      </c>
      <c r="B581" s="1" t="s">
        <v>2144</v>
      </c>
      <c r="C581" s="1" t="s">
        <v>2145</v>
      </c>
      <c r="D581" s="2" t="s">
        <v>344</v>
      </c>
      <c r="E581" s="1" t="s">
        <v>28</v>
      </c>
      <c r="F581" s="1" t="s">
        <v>47</v>
      </c>
      <c r="G581" s="1" t="s">
        <v>551</v>
      </c>
      <c r="H581" s="1" t="s">
        <v>34</v>
      </c>
      <c r="I581" s="1" t="s">
        <v>222</v>
      </c>
      <c r="J581" s="2" t="s">
        <v>2146</v>
      </c>
    </row>
    <row r="582">
      <c r="A582" s="1" t="s">
        <v>2147</v>
      </c>
      <c r="B582" s="1" t="s">
        <v>764</v>
      </c>
      <c r="C582" s="1" t="s">
        <v>2148</v>
      </c>
      <c r="D582" s="2" t="s">
        <v>392</v>
      </c>
      <c r="E582" s="1" t="s">
        <v>1572</v>
      </c>
      <c r="F582" s="1" t="s">
        <v>64</v>
      </c>
      <c r="G582" s="1" t="s">
        <v>977</v>
      </c>
      <c r="H582" s="1" t="s">
        <v>394</v>
      </c>
      <c r="I582" s="1" t="s">
        <v>211</v>
      </c>
      <c r="J582" s="2" t="s">
        <v>2151</v>
      </c>
    </row>
    <row r="583">
      <c r="A583" s="1" t="s">
        <v>2152</v>
      </c>
      <c r="B583" s="1" t="s">
        <v>2153</v>
      </c>
      <c r="C583" s="1" t="s">
        <v>2154</v>
      </c>
      <c r="D583" s="2" t="s">
        <v>675</v>
      </c>
      <c r="E583" s="1" t="s">
        <v>45</v>
      </c>
      <c r="F583" s="1" t="s">
        <v>30</v>
      </c>
      <c r="G583" s="1" t="s">
        <v>164</v>
      </c>
      <c r="H583" s="1" t="s">
        <v>452</v>
      </c>
      <c r="I583" s="1" t="s">
        <v>211</v>
      </c>
      <c r="J583" s="2" t="s">
        <v>2156</v>
      </c>
    </row>
    <row r="584">
      <c r="A584" s="1" t="s">
        <v>2157</v>
      </c>
      <c r="B584" s="1" t="s">
        <v>2144</v>
      </c>
      <c r="C584" s="1" t="s">
        <v>2095</v>
      </c>
      <c r="D584" s="2" t="s">
        <v>302</v>
      </c>
      <c r="E584" s="1" t="s">
        <v>105</v>
      </c>
      <c r="F584" s="1" t="s">
        <v>47</v>
      </c>
      <c r="G584" s="1" t="s">
        <v>583</v>
      </c>
      <c r="H584" s="1" t="s">
        <v>346</v>
      </c>
      <c r="I584" s="1" t="s">
        <v>97</v>
      </c>
      <c r="J584" s="2" t="s">
        <v>491</v>
      </c>
    </row>
    <row r="585">
      <c r="A585" s="1" t="s">
        <v>2158</v>
      </c>
      <c r="B585" s="1" t="s">
        <v>2072</v>
      </c>
      <c r="C585" s="1" t="s">
        <v>2159</v>
      </c>
      <c r="D585" s="2" t="s">
        <v>236</v>
      </c>
      <c r="E585" s="1" t="s">
        <v>152</v>
      </c>
      <c r="F585" s="1" t="s">
        <v>30</v>
      </c>
      <c r="G585" s="1" t="s">
        <v>576</v>
      </c>
      <c r="H585" s="1" t="s">
        <v>50</v>
      </c>
      <c r="I585" s="1" t="s">
        <v>211</v>
      </c>
      <c r="J585" s="2" t="s">
        <v>2160</v>
      </c>
    </row>
    <row r="586">
      <c r="A586" s="1" t="s">
        <v>2161</v>
      </c>
      <c r="B586" s="1" t="s">
        <v>2153</v>
      </c>
      <c r="C586" s="1" t="s">
        <v>2163</v>
      </c>
      <c r="D586" s="2" t="s">
        <v>667</v>
      </c>
      <c r="E586" s="1" t="s">
        <v>105</v>
      </c>
      <c r="F586" s="1" t="s">
        <v>237</v>
      </c>
      <c r="G586" s="1" t="s">
        <v>572</v>
      </c>
      <c r="H586" s="1" t="s">
        <v>83</v>
      </c>
      <c r="I586" s="1" t="s">
        <v>35</v>
      </c>
      <c r="J586" s="2" t="s">
        <v>2164</v>
      </c>
    </row>
    <row r="587">
      <c r="A587" s="1" t="s">
        <v>2165</v>
      </c>
      <c r="B587" s="1" t="s">
        <v>2166</v>
      </c>
      <c r="C587" s="1" t="s">
        <v>2167</v>
      </c>
      <c r="D587" s="2" t="s">
        <v>236</v>
      </c>
      <c r="E587" s="1" t="s">
        <v>152</v>
      </c>
      <c r="F587" s="1" t="s">
        <v>393</v>
      </c>
      <c r="G587" s="1" t="s">
        <v>608</v>
      </c>
      <c r="H587" s="1" t="s">
        <v>346</v>
      </c>
      <c r="I587" s="1" t="s">
        <v>35</v>
      </c>
      <c r="J587" s="2" t="s">
        <v>2168</v>
      </c>
    </row>
    <row r="588">
      <c r="A588" s="1" t="s">
        <v>2170</v>
      </c>
      <c r="B588" s="1" t="s">
        <v>2103</v>
      </c>
      <c r="C588" s="1" t="s">
        <v>216</v>
      </c>
      <c r="D588" s="2" t="s">
        <v>1025</v>
      </c>
      <c r="E588" s="1" t="s">
        <v>45</v>
      </c>
      <c r="F588" s="1" t="s">
        <v>176</v>
      </c>
      <c r="G588" s="1" t="s">
        <v>311</v>
      </c>
      <c r="H588" s="1" t="s">
        <v>143</v>
      </c>
      <c r="I588" s="1" t="s">
        <v>97</v>
      </c>
      <c r="J588" s="2" t="s">
        <v>2171</v>
      </c>
    </row>
    <row r="589">
      <c r="A589" s="1" t="s">
        <v>2172</v>
      </c>
      <c r="B589" s="1" t="s">
        <v>1237</v>
      </c>
      <c r="C589" s="1" t="s">
        <v>2103</v>
      </c>
      <c r="D589" s="2" t="s">
        <v>631</v>
      </c>
      <c r="E589" s="1" t="s">
        <v>1572</v>
      </c>
      <c r="F589" s="1" t="s">
        <v>237</v>
      </c>
      <c r="G589" s="1" t="s">
        <v>1188</v>
      </c>
      <c r="H589" s="1" t="s">
        <v>533</v>
      </c>
      <c r="I589" s="1" t="s">
        <v>97</v>
      </c>
      <c r="J589" s="2" t="s">
        <v>1961</v>
      </c>
    </row>
    <row r="590">
      <c r="A590" s="1" t="s">
        <v>2174</v>
      </c>
      <c r="B590" s="1" t="s">
        <v>2153</v>
      </c>
      <c r="C590" s="1" t="s">
        <v>2175</v>
      </c>
      <c r="D590" s="2" t="s">
        <v>1343</v>
      </c>
      <c r="E590" s="1" t="s">
        <v>80</v>
      </c>
      <c r="F590" s="1" t="s">
        <v>759</v>
      </c>
      <c r="G590" s="1" t="s">
        <v>132</v>
      </c>
      <c r="H590" s="1" t="s">
        <v>346</v>
      </c>
      <c r="I590" s="1" t="s">
        <v>97</v>
      </c>
      <c r="J590" s="2" t="s">
        <v>1310</v>
      </c>
    </row>
    <row r="591">
      <c r="A591" s="1" t="s">
        <v>2177</v>
      </c>
      <c r="B591" s="1" t="s">
        <v>2178</v>
      </c>
      <c r="C591" s="1" t="s">
        <v>2179</v>
      </c>
      <c r="D591" s="2" t="s">
        <v>1091</v>
      </c>
      <c r="E591" s="1" t="s">
        <v>152</v>
      </c>
      <c r="F591" s="1" t="s">
        <v>107</v>
      </c>
      <c r="G591" s="1" t="s">
        <v>238</v>
      </c>
      <c r="H591" s="1" t="s">
        <v>500</v>
      </c>
      <c r="I591" s="1" t="s">
        <v>222</v>
      </c>
      <c r="J591" s="2" t="s">
        <v>2180</v>
      </c>
    </row>
    <row r="592">
      <c r="A592" s="1" t="s">
        <v>2181</v>
      </c>
      <c r="B592" s="1" t="s">
        <v>2183</v>
      </c>
      <c r="C592" s="1" t="s">
        <v>363</v>
      </c>
      <c r="D592" s="2" t="s">
        <v>139</v>
      </c>
      <c r="E592" s="1" t="s">
        <v>152</v>
      </c>
      <c r="F592" s="1" t="s">
        <v>309</v>
      </c>
      <c r="G592" s="1" t="s">
        <v>647</v>
      </c>
      <c r="H592" s="1" t="s">
        <v>561</v>
      </c>
      <c r="I592" s="1" t="s">
        <v>97</v>
      </c>
      <c r="J592" s="2" t="s">
        <v>2184</v>
      </c>
    </row>
    <row r="593">
      <c r="A593" s="1" t="s">
        <v>2185</v>
      </c>
      <c r="B593" s="1" t="s">
        <v>2186</v>
      </c>
      <c r="C593" s="1" t="s">
        <v>2187</v>
      </c>
      <c r="D593" s="2" t="s">
        <v>488</v>
      </c>
      <c r="E593" s="1" t="s">
        <v>152</v>
      </c>
      <c r="F593" s="1" t="s">
        <v>64</v>
      </c>
      <c r="G593" s="1" t="s">
        <v>499</v>
      </c>
      <c r="H593" s="1" t="s">
        <v>533</v>
      </c>
      <c r="I593" s="1" t="s">
        <v>97</v>
      </c>
      <c r="J593" s="2" t="s">
        <v>2189</v>
      </c>
    </row>
    <row r="594">
      <c r="A594" s="1" t="s">
        <v>2190</v>
      </c>
      <c r="B594" s="1" t="s">
        <v>2119</v>
      </c>
      <c r="C594" s="1" t="s">
        <v>925</v>
      </c>
      <c r="D594" s="2" t="s">
        <v>266</v>
      </c>
      <c r="E594" s="1" t="s">
        <v>1572</v>
      </c>
      <c r="F594" s="1" t="s">
        <v>309</v>
      </c>
      <c r="G594" s="1" t="s">
        <v>470</v>
      </c>
      <c r="H594" s="1" t="s">
        <v>592</v>
      </c>
      <c r="I594" s="1" t="s">
        <v>97</v>
      </c>
      <c r="J594" s="2" t="s">
        <v>2142</v>
      </c>
    </row>
    <row r="595">
      <c r="A595" s="1" t="s">
        <v>2192</v>
      </c>
      <c r="B595" s="1" t="s">
        <v>2193</v>
      </c>
      <c r="C595" s="1" t="s">
        <v>2194</v>
      </c>
      <c r="D595" s="2" t="s">
        <v>1343</v>
      </c>
      <c r="E595" s="1" t="s">
        <v>28</v>
      </c>
      <c r="F595" s="1" t="s">
        <v>237</v>
      </c>
      <c r="G595" s="1" t="s">
        <v>551</v>
      </c>
      <c r="H595" s="1" t="s">
        <v>346</v>
      </c>
      <c r="I595" s="1" t="s">
        <v>97</v>
      </c>
      <c r="J595" s="2" t="s">
        <v>2195</v>
      </c>
    </row>
    <row r="596">
      <c r="A596" s="1" t="s">
        <v>2196</v>
      </c>
      <c r="B596" s="1" t="s">
        <v>2198</v>
      </c>
      <c r="C596" s="1" t="s">
        <v>629</v>
      </c>
      <c r="D596" s="2" t="s">
        <v>1041</v>
      </c>
      <c r="E596" s="1" t="s">
        <v>45</v>
      </c>
      <c r="F596" s="1" t="s">
        <v>47</v>
      </c>
      <c r="G596" s="1" t="s">
        <v>66</v>
      </c>
      <c r="H596" s="1" t="s">
        <v>271</v>
      </c>
      <c r="I596" s="1" t="s">
        <v>211</v>
      </c>
      <c r="J596" s="2" t="s">
        <v>2199</v>
      </c>
    </row>
    <row r="597">
      <c r="A597" s="1" t="s">
        <v>2201</v>
      </c>
      <c r="B597" s="1" t="s">
        <v>2202</v>
      </c>
      <c r="C597" s="1" t="s">
        <v>2203</v>
      </c>
      <c r="D597" s="2" t="s">
        <v>1487</v>
      </c>
      <c r="E597" s="1" t="s">
        <v>45</v>
      </c>
      <c r="F597" s="1" t="s">
        <v>237</v>
      </c>
      <c r="G597" s="1" t="s">
        <v>196</v>
      </c>
      <c r="H597" s="1" t="s">
        <v>402</v>
      </c>
      <c r="I597" s="1" t="s">
        <v>222</v>
      </c>
      <c r="J597" s="2" t="s">
        <v>2204</v>
      </c>
    </row>
    <row r="598">
      <c r="A598" s="1" t="s">
        <v>2205</v>
      </c>
      <c r="B598" s="1" t="s">
        <v>2206</v>
      </c>
      <c r="C598" s="1" t="s">
        <v>301</v>
      </c>
      <c r="D598" s="2" t="s">
        <v>1180</v>
      </c>
      <c r="E598" s="1" t="s">
        <v>105</v>
      </c>
      <c r="F598" s="1" t="s">
        <v>208</v>
      </c>
      <c r="G598" s="1" t="s">
        <v>94</v>
      </c>
      <c r="H598" s="1" t="s">
        <v>607</v>
      </c>
      <c r="I598" s="1" t="s">
        <v>211</v>
      </c>
      <c r="J598" s="2" t="s">
        <v>2208</v>
      </c>
    </row>
    <row r="599">
      <c r="A599" s="1" t="s">
        <v>2209</v>
      </c>
      <c r="B599" s="1" t="s">
        <v>2210</v>
      </c>
      <c r="C599" s="1" t="s">
        <v>2211</v>
      </c>
      <c r="D599" s="2" t="s">
        <v>308</v>
      </c>
      <c r="E599" s="1" t="s">
        <v>80</v>
      </c>
      <c r="F599" s="1" t="s">
        <v>268</v>
      </c>
      <c r="G599" s="1" t="s">
        <v>142</v>
      </c>
      <c r="H599" s="1" t="s">
        <v>346</v>
      </c>
      <c r="I599" s="1" t="s">
        <v>35</v>
      </c>
      <c r="J599" s="2" t="s">
        <v>1323</v>
      </c>
    </row>
    <row r="600">
      <c r="A600" s="1" t="s">
        <v>2212</v>
      </c>
      <c r="B600" s="1" t="s">
        <v>872</v>
      </c>
      <c r="C600" s="1" t="s">
        <v>2214</v>
      </c>
      <c r="D600" s="2" t="s">
        <v>383</v>
      </c>
      <c r="E600" s="1" t="s">
        <v>80</v>
      </c>
      <c r="F600" s="1" t="s">
        <v>47</v>
      </c>
      <c r="G600" s="1" t="s">
        <v>177</v>
      </c>
      <c r="H600" s="1" t="s">
        <v>110</v>
      </c>
      <c r="I600" s="1" t="s">
        <v>52</v>
      </c>
      <c r="J600" s="2" t="s">
        <v>2215</v>
      </c>
    </row>
    <row r="601">
      <c r="A601" s="1" t="s">
        <v>2216</v>
      </c>
      <c r="B601" s="1" t="s">
        <v>1186</v>
      </c>
      <c r="C601" s="1" t="s">
        <v>2217</v>
      </c>
      <c r="D601" s="2" t="s">
        <v>878</v>
      </c>
      <c r="E601" s="1" t="s">
        <v>80</v>
      </c>
      <c r="F601" s="1" t="s">
        <v>107</v>
      </c>
      <c r="G601" s="1" t="s">
        <v>511</v>
      </c>
      <c r="H601" s="1" t="s">
        <v>720</v>
      </c>
      <c r="I601" s="1" t="s">
        <v>222</v>
      </c>
      <c r="J601" s="2" t="s">
        <v>2218</v>
      </c>
    </row>
    <row r="602">
      <c r="A602" s="1" t="s">
        <v>2220</v>
      </c>
      <c r="B602" s="1" t="s">
        <v>2221</v>
      </c>
      <c r="C602" s="1" t="s">
        <v>2222</v>
      </c>
      <c r="D602" s="2" t="s">
        <v>92</v>
      </c>
      <c r="E602" s="1" t="s">
        <v>28</v>
      </c>
      <c r="F602" s="1" t="s">
        <v>47</v>
      </c>
      <c r="G602" s="1" t="s">
        <v>489</v>
      </c>
      <c r="H602" s="1" t="s">
        <v>477</v>
      </c>
      <c r="I602" s="1" t="s">
        <v>35</v>
      </c>
      <c r="J602" s="2" t="s">
        <v>2223</v>
      </c>
    </row>
    <row r="603">
      <c r="A603" s="1" t="s">
        <v>2224</v>
      </c>
      <c r="B603" s="1" t="s">
        <v>2225</v>
      </c>
      <c r="C603" s="1" t="s">
        <v>2226</v>
      </c>
      <c r="D603" s="2" t="s">
        <v>521</v>
      </c>
      <c r="E603" s="1" t="s">
        <v>1572</v>
      </c>
      <c r="F603" s="1" t="s">
        <v>141</v>
      </c>
      <c r="G603" s="1" t="s">
        <v>177</v>
      </c>
      <c r="H603" s="1" t="s">
        <v>143</v>
      </c>
      <c r="I603" s="1" t="s">
        <v>52</v>
      </c>
      <c r="J603" s="2" t="s">
        <v>2228</v>
      </c>
    </row>
    <row r="604">
      <c r="A604" s="1" t="s">
        <v>2229</v>
      </c>
      <c r="B604" s="1" t="s">
        <v>764</v>
      </c>
      <c r="C604" s="1" t="s">
        <v>2230</v>
      </c>
      <c r="D604" s="2" t="s">
        <v>650</v>
      </c>
      <c r="E604" s="1" t="s">
        <v>28</v>
      </c>
      <c r="F604" s="1" t="s">
        <v>309</v>
      </c>
      <c r="G604" s="1" t="s">
        <v>377</v>
      </c>
      <c r="H604" s="1" t="s">
        <v>96</v>
      </c>
      <c r="I604" s="1" t="s">
        <v>211</v>
      </c>
      <c r="J604" s="2" t="s">
        <v>2232</v>
      </c>
    </row>
    <row r="605">
      <c r="A605" s="1" t="s">
        <v>2233</v>
      </c>
      <c r="B605" s="1" t="s">
        <v>625</v>
      </c>
      <c r="C605" s="1" t="s">
        <v>2235</v>
      </c>
      <c r="D605" s="2" t="s">
        <v>460</v>
      </c>
      <c r="E605" s="1" t="s">
        <v>1572</v>
      </c>
      <c r="F605" s="1" t="s">
        <v>47</v>
      </c>
      <c r="G605" s="1" t="s">
        <v>132</v>
      </c>
      <c r="H605" s="1" t="s">
        <v>452</v>
      </c>
      <c r="I605" s="1" t="s">
        <v>97</v>
      </c>
      <c r="J605" s="2" t="s">
        <v>464</v>
      </c>
    </row>
    <row r="606">
      <c r="A606" s="1" t="s">
        <v>2236</v>
      </c>
      <c r="B606" s="1" t="s">
        <v>2237</v>
      </c>
      <c r="C606" s="1" t="s">
        <v>25</v>
      </c>
      <c r="D606" s="2" t="s">
        <v>26</v>
      </c>
      <c r="E606" s="1" t="s">
        <v>152</v>
      </c>
      <c r="F606" s="1" t="s">
        <v>571</v>
      </c>
      <c r="G606" s="1" t="s">
        <v>132</v>
      </c>
      <c r="H606" s="1" t="s">
        <v>452</v>
      </c>
      <c r="I606" s="1" t="s">
        <v>222</v>
      </c>
      <c r="J606" s="2" t="s">
        <v>2238</v>
      </c>
    </row>
    <row r="607">
      <c r="A607" s="1" t="s">
        <v>2239</v>
      </c>
      <c r="B607" s="1" t="s">
        <v>2108</v>
      </c>
      <c r="C607" s="1" t="s">
        <v>2187</v>
      </c>
      <c r="D607" s="2" t="s">
        <v>325</v>
      </c>
      <c r="E607" s="1" t="s">
        <v>28</v>
      </c>
      <c r="F607" s="1" t="s">
        <v>47</v>
      </c>
      <c r="G607" s="1" t="s">
        <v>439</v>
      </c>
      <c r="H607" s="1" t="s">
        <v>210</v>
      </c>
      <c r="I607" s="1" t="s">
        <v>222</v>
      </c>
      <c r="J607" s="2" t="s">
        <v>2242</v>
      </c>
    </row>
    <row r="608">
      <c r="A608" s="1" t="s">
        <v>2243</v>
      </c>
      <c r="B608" s="1" t="s">
        <v>2244</v>
      </c>
      <c r="C608" s="1" t="s">
        <v>2154</v>
      </c>
      <c r="D608" s="2" t="s">
        <v>276</v>
      </c>
      <c r="E608" s="1" t="s">
        <v>80</v>
      </c>
      <c r="F608" s="1" t="s">
        <v>393</v>
      </c>
      <c r="G608" s="1" t="s">
        <v>1188</v>
      </c>
      <c r="H608" s="1" t="s">
        <v>691</v>
      </c>
      <c r="I608" s="1" t="s">
        <v>222</v>
      </c>
      <c r="J608" s="2" t="s">
        <v>1669</v>
      </c>
    </row>
    <row r="609">
      <c r="A609" s="1" t="s">
        <v>2245</v>
      </c>
      <c r="B609" s="1" t="s">
        <v>2246</v>
      </c>
      <c r="C609" s="1" t="s">
        <v>2163</v>
      </c>
      <c r="D609" s="2" t="s">
        <v>1150</v>
      </c>
      <c r="E609" s="1" t="s">
        <v>28</v>
      </c>
      <c r="F609" s="1" t="s">
        <v>256</v>
      </c>
      <c r="G609" s="1" t="s">
        <v>32</v>
      </c>
      <c r="H609" s="1" t="s">
        <v>124</v>
      </c>
      <c r="I609" s="1" t="s">
        <v>222</v>
      </c>
      <c r="J609" s="2" t="s">
        <v>2248</v>
      </c>
    </row>
    <row r="610">
      <c r="A610" s="1" t="s">
        <v>2249</v>
      </c>
      <c r="B610" s="1" t="s">
        <v>2250</v>
      </c>
      <c r="C610" s="1" t="s">
        <v>2251</v>
      </c>
      <c r="D610" s="2" t="s">
        <v>873</v>
      </c>
      <c r="E610" s="1" t="s">
        <v>152</v>
      </c>
      <c r="F610" s="1" t="s">
        <v>539</v>
      </c>
      <c r="G610" s="1" t="s">
        <v>209</v>
      </c>
      <c r="H610" s="1" t="s">
        <v>394</v>
      </c>
      <c r="I610" s="1" t="s">
        <v>222</v>
      </c>
      <c r="J610" s="2" t="s">
        <v>491</v>
      </c>
    </row>
    <row r="611">
      <c r="A611" s="1" t="s">
        <v>2253</v>
      </c>
      <c r="B611" s="1" t="s">
        <v>2178</v>
      </c>
      <c r="C611" s="1" t="s">
        <v>2254</v>
      </c>
      <c r="D611" s="2" t="s">
        <v>675</v>
      </c>
      <c r="E611" s="1" t="s">
        <v>28</v>
      </c>
      <c r="F611" s="1" t="s">
        <v>364</v>
      </c>
      <c r="G611" s="1" t="s">
        <v>385</v>
      </c>
      <c r="H611" s="1" t="s">
        <v>386</v>
      </c>
      <c r="I611" s="1" t="s">
        <v>35</v>
      </c>
      <c r="J611" s="2" t="s">
        <v>1512</v>
      </c>
    </row>
    <row r="612">
      <c r="A612" s="1" t="s">
        <v>2255</v>
      </c>
      <c r="B612" s="1" t="s">
        <v>2139</v>
      </c>
      <c r="C612" s="1" t="s">
        <v>713</v>
      </c>
      <c r="D612" s="2" t="s">
        <v>302</v>
      </c>
      <c r="E612" s="1" t="s">
        <v>1572</v>
      </c>
      <c r="F612" s="1" t="s">
        <v>30</v>
      </c>
      <c r="G612" s="1" t="s">
        <v>418</v>
      </c>
      <c r="H612" s="1" t="s">
        <v>189</v>
      </c>
      <c r="I612" s="1" t="s">
        <v>97</v>
      </c>
      <c r="J612" s="2" t="s">
        <v>2256</v>
      </c>
    </row>
    <row r="613">
      <c r="A613" s="1" t="s">
        <v>2257</v>
      </c>
      <c r="B613" s="1" t="s">
        <v>2258</v>
      </c>
      <c r="C613" s="1" t="s">
        <v>2226</v>
      </c>
      <c r="D613" s="2" t="s">
        <v>1180</v>
      </c>
      <c r="E613" s="1" t="s">
        <v>28</v>
      </c>
      <c r="F613" s="1" t="s">
        <v>401</v>
      </c>
      <c r="G613" s="1" t="s">
        <v>1188</v>
      </c>
      <c r="H613" s="1" t="s">
        <v>500</v>
      </c>
      <c r="I613" s="1" t="s">
        <v>211</v>
      </c>
      <c r="J613" s="2" t="s">
        <v>2260</v>
      </c>
    </row>
    <row r="614">
      <c r="A614" s="1" t="s">
        <v>2261</v>
      </c>
      <c r="B614" s="1" t="s">
        <v>2262</v>
      </c>
      <c r="C614" s="1" t="s">
        <v>301</v>
      </c>
      <c r="D614" s="2" t="s">
        <v>667</v>
      </c>
      <c r="E614" s="1" t="s">
        <v>28</v>
      </c>
      <c r="F614" s="1" t="s">
        <v>107</v>
      </c>
      <c r="G614" s="1" t="s">
        <v>967</v>
      </c>
      <c r="H614" s="1" t="s">
        <v>477</v>
      </c>
      <c r="I614" s="1" t="s">
        <v>211</v>
      </c>
      <c r="J614" s="2" t="s">
        <v>2264</v>
      </c>
    </row>
    <row r="615">
      <c r="A615" s="1" t="s">
        <v>2265</v>
      </c>
      <c r="B615" s="1" t="s">
        <v>2134</v>
      </c>
      <c r="C615" s="1" t="s">
        <v>2266</v>
      </c>
      <c r="D615" s="2" t="s">
        <v>325</v>
      </c>
      <c r="E615" s="1" t="s">
        <v>1572</v>
      </c>
      <c r="F615" s="1" t="s">
        <v>131</v>
      </c>
      <c r="G615" s="1" t="s">
        <v>418</v>
      </c>
      <c r="H615" s="1" t="s">
        <v>189</v>
      </c>
      <c r="I615" s="1" t="s">
        <v>35</v>
      </c>
      <c r="J615" s="2" t="s">
        <v>2267</v>
      </c>
    </row>
    <row r="616">
      <c r="A616" s="1" t="s">
        <v>2268</v>
      </c>
      <c r="B616" s="1" t="s">
        <v>1583</v>
      </c>
      <c r="C616" s="1" t="s">
        <v>2269</v>
      </c>
      <c r="D616" s="2" t="s">
        <v>1041</v>
      </c>
      <c r="E616" s="1" t="s">
        <v>28</v>
      </c>
      <c r="F616" s="1" t="s">
        <v>539</v>
      </c>
      <c r="G616" s="1" t="s">
        <v>142</v>
      </c>
      <c r="H616" s="1" t="s">
        <v>179</v>
      </c>
      <c r="I616" s="1" t="s">
        <v>35</v>
      </c>
      <c r="J616" s="2" t="s">
        <v>2271</v>
      </c>
    </row>
    <row r="617">
      <c r="A617" s="1" t="s">
        <v>2272</v>
      </c>
      <c r="B617" s="1" t="s">
        <v>1237</v>
      </c>
      <c r="C617" s="1" t="s">
        <v>42</v>
      </c>
      <c r="D617" s="2" t="s">
        <v>521</v>
      </c>
      <c r="E617" s="1" t="s">
        <v>80</v>
      </c>
      <c r="F617" s="1" t="s">
        <v>256</v>
      </c>
      <c r="G617" s="1" t="s">
        <v>132</v>
      </c>
      <c r="H617" s="1" t="s">
        <v>165</v>
      </c>
      <c r="I617" s="1" t="s">
        <v>35</v>
      </c>
      <c r="J617" s="2" t="s">
        <v>1281</v>
      </c>
    </row>
    <row r="618">
      <c r="A618" s="1" t="s">
        <v>2274</v>
      </c>
      <c r="B618" s="1" t="s">
        <v>983</v>
      </c>
      <c r="C618" s="1" t="s">
        <v>2269</v>
      </c>
      <c r="D618" s="2" t="s">
        <v>1180</v>
      </c>
      <c r="E618" s="1" t="s">
        <v>45</v>
      </c>
      <c r="F618" s="1" t="s">
        <v>47</v>
      </c>
      <c r="G618" s="1" t="s">
        <v>345</v>
      </c>
      <c r="H618" s="1" t="s">
        <v>319</v>
      </c>
      <c r="I618" s="1" t="s">
        <v>52</v>
      </c>
      <c r="J618" s="2" t="s">
        <v>2275</v>
      </c>
    </row>
    <row r="619">
      <c r="A619" s="1" t="s">
        <v>2276</v>
      </c>
      <c r="B619" s="1" t="s">
        <v>872</v>
      </c>
      <c r="C619" s="1" t="s">
        <v>2277</v>
      </c>
      <c r="D619" s="2" t="s">
        <v>423</v>
      </c>
      <c r="E619" s="1" t="s">
        <v>1572</v>
      </c>
      <c r="F619" s="1" t="s">
        <v>539</v>
      </c>
      <c r="G619" s="1" t="s">
        <v>188</v>
      </c>
      <c r="H619" s="1" t="s">
        <v>386</v>
      </c>
      <c r="I619" s="1" t="s">
        <v>97</v>
      </c>
      <c r="J619" s="2" t="s">
        <v>2279</v>
      </c>
    </row>
    <row r="620">
      <c r="A620" s="1" t="s">
        <v>2280</v>
      </c>
      <c r="B620" s="1" t="s">
        <v>2281</v>
      </c>
      <c r="C620" s="1" t="s">
        <v>2282</v>
      </c>
      <c r="D620" s="2" t="s">
        <v>1091</v>
      </c>
      <c r="E620" s="1" t="s">
        <v>28</v>
      </c>
      <c r="F620" s="1" t="s">
        <v>64</v>
      </c>
      <c r="G620" s="1" t="s">
        <v>32</v>
      </c>
      <c r="H620" s="1" t="s">
        <v>34</v>
      </c>
      <c r="I620" s="1" t="s">
        <v>211</v>
      </c>
      <c r="J620" s="2" t="s">
        <v>2283</v>
      </c>
    </row>
    <row r="621">
      <c r="A621" s="1" t="s">
        <v>2284</v>
      </c>
      <c r="B621" s="1" t="s">
        <v>2285</v>
      </c>
      <c r="C621" s="1" t="s">
        <v>629</v>
      </c>
      <c r="D621" s="2" t="s">
        <v>675</v>
      </c>
      <c r="E621" s="1" t="s">
        <v>80</v>
      </c>
      <c r="F621" s="1" t="s">
        <v>81</v>
      </c>
      <c r="G621" s="1" t="s">
        <v>318</v>
      </c>
      <c r="H621" s="1" t="s">
        <v>319</v>
      </c>
      <c r="I621" s="1" t="s">
        <v>52</v>
      </c>
      <c r="J621" s="2" t="s">
        <v>2287</v>
      </c>
    </row>
    <row r="622">
      <c r="A622" s="1" t="s">
        <v>2288</v>
      </c>
      <c r="B622" s="1" t="s">
        <v>1143</v>
      </c>
      <c r="C622" s="1" t="s">
        <v>76</v>
      </c>
      <c r="D622" s="2" t="s">
        <v>655</v>
      </c>
      <c r="E622" s="1" t="s">
        <v>80</v>
      </c>
      <c r="F622" s="1" t="s">
        <v>30</v>
      </c>
      <c r="G622" s="1" t="s">
        <v>177</v>
      </c>
      <c r="H622" s="1" t="s">
        <v>179</v>
      </c>
      <c r="I622" s="1" t="s">
        <v>211</v>
      </c>
      <c r="J622" s="2" t="s">
        <v>2289</v>
      </c>
    </row>
    <row r="623">
      <c r="A623" s="1" t="s">
        <v>2290</v>
      </c>
      <c r="B623" s="1" t="s">
        <v>2291</v>
      </c>
      <c r="C623" s="1" t="s">
        <v>2293</v>
      </c>
      <c r="D623" s="2" t="s">
        <v>344</v>
      </c>
      <c r="E623" s="1" t="s">
        <v>45</v>
      </c>
      <c r="F623" s="1" t="s">
        <v>64</v>
      </c>
      <c r="G623" s="1" t="s">
        <v>277</v>
      </c>
      <c r="H623" s="1" t="s">
        <v>319</v>
      </c>
      <c r="I623" s="1" t="s">
        <v>52</v>
      </c>
      <c r="J623" s="2" t="s">
        <v>2294</v>
      </c>
    </row>
    <row r="624">
      <c r="A624" s="1" t="s">
        <v>2295</v>
      </c>
      <c r="B624" s="1" t="s">
        <v>2296</v>
      </c>
      <c r="C624" s="1" t="s">
        <v>374</v>
      </c>
      <c r="D624" s="2" t="s">
        <v>266</v>
      </c>
      <c r="E624" s="1" t="s">
        <v>152</v>
      </c>
      <c r="F624" s="1" t="s">
        <v>309</v>
      </c>
      <c r="G624" s="1" t="s">
        <v>967</v>
      </c>
      <c r="H624" s="1" t="s">
        <v>527</v>
      </c>
      <c r="I624" s="1" t="s">
        <v>97</v>
      </c>
      <c r="J624" s="2" t="s">
        <v>464</v>
      </c>
    </row>
    <row r="625">
      <c r="A625" s="1" t="s">
        <v>2298</v>
      </c>
      <c r="B625" s="1" t="s">
        <v>2281</v>
      </c>
      <c r="C625" s="1" t="s">
        <v>2299</v>
      </c>
      <c r="D625" s="2" t="s">
        <v>229</v>
      </c>
      <c r="E625" s="1" t="s">
        <v>105</v>
      </c>
      <c r="F625" s="1" t="s">
        <v>47</v>
      </c>
      <c r="G625" s="1" t="s">
        <v>177</v>
      </c>
      <c r="H625" s="1" t="s">
        <v>143</v>
      </c>
      <c r="I625" s="1" t="s">
        <v>97</v>
      </c>
      <c r="J625" s="2" t="s">
        <v>2300</v>
      </c>
    </row>
    <row r="626">
      <c r="A626" s="1" t="s">
        <v>2301</v>
      </c>
      <c r="B626" s="1" t="s">
        <v>2302</v>
      </c>
      <c r="C626" s="1" t="s">
        <v>2303</v>
      </c>
      <c r="D626" s="2" t="s">
        <v>423</v>
      </c>
      <c r="E626" s="1" t="s">
        <v>105</v>
      </c>
      <c r="F626" s="1" t="s">
        <v>107</v>
      </c>
      <c r="G626" s="1" t="s">
        <v>32</v>
      </c>
      <c r="H626" s="1" t="s">
        <v>699</v>
      </c>
      <c r="I626" s="1" t="s">
        <v>97</v>
      </c>
      <c r="J626" s="2" t="s">
        <v>2304</v>
      </c>
    </row>
    <row r="627">
      <c r="A627" s="1" t="s">
        <v>2305</v>
      </c>
      <c r="B627" s="1" t="s">
        <v>2306</v>
      </c>
      <c r="C627" s="1" t="s">
        <v>2230</v>
      </c>
      <c r="D627" s="2" t="s">
        <v>295</v>
      </c>
      <c r="E627" s="1" t="s">
        <v>45</v>
      </c>
      <c r="F627" s="1" t="s">
        <v>309</v>
      </c>
      <c r="G627" s="1" t="s">
        <v>1188</v>
      </c>
      <c r="H627" s="1" t="s">
        <v>533</v>
      </c>
      <c r="I627" s="1" t="s">
        <v>97</v>
      </c>
      <c r="J627" s="2" t="s">
        <v>2308</v>
      </c>
    </row>
    <row r="628">
      <c r="A628" s="1" t="s">
        <v>2309</v>
      </c>
      <c r="B628" s="1" t="s">
        <v>983</v>
      </c>
      <c r="C628" s="1" t="s">
        <v>2179</v>
      </c>
      <c r="D628" s="2" t="s">
        <v>285</v>
      </c>
      <c r="E628" s="1" t="s">
        <v>105</v>
      </c>
      <c r="F628" s="1" t="s">
        <v>401</v>
      </c>
      <c r="G628" s="1" t="s">
        <v>269</v>
      </c>
      <c r="H628" s="1" t="s">
        <v>452</v>
      </c>
      <c r="I628" s="1" t="s">
        <v>97</v>
      </c>
      <c r="J628" s="2" t="s">
        <v>2310</v>
      </c>
    </row>
    <row r="629">
      <c r="A629" s="1" t="s">
        <v>2311</v>
      </c>
      <c r="B629" s="1" t="s">
        <v>2312</v>
      </c>
      <c r="C629" s="1" t="s">
        <v>2313</v>
      </c>
      <c r="D629" s="2" t="s">
        <v>308</v>
      </c>
      <c r="E629" s="1" t="s">
        <v>28</v>
      </c>
      <c r="F629" s="1" t="s">
        <v>309</v>
      </c>
      <c r="G629" s="1" t="s">
        <v>311</v>
      </c>
      <c r="H629" s="1" t="s">
        <v>592</v>
      </c>
      <c r="I629" s="1" t="s">
        <v>35</v>
      </c>
      <c r="J629" s="2" t="s">
        <v>2314</v>
      </c>
    </row>
    <row r="630">
      <c r="A630" s="1" t="s">
        <v>2315</v>
      </c>
      <c r="B630" s="1" t="s">
        <v>2153</v>
      </c>
      <c r="C630" s="1" t="s">
        <v>2316</v>
      </c>
      <c r="D630" s="2" t="s">
        <v>488</v>
      </c>
      <c r="E630" s="1" t="s">
        <v>152</v>
      </c>
      <c r="F630" s="1" t="s">
        <v>107</v>
      </c>
      <c r="G630" s="1" t="s">
        <v>277</v>
      </c>
      <c r="H630" s="1" t="s">
        <v>279</v>
      </c>
      <c r="I630" s="1" t="s">
        <v>97</v>
      </c>
      <c r="J630" s="2" t="s">
        <v>2318</v>
      </c>
    </row>
    <row r="631">
      <c r="A631" s="1" t="s">
        <v>2319</v>
      </c>
      <c r="B631" s="1" t="s">
        <v>2210</v>
      </c>
      <c r="C631" s="1" t="s">
        <v>2299</v>
      </c>
      <c r="D631" s="2" t="s">
        <v>655</v>
      </c>
      <c r="E631" s="1" t="s">
        <v>105</v>
      </c>
      <c r="F631" s="1" t="s">
        <v>107</v>
      </c>
      <c r="G631" s="1" t="s">
        <v>436</v>
      </c>
      <c r="H631" s="1" t="s">
        <v>221</v>
      </c>
      <c r="I631" s="1" t="s">
        <v>35</v>
      </c>
      <c r="J631" s="2" t="s">
        <v>2320</v>
      </c>
    </row>
    <row r="632">
      <c r="A632" s="1" t="s">
        <v>2321</v>
      </c>
      <c r="B632" s="1" t="s">
        <v>2112</v>
      </c>
      <c r="C632" s="1" t="s">
        <v>2154</v>
      </c>
      <c r="D632" s="2" t="s">
        <v>255</v>
      </c>
      <c r="E632" s="1" t="s">
        <v>105</v>
      </c>
      <c r="F632" s="1" t="s">
        <v>759</v>
      </c>
      <c r="G632" s="1" t="s">
        <v>867</v>
      </c>
      <c r="H632" s="1" t="s">
        <v>500</v>
      </c>
      <c r="I632" s="1" t="s">
        <v>97</v>
      </c>
      <c r="J632" s="2" t="s">
        <v>2322</v>
      </c>
    </row>
    <row r="633">
      <c r="A633" s="1" t="s">
        <v>2323</v>
      </c>
      <c r="B633" s="1" t="s">
        <v>2258</v>
      </c>
      <c r="C633" s="1" t="s">
        <v>159</v>
      </c>
      <c r="D633" s="2" t="s">
        <v>207</v>
      </c>
      <c r="E633" s="1" t="s">
        <v>1572</v>
      </c>
      <c r="F633" s="1" t="s">
        <v>393</v>
      </c>
      <c r="G633" s="1" t="s">
        <v>345</v>
      </c>
      <c r="H633" s="1" t="s">
        <v>319</v>
      </c>
      <c r="I633" s="1" t="s">
        <v>211</v>
      </c>
      <c r="J633" s="2" t="s">
        <v>2324</v>
      </c>
    </row>
    <row r="634">
      <c r="A634" s="1" t="s">
        <v>2325</v>
      </c>
      <c r="B634" s="1" t="s">
        <v>2326</v>
      </c>
      <c r="C634" s="1" t="s">
        <v>2203</v>
      </c>
      <c r="D634" s="2" t="s">
        <v>383</v>
      </c>
      <c r="E634" s="1" t="s">
        <v>28</v>
      </c>
      <c r="F634" s="1" t="s">
        <v>364</v>
      </c>
      <c r="G634" s="1" t="s">
        <v>209</v>
      </c>
      <c r="H634" s="1" t="s">
        <v>386</v>
      </c>
      <c r="I634" s="1" t="s">
        <v>222</v>
      </c>
      <c r="J634" s="2" t="s">
        <v>1512</v>
      </c>
    </row>
    <row r="635">
      <c r="A635" s="1" t="s">
        <v>2327</v>
      </c>
      <c r="B635" s="1" t="s">
        <v>2123</v>
      </c>
      <c r="C635" s="1" t="s">
        <v>2328</v>
      </c>
      <c r="D635" s="2" t="s">
        <v>1091</v>
      </c>
      <c r="E635" s="1" t="s">
        <v>80</v>
      </c>
      <c r="F635" s="1" t="s">
        <v>309</v>
      </c>
      <c r="G635" s="1" t="s">
        <v>977</v>
      </c>
      <c r="H635" s="1" t="s">
        <v>386</v>
      </c>
      <c r="I635" s="1" t="s">
        <v>222</v>
      </c>
      <c r="J635" s="2" t="s">
        <v>1461</v>
      </c>
    </row>
    <row r="636">
      <c r="A636" s="1" t="s">
        <v>2329</v>
      </c>
      <c r="B636" s="1" t="s">
        <v>2186</v>
      </c>
      <c r="C636" s="1" t="s">
        <v>2113</v>
      </c>
      <c r="D636" s="2" t="s">
        <v>912</v>
      </c>
      <c r="E636" s="1" t="s">
        <v>80</v>
      </c>
      <c r="F636" s="1" t="s">
        <v>268</v>
      </c>
      <c r="G636" s="1" t="s">
        <v>132</v>
      </c>
      <c r="H636" s="1" t="s">
        <v>286</v>
      </c>
      <c r="I636" s="1" t="s">
        <v>52</v>
      </c>
      <c r="J636" s="2" t="s">
        <v>2330</v>
      </c>
    </row>
    <row r="637">
      <c r="A637" s="1" t="s">
        <v>2331</v>
      </c>
      <c r="B637" s="1" t="s">
        <v>2225</v>
      </c>
      <c r="C637" s="1" t="s">
        <v>2332</v>
      </c>
      <c r="D637" s="2" t="s">
        <v>550</v>
      </c>
      <c r="E637" s="1" t="s">
        <v>28</v>
      </c>
      <c r="F637" s="1" t="s">
        <v>47</v>
      </c>
      <c r="G637" s="1" t="s">
        <v>258</v>
      </c>
      <c r="H637" s="1" t="s">
        <v>260</v>
      </c>
      <c r="I637" s="1" t="s">
        <v>97</v>
      </c>
      <c r="J637" s="2" t="s">
        <v>2334</v>
      </c>
    </row>
    <row r="638">
      <c r="A638" s="1" t="s">
        <v>2335</v>
      </c>
      <c r="B638" s="1" t="s">
        <v>764</v>
      </c>
      <c r="C638" s="1" t="s">
        <v>2336</v>
      </c>
      <c r="D638" s="2" t="s">
        <v>1091</v>
      </c>
      <c r="E638" s="1" t="s">
        <v>152</v>
      </c>
      <c r="F638" s="1" t="s">
        <v>81</v>
      </c>
      <c r="G638" s="1" t="s">
        <v>470</v>
      </c>
      <c r="H638" s="1" t="s">
        <v>592</v>
      </c>
      <c r="I638" s="1" t="s">
        <v>211</v>
      </c>
      <c r="J638" s="2" t="s">
        <v>1030</v>
      </c>
    </row>
    <row r="639">
      <c r="A639" s="1" t="s">
        <v>2337</v>
      </c>
      <c r="B639" s="1" t="s">
        <v>2072</v>
      </c>
      <c r="C639" s="1" t="s">
        <v>2217</v>
      </c>
      <c r="D639" s="2" t="s">
        <v>26</v>
      </c>
      <c r="E639" s="1" t="s">
        <v>80</v>
      </c>
      <c r="F639" s="1" t="s">
        <v>376</v>
      </c>
      <c r="G639" s="1" t="s">
        <v>188</v>
      </c>
      <c r="H639" s="1" t="s">
        <v>394</v>
      </c>
      <c r="I639" s="1" t="s">
        <v>35</v>
      </c>
      <c r="J639" s="2" t="s">
        <v>2339</v>
      </c>
    </row>
    <row r="640">
      <c r="A640" s="1" t="s">
        <v>2340</v>
      </c>
      <c r="B640" s="1" t="s">
        <v>2341</v>
      </c>
      <c r="C640" s="1" t="s">
        <v>128</v>
      </c>
      <c r="D640" s="2" t="s">
        <v>185</v>
      </c>
      <c r="E640" s="1" t="s">
        <v>152</v>
      </c>
      <c r="F640" s="1" t="s">
        <v>401</v>
      </c>
      <c r="G640" s="1" t="s">
        <v>94</v>
      </c>
      <c r="H640" s="1" t="s">
        <v>271</v>
      </c>
      <c r="I640" s="1" t="s">
        <v>97</v>
      </c>
      <c r="J640" s="2" t="s">
        <v>2342</v>
      </c>
    </row>
    <row r="641">
      <c r="A641" s="1" t="s">
        <v>2344</v>
      </c>
      <c r="B641" s="1" t="s">
        <v>2077</v>
      </c>
      <c r="C641" s="1" t="s">
        <v>2345</v>
      </c>
      <c r="D641" s="2" t="s">
        <v>777</v>
      </c>
      <c r="E641" s="1" t="s">
        <v>105</v>
      </c>
      <c r="F641" s="1" t="s">
        <v>309</v>
      </c>
      <c r="G641" s="1" t="s">
        <v>385</v>
      </c>
      <c r="H641" s="1" t="s">
        <v>210</v>
      </c>
      <c r="I641" s="1" t="s">
        <v>222</v>
      </c>
      <c r="J641" s="2" t="s">
        <v>491</v>
      </c>
    </row>
    <row r="642">
      <c r="A642" s="1" t="s">
        <v>2346</v>
      </c>
      <c r="B642" s="1" t="s">
        <v>2237</v>
      </c>
      <c r="C642" s="1" t="s">
        <v>2328</v>
      </c>
      <c r="D642" s="2" t="s">
        <v>161</v>
      </c>
      <c r="E642" s="1" t="s">
        <v>45</v>
      </c>
      <c r="F642" s="1" t="s">
        <v>47</v>
      </c>
      <c r="G642" s="1" t="s">
        <v>196</v>
      </c>
      <c r="H642" s="1" t="s">
        <v>402</v>
      </c>
      <c r="I642" s="1" t="s">
        <v>52</v>
      </c>
      <c r="J642" s="2" t="s">
        <v>2348</v>
      </c>
    </row>
    <row r="643">
      <c r="A643" s="1" t="s">
        <v>2349</v>
      </c>
      <c r="B643" s="1" t="s">
        <v>2350</v>
      </c>
      <c r="C643" s="1" t="s">
        <v>2351</v>
      </c>
      <c r="D643" s="2" t="s">
        <v>26</v>
      </c>
      <c r="E643" s="1" t="s">
        <v>105</v>
      </c>
      <c r="F643" s="1" t="s">
        <v>256</v>
      </c>
      <c r="G643" s="1" t="s">
        <v>345</v>
      </c>
      <c r="H643" s="1" t="s">
        <v>143</v>
      </c>
      <c r="I643" s="1" t="s">
        <v>222</v>
      </c>
      <c r="J643" s="2" t="s">
        <v>2352</v>
      </c>
    </row>
    <row r="644">
      <c r="A644" s="1" t="s">
        <v>2353</v>
      </c>
      <c r="B644" s="1" t="s">
        <v>2258</v>
      </c>
      <c r="C644" s="1" t="s">
        <v>324</v>
      </c>
      <c r="D644" s="2" t="s">
        <v>122</v>
      </c>
      <c r="E644" s="1" t="s">
        <v>152</v>
      </c>
      <c r="F644" s="1" t="s">
        <v>47</v>
      </c>
      <c r="G644" s="1" t="s">
        <v>462</v>
      </c>
      <c r="H644" s="1" t="s">
        <v>67</v>
      </c>
      <c r="I644" s="1" t="s">
        <v>222</v>
      </c>
      <c r="J644" s="2" t="s">
        <v>2355</v>
      </c>
    </row>
    <row r="645">
      <c r="A645" s="1" t="s">
        <v>2356</v>
      </c>
      <c r="B645" s="1" t="s">
        <v>2086</v>
      </c>
      <c r="C645" s="1" t="s">
        <v>2357</v>
      </c>
      <c r="D645" s="2" t="s">
        <v>317</v>
      </c>
      <c r="E645" s="1" t="s">
        <v>45</v>
      </c>
      <c r="F645" s="1" t="s">
        <v>47</v>
      </c>
      <c r="G645" s="1" t="s">
        <v>370</v>
      </c>
      <c r="H645" s="1" t="s">
        <v>197</v>
      </c>
      <c r="I645" s="1" t="s">
        <v>97</v>
      </c>
      <c r="J645" s="2" t="s">
        <v>2358</v>
      </c>
    </row>
    <row r="646">
      <c r="A646" s="1" t="s">
        <v>2360</v>
      </c>
      <c r="B646" s="1" t="s">
        <v>2130</v>
      </c>
      <c r="C646" s="1" t="s">
        <v>90</v>
      </c>
      <c r="D646" s="2" t="s">
        <v>966</v>
      </c>
      <c r="E646" s="1" t="s">
        <v>1572</v>
      </c>
      <c r="F646" s="1" t="s">
        <v>393</v>
      </c>
      <c r="G646" s="1" t="s">
        <v>583</v>
      </c>
      <c r="H646" s="1" t="s">
        <v>592</v>
      </c>
      <c r="I646" s="1" t="s">
        <v>97</v>
      </c>
      <c r="J646" s="2" t="s">
        <v>2361</v>
      </c>
    </row>
    <row r="647">
      <c r="A647" s="1" t="s">
        <v>2362</v>
      </c>
      <c r="B647" s="1" t="s">
        <v>2363</v>
      </c>
      <c r="C647" s="1" t="s">
        <v>2303</v>
      </c>
      <c r="D647" s="2" t="s">
        <v>675</v>
      </c>
      <c r="E647" s="1" t="s">
        <v>1572</v>
      </c>
      <c r="F647" s="1" t="s">
        <v>30</v>
      </c>
      <c r="G647" s="1" t="s">
        <v>642</v>
      </c>
      <c r="H647" s="1" t="s">
        <v>720</v>
      </c>
      <c r="I647" s="1" t="s">
        <v>35</v>
      </c>
      <c r="J647" s="2" t="s">
        <v>2365</v>
      </c>
    </row>
    <row r="648">
      <c r="A648" s="1" t="s">
        <v>2366</v>
      </c>
      <c r="B648" s="1" t="s">
        <v>2367</v>
      </c>
      <c r="C648" s="1" t="s">
        <v>2368</v>
      </c>
      <c r="D648" s="2" t="s">
        <v>129</v>
      </c>
      <c r="E648" s="1" t="s">
        <v>152</v>
      </c>
      <c r="F648" s="1" t="s">
        <v>30</v>
      </c>
      <c r="G648" s="1" t="s">
        <v>109</v>
      </c>
      <c r="H648" s="1" t="s">
        <v>179</v>
      </c>
      <c r="I648" s="1" t="s">
        <v>97</v>
      </c>
      <c r="J648" s="2" t="s">
        <v>2369</v>
      </c>
    </row>
    <row r="649">
      <c r="A649" s="1" t="s">
        <v>2370</v>
      </c>
      <c r="B649" s="1" t="s">
        <v>2306</v>
      </c>
      <c r="C649" s="1" t="s">
        <v>2371</v>
      </c>
      <c r="D649" s="2" t="s">
        <v>1150</v>
      </c>
      <c r="E649" s="1" t="s">
        <v>80</v>
      </c>
      <c r="F649" s="1" t="s">
        <v>81</v>
      </c>
      <c r="G649" s="1" t="s">
        <v>258</v>
      </c>
      <c r="H649" s="1" t="s">
        <v>304</v>
      </c>
      <c r="I649" s="1" t="s">
        <v>35</v>
      </c>
      <c r="J649" s="2" t="s">
        <v>2372</v>
      </c>
    </row>
    <row r="650">
      <c r="A650" s="1" t="s">
        <v>2373</v>
      </c>
      <c r="B650" s="1" t="s">
        <v>2281</v>
      </c>
      <c r="C650" s="1" t="s">
        <v>2135</v>
      </c>
      <c r="D650" s="2" t="s">
        <v>218</v>
      </c>
      <c r="E650" s="1" t="s">
        <v>28</v>
      </c>
      <c r="F650" s="1" t="s">
        <v>64</v>
      </c>
      <c r="G650" s="1" t="s">
        <v>32</v>
      </c>
      <c r="H650" s="1" t="s">
        <v>83</v>
      </c>
      <c r="I650" s="1" t="s">
        <v>52</v>
      </c>
      <c r="J650" s="2" t="s">
        <v>2375</v>
      </c>
    </row>
    <row r="651">
      <c r="A651" s="1" t="s">
        <v>2376</v>
      </c>
      <c r="B651" s="1" t="s">
        <v>2302</v>
      </c>
      <c r="C651" s="1" t="s">
        <v>2377</v>
      </c>
      <c r="D651" s="2" t="s">
        <v>1013</v>
      </c>
      <c r="E651" s="1" t="s">
        <v>1572</v>
      </c>
      <c r="F651" s="1" t="s">
        <v>64</v>
      </c>
      <c r="G651" s="1" t="s">
        <v>551</v>
      </c>
      <c r="H651" s="1" t="s">
        <v>83</v>
      </c>
      <c r="I651" s="1" t="s">
        <v>52</v>
      </c>
      <c r="J651" s="2" t="s">
        <v>2378</v>
      </c>
    </row>
    <row r="652">
      <c r="A652" s="1" t="s">
        <v>2379</v>
      </c>
      <c r="B652" s="1" t="s">
        <v>983</v>
      </c>
      <c r="C652" s="1" t="s">
        <v>2175</v>
      </c>
      <c r="D652" s="2" t="s">
        <v>1091</v>
      </c>
      <c r="E652" s="1" t="s">
        <v>45</v>
      </c>
      <c r="F652" s="1" t="s">
        <v>571</v>
      </c>
      <c r="G652" s="1" t="s">
        <v>258</v>
      </c>
      <c r="H652" s="1" t="s">
        <v>143</v>
      </c>
      <c r="I652" s="1" t="s">
        <v>52</v>
      </c>
      <c r="J652" s="2" t="s">
        <v>2380</v>
      </c>
    </row>
    <row r="653">
      <c r="A653" s="1" t="s">
        <v>2381</v>
      </c>
      <c r="B653" s="1" t="s">
        <v>2193</v>
      </c>
      <c r="C653" s="1" t="s">
        <v>2175</v>
      </c>
      <c r="D653" s="2" t="s">
        <v>255</v>
      </c>
      <c r="E653" s="1" t="s">
        <v>105</v>
      </c>
      <c r="F653" s="1" t="s">
        <v>364</v>
      </c>
      <c r="G653" s="1" t="s">
        <v>132</v>
      </c>
      <c r="H653" s="1" t="s">
        <v>592</v>
      </c>
      <c r="I653" s="1" t="s">
        <v>97</v>
      </c>
      <c r="J653" s="2" t="s">
        <v>2382</v>
      </c>
    </row>
    <row r="654">
      <c r="A654" s="1" t="s">
        <v>2383</v>
      </c>
      <c r="B654" s="1" t="s">
        <v>2198</v>
      </c>
      <c r="C654" s="1" t="s">
        <v>2163</v>
      </c>
      <c r="D654" s="2" t="s">
        <v>308</v>
      </c>
      <c r="E654" s="1" t="s">
        <v>80</v>
      </c>
      <c r="F654" s="1" t="s">
        <v>571</v>
      </c>
      <c r="G654" s="1" t="s">
        <v>608</v>
      </c>
      <c r="H654" s="1" t="s">
        <v>346</v>
      </c>
      <c r="I654" s="1" t="s">
        <v>222</v>
      </c>
      <c r="J654" s="2" t="s">
        <v>2384</v>
      </c>
    </row>
    <row r="655">
      <c r="A655" s="1" t="s">
        <v>2385</v>
      </c>
      <c r="B655" s="1" t="s">
        <v>2103</v>
      </c>
      <c r="C655" s="1" t="s">
        <v>2104</v>
      </c>
      <c r="D655" s="2" t="s">
        <v>1041</v>
      </c>
      <c r="E655" s="1" t="s">
        <v>105</v>
      </c>
      <c r="F655" s="1" t="s">
        <v>30</v>
      </c>
      <c r="G655" s="1" t="s">
        <v>196</v>
      </c>
      <c r="H655" s="1" t="s">
        <v>402</v>
      </c>
      <c r="I655" s="1" t="s">
        <v>211</v>
      </c>
      <c r="J655" s="2" t="s">
        <v>2387</v>
      </c>
    </row>
    <row r="656">
      <c r="A656" s="1" t="s">
        <v>2388</v>
      </c>
      <c r="B656" s="1" t="s">
        <v>1583</v>
      </c>
      <c r="C656" s="1" t="s">
        <v>713</v>
      </c>
      <c r="D656" s="2" t="s">
        <v>1487</v>
      </c>
      <c r="E656" s="1" t="s">
        <v>28</v>
      </c>
      <c r="F656" s="1" t="s">
        <v>237</v>
      </c>
      <c r="G656" s="1" t="s">
        <v>277</v>
      </c>
      <c r="H656" s="1" t="s">
        <v>279</v>
      </c>
      <c r="I656" s="1" t="s">
        <v>222</v>
      </c>
      <c r="J656" s="2" t="s">
        <v>1500</v>
      </c>
    </row>
    <row r="657">
      <c r="A657" s="1" t="s">
        <v>2389</v>
      </c>
      <c r="B657" s="1" t="s">
        <v>1186</v>
      </c>
      <c r="C657" s="1" t="s">
        <v>2214</v>
      </c>
      <c r="D657" s="2" t="s">
        <v>912</v>
      </c>
      <c r="E657" s="1" t="s">
        <v>105</v>
      </c>
      <c r="F657" s="1" t="s">
        <v>64</v>
      </c>
      <c r="G657" s="1" t="s">
        <v>1188</v>
      </c>
      <c r="H657" s="1" t="s">
        <v>533</v>
      </c>
      <c r="I657" s="1" t="s">
        <v>52</v>
      </c>
      <c r="J657" s="2" t="s">
        <v>2391</v>
      </c>
    </row>
    <row r="658">
      <c r="A658" s="1" t="s">
        <v>2392</v>
      </c>
      <c r="B658" s="1" t="s">
        <v>2367</v>
      </c>
      <c r="C658" s="1" t="s">
        <v>2393</v>
      </c>
      <c r="D658" s="2" t="s">
        <v>582</v>
      </c>
      <c r="E658" s="1" t="s">
        <v>152</v>
      </c>
      <c r="F658" s="1" t="s">
        <v>393</v>
      </c>
      <c r="G658" s="1" t="s">
        <v>572</v>
      </c>
      <c r="H658" s="1" t="s">
        <v>124</v>
      </c>
      <c r="I658" s="1" t="s">
        <v>211</v>
      </c>
      <c r="J658" s="2" t="s">
        <v>2395</v>
      </c>
    </row>
    <row r="659">
      <c r="A659" s="1" t="s">
        <v>2396</v>
      </c>
      <c r="B659" s="1" t="s">
        <v>2281</v>
      </c>
      <c r="C659" s="1" t="s">
        <v>2351</v>
      </c>
      <c r="D659" s="2" t="s">
        <v>266</v>
      </c>
      <c r="E659" s="1" t="s">
        <v>152</v>
      </c>
      <c r="F659" s="1" t="s">
        <v>81</v>
      </c>
      <c r="G659" s="1" t="s">
        <v>916</v>
      </c>
      <c r="H659" s="1" t="s">
        <v>197</v>
      </c>
      <c r="I659" s="1" t="s">
        <v>97</v>
      </c>
      <c r="J659" s="2" t="s">
        <v>2397</v>
      </c>
    </row>
    <row r="660">
      <c r="A660" s="1" t="s">
        <v>2399</v>
      </c>
      <c r="B660" s="1" t="s">
        <v>2400</v>
      </c>
      <c r="C660" s="1" t="s">
        <v>1187</v>
      </c>
      <c r="D660" s="2" t="s">
        <v>675</v>
      </c>
      <c r="E660" s="1" t="s">
        <v>152</v>
      </c>
      <c r="F660" s="1" t="s">
        <v>376</v>
      </c>
      <c r="G660" s="1" t="s">
        <v>408</v>
      </c>
      <c r="H660" s="1" t="s">
        <v>359</v>
      </c>
      <c r="I660" s="1" t="s">
        <v>35</v>
      </c>
      <c r="J660" s="2" t="s">
        <v>2401</v>
      </c>
    </row>
    <row r="661">
      <c r="A661" s="1" t="s">
        <v>2402</v>
      </c>
      <c r="B661" s="1" t="s">
        <v>2296</v>
      </c>
      <c r="C661" s="1" t="s">
        <v>2293</v>
      </c>
      <c r="D661" s="2" t="s">
        <v>434</v>
      </c>
      <c r="E661" s="1" t="s">
        <v>80</v>
      </c>
      <c r="F661" s="1" t="s">
        <v>64</v>
      </c>
      <c r="G661" s="1" t="s">
        <v>551</v>
      </c>
      <c r="H661" s="1" t="s">
        <v>346</v>
      </c>
      <c r="I661" s="1" t="s">
        <v>97</v>
      </c>
      <c r="J661" s="2" t="s">
        <v>2403</v>
      </c>
    </row>
    <row r="662">
      <c r="A662" s="1" t="s">
        <v>2404</v>
      </c>
      <c r="B662" s="1" t="s">
        <v>620</v>
      </c>
      <c r="C662" s="1" t="s">
        <v>2405</v>
      </c>
      <c r="D662" s="2" t="s">
        <v>434</v>
      </c>
      <c r="E662" s="1" t="s">
        <v>105</v>
      </c>
      <c r="F662" s="1" t="s">
        <v>64</v>
      </c>
      <c r="G662" s="1" t="s">
        <v>583</v>
      </c>
      <c r="H662" s="1" t="s">
        <v>319</v>
      </c>
      <c r="I662" s="1" t="s">
        <v>97</v>
      </c>
      <c r="J662" s="2" t="s">
        <v>2275</v>
      </c>
    </row>
    <row r="663">
      <c r="A663" s="1" t="s">
        <v>2406</v>
      </c>
      <c r="B663" s="1" t="s">
        <v>2099</v>
      </c>
      <c r="C663" s="1" t="s">
        <v>2332</v>
      </c>
      <c r="D663" s="2" t="s">
        <v>285</v>
      </c>
      <c r="E663" s="1" t="s">
        <v>28</v>
      </c>
      <c r="F663" s="1" t="s">
        <v>268</v>
      </c>
      <c r="G663" s="1" t="s">
        <v>470</v>
      </c>
      <c r="H663" s="1" t="s">
        <v>527</v>
      </c>
      <c r="I663" s="1" t="s">
        <v>97</v>
      </c>
      <c r="J663" s="2" t="s">
        <v>2408</v>
      </c>
    </row>
    <row r="664">
      <c r="A664" s="1" t="s">
        <v>2409</v>
      </c>
      <c r="B664" s="1" t="s">
        <v>2410</v>
      </c>
      <c r="C664" s="1" t="s">
        <v>2145</v>
      </c>
      <c r="D664" s="2" t="s">
        <v>966</v>
      </c>
      <c r="E664" s="1" t="s">
        <v>105</v>
      </c>
      <c r="F664" s="1" t="s">
        <v>141</v>
      </c>
      <c r="G664" s="1" t="s">
        <v>258</v>
      </c>
      <c r="H664" s="1" t="s">
        <v>592</v>
      </c>
      <c r="I664" s="1" t="s">
        <v>97</v>
      </c>
      <c r="J664" s="2" t="s">
        <v>2411</v>
      </c>
    </row>
    <row r="665">
      <c r="A665" s="1" t="s">
        <v>2412</v>
      </c>
      <c r="B665" s="1" t="s">
        <v>2246</v>
      </c>
      <c r="C665" s="1" t="s">
        <v>2393</v>
      </c>
      <c r="D665" s="2" t="s">
        <v>1231</v>
      </c>
      <c r="E665" s="1" t="s">
        <v>45</v>
      </c>
      <c r="F665" s="1" t="s">
        <v>208</v>
      </c>
      <c r="G665" s="1" t="s">
        <v>583</v>
      </c>
      <c r="H665" s="1" t="s">
        <v>319</v>
      </c>
      <c r="I665" s="1" t="s">
        <v>97</v>
      </c>
      <c r="J665" s="2" t="s">
        <v>2413</v>
      </c>
    </row>
    <row r="666">
      <c r="A666" s="1" t="s">
        <v>2414</v>
      </c>
      <c r="B666" s="1" t="s">
        <v>2210</v>
      </c>
      <c r="C666" s="1" t="s">
        <v>2416</v>
      </c>
      <c r="D666" s="2" t="s">
        <v>1091</v>
      </c>
      <c r="E666" s="1" t="s">
        <v>28</v>
      </c>
      <c r="F666" s="1" t="s">
        <v>539</v>
      </c>
      <c r="G666" s="1" t="s">
        <v>1269</v>
      </c>
      <c r="H666" s="1" t="s">
        <v>179</v>
      </c>
      <c r="I666" s="1" t="s">
        <v>211</v>
      </c>
      <c r="J666" s="2" t="s">
        <v>2417</v>
      </c>
    </row>
    <row r="667">
      <c r="A667" s="1" t="s">
        <v>2418</v>
      </c>
      <c r="B667" s="1" t="s">
        <v>2350</v>
      </c>
      <c r="C667" s="1" t="s">
        <v>629</v>
      </c>
      <c r="D667" s="2" t="s">
        <v>738</v>
      </c>
      <c r="E667" s="1" t="s">
        <v>105</v>
      </c>
      <c r="F667" s="1" t="s">
        <v>47</v>
      </c>
      <c r="G667" s="1" t="s">
        <v>238</v>
      </c>
      <c r="H667" s="1" t="s">
        <v>240</v>
      </c>
      <c r="I667" s="1" t="s">
        <v>35</v>
      </c>
      <c r="J667" s="2" t="s">
        <v>2419</v>
      </c>
    </row>
    <row r="668">
      <c r="A668" s="1" t="s">
        <v>2421</v>
      </c>
      <c r="B668" s="1" t="s">
        <v>2153</v>
      </c>
      <c r="C668" s="1" t="s">
        <v>713</v>
      </c>
      <c r="D668" s="2" t="s">
        <v>150</v>
      </c>
      <c r="E668" s="1" t="s">
        <v>28</v>
      </c>
      <c r="F668" s="1" t="s">
        <v>268</v>
      </c>
      <c r="G668" s="1" t="s">
        <v>326</v>
      </c>
      <c r="H668" s="1" t="s">
        <v>477</v>
      </c>
      <c r="I668" s="1" t="s">
        <v>97</v>
      </c>
      <c r="J668" s="2" t="s">
        <v>2422</v>
      </c>
    </row>
    <row r="669">
      <c r="A669" s="1" t="s">
        <v>2423</v>
      </c>
      <c r="B669" s="1" t="s">
        <v>983</v>
      </c>
      <c r="C669" s="1" t="s">
        <v>2424</v>
      </c>
      <c r="D669" s="2" t="s">
        <v>582</v>
      </c>
      <c r="E669" s="1" t="s">
        <v>105</v>
      </c>
      <c r="F669" s="1" t="s">
        <v>268</v>
      </c>
      <c r="G669" s="1" t="s">
        <v>789</v>
      </c>
      <c r="H669" s="1" t="s">
        <v>165</v>
      </c>
      <c r="I669" s="1" t="s">
        <v>211</v>
      </c>
      <c r="J669" s="2" t="s">
        <v>2426</v>
      </c>
    </row>
    <row r="670">
      <c r="A670" s="1" t="s">
        <v>2427</v>
      </c>
      <c r="B670" s="1" t="s">
        <v>2428</v>
      </c>
      <c r="C670" s="1" t="s">
        <v>2429</v>
      </c>
      <c r="D670" s="2" t="s">
        <v>823</v>
      </c>
      <c r="E670" s="1" t="s">
        <v>152</v>
      </c>
      <c r="F670" s="1" t="s">
        <v>47</v>
      </c>
      <c r="G670" s="1" t="s">
        <v>608</v>
      </c>
      <c r="H670" s="1" t="s">
        <v>179</v>
      </c>
      <c r="I670" s="1" t="s">
        <v>222</v>
      </c>
      <c r="J670" s="2" t="s">
        <v>2430</v>
      </c>
    </row>
    <row r="671">
      <c r="A671" s="1" t="s">
        <v>2431</v>
      </c>
      <c r="B671" s="1" t="s">
        <v>2432</v>
      </c>
      <c r="C671" s="1" t="s">
        <v>925</v>
      </c>
      <c r="D671" s="2" t="s">
        <v>353</v>
      </c>
      <c r="E671" s="1" t="s">
        <v>28</v>
      </c>
      <c r="F671" s="1" t="s">
        <v>393</v>
      </c>
      <c r="G671" s="1" t="s">
        <v>558</v>
      </c>
      <c r="H671" s="1" t="s">
        <v>561</v>
      </c>
      <c r="I671" s="1" t="s">
        <v>35</v>
      </c>
      <c r="J671" s="2" t="s">
        <v>2433</v>
      </c>
    </row>
    <row r="672">
      <c r="A672" s="1" t="s">
        <v>2434</v>
      </c>
      <c r="B672" s="1" t="s">
        <v>2306</v>
      </c>
      <c r="C672" s="1" t="s">
        <v>2435</v>
      </c>
      <c r="D672" s="2" t="s">
        <v>823</v>
      </c>
      <c r="E672" s="1" t="s">
        <v>152</v>
      </c>
      <c r="F672" s="1" t="s">
        <v>759</v>
      </c>
      <c r="G672" s="1" t="s">
        <v>1188</v>
      </c>
      <c r="H672" s="1" t="s">
        <v>691</v>
      </c>
      <c r="I672" s="1" t="s">
        <v>35</v>
      </c>
      <c r="J672" s="2" t="s">
        <v>2437</v>
      </c>
    </row>
    <row r="673">
      <c r="A673" s="1" t="s">
        <v>2438</v>
      </c>
      <c r="B673" s="1" t="s">
        <v>2250</v>
      </c>
      <c r="C673" s="1" t="s">
        <v>629</v>
      </c>
      <c r="D673" s="2" t="s">
        <v>1091</v>
      </c>
      <c r="E673" s="1" t="s">
        <v>152</v>
      </c>
      <c r="F673" s="1" t="s">
        <v>131</v>
      </c>
      <c r="G673" s="1" t="s">
        <v>220</v>
      </c>
      <c r="H673" s="1" t="s">
        <v>561</v>
      </c>
      <c r="I673" s="1" t="s">
        <v>222</v>
      </c>
      <c r="J673" s="2" t="s">
        <v>2440</v>
      </c>
    </row>
    <row r="674">
      <c r="A674" s="1" t="s">
        <v>2441</v>
      </c>
      <c r="B674" s="1" t="s">
        <v>171</v>
      </c>
      <c r="C674" s="1" t="s">
        <v>2442</v>
      </c>
      <c r="D674" s="2" t="s">
        <v>460</v>
      </c>
      <c r="E674" s="1" t="s">
        <v>28</v>
      </c>
      <c r="F674" s="1" t="s">
        <v>81</v>
      </c>
      <c r="G674" s="1" t="s">
        <v>94</v>
      </c>
      <c r="H674" s="1" t="s">
        <v>50</v>
      </c>
      <c r="I674" s="1" t="s">
        <v>97</v>
      </c>
      <c r="J674" s="2" t="s">
        <v>2443</v>
      </c>
    </row>
    <row r="675">
      <c r="A675" s="1" t="s">
        <v>2444</v>
      </c>
      <c r="B675" s="1" t="s">
        <v>2312</v>
      </c>
      <c r="C675" s="1" t="s">
        <v>2104</v>
      </c>
      <c r="D675" s="2" t="s">
        <v>429</v>
      </c>
      <c r="E675" s="1" t="s">
        <v>28</v>
      </c>
      <c r="F675" s="1" t="s">
        <v>47</v>
      </c>
      <c r="G675" s="1" t="s">
        <v>576</v>
      </c>
      <c r="H675" s="1" t="s">
        <v>286</v>
      </c>
      <c r="I675" s="1" t="s">
        <v>52</v>
      </c>
      <c r="J675" s="2" t="s">
        <v>2445</v>
      </c>
    </row>
    <row r="676">
      <c r="A676" s="1" t="s">
        <v>2446</v>
      </c>
      <c r="B676" s="1" t="s">
        <v>2448</v>
      </c>
      <c r="C676" s="1" t="s">
        <v>2113</v>
      </c>
      <c r="D676" s="2" t="s">
        <v>122</v>
      </c>
      <c r="E676" s="1" t="s">
        <v>45</v>
      </c>
      <c r="F676" s="1" t="s">
        <v>309</v>
      </c>
      <c r="G676" s="1" t="s">
        <v>1188</v>
      </c>
      <c r="H676" s="1" t="s">
        <v>240</v>
      </c>
      <c r="I676" s="1" t="s">
        <v>35</v>
      </c>
      <c r="J676" s="2" t="s">
        <v>1277</v>
      </c>
    </row>
    <row r="677">
      <c r="A677" s="1" t="s">
        <v>2449</v>
      </c>
      <c r="B677" s="1" t="s">
        <v>542</v>
      </c>
      <c r="C677" s="1" t="s">
        <v>2154</v>
      </c>
      <c r="D677" s="2" t="s">
        <v>195</v>
      </c>
      <c r="E677" s="1" t="s">
        <v>45</v>
      </c>
      <c r="F677" s="1" t="s">
        <v>30</v>
      </c>
      <c r="G677" s="1" t="s">
        <v>677</v>
      </c>
      <c r="H677" s="1" t="s">
        <v>34</v>
      </c>
      <c r="I677" s="1" t="s">
        <v>97</v>
      </c>
      <c r="J677" s="2" t="s">
        <v>2451</v>
      </c>
    </row>
    <row r="678">
      <c r="A678" s="1" t="s">
        <v>2452</v>
      </c>
      <c r="B678" s="1" t="s">
        <v>2306</v>
      </c>
      <c r="C678" s="1" t="s">
        <v>713</v>
      </c>
      <c r="D678" s="2" t="s">
        <v>866</v>
      </c>
      <c r="E678" s="1" t="s">
        <v>45</v>
      </c>
      <c r="F678" s="1" t="s">
        <v>30</v>
      </c>
      <c r="G678" s="1" t="s">
        <v>269</v>
      </c>
      <c r="H678" s="1" t="s">
        <v>231</v>
      </c>
      <c r="I678" s="1" t="s">
        <v>211</v>
      </c>
      <c r="J678" s="2" t="s">
        <v>2453</v>
      </c>
    </row>
    <row r="679">
      <c r="A679" s="1" t="s">
        <v>2454</v>
      </c>
      <c r="B679" s="1" t="s">
        <v>2455</v>
      </c>
      <c r="C679" s="1" t="s">
        <v>2078</v>
      </c>
      <c r="D679" s="2" t="s">
        <v>1091</v>
      </c>
      <c r="E679" s="1" t="s">
        <v>105</v>
      </c>
      <c r="F679" s="1" t="s">
        <v>393</v>
      </c>
      <c r="G679" s="1" t="s">
        <v>608</v>
      </c>
      <c r="H679" s="1" t="s">
        <v>346</v>
      </c>
      <c r="I679" s="1" t="s">
        <v>35</v>
      </c>
      <c r="J679" s="2" t="s">
        <v>2457</v>
      </c>
    </row>
    <row r="680">
      <c r="A680" s="1" t="s">
        <v>2458</v>
      </c>
      <c r="B680" s="1" t="s">
        <v>2123</v>
      </c>
      <c r="C680" s="1" t="s">
        <v>2235</v>
      </c>
      <c r="D680" s="2" t="s">
        <v>1091</v>
      </c>
      <c r="E680" s="1" t="s">
        <v>80</v>
      </c>
      <c r="F680" s="1" t="s">
        <v>141</v>
      </c>
      <c r="G680" s="1" t="s">
        <v>377</v>
      </c>
      <c r="H680" s="1" t="s">
        <v>346</v>
      </c>
      <c r="I680" s="1" t="s">
        <v>52</v>
      </c>
      <c r="J680" s="2" t="s">
        <v>2459</v>
      </c>
    </row>
    <row r="681">
      <c r="A681" s="1" t="s">
        <v>2460</v>
      </c>
      <c r="B681" s="1" t="s">
        <v>2210</v>
      </c>
      <c r="C681" s="1" t="s">
        <v>2461</v>
      </c>
      <c r="D681" s="2" t="s">
        <v>344</v>
      </c>
      <c r="E681" s="1" t="s">
        <v>80</v>
      </c>
      <c r="F681" s="1" t="s">
        <v>30</v>
      </c>
      <c r="G681" s="1" t="s">
        <v>482</v>
      </c>
      <c r="H681" s="1" t="s">
        <v>110</v>
      </c>
      <c r="I681" s="1" t="s">
        <v>222</v>
      </c>
      <c r="J681" s="2" t="s">
        <v>2462</v>
      </c>
    </row>
    <row r="682">
      <c r="A682" s="1" t="s">
        <v>2463</v>
      </c>
      <c r="B682" s="1" t="s">
        <v>2246</v>
      </c>
      <c r="C682" s="1" t="s">
        <v>983</v>
      </c>
      <c r="D682" s="2" t="s">
        <v>714</v>
      </c>
      <c r="E682" s="1" t="s">
        <v>152</v>
      </c>
      <c r="F682" s="1" t="s">
        <v>237</v>
      </c>
      <c r="G682" s="1" t="s">
        <v>470</v>
      </c>
      <c r="H682" s="1" t="s">
        <v>143</v>
      </c>
      <c r="I682" s="1" t="s">
        <v>222</v>
      </c>
      <c r="J682" s="2" t="s">
        <v>2465</v>
      </c>
    </row>
    <row r="683">
      <c r="A683" s="1" t="s">
        <v>2467</v>
      </c>
      <c r="B683" s="1" t="s">
        <v>2468</v>
      </c>
      <c r="C683" s="1" t="s">
        <v>2163</v>
      </c>
      <c r="D683" s="2" t="s">
        <v>218</v>
      </c>
      <c r="E683" s="1" t="s">
        <v>152</v>
      </c>
      <c r="F683" s="1" t="s">
        <v>256</v>
      </c>
      <c r="G683" s="1" t="s">
        <v>608</v>
      </c>
      <c r="H683" s="1" t="s">
        <v>179</v>
      </c>
      <c r="I683" s="1" t="s">
        <v>222</v>
      </c>
      <c r="J683" s="2" t="s">
        <v>2469</v>
      </c>
    </row>
    <row r="684">
      <c r="A684" s="1" t="s">
        <v>2470</v>
      </c>
      <c r="B684" s="1" t="s">
        <v>2471</v>
      </c>
      <c r="C684" s="1" t="s">
        <v>2424</v>
      </c>
      <c r="D684" s="2" t="s">
        <v>185</v>
      </c>
      <c r="E684" s="1" t="s">
        <v>152</v>
      </c>
      <c r="F684" s="1" t="s">
        <v>364</v>
      </c>
      <c r="G684" s="1" t="s">
        <v>209</v>
      </c>
      <c r="H684" s="1" t="s">
        <v>189</v>
      </c>
      <c r="I684" s="1" t="s">
        <v>97</v>
      </c>
      <c r="J684" s="2" t="s">
        <v>2473</v>
      </c>
    </row>
    <row r="685">
      <c r="A685" s="1" t="s">
        <v>2474</v>
      </c>
      <c r="B685" s="1" t="s">
        <v>2475</v>
      </c>
      <c r="C685" s="1" t="s">
        <v>983</v>
      </c>
      <c r="D685" s="2" t="s">
        <v>103</v>
      </c>
      <c r="E685" s="1" t="s">
        <v>1572</v>
      </c>
      <c r="F685" s="1" t="s">
        <v>309</v>
      </c>
      <c r="G685" s="1" t="s">
        <v>583</v>
      </c>
      <c r="H685" s="1" t="s">
        <v>346</v>
      </c>
      <c r="I685" s="1" t="s">
        <v>97</v>
      </c>
      <c r="J685" s="2" t="s">
        <v>2476</v>
      </c>
    </row>
    <row r="686">
      <c r="A686" s="1" t="s">
        <v>2477</v>
      </c>
      <c r="B686" s="1" t="s">
        <v>2479</v>
      </c>
      <c r="C686" s="1" t="s">
        <v>2226</v>
      </c>
      <c r="D686" s="2" t="s">
        <v>266</v>
      </c>
      <c r="E686" s="1" t="s">
        <v>1572</v>
      </c>
      <c r="F686" s="1" t="s">
        <v>571</v>
      </c>
      <c r="G686" s="1" t="s">
        <v>551</v>
      </c>
      <c r="H686" s="1" t="s">
        <v>143</v>
      </c>
      <c r="I686" s="1" t="s">
        <v>97</v>
      </c>
      <c r="J686" s="2" t="s">
        <v>2480</v>
      </c>
    </row>
    <row r="687">
      <c r="A687" s="1" t="s">
        <v>2481</v>
      </c>
      <c r="B687" s="1" t="s">
        <v>1788</v>
      </c>
      <c r="C687" s="1" t="s">
        <v>2368</v>
      </c>
      <c r="D687" s="2" t="s">
        <v>488</v>
      </c>
      <c r="E687" s="1" t="s">
        <v>105</v>
      </c>
      <c r="F687" s="1" t="s">
        <v>141</v>
      </c>
      <c r="G687" s="1" t="s">
        <v>345</v>
      </c>
      <c r="H687" s="1" t="s">
        <v>279</v>
      </c>
      <c r="I687" s="1" t="s">
        <v>97</v>
      </c>
      <c r="J687" s="2" t="s">
        <v>2482</v>
      </c>
    </row>
    <row r="688">
      <c r="A688" s="1" t="s">
        <v>2483</v>
      </c>
      <c r="B688" s="1" t="s">
        <v>171</v>
      </c>
      <c r="C688" s="1" t="s">
        <v>2299</v>
      </c>
      <c r="D688" s="2" t="s">
        <v>43</v>
      </c>
      <c r="E688" s="1" t="s">
        <v>45</v>
      </c>
      <c r="F688" s="1" t="s">
        <v>208</v>
      </c>
      <c r="G688" s="1" t="s">
        <v>418</v>
      </c>
      <c r="H688" s="1" t="s">
        <v>210</v>
      </c>
      <c r="I688" s="1" t="s">
        <v>211</v>
      </c>
      <c r="J688" s="2" t="s">
        <v>1512</v>
      </c>
    </row>
    <row r="689">
      <c r="A689" s="1" t="s">
        <v>2485</v>
      </c>
      <c r="B689" s="1" t="s">
        <v>925</v>
      </c>
      <c r="C689" s="1" t="s">
        <v>2486</v>
      </c>
      <c r="D689" s="2" t="s">
        <v>325</v>
      </c>
      <c r="E689" s="1" t="s">
        <v>28</v>
      </c>
      <c r="F689" s="1" t="s">
        <v>47</v>
      </c>
      <c r="G689" s="1" t="s">
        <v>612</v>
      </c>
      <c r="H689" s="1" t="s">
        <v>533</v>
      </c>
      <c r="I689" s="1" t="s">
        <v>222</v>
      </c>
      <c r="J689" s="2" t="s">
        <v>2488</v>
      </c>
    </row>
    <row r="690">
      <c r="A690" s="1" t="s">
        <v>2489</v>
      </c>
      <c r="B690" s="1" t="s">
        <v>620</v>
      </c>
      <c r="C690" s="1" t="s">
        <v>76</v>
      </c>
      <c r="D690" s="2" t="s">
        <v>631</v>
      </c>
      <c r="E690" s="1" t="s">
        <v>45</v>
      </c>
      <c r="F690" s="1" t="s">
        <v>131</v>
      </c>
      <c r="G690" s="1" t="s">
        <v>439</v>
      </c>
      <c r="H690" s="1" t="s">
        <v>189</v>
      </c>
      <c r="I690" s="1" t="s">
        <v>97</v>
      </c>
      <c r="J690" s="2" t="s">
        <v>2490</v>
      </c>
    </row>
    <row r="691">
      <c r="A691" s="1" t="s">
        <v>2491</v>
      </c>
      <c r="B691" s="1" t="s">
        <v>2492</v>
      </c>
      <c r="C691" s="1" t="s">
        <v>2103</v>
      </c>
      <c r="D691" s="2" t="s">
        <v>878</v>
      </c>
      <c r="E691" s="1" t="s">
        <v>1572</v>
      </c>
      <c r="F691" s="1" t="s">
        <v>176</v>
      </c>
      <c r="G691" s="1" t="s">
        <v>439</v>
      </c>
      <c r="H691" s="1" t="s">
        <v>189</v>
      </c>
      <c r="I691" s="1" t="s">
        <v>52</v>
      </c>
      <c r="J691" s="2" t="s">
        <v>2494</v>
      </c>
    </row>
    <row r="692">
      <c r="A692" s="1" t="s">
        <v>2495</v>
      </c>
      <c r="B692" s="1" t="s">
        <v>2210</v>
      </c>
      <c r="C692" s="1" t="s">
        <v>2145</v>
      </c>
      <c r="D692" s="2" t="s">
        <v>565</v>
      </c>
      <c r="E692" s="1" t="s">
        <v>105</v>
      </c>
      <c r="F692" s="1" t="s">
        <v>237</v>
      </c>
      <c r="G692" s="1" t="s">
        <v>967</v>
      </c>
      <c r="H692" s="1" t="s">
        <v>179</v>
      </c>
      <c r="I692" s="1" t="s">
        <v>52</v>
      </c>
      <c r="J692" s="2" t="s">
        <v>2496</v>
      </c>
    </row>
    <row r="693">
      <c r="A693" s="1" t="s">
        <v>2497</v>
      </c>
      <c r="B693" s="1" t="s">
        <v>1186</v>
      </c>
      <c r="C693" s="1" t="s">
        <v>216</v>
      </c>
      <c r="D693" s="2" t="s">
        <v>1231</v>
      </c>
      <c r="E693" s="1" t="s">
        <v>1572</v>
      </c>
      <c r="F693" s="1" t="s">
        <v>141</v>
      </c>
      <c r="G693" s="1" t="s">
        <v>326</v>
      </c>
      <c r="H693" s="1" t="s">
        <v>179</v>
      </c>
      <c r="I693" s="1" t="s">
        <v>97</v>
      </c>
      <c r="J693" s="2" t="s">
        <v>2499</v>
      </c>
    </row>
    <row r="694">
      <c r="A694" s="1" t="s">
        <v>2500</v>
      </c>
      <c r="B694" s="1" t="s">
        <v>2193</v>
      </c>
      <c r="C694" s="1" t="s">
        <v>2159</v>
      </c>
      <c r="D694" s="2" t="s">
        <v>1231</v>
      </c>
      <c r="E694" s="1" t="s">
        <v>152</v>
      </c>
      <c r="F694" s="1" t="s">
        <v>268</v>
      </c>
      <c r="G694" s="1" t="s">
        <v>572</v>
      </c>
      <c r="H694" s="1" t="s">
        <v>124</v>
      </c>
      <c r="I694" s="1" t="s">
        <v>97</v>
      </c>
      <c r="J694" s="2" t="s">
        <v>2501</v>
      </c>
    </row>
    <row r="695">
      <c r="A695" s="1" t="s">
        <v>2502</v>
      </c>
      <c r="B695" s="1" t="s">
        <v>2112</v>
      </c>
      <c r="C695" s="1" t="s">
        <v>2159</v>
      </c>
      <c r="D695" s="2" t="s">
        <v>129</v>
      </c>
      <c r="E695" s="1" t="s">
        <v>152</v>
      </c>
      <c r="F695" s="1" t="s">
        <v>47</v>
      </c>
      <c r="G695" s="1" t="s">
        <v>642</v>
      </c>
      <c r="H695" s="1" t="s">
        <v>346</v>
      </c>
      <c r="I695" s="1" t="s">
        <v>97</v>
      </c>
      <c r="J695" s="2" t="s">
        <v>2503</v>
      </c>
    </row>
    <row r="696">
      <c r="A696" s="1" t="s">
        <v>2505</v>
      </c>
      <c r="B696" s="1" t="s">
        <v>2119</v>
      </c>
      <c r="C696" s="1" t="s">
        <v>2140</v>
      </c>
      <c r="D696" s="2" t="s">
        <v>336</v>
      </c>
      <c r="E696" s="1" t="s">
        <v>1572</v>
      </c>
      <c r="F696" s="1" t="s">
        <v>47</v>
      </c>
      <c r="G696" s="1" t="s">
        <v>867</v>
      </c>
      <c r="H696" s="1" t="s">
        <v>691</v>
      </c>
      <c r="I696" s="1" t="s">
        <v>97</v>
      </c>
      <c r="J696" s="2" t="s">
        <v>1292</v>
      </c>
    </row>
    <row r="697">
      <c r="A697" s="1" t="s">
        <v>2506</v>
      </c>
      <c r="B697" s="1" t="s">
        <v>2507</v>
      </c>
      <c r="C697" s="1" t="s">
        <v>2508</v>
      </c>
      <c r="D697" s="2" t="s">
        <v>344</v>
      </c>
      <c r="E697" s="1" t="s">
        <v>1572</v>
      </c>
      <c r="F697" s="1" t="s">
        <v>141</v>
      </c>
      <c r="G697" s="1" t="s">
        <v>482</v>
      </c>
      <c r="H697" s="1" t="s">
        <v>179</v>
      </c>
      <c r="I697" s="1" t="s">
        <v>35</v>
      </c>
      <c r="J697" s="2" t="s">
        <v>2510</v>
      </c>
    </row>
    <row r="698">
      <c r="A698" s="1" t="s">
        <v>2511</v>
      </c>
      <c r="B698" s="1" t="s">
        <v>2512</v>
      </c>
      <c r="C698" s="1" t="s">
        <v>2266</v>
      </c>
      <c r="D698" s="2" t="s">
        <v>185</v>
      </c>
      <c r="E698" s="1" t="s">
        <v>28</v>
      </c>
      <c r="F698" s="1" t="s">
        <v>81</v>
      </c>
      <c r="G698" s="1" t="s">
        <v>418</v>
      </c>
      <c r="H698" s="1" t="s">
        <v>394</v>
      </c>
      <c r="I698" s="1" t="s">
        <v>97</v>
      </c>
      <c r="J698" s="2" t="s">
        <v>1816</v>
      </c>
    </row>
    <row r="699">
      <c r="A699" s="1" t="s">
        <v>2513</v>
      </c>
      <c r="B699" s="1" t="s">
        <v>2507</v>
      </c>
      <c r="C699" s="1" t="s">
        <v>983</v>
      </c>
      <c r="D699" s="2" t="s">
        <v>565</v>
      </c>
      <c r="E699" s="1" t="s">
        <v>105</v>
      </c>
      <c r="F699" s="1" t="s">
        <v>393</v>
      </c>
      <c r="G699" s="1" t="s">
        <v>642</v>
      </c>
      <c r="H699" s="1" t="s">
        <v>96</v>
      </c>
      <c r="I699" s="1" t="s">
        <v>52</v>
      </c>
      <c r="J699" s="2" t="s">
        <v>2515</v>
      </c>
    </row>
    <row r="700">
      <c r="A700" s="1" t="s">
        <v>2516</v>
      </c>
      <c r="B700" s="1" t="s">
        <v>2517</v>
      </c>
      <c r="C700" s="1" t="s">
        <v>2518</v>
      </c>
      <c r="D700" s="2" t="s">
        <v>1487</v>
      </c>
      <c r="E700" s="1" t="s">
        <v>28</v>
      </c>
      <c r="F700" s="1" t="s">
        <v>571</v>
      </c>
      <c r="G700" s="1" t="s">
        <v>209</v>
      </c>
      <c r="H700" s="1" t="s">
        <v>189</v>
      </c>
      <c r="I700" s="1" t="s">
        <v>211</v>
      </c>
      <c r="J700" s="2" t="s">
        <v>2520</v>
      </c>
    </row>
    <row r="701">
      <c r="A701" s="1" t="s">
        <v>2521</v>
      </c>
      <c r="B701" s="1" t="s">
        <v>2166</v>
      </c>
      <c r="C701" s="1" t="s">
        <v>2368</v>
      </c>
      <c r="D701" s="2" t="s">
        <v>295</v>
      </c>
      <c r="E701" s="1" t="s">
        <v>80</v>
      </c>
      <c r="F701" s="1" t="s">
        <v>376</v>
      </c>
      <c r="G701" s="1" t="s">
        <v>177</v>
      </c>
      <c r="H701" s="1" t="s">
        <v>110</v>
      </c>
      <c r="I701" s="1" t="s">
        <v>97</v>
      </c>
      <c r="J701" s="2" t="s">
        <v>2522</v>
      </c>
    </row>
    <row r="702">
      <c r="A702" s="1" t="s">
        <v>2523</v>
      </c>
      <c r="B702" s="1" t="s">
        <v>2512</v>
      </c>
      <c r="C702" s="1" t="s">
        <v>2368</v>
      </c>
      <c r="D702" s="2" t="s">
        <v>207</v>
      </c>
      <c r="E702" s="1" t="s">
        <v>1572</v>
      </c>
      <c r="F702" s="1" t="s">
        <v>131</v>
      </c>
      <c r="G702" s="1" t="s">
        <v>647</v>
      </c>
      <c r="H702" s="1" t="s">
        <v>561</v>
      </c>
      <c r="I702" s="1" t="s">
        <v>211</v>
      </c>
      <c r="J702" s="2" t="s">
        <v>2525</v>
      </c>
    </row>
    <row r="703">
      <c r="A703" s="1" t="s">
        <v>2526</v>
      </c>
      <c r="B703" s="1" t="s">
        <v>625</v>
      </c>
      <c r="C703" s="1" t="s">
        <v>713</v>
      </c>
      <c r="D703" s="2" t="s">
        <v>445</v>
      </c>
      <c r="E703" s="1" t="s">
        <v>152</v>
      </c>
      <c r="F703" s="1" t="s">
        <v>47</v>
      </c>
      <c r="G703" s="1" t="s">
        <v>311</v>
      </c>
      <c r="H703" s="1" t="s">
        <v>346</v>
      </c>
      <c r="I703" s="1" t="s">
        <v>97</v>
      </c>
      <c r="J703" s="2" t="s">
        <v>1308</v>
      </c>
    </row>
    <row r="704">
      <c r="A704" s="1" t="s">
        <v>2527</v>
      </c>
      <c r="B704" s="1" t="s">
        <v>2528</v>
      </c>
      <c r="C704" s="1" t="s">
        <v>2159</v>
      </c>
      <c r="D704" s="2" t="s">
        <v>488</v>
      </c>
      <c r="E704" s="1" t="s">
        <v>80</v>
      </c>
      <c r="F704" s="1" t="s">
        <v>237</v>
      </c>
      <c r="G704" s="1" t="s">
        <v>49</v>
      </c>
      <c r="H704" s="1" t="s">
        <v>286</v>
      </c>
      <c r="I704" s="1" t="s">
        <v>97</v>
      </c>
      <c r="J704" s="2" t="s">
        <v>2530</v>
      </c>
    </row>
    <row r="705">
      <c r="A705" s="1" t="s">
        <v>2531</v>
      </c>
      <c r="B705" s="1" t="s">
        <v>2134</v>
      </c>
      <c r="C705" s="1" t="s">
        <v>2095</v>
      </c>
      <c r="D705" s="2" t="s">
        <v>945</v>
      </c>
      <c r="E705" s="1" t="s">
        <v>45</v>
      </c>
      <c r="F705" s="1" t="s">
        <v>30</v>
      </c>
      <c r="G705" s="1" t="s">
        <v>177</v>
      </c>
      <c r="H705" s="1" t="s">
        <v>477</v>
      </c>
      <c r="I705" s="1" t="s">
        <v>35</v>
      </c>
      <c r="J705" s="2" t="s">
        <v>2532</v>
      </c>
    </row>
    <row r="706">
      <c r="A706" s="1" t="s">
        <v>2534</v>
      </c>
      <c r="B706" s="1" t="s">
        <v>2198</v>
      </c>
      <c r="C706" s="1" t="s">
        <v>2163</v>
      </c>
      <c r="D706" s="2" t="s">
        <v>1041</v>
      </c>
      <c r="E706" s="1" t="s">
        <v>152</v>
      </c>
      <c r="F706" s="1" t="s">
        <v>393</v>
      </c>
      <c r="G706" s="1" t="s">
        <v>1592</v>
      </c>
      <c r="H706" s="1" t="s">
        <v>699</v>
      </c>
      <c r="I706" s="1" t="s">
        <v>35</v>
      </c>
      <c r="J706" s="2" t="s">
        <v>2535</v>
      </c>
    </row>
    <row r="707">
      <c r="A707" s="1" t="s">
        <v>2536</v>
      </c>
      <c r="B707" s="1" t="s">
        <v>2198</v>
      </c>
      <c r="C707" s="1" t="s">
        <v>2148</v>
      </c>
      <c r="D707" s="2" t="s">
        <v>631</v>
      </c>
      <c r="E707" s="1" t="s">
        <v>105</v>
      </c>
      <c r="F707" s="1" t="s">
        <v>30</v>
      </c>
      <c r="G707" s="1" t="s">
        <v>318</v>
      </c>
      <c r="H707" s="1" t="s">
        <v>279</v>
      </c>
      <c r="I707" s="1" t="s">
        <v>97</v>
      </c>
      <c r="J707" s="2" t="s">
        <v>1327</v>
      </c>
    </row>
    <row r="708">
      <c r="A708" s="1" t="s">
        <v>2538</v>
      </c>
      <c r="B708" s="1" t="s">
        <v>2539</v>
      </c>
      <c r="C708" s="1" t="s">
        <v>2303</v>
      </c>
      <c r="D708" s="2" t="s">
        <v>353</v>
      </c>
      <c r="E708" s="1" t="s">
        <v>1572</v>
      </c>
      <c r="F708" s="1" t="s">
        <v>393</v>
      </c>
      <c r="G708" s="1" t="s">
        <v>867</v>
      </c>
      <c r="H708" s="1" t="s">
        <v>240</v>
      </c>
      <c r="I708" s="1" t="s">
        <v>35</v>
      </c>
      <c r="J708" s="2" t="s">
        <v>2540</v>
      </c>
    </row>
    <row r="709">
      <c r="A709" s="1" t="s">
        <v>2541</v>
      </c>
      <c r="B709" s="1" t="s">
        <v>2455</v>
      </c>
      <c r="C709" s="1" t="s">
        <v>925</v>
      </c>
      <c r="D709" s="2" t="s">
        <v>1013</v>
      </c>
      <c r="E709" s="1" t="s">
        <v>45</v>
      </c>
      <c r="F709" s="1" t="s">
        <v>107</v>
      </c>
      <c r="G709" s="1" t="s">
        <v>220</v>
      </c>
      <c r="H709" s="1" t="s">
        <v>359</v>
      </c>
      <c r="I709" s="1" t="s">
        <v>52</v>
      </c>
      <c r="J709" s="2" t="s">
        <v>2542</v>
      </c>
    </row>
    <row r="710">
      <c r="A710" s="1" t="s">
        <v>2543</v>
      </c>
      <c r="B710" s="1" t="s">
        <v>2544</v>
      </c>
      <c r="C710" s="1" t="s">
        <v>2230</v>
      </c>
      <c r="D710" s="2" t="s">
        <v>317</v>
      </c>
      <c r="E710" s="1" t="s">
        <v>80</v>
      </c>
      <c r="F710" s="1" t="s">
        <v>237</v>
      </c>
      <c r="G710" s="1" t="s">
        <v>238</v>
      </c>
      <c r="H710" s="1" t="s">
        <v>533</v>
      </c>
      <c r="I710" s="1" t="s">
        <v>97</v>
      </c>
      <c r="J710" s="2" t="s">
        <v>2545</v>
      </c>
    </row>
    <row r="711">
      <c r="A711" s="1" t="s">
        <v>2547</v>
      </c>
      <c r="B711" s="1" t="s">
        <v>2548</v>
      </c>
      <c r="C711" s="1" t="s">
        <v>363</v>
      </c>
      <c r="D711" s="2" t="s">
        <v>331</v>
      </c>
      <c r="E711" s="1" t="s">
        <v>1572</v>
      </c>
      <c r="F711" s="1" t="s">
        <v>393</v>
      </c>
      <c r="G711" s="1" t="s">
        <v>517</v>
      </c>
      <c r="H711" s="1" t="s">
        <v>96</v>
      </c>
      <c r="I711" s="1" t="s">
        <v>35</v>
      </c>
      <c r="J711" s="2" t="s">
        <v>1235</v>
      </c>
    </row>
    <row r="712">
      <c r="A712" s="1" t="s">
        <v>2549</v>
      </c>
      <c r="B712" s="1" t="s">
        <v>1788</v>
      </c>
      <c r="C712" s="1" t="s">
        <v>2429</v>
      </c>
      <c r="D712" s="2" t="s">
        <v>317</v>
      </c>
      <c r="E712" s="1" t="s">
        <v>1572</v>
      </c>
      <c r="F712" s="1" t="s">
        <v>81</v>
      </c>
      <c r="G712" s="1" t="s">
        <v>867</v>
      </c>
      <c r="H712" s="1" t="s">
        <v>500</v>
      </c>
      <c r="I712" s="1" t="s">
        <v>97</v>
      </c>
      <c r="J712" s="2" t="s">
        <v>2550</v>
      </c>
    </row>
    <row r="713">
      <c r="A713" s="1" t="s">
        <v>2551</v>
      </c>
      <c r="B713" s="1" t="s">
        <v>2008</v>
      </c>
      <c r="C713" s="1" t="s">
        <v>2282</v>
      </c>
      <c r="D713" s="2" t="s">
        <v>285</v>
      </c>
      <c r="E713" s="1" t="s">
        <v>1572</v>
      </c>
      <c r="F713" s="1" t="s">
        <v>81</v>
      </c>
      <c r="G713" s="1" t="s">
        <v>977</v>
      </c>
      <c r="H713" s="1" t="s">
        <v>210</v>
      </c>
      <c r="I713" s="1" t="s">
        <v>97</v>
      </c>
      <c r="J713" s="2" t="s">
        <v>2552</v>
      </c>
    </row>
    <row r="714">
      <c r="A714" s="1" t="s">
        <v>2554</v>
      </c>
      <c r="B714" s="1" t="s">
        <v>2555</v>
      </c>
      <c r="C714" s="1" t="s">
        <v>2424</v>
      </c>
      <c r="D714" s="2" t="s">
        <v>1013</v>
      </c>
      <c r="E714" s="1" t="s">
        <v>152</v>
      </c>
      <c r="F714" s="1" t="s">
        <v>393</v>
      </c>
      <c r="G714" s="1" t="s">
        <v>576</v>
      </c>
      <c r="H714" s="1" t="s">
        <v>50</v>
      </c>
      <c r="I714" s="1" t="s">
        <v>222</v>
      </c>
      <c r="J714" s="2" t="s">
        <v>2557</v>
      </c>
    </row>
    <row r="715">
      <c r="A715" s="1" t="s">
        <v>2558</v>
      </c>
      <c r="B715" s="1" t="s">
        <v>2302</v>
      </c>
      <c r="C715" s="1" t="s">
        <v>2357</v>
      </c>
      <c r="D715" s="2" t="s">
        <v>150</v>
      </c>
      <c r="E715" s="1" t="s">
        <v>28</v>
      </c>
      <c r="F715" s="1" t="s">
        <v>393</v>
      </c>
      <c r="G715" s="1" t="s">
        <v>94</v>
      </c>
      <c r="H715" s="1" t="s">
        <v>165</v>
      </c>
      <c r="I715" s="1" t="s">
        <v>97</v>
      </c>
      <c r="J715" s="2" t="s">
        <v>1074</v>
      </c>
    </row>
    <row r="716">
      <c r="A716" s="1" t="s">
        <v>2560</v>
      </c>
      <c r="B716" s="1" t="s">
        <v>2183</v>
      </c>
      <c r="C716" s="1" t="s">
        <v>2518</v>
      </c>
      <c r="D716" s="2" t="s">
        <v>460</v>
      </c>
      <c r="E716" s="1" t="s">
        <v>152</v>
      </c>
      <c r="F716" s="1" t="s">
        <v>131</v>
      </c>
      <c r="G716" s="1" t="s">
        <v>489</v>
      </c>
      <c r="H716" s="1" t="s">
        <v>527</v>
      </c>
      <c r="I716" s="1" t="s">
        <v>97</v>
      </c>
      <c r="J716" s="2" t="s">
        <v>2561</v>
      </c>
    </row>
    <row r="717">
      <c r="A717" s="1" t="s">
        <v>2563</v>
      </c>
      <c r="B717" s="1" t="s">
        <v>2564</v>
      </c>
      <c r="C717" s="1" t="s">
        <v>2565</v>
      </c>
      <c r="D717" s="2" t="s">
        <v>353</v>
      </c>
      <c r="E717" s="1" t="s">
        <v>80</v>
      </c>
      <c r="F717" s="1" t="s">
        <v>47</v>
      </c>
      <c r="G717" s="1" t="s">
        <v>333</v>
      </c>
      <c r="H717" s="1" t="s">
        <v>271</v>
      </c>
      <c r="I717" s="1" t="s">
        <v>222</v>
      </c>
      <c r="J717" s="2" t="s">
        <v>2566</v>
      </c>
    </row>
    <row r="718">
      <c r="A718" s="1" t="s">
        <v>2567</v>
      </c>
      <c r="B718" s="1" t="s">
        <v>2086</v>
      </c>
      <c r="C718" s="1" t="s">
        <v>2140</v>
      </c>
      <c r="D718" s="2" t="s">
        <v>392</v>
      </c>
      <c r="E718" s="1" t="s">
        <v>152</v>
      </c>
      <c r="F718" s="1" t="s">
        <v>64</v>
      </c>
      <c r="G718" s="1" t="s">
        <v>94</v>
      </c>
      <c r="H718" s="1" t="s">
        <v>452</v>
      </c>
      <c r="I718" s="1" t="s">
        <v>222</v>
      </c>
      <c r="J718" s="2" t="s">
        <v>2568</v>
      </c>
    </row>
    <row r="719">
      <c r="A719" s="1" t="s">
        <v>2569</v>
      </c>
      <c r="B719" s="1" t="s">
        <v>2072</v>
      </c>
      <c r="C719" s="1" t="s">
        <v>25</v>
      </c>
      <c r="D719" s="2" t="s">
        <v>655</v>
      </c>
      <c r="E719" s="1" t="s">
        <v>1572</v>
      </c>
      <c r="F719" s="1" t="s">
        <v>47</v>
      </c>
      <c r="G719" s="1" t="s">
        <v>345</v>
      </c>
      <c r="H719" s="1" t="s">
        <v>402</v>
      </c>
      <c r="I719" s="1" t="s">
        <v>35</v>
      </c>
      <c r="J719" s="2" t="s">
        <v>2570</v>
      </c>
    </row>
    <row r="720">
      <c r="A720" s="1" t="s">
        <v>2571</v>
      </c>
      <c r="B720" s="1" t="s">
        <v>2512</v>
      </c>
      <c r="C720" s="1" t="s">
        <v>2572</v>
      </c>
      <c r="D720" s="2" t="s">
        <v>1041</v>
      </c>
      <c r="E720" s="1" t="s">
        <v>45</v>
      </c>
      <c r="F720" s="1" t="s">
        <v>376</v>
      </c>
      <c r="G720" s="1" t="s">
        <v>677</v>
      </c>
      <c r="H720" s="1" t="s">
        <v>143</v>
      </c>
      <c r="I720" s="1" t="s">
        <v>52</v>
      </c>
      <c r="J720" s="2" t="s">
        <v>2574</v>
      </c>
    </row>
    <row r="721">
      <c r="A721" s="1" t="s">
        <v>2575</v>
      </c>
      <c r="B721" s="1" t="s">
        <v>2302</v>
      </c>
      <c r="C721" s="1" t="s">
        <v>2303</v>
      </c>
      <c r="D721" s="2" t="s">
        <v>1013</v>
      </c>
      <c r="E721" s="1" t="s">
        <v>152</v>
      </c>
      <c r="F721" s="1" t="s">
        <v>237</v>
      </c>
      <c r="G721" s="1" t="s">
        <v>647</v>
      </c>
      <c r="H721" s="1" t="s">
        <v>561</v>
      </c>
      <c r="I721" s="1" t="s">
        <v>52</v>
      </c>
      <c r="J721" s="2" t="s">
        <v>2577</v>
      </c>
    </row>
    <row r="722">
      <c r="A722" s="1" t="s">
        <v>2578</v>
      </c>
      <c r="B722" s="1" t="s">
        <v>1788</v>
      </c>
      <c r="C722" s="1" t="s">
        <v>2175</v>
      </c>
      <c r="D722" s="2" t="s">
        <v>886</v>
      </c>
      <c r="E722" s="1" t="s">
        <v>80</v>
      </c>
      <c r="F722" s="1" t="s">
        <v>237</v>
      </c>
      <c r="G722" s="1" t="s">
        <v>132</v>
      </c>
      <c r="H722" s="1" t="s">
        <v>50</v>
      </c>
      <c r="I722" s="1" t="s">
        <v>222</v>
      </c>
      <c r="J722" s="2" t="s">
        <v>55</v>
      </c>
    </row>
    <row r="723">
      <c r="A723" s="1" t="s">
        <v>2579</v>
      </c>
      <c r="B723" s="1" t="s">
        <v>2326</v>
      </c>
      <c r="C723" s="1" t="s">
        <v>713</v>
      </c>
      <c r="D723" s="2" t="s">
        <v>276</v>
      </c>
      <c r="E723" s="1" t="s">
        <v>45</v>
      </c>
      <c r="F723" s="1" t="s">
        <v>759</v>
      </c>
      <c r="G723" s="1" t="s">
        <v>385</v>
      </c>
      <c r="H723" s="1" t="s">
        <v>189</v>
      </c>
      <c r="I723" s="1" t="s">
        <v>211</v>
      </c>
      <c r="J723" s="2" t="s">
        <v>2581</v>
      </c>
    </row>
    <row r="724">
      <c r="A724" s="1" t="s">
        <v>2582</v>
      </c>
      <c r="B724" s="1" t="s">
        <v>2492</v>
      </c>
      <c r="C724" s="1" t="s">
        <v>2424</v>
      </c>
      <c r="D724" s="2" t="s">
        <v>445</v>
      </c>
      <c r="E724" s="1" t="s">
        <v>28</v>
      </c>
      <c r="F724" s="1" t="s">
        <v>539</v>
      </c>
      <c r="G724" s="1" t="s">
        <v>345</v>
      </c>
      <c r="H724" s="1" t="s">
        <v>346</v>
      </c>
      <c r="I724" s="1" t="s">
        <v>97</v>
      </c>
      <c r="J724" s="2" t="s">
        <v>2583</v>
      </c>
    </row>
    <row r="725">
      <c r="A725" s="1" t="s">
        <v>2584</v>
      </c>
      <c r="B725" s="1" t="s">
        <v>764</v>
      </c>
      <c r="C725" s="1" t="s">
        <v>25</v>
      </c>
      <c r="D725" s="2" t="s">
        <v>873</v>
      </c>
      <c r="E725" s="1" t="s">
        <v>28</v>
      </c>
      <c r="F725" s="1" t="s">
        <v>81</v>
      </c>
      <c r="G725" s="1" t="s">
        <v>551</v>
      </c>
      <c r="H725" s="1" t="s">
        <v>346</v>
      </c>
      <c r="I725" s="1" t="s">
        <v>211</v>
      </c>
      <c r="J725" s="2" t="s">
        <v>2587</v>
      </c>
    </row>
    <row r="726">
      <c r="A726" s="1" t="s">
        <v>2588</v>
      </c>
      <c r="B726" s="1" t="s">
        <v>2237</v>
      </c>
      <c r="C726" s="1" t="s">
        <v>2154</v>
      </c>
      <c r="D726" s="2" t="s">
        <v>655</v>
      </c>
      <c r="E726" s="1" t="s">
        <v>105</v>
      </c>
      <c r="F726" s="1" t="s">
        <v>141</v>
      </c>
      <c r="G726" s="1" t="s">
        <v>345</v>
      </c>
      <c r="H726" s="1" t="s">
        <v>402</v>
      </c>
      <c r="I726" s="1" t="s">
        <v>35</v>
      </c>
      <c r="J726" s="2" t="s">
        <v>2591</v>
      </c>
    </row>
    <row r="727">
      <c r="A727" s="1" t="s">
        <v>2592</v>
      </c>
      <c r="B727" s="1" t="s">
        <v>577</v>
      </c>
      <c r="C727" s="1" t="s">
        <v>2135</v>
      </c>
      <c r="D727" s="2" t="s">
        <v>445</v>
      </c>
      <c r="E727" s="1" t="s">
        <v>105</v>
      </c>
      <c r="F727" s="1" t="s">
        <v>30</v>
      </c>
      <c r="G727" s="1" t="s">
        <v>517</v>
      </c>
      <c r="H727" s="1" t="s">
        <v>592</v>
      </c>
      <c r="I727" s="1" t="s">
        <v>97</v>
      </c>
      <c r="J727" s="2" t="s">
        <v>2593</v>
      </c>
    </row>
    <row r="728">
      <c r="A728" s="1" t="s">
        <v>2594</v>
      </c>
      <c r="B728" s="1" t="s">
        <v>2596</v>
      </c>
      <c r="C728" s="1" t="s">
        <v>352</v>
      </c>
      <c r="D728" s="2" t="s">
        <v>521</v>
      </c>
      <c r="E728" s="1" t="s">
        <v>105</v>
      </c>
      <c r="F728" s="1" t="s">
        <v>759</v>
      </c>
      <c r="G728" s="1" t="s">
        <v>358</v>
      </c>
      <c r="H728" s="1" t="s">
        <v>359</v>
      </c>
      <c r="I728" s="1" t="s">
        <v>35</v>
      </c>
      <c r="J728" s="2" t="s">
        <v>2597</v>
      </c>
    </row>
    <row r="729">
      <c r="A729" s="1" t="s">
        <v>2598</v>
      </c>
      <c r="B729" s="1" t="s">
        <v>2285</v>
      </c>
      <c r="C729" s="1" t="s">
        <v>2235</v>
      </c>
      <c r="D729" s="2" t="s">
        <v>460</v>
      </c>
      <c r="E729" s="1" t="s">
        <v>152</v>
      </c>
      <c r="F729" s="1" t="s">
        <v>539</v>
      </c>
      <c r="G729" s="1" t="s">
        <v>345</v>
      </c>
      <c r="H729" s="1" t="s">
        <v>592</v>
      </c>
      <c r="I729" s="1" t="s">
        <v>97</v>
      </c>
      <c r="J729" s="2" t="s">
        <v>2600</v>
      </c>
    </row>
    <row r="730">
      <c r="A730" s="1" t="s">
        <v>2601</v>
      </c>
      <c r="B730" s="1" t="s">
        <v>2306</v>
      </c>
      <c r="C730" s="1" t="s">
        <v>2135</v>
      </c>
      <c r="D730" s="2" t="s">
        <v>565</v>
      </c>
      <c r="E730" s="1" t="s">
        <v>28</v>
      </c>
      <c r="F730" s="1" t="s">
        <v>30</v>
      </c>
      <c r="G730" s="1" t="s">
        <v>677</v>
      </c>
      <c r="H730" s="1" t="s">
        <v>96</v>
      </c>
      <c r="I730" s="1" t="s">
        <v>222</v>
      </c>
      <c r="J730" s="2" t="s">
        <v>1181</v>
      </c>
    </row>
    <row r="731">
      <c r="A731" s="1" t="s">
        <v>2602</v>
      </c>
      <c r="B731" s="1" t="s">
        <v>1143</v>
      </c>
      <c r="C731" s="1" t="s">
        <v>301</v>
      </c>
      <c r="D731" s="2" t="s">
        <v>733</v>
      </c>
      <c r="E731" s="1" t="s">
        <v>80</v>
      </c>
      <c r="F731" s="1" t="s">
        <v>30</v>
      </c>
      <c r="G731" s="1" t="s">
        <v>612</v>
      </c>
      <c r="H731" s="1" t="s">
        <v>533</v>
      </c>
      <c r="I731" s="1" t="s">
        <v>211</v>
      </c>
      <c r="J731" s="2" t="s">
        <v>1627</v>
      </c>
    </row>
    <row r="732">
      <c r="A732" s="1" t="s">
        <v>2603</v>
      </c>
      <c r="B732" s="1" t="s">
        <v>2072</v>
      </c>
      <c r="C732" s="1" t="s">
        <v>316</v>
      </c>
      <c r="D732" s="2" t="s">
        <v>1180</v>
      </c>
      <c r="E732" s="1" t="s">
        <v>45</v>
      </c>
      <c r="F732" s="1" t="s">
        <v>64</v>
      </c>
      <c r="G732" s="1" t="s">
        <v>572</v>
      </c>
      <c r="H732" s="1" t="s">
        <v>124</v>
      </c>
      <c r="I732" s="1" t="s">
        <v>211</v>
      </c>
      <c r="J732" s="2" t="s">
        <v>2604</v>
      </c>
    </row>
    <row r="733">
      <c r="A733" s="1" t="s">
        <v>2605</v>
      </c>
      <c r="B733" s="1" t="s">
        <v>2400</v>
      </c>
      <c r="C733" s="1" t="s">
        <v>2254</v>
      </c>
      <c r="D733" s="2" t="s">
        <v>1487</v>
      </c>
      <c r="E733" s="1" t="s">
        <v>152</v>
      </c>
      <c r="F733" s="1" t="s">
        <v>208</v>
      </c>
      <c r="G733" s="1" t="s">
        <v>558</v>
      </c>
      <c r="H733" s="1" t="s">
        <v>561</v>
      </c>
      <c r="I733" s="1" t="s">
        <v>211</v>
      </c>
      <c r="J733" s="2" t="s">
        <v>2606</v>
      </c>
    </row>
    <row r="734">
      <c r="A734" s="1" t="s">
        <v>2607</v>
      </c>
      <c r="B734" s="1" t="s">
        <v>2183</v>
      </c>
      <c r="C734" s="1" t="s">
        <v>2251</v>
      </c>
      <c r="D734" s="2" t="s">
        <v>392</v>
      </c>
      <c r="E734" s="1" t="s">
        <v>80</v>
      </c>
      <c r="F734" s="1" t="s">
        <v>64</v>
      </c>
      <c r="G734" s="1" t="s">
        <v>517</v>
      </c>
      <c r="H734" s="1" t="s">
        <v>34</v>
      </c>
      <c r="I734" s="1" t="s">
        <v>35</v>
      </c>
      <c r="J734" s="2" t="s">
        <v>2609</v>
      </c>
    </row>
    <row r="735">
      <c r="A735" s="1" t="s">
        <v>2611</v>
      </c>
      <c r="B735" s="1" t="s">
        <v>2008</v>
      </c>
      <c r="C735" s="1" t="s">
        <v>2266</v>
      </c>
      <c r="D735" s="2" t="s">
        <v>509</v>
      </c>
      <c r="E735" s="1" t="s">
        <v>45</v>
      </c>
      <c r="F735" s="1" t="s">
        <v>131</v>
      </c>
      <c r="G735" s="1" t="s">
        <v>258</v>
      </c>
      <c r="H735" s="1" t="s">
        <v>546</v>
      </c>
      <c r="I735" s="1" t="s">
        <v>35</v>
      </c>
      <c r="J735" s="2" t="s">
        <v>2612</v>
      </c>
    </row>
    <row r="736">
      <c r="A736" s="1" t="s">
        <v>2613</v>
      </c>
      <c r="B736" s="1" t="s">
        <v>2183</v>
      </c>
      <c r="C736" s="1" t="s">
        <v>2518</v>
      </c>
      <c r="D736" s="2" t="s">
        <v>229</v>
      </c>
      <c r="E736" s="1" t="s">
        <v>45</v>
      </c>
      <c r="F736" s="1" t="s">
        <v>81</v>
      </c>
      <c r="G736" s="1" t="s">
        <v>32</v>
      </c>
      <c r="H736" s="1" t="s">
        <v>83</v>
      </c>
      <c r="I736" s="1" t="s">
        <v>97</v>
      </c>
      <c r="J736" s="2" t="s">
        <v>2615</v>
      </c>
    </row>
    <row r="737">
      <c r="A737" s="1" t="s">
        <v>2616</v>
      </c>
      <c r="B737" s="1" t="s">
        <v>127</v>
      </c>
      <c r="C737" s="1" t="s">
        <v>2073</v>
      </c>
      <c r="D737" s="2" t="s">
        <v>850</v>
      </c>
      <c r="E737" s="1" t="s">
        <v>28</v>
      </c>
      <c r="F737" s="1" t="s">
        <v>47</v>
      </c>
      <c r="G737" s="1" t="s">
        <v>258</v>
      </c>
      <c r="H737" s="1" t="s">
        <v>592</v>
      </c>
      <c r="I737" s="1" t="s">
        <v>97</v>
      </c>
      <c r="J737" s="2" t="s">
        <v>935</v>
      </c>
    </row>
    <row r="738">
      <c r="A738" s="1" t="s">
        <v>2617</v>
      </c>
      <c r="B738" s="1" t="s">
        <v>2618</v>
      </c>
      <c r="C738" s="1" t="s">
        <v>2148</v>
      </c>
      <c r="D738" s="2" t="s">
        <v>1091</v>
      </c>
      <c r="E738" s="1" t="s">
        <v>1572</v>
      </c>
      <c r="F738" s="1" t="s">
        <v>759</v>
      </c>
      <c r="G738" s="1" t="s">
        <v>32</v>
      </c>
      <c r="H738" s="1" t="s">
        <v>124</v>
      </c>
      <c r="I738" s="1" t="s">
        <v>52</v>
      </c>
      <c r="J738" s="2" t="s">
        <v>2619</v>
      </c>
    </row>
    <row r="739">
      <c r="A739" s="1" t="s">
        <v>2620</v>
      </c>
      <c r="B739" s="1" t="s">
        <v>2492</v>
      </c>
      <c r="C739" s="1" t="s">
        <v>2254</v>
      </c>
      <c r="D739" s="2" t="s">
        <v>207</v>
      </c>
      <c r="E739" s="1" t="s">
        <v>45</v>
      </c>
      <c r="F739" s="1" t="s">
        <v>64</v>
      </c>
      <c r="G739" s="1" t="s">
        <v>608</v>
      </c>
      <c r="H739" s="1" t="s">
        <v>96</v>
      </c>
      <c r="I739" s="1" t="s">
        <v>211</v>
      </c>
      <c r="J739" s="2" t="s">
        <v>2622</v>
      </c>
    </row>
    <row r="740">
      <c r="A740" s="1" t="s">
        <v>2623</v>
      </c>
      <c r="B740" s="1" t="s">
        <v>2512</v>
      </c>
      <c r="C740" s="1" t="s">
        <v>2624</v>
      </c>
      <c r="D740" s="2" t="s">
        <v>945</v>
      </c>
      <c r="E740" s="1" t="s">
        <v>1572</v>
      </c>
      <c r="F740" s="1" t="s">
        <v>309</v>
      </c>
      <c r="G740" s="1" t="s">
        <v>311</v>
      </c>
      <c r="H740" s="1" t="s">
        <v>346</v>
      </c>
      <c r="I740" s="1" t="s">
        <v>52</v>
      </c>
      <c r="J740" s="2" t="s">
        <v>2625</v>
      </c>
    </row>
    <row r="741">
      <c r="A741" s="1" t="s">
        <v>2626</v>
      </c>
      <c r="B741" s="1" t="s">
        <v>2126</v>
      </c>
      <c r="C741" s="1" t="s">
        <v>2628</v>
      </c>
      <c r="D741" s="2" t="s">
        <v>481</v>
      </c>
      <c r="E741" s="1" t="s">
        <v>45</v>
      </c>
      <c r="F741" s="1" t="s">
        <v>539</v>
      </c>
      <c r="G741" s="1" t="s">
        <v>66</v>
      </c>
      <c r="H741" s="1" t="s">
        <v>231</v>
      </c>
      <c r="I741" s="1" t="s">
        <v>52</v>
      </c>
      <c r="J741" s="2" t="s">
        <v>2629</v>
      </c>
    </row>
    <row r="742">
      <c r="A742" s="1" t="s">
        <v>2630</v>
      </c>
      <c r="B742" s="1" t="s">
        <v>2250</v>
      </c>
      <c r="C742" s="1" t="s">
        <v>2518</v>
      </c>
      <c r="D742" s="2" t="s">
        <v>655</v>
      </c>
      <c r="E742" s="1" t="s">
        <v>45</v>
      </c>
      <c r="F742" s="1" t="s">
        <v>107</v>
      </c>
      <c r="G742" s="1" t="s">
        <v>511</v>
      </c>
      <c r="H742" s="1" t="s">
        <v>546</v>
      </c>
      <c r="I742" s="1" t="s">
        <v>211</v>
      </c>
      <c r="J742" s="2" t="s">
        <v>1476</v>
      </c>
    </row>
    <row r="743">
      <c r="A743" s="1" t="s">
        <v>2632</v>
      </c>
      <c r="B743" s="1" t="s">
        <v>2618</v>
      </c>
      <c r="C743" s="1" t="s">
        <v>629</v>
      </c>
      <c r="D743" s="2" t="s">
        <v>78</v>
      </c>
      <c r="E743" s="1" t="s">
        <v>152</v>
      </c>
      <c r="F743" s="1" t="s">
        <v>47</v>
      </c>
      <c r="G743" s="1" t="s">
        <v>277</v>
      </c>
      <c r="H743" s="1" t="s">
        <v>402</v>
      </c>
      <c r="I743" s="1" t="s">
        <v>211</v>
      </c>
      <c r="J743" s="2" t="s">
        <v>2633</v>
      </c>
    </row>
    <row r="744">
      <c r="A744" s="1" t="s">
        <v>2634</v>
      </c>
      <c r="B744" s="1" t="s">
        <v>2350</v>
      </c>
      <c r="C744" s="1" t="s">
        <v>2179</v>
      </c>
      <c r="D744" s="2" t="s">
        <v>565</v>
      </c>
      <c r="E744" s="1" t="s">
        <v>28</v>
      </c>
      <c r="F744" s="1" t="s">
        <v>309</v>
      </c>
      <c r="G744" s="1" t="s">
        <v>209</v>
      </c>
      <c r="H744" s="1" t="s">
        <v>394</v>
      </c>
      <c r="I744" s="1" t="s">
        <v>52</v>
      </c>
      <c r="J744" s="2" t="s">
        <v>2636</v>
      </c>
    </row>
    <row r="745">
      <c r="A745" s="1" t="s">
        <v>2637</v>
      </c>
      <c r="B745" s="1" t="s">
        <v>2086</v>
      </c>
      <c r="C745" s="1" t="s">
        <v>42</v>
      </c>
      <c r="D745" s="2" t="s">
        <v>521</v>
      </c>
      <c r="E745" s="1" t="s">
        <v>105</v>
      </c>
      <c r="F745" s="1" t="s">
        <v>131</v>
      </c>
      <c r="G745" s="1" t="s">
        <v>916</v>
      </c>
      <c r="H745" s="1" t="s">
        <v>402</v>
      </c>
      <c r="I745" s="1" t="s">
        <v>211</v>
      </c>
      <c r="J745" s="2" t="s">
        <v>2638</v>
      </c>
    </row>
    <row r="746">
      <c r="A746" s="1" t="s">
        <v>2639</v>
      </c>
      <c r="B746" s="1" t="s">
        <v>2641</v>
      </c>
      <c r="C746" s="1" t="s">
        <v>713</v>
      </c>
      <c r="D746" s="2" t="s">
        <v>565</v>
      </c>
      <c r="E746" s="1" t="s">
        <v>28</v>
      </c>
      <c r="F746" s="1" t="s">
        <v>208</v>
      </c>
      <c r="G746" s="1" t="s">
        <v>499</v>
      </c>
      <c r="H746" s="1" t="s">
        <v>500</v>
      </c>
      <c r="I746" s="1" t="s">
        <v>35</v>
      </c>
      <c r="J746" s="2" t="s">
        <v>2642</v>
      </c>
    </row>
    <row r="747">
      <c r="A747" s="1" t="s">
        <v>2643</v>
      </c>
      <c r="B747" s="1" t="s">
        <v>2193</v>
      </c>
      <c r="C747" s="1" t="s">
        <v>374</v>
      </c>
      <c r="D747" s="2" t="s">
        <v>383</v>
      </c>
      <c r="E747" s="1" t="s">
        <v>152</v>
      </c>
      <c r="F747" s="1" t="s">
        <v>376</v>
      </c>
      <c r="G747" s="1" t="s">
        <v>258</v>
      </c>
      <c r="H747" s="1" t="s">
        <v>546</v>
      </c>
      <c r="I747" s="1" t="s">
        <v>222</v>
      </c>
      <c r="J747" s="2" t="s">
        <v>895</v>
      </c>
    </row>
    <row r="748">
      <c r="A748" s="1" t="s">
        <v>2646</v>
      </c>
      <c r="B748" s="1" t="s">
        <v>2479</v>
      </c>
      <c r="C748" s="1" t="s">
        <v>2140</v>
      </c>
      <c r="D748" s="2" t="s">
        <v>733</v>
      </c>
      <c r="E748" s="1" t="s">
        <v>1572</v>
      </c>
      <c r="F748" s="1" t="s">
        <v>571</v>
      </c>
      <c r="G748" s="1" t="s">
        <v>511</v>
      </c>
      <c r="H748" s="1" t="s">
        <v>304</v>
      </c>
      <c r="I748" s="1" t="s">
        <v>52</v>
      </c>
      <c r="J748" s="2" t="s">
        <v>2648</v>
      </c>
    </row>
    <row r="749">
      <c r="A749" s="1" t="s">
        <v>2649</v>
      </c>
      <c r="B749" s="1" t="s">
        <v>2126</v>
      </c>
      <c r="C749" s="1" t="s">
        <v>2148</v>
      </c>
      <c r="D749" s="2" t="s">
        <v>129</v>
      </c>
      <c r="E749" s="1" t="s">
        <v>105</v>
      </c>
      <c r="F749" s="1" t="s">
        <v>30</v>
      </c>
      <c r="G749" s="1" t="s">
        <v>558</v>
      </c>
      <c r="H749" s="1" t="s">
        <v>851</v>
      </c>
      <c r="I749" s="1" t="s">
        <v>97</v>
      </c>
      <c r="J749" s="2" t="s">
        <v>2650</v>
      </c>
    </row>
    <row r="750">
      <c r="A750" s="1" t="s">
        <v>2651</v>
      </c>
      <c r="B750" s="1" t="s">
        <v>2363</v>
      </c>
      <c r="C750" s="1" t="s">
        <v>2328</v>
      </c>
      <c r="D750" s="2" t="s">
        <v>1041</v>
      </c>
      <c r="E750" s="1" t="s">
        <v>152</v>
      </c>
      <c r="F750" s="1" t="s">
        <v>47</v>
      </c>
      <c r="G750" s="1" t="s">
        <v>470</v>
      </c>
      <c r="H750" s="1" t="s">
        <v>143</v>
      </c>
      <c r="I750" s="1" t="s">
        <v>222</v>
      </c>
      <c r="J750" s="2" t="s">
        <v>2653</v>
      </c>
    </row>
    <row r="751">
      <c r="A751" s="1" t="s">
        <v>2654</v>
      </c>
      <c r="B751" s="1" t="s">
        <v>2350</v>
      </c>
      <c r="C751" s="1" t="s">
        <v>2655</v>
      </c>
      <c r="D751" s="2" t="s">
        <v>139</v>
      </c>
      <c r="E751" s="1" t="s">
        <v>152</v>
      </c>
      <c r="F751" s="1" t="s">
        <v>64</v>
      </c>
      <c r="G751" s="1" t="s">
        <v>238</v>
      </c>
      <c r="H751" s="1" t="s">
        <v>691</v>
      </c>
      <c r="I751" s="1" t="s">
        <v>97</v>
      </c>
      <c r="J751" s="2" t="s">
        <v>2658</v>
      </c>
    </row>
    <row r="752">
      <c r="A752" s="1" t="s">
        <v>2659</v>
      </c>
      <c r="B752" s="1" t="s">
        <v>2126</v>
      </c>
      <c r="C752" s="1" t="s">
        <v>2332</v>
      </c>
      <c r="D752" s="2" t="s">
        <v>873</v>
      </c>
      <c r="E752" s="1" t="s">
        <v>1572</v>
      </c>
      <c r="F752" s="1" t="s">
        <v>208</v>
      </c>
      <c r="G752" s="1" t="s">
        <v>377</v>
      </c>
      <c r="H752" s="1" t="s">
        <v>346</v>
      </c>
      <c r="I752" s="1" t="s">
        <v>52</v>
      </c>
      <c r="J752" s="2" t="s">
        <v>2660</v>
      </c>
    </row>
    <row r="753">
      <c r="A753" s="1" t="s">
        <v>2661</v>
      </c>
      <c r="B753" s="1" t="s">
        <v>2166</v>
      </c>
      <c r="C753" s="1" t="s">
        <v>2508</v>
      </c>
      <c r="D753" s="2" t="s">
        <v>903</v>
      </c>
      <c r="E753" s="1" t="s">
        <v>152</v>
      </c>
      <c r="F753" s="1" t="s">
        <v>47</v>
      </c>
      <c r="G753" s="1" t="s">
        <v>874</v>
      </c>
      <c r="H753" s="1" t="s">
        <v>319</v>
      </c>
      <c r="I753" s="1" t="s">
        <v>97</v>
      </c>
      <c r="J753" s="2" t="s">
        <v>2663</v>
      </c>
    </row>
    <row r="754">
      <c r="A754" s="1" t="s">
        <v>2664</v>
      </c>
      <c r="B754" s="1" t="s">
        <v>2544</v>
      </c>
      <c r="C754" s="1" t="s">
        <v>2251</v>
      </c>
      <c r="D754" s="2" t="s">
        <v>406</v>
      </c>
      <c r="E754" s="1" t="s">
        <v>45</v>
      </c>
      <c r="F754" s="1" t="s">
        <v>237</v>
      </c>
      <c r="G754" s="1" t="s">
        <v>867</v>
      </c>
      <c r="H754" s="1" t="s">
        <v>240</v>
      </c>
      <c r="I754" s="1" t="s">
        <v>97</v>
      </c>
      <c r="J754" s="2" t="s">
        <v>2665</v>
      </c>
    </row>
    <row r="755">
      <c r="A755" s="1" t="s">
        <v>2666</v>
      </c>
      <c r="B755" s="1" t="s">
        <v>2492</v>
      </c>
      <c r="C755" s="1" t="s">
        <v>2667</v>
      </c>
      <c r="D755" s="2" t="s">
        <v>302</v>
      </c>
      <c r="E755" s="1" t="s">
        <v>80</v>
      </c>
      <c r="F755" s="1" t="s">
        <v>30</v>
      </c>
      <c r="G755" s="1" t="s">
        <v>177</v>
      </c>
      <c r="H755" s="1" t="s">
        <v>179</v>
      </c>
      <c r="I755" s="1" t="s">
        <v>97</v>
      </c>
      <c r="J755" s="2" t="s">
        <v>2668</v>
      </c>
    </row>
    <row r="756">
      <c r="A756" s="1" t="s">
        <v>2669</v>
      </c>
      <c r="B756" s="1" t="s">
        <v>2350</v>
      </c>
      <c r="C756" s="1" t="s">
        <v>2336</v>
      </c>
      <c r="D756" s="2" t="s">
        <v>1150</v>
      </c>
      <c r="E756" s="1" t="s">
        <v>80</v>
      </c>
      <c r="F756" s="1" t="s">
        <v>393</v>
      </c>
      <c r="G756" s="1" t="s">
        <v>1269</v>
      </c>
      <c r="H756" s="1" t="s">
        <v>477</v>
      </c>
      <c r="I756" s="1" t="s">
        <v>35</v>
      </c>
      <c r="J756" s="2" t="s">
        <v>2671</v>
      </c>
    </row>
    <row r="757">
      <c r="A757" s="1" t="s">
        <v>2672</v>
      </c>
      <c r="B757" s="1" t="s">
        <v>2507</v>
      </c>
      <c r="C757" s="1" t="s">
        <v>2217</v>
      </c>
      <c r="D757" s="2" t="s">
        <v>488</v>
      </c>
      <c r="E757" s="1" t="s">
        <v>1572</v>
      </c>
      <c r="F757" s="1" t="s">
        <v>256</v>
      </c>
      <c r="G757" s="1" t="s">
        <v>164</v>
      </c>
      <c r="H757" s="1" t="s">
        <v>346</v>
      </c>
      <c r="I757" s="1" t="s">
        <v>97</v>
      </c>
      <c r="J757" s="2" t="s">
        <v>2674</v>
      </c>
    </row>
    <row r="758">
      <c r="A758" s="1" t="s">
        <v>2675</v>
      </c>
      <c r="B758" s="1" t="s">
        <v>577</v>
      </c>
      <c r="C758" s="1" t="s">
        <v>2154</v>
      </c>
      <c r="D758" s="2" t="s">
        <v>236</v>
      </c>
      <c r="E758" s="1" t="s">
        <v>105</v>
      </c>
      <c r="F758" s="1" t="s">
        <v>376</v>
      </c>
      <c r="G758" s="1" t="s">
        <v>142</v>
      </c>
      <c r="H758" s="1" t="s">
        <v>527</v>
      </c>
      <c r="I758" s="1" t="s">
        <v>222</v>
      </c>
      <c r="J758" s="2" t="s">
        <v>2676</v>
      </c>
    </row>
    <row r="759">
      <c r="A759" s="1" t="s">
        <v>2677</v>
      </c>
      <c r="B759" s="1" t="s">
        <v>1237</v>
      </c>
      <c r="C759" s="1" t="s">
        <v>2145</v>
      </c>
      <c r="D759" s="2" t="s">
        <v>344</v>
      </c>
      <c r="E759" s="1" t="s">
        <v>45</v>
      </c>
      <c r="F759" s="1" t="s">
        <v>131</v>
      </c>
      <c r="G759" s="1" t="s">
        <v>132</v>
      </c>
      <c r="H759" s="1" t="s">
        <v>346</v>
      </c>
      <c r="I759" s="1" t="s">
        <v>222</v>
      </c>
      <c r="J759" s="2" t="s">
        <v>2679</v>
      </c>
    </row>
    <row r="760">
      <c r="A760" s="1" t="s">
        <v>2680</v>
      </c>
      <c r="B760" s="1" t="s">
        <v>2681</v>
      </c>
      <c r="C760" s="1" t="s">
        <v>2159</v>
      </c>
      <c r="D760" s="2" t="s">
        <v>302</v>
      </c>
      <c r="E760" s="1" t="s">
        <v>28</v>
      </c>
      <c r="F760" s="1" t="s">
        <v>393</v>
      </c>
      <c r="G760" s="1" t="s">
        <v>94</v>
      </c>
      <c r="H760" s="1" t="s">
        <v>165</v>
      </c>
      <c r="I760" s="1" t="s">
        <v>97</v>
      </c>
      <c r="J760" s="2" t="s">
        <v>2682</v>
      </c>
    </row>
    <row r="761">
      <c r="A761" s="1" t="s">
        <v>2683</v>
      </c>
      <c r="B761" s="1" t="s">
        <v>2126</v>
      </c>
      <c r="C761" s="1" t="s">
        <v>2684</v>
      </c>
      <c r="D761" s="2" t="s">
        <v>1231</v>
      </c>
      <c r="E761" s="1" t="s">
        <v>105</v>
      </c>
      <c r="F761" s="1" t="s">
        <v>176</v>
      </c>
      <c r="G761" s="1" t="s">
        <v>258</v>
      </c>
      <c r="H761" s="1" t="s">
        <v>304</v>
      </c>
      <c r="I761" s="1" t="s">
        <v>97</v>
      </c>
      <c r="J761" s="2" t="s">
        <v>2685</v>
      </c>
    </row>
    <row r="762">
      <c r="A762" s="1" t="s">
        <v>2687</v>
      </c>
      <c r="B762" s="1" t="s">
        <v>2072</v>
      </c>
      <c r="C762" s="1" t="s">
        <v>2667</v>
      </c>
      <c r="D762" s="2" t="s">
        <v>460</v>
      </c>
      <c r="E762" s="1" t="s">
        <v>105</v>
      </c>
      <c r="F762" s="1" t="s">
        <v>30</v>
      </c>
      <c r="G762" s="1" t="s">
        <v>439</v>
      </c>
      <c r="H762" s="1" t="s">
        <v>386</v>
      </c>
      <c r="I762" s="1" t="s">
        <v>97</v>
      </c>
      <c r="J762" s="2" t="s">
        <v>2688</v>
      </c>
    </row>
    <row r="763">
      <c r="A763" s="1" t="s">
        <v>2689</v>
      </c>
      <c r="B763" s="1" t="s">
        <v>577</v>
      </c>
      <c r="C763" s="1" t="s">
        <v>2336</v>
      </c>
      <c r="D763" s="2" t="s">
        <v>150</v>
      </c>
      <c r="E763" s="1" t="s">
        <v>45</v>
      </c>
      <c r="F763" s="1" t="s">
        <v>571</v>
      </c>
      <c r="G763" s="1" t="s">
        <v>408</v>
      </c>
      <c r="H763" s="1" t="s">
        <v>851</v>
      </c>
      <c r="I763" s="1" t="s">
        <v>97</v>
      </c>
      <c r="J763" s="2" t="s">
        <v>2691</v>
      </c>
    </row>
    <row r="764">
      <c r="A764" s="1" t="s">
        <v>2692</v>
      </c>
      <c r="B764" s="1" t="s">
        <v>2237</v>
      </c>
      <c r="C764" s="1" t="s">
        <v>2277</v>
      </c>
      <c r="D764" s="2" t="s">
        <v>667</v>
      </c>
      <c r="E764" s="1" t="s">
        <v>80</v>
      </c>
      <c r="F764" s="1" t="s">
        <v>364</v>
      </c>
      <c r="G764" s="1" t="s">
        <v>677</v>
      </c>
      <c r="H764" s="1" t="s">
        <v>124</v>
      </c>
      <c r="I764" s="1" t="s">
        <v>222</v>
      </c>
      <c r="J764" s="2" t="s">
        <v>2693</v>
      </c>
    </row>
    <row r="765">
      <c r="A765" s="1" t="s">
        <v>2694</v>
      </c>
      <c r="B765" s="1" t="s">
        <v>2326</v>
      </c>
      <c r="C765" s="1" t="s">
        <v>2416</v>
      </c>
      <c r="D765" s="2" t="s">
        <v>161</v>
      </c>
      <c r="E765" s="1" t="s">
        <v>28</v>
      </c>
      <c r="F765" s="1" t="s">
        <v>30</v>
      </c>
      <c r="G765" s="1" t="s">
        <v>642</v>
      </c>
      <c r="H765" s="1" t="s">
        <v>96</v>
      </c>
      <c r="I765" s="1" t="s">
        <v>222</v>
      </c>
      <c r="J765" s="2" t="s">
        <v>1669</v>
      </c>
    </row>
    <row r="766">
      <c r="A766" s="1" t="s">
        <v>2695</v>
      </c>
      <c r="B766" s="1" t="s">
        <v>2312</v>
      </c>
      <c r="C766" s="1" t="s">
        <v>2113</v>
      </c>
      <c r="D766" s="2" t="s">
        <v>655</v>
      </c>
      <c r="E766" s="1" t="s">
        <v>105</v>
      </c>
      <c r="F766" s="1" t="s">
        <v>237</v>
      </c>
      <c r="G766" s="1" t="s">
        <v>789</v>
      </c>
      <c r="H766" s="1" t="s">
        <v>165</v>
      </c>
      <c r="I766" s="1" t="s">
        <v>211</v>
      </c>
      <c r="J766" s="2" t="s">
        <v>2696</v>
      </c>
    </row>
    <row r="767">
      <c r="A767" s="1" t="s">
        <v>2697</v>
      </c>
      <c r="B767" s="1" t="s">
        <v>2077</v>
      </c>
      <c r="C767" s="1" t="s">
        <v>2226</v>
      </c>
      <c r="D767" s="2" t="s">
        <v>481</v>
      </c>
      <c r="E767" s="1" t="s">
        <v>45</v>
      </c>
      <c r="F767" s="1" t="s">
        <v>256</v>
      </c>
      <c r="G767" s="1" t="s">
        <v>482</v>
      </c>
      <c r="H767" s="1" t="s">
        <v>110</v>
      </c>
      <c r="I767" s="1" t="s">
        <v>35</v>
      </c>
      <c r="J767" s="2" t="s">
        <v>800</v>
      </c>
    </row>
    <row r="768">
      <c r="A768" s="1" t="s">
        <v>2698</v>
      </c>
      <c r="B768" s="1" t="s">
        <v>2134</v>
      </c>
      <c r="C768" s="1" t="s">
        <v>2377</v>
      </c>
      <c r="D768" s="2" t="s">
        <v>488</v>
      </c>
      <c r="E768" s="1" t="s">
        <v>28</v>
      </c>
      <c r="F768" s="1" t="s">
        <v>237</v>
      </c>
      <c r="G768" s="1" t="s">
        <v>249</v>
      </c>
      <c r="H768" s="1" t="s">
        <v>699</v>
      </c>
      <c r="I768" s="1" t="s">
        <v>97</v>
      </c>
      <c r="J768" s="2" t="s">
        <v>1720</v>
      </c>
    </row>
    <row r="769">
      <c r="A769" s="1" t="s">
        <v>2700</v>
      </c>
      <c r="B769" s="1" t="s">
        <v>536</v>
      </c>
      <c r="C769" s="1" t="s">
        <v>2368</v>
      </c>
      <c r="D769" s="2" t="s">
        <v>550</v>
      </c>
      <c r="E769" s="1" t="s">
        <v>1572</v>
      </c>
      <c r="F769" s="1" t="s">
        <v>176</v>
      </c>
      <c r="G769" s="1" t="s">
        <v>277</v>
      </c>
      <c r="H769" s="1" t="s">
        <v>319</v>
      </c>
      <c r="I769" s="1" t="s">
        <v>97</v>
      </c>
      <c r="J769" s="2" t="s">
        <v>2702</v>
      </c>
    </row>
    <row r="770">
      <c r="A770" s="1" t="s">
        <v>2703</v>
      </c>
      <c r="B770" s="1" t="s">
        <v>2281</v>
      </c>
      <c r="C770" s="1" t="s">
        <v>2167</v>
      </c>
      <c r="D770" s="2" t="s">
        <v>218</v>
      </c>
      <c r="E770" s="1" t="s">
        <v>28</v>
      </c>
      <c r="F770" s="1" t="s">
        <v>131</v>
      </c>
      <c r="G770" s="1" t="s">
        <v>249</v>
      </c>
      <c r="H770" s="1" t="s">
        <v>83</v>
      </c>
      <c r="I770" s="1" t="s">
        <v>52</v>
      </c>
      <c r="J770" s="2" t="s">
        <v>2704</v>
      </c>
    </row>
    <row r="771">
      <c r="A771" s="1" t="s">
        <v>2705</v>
      </c>
      <c r="B771" s="1" t="s">
        <v>2244</v>
      </c>
      <c r="C771" s="1" t="s">
        <v>2251</v>
      </c>
      <c r="D771" s="2" t="s">
        <v>481</v>
      </c>
      <c r="E771" s="1" t="s">
        <v>28</v>
      </c>
      <c r="F771" s="1" t="s">
        <v>30</v>
      </c>
      <c r="G771" s="1" t="s">
        <v>82</v>
      </c>
      <c r="H771" s="1" t="s">
        <v>34</v>
      </c>
      <c r="I771" s="1" t="s">
        <v>35</v>
      </c>
      <c r="J771" s="2" t="s">
        <v>2706</v>
      </c>
    </row>
    <row r="772">
      <c r="A772" s="1" t="s">
        <v>2707</v>
      </c>
      <c r="B772" s="1" t="s">
        <v>2517</v>
      </c>
      <c r="C772" s="1" t="s">
        <v>2194</v>
      </c>
      <c r="D772" s="2" t="s">
        <v>103</v>
      </c>
      <c r="E772" s="1" t="s">
        <v>80</v>
      </c>
      <c r="F772" s="1" t="s">
        <v>376</v>
      </c>
      <c r="G772" s="1" t="s">
        <v>874</v>
      </c>
      <c r="H772" s="1" t="s">
        <v>319</v>
      </c>
      <c r="I772" s="1" t="s">
        <v>97</v>
      </c>
      <c r="J772" s="2" t="s">
        <v>2550</v>
      </c>
    </row>
    <row r="773">
      <c r="A773" s="1" t="s">
        <v>2708</v>
      </c>
      <c r="B773" s="1" t="s">
        <v>1237</v>
      </c>
      <c r="C773" s="1" t="s">
        <v>159</v>
      </c>
      <c r="D773" s="2" t="s">
        <v>1013</v>
      </c>
      <c r="E773" s="1" t="s">
        <v>80</v>
      </c>
      <c r="F773" s="1" t="s">
        <v>309</v>
      </c>
      <c r="G773" s="1" t="s">
        <v>123</v>
      </c>
      <c r="H773" s="1" t="s">
        <v>699</v>
      </c>
      <c r="I773" s="1" t="s">
        <v>52</v>
      </c>
      <c r="J773" s="2" t="s">
        <v>1316</v>
      </c>
    </row>
    <row r="774">
      <c r="A774" s="1" t="s">
        <v>2710</v>
      </c>
      <c r="B774" s="1" t="s">
        <v>2471</v>
      </c>
      <c r="C774" s="1" t="s">
        <v>2368</v>
      </c>
      <c r="D774" s="2" t="s">
        <v>604</v>
      </c>
      <c r="E774" s="1" t="s">
        <v>45</v>
      </c>
      <c r="F774" s="1" t="s">
        <v>268</v>
      </c>
      <c r="G774" s="1" t="s">
        <v>642</v>
      </c>
      <c r="H774" s="1" t="s">
        <v>346</v>
      </c>
      <c r="I774" s="1" t="s">
        <v>222</v>
      </c>
      <c r="J774" s="2" t="s">
        <v>2711</v>
      </c>
    </row>
    <row r="775">
      <c r="A775" s="1" t="s">
        <v>2712</v>
      </c>
      <c r="B775" s="1" t="s">
        <v>2713</v>
      </c>
      <c r="C775" s="1" t="s">
        <v>629</v>
      </c>
      <c r="D775" s="2" t="s">
        <v>1343</v>
      </c>
      <c r="E775" s="1" t="s">
        <v>80</v>
      </c>
      <c r="F775" s="1" t="s">
        <v>64</v>
      </c>
      <c r="G775" s="1" t="s">
        <v>318</v>
      </c>
      <c r="H775" s="1" t="s">
        <v>279</v>
      </c>
      <c r="I775" s="1" t="s">
        <v>97</v>
      </c>
      <c r="J775" s="2" t="s">
        <v>2324</v>
      </c>
    </row>
    <row r="776">
      <c r="A776" s="1" t="s">
        <v>2715</v>
      </c>
      <c r="B776" s="1" t="s">
        <v>2123</v>
      </c>
      <c r="C776" s="1" t="s">
        <v>2203</v>
      </c>
      <c r="D776" s="2" t="s">
        <v>866</v>
      </c>
      <c r="E776" s="1" t="s">
        <v>1572</v>
      </c>
      <c r="F776" s="1" t="s">
        <v>176</v>
      </c>
      <c r="G776" s="1" t="s">
        <v>967</v>
      </c>
      <c r="H776" s="1" t="s">
        <v>179</v>
      </c>
      <c r="I776" s="1" t="s">
        <v>35</v>
      </c>
      <c r="J776" s="2" t="s">
        <v>2716</v>
      </c>
    </row>
    <row r="777">
      <c r="A777" s="1" t="s">
        <v>2717</v>
      </c>
      <c r="B777" s="1" t="s">
        <v>2641</v>
      </c>
      <c r="C777" s="1" t="s">
        <v>2203</v>
      </c>
      <c r="D777" s="2" t="s">
        <v>434</v>
      </c>
      <c r="E777" s="1" t="s">
        <v>1572</v>
      </c>
      <c r="F777" s="1" t="s">
        <v>256</v>
      </c>
      <c r="G777" s="1" t="s">
        <v>385</v>
      </c>
      <c r="H777" s="1" t="s">
        <v>210</v>
      </c>
      <c r="I777" s="1" t="s">
        <v>97</v>
      </c>
      <c r="J777" s="2" t="s">
        <v>2719</v>
      </c>
    </row>
    <row r="778">
      <c r="A778" s="1" t="s">
        <v>2720</v>
      </c>
      <c r="B778" s="1" t="s">
        <v>2721</v>
      </c>
      <c r="C778" s="1" t="s">
        <v>2277</v>
      </c>
      <c r="D778" s="2" t="s">
        <v>1150</v>
      </c>
      <c r="E778" s="1" t="s">
        <v>45</v>
      </c>
      <c r="F778" s="1" t="s">
        <v>47</v>
      </c>
      <c r="G778" s="1" t="s">
        <v>345</v>
      </c>
      <c r="H778" s="1" t="s">
        <v>402</v>
      </c>
      <c r="I778" s="1" t="s">
        <v>211</v>
      </c>
      <c r="J778" s="2" t="s">
        <v>2723</v>
      </c>
    </row>
    <row r="779">
      <c r="A779" s="1" t="s">
        <v>2724</v>
      </c>
      <c r="B779" s="1" t="s">
        <v>2296</v>
      </c>
      <c r="C779" s="1" t="s">
        <v>2416</v>
      </c>
      <c r="D779" s="2" t="s">
        <v>406</v>
      </c>
      <c r="E779" s="1" t="s">
        <v>152</v>
      </c>
      <c r="F779" s="1" t="s">
        <v>30</v>
      </c>
      <c r="G779" s="1" t="s">
        <v>867</v>
      </c>
      <c r="H779" s="1" t="s">
        <v>500</v>
      </c>
      <c r="I779" s="1" t="s">
        <v>97</v>
      </c>
      <c r="J779" s="2" t="s">
        <v>2725</v>
      </c>
    </row>
    <row r="780">
      <c r="A780" s="1" t="s">
        <v>2726</v>
      </c>
      <c r="B780" s="1" t="s">
        <v>2564</v>
      </c>
      <c r="C780" s="1" t="s">
        <v>128</v>
      </c>
      <c r="D780" s="2" t="s">
        <v>667</v>
      </c>
      <c r="E780" s="1" t="s">
        <v>28</v>
      </c>
      <c r="F780" s="1" t="s">
        <v>256</v>
      </c>
      <c r="G780" s="1" t="s">
        <v>482</v>
      </c>
      <c r="H780" s="1" t="s">
        <v>477</v>
      </c>
      <c r="I780" s="1" t="s">
        <v>35</v>
      </c>
      <c r="J780" s="2" t="s">
        <v>2728</v>
      </c>
    </row>
    <row r="781">
      <c r="A781" s="1" t="s">
        <v>2729</v>
      </c>
      <c r="B781" s="1" t="s">
        <v>2258</v>
      </c>
      <c r="C781" s="1" t="s">
        <v>2230</v>
      </c>
      <c r="D781" s="2" t="s">
        <v>777</v>
      </c>
      <c r="E781" s="1" t="s">
        <v>1572</v>
      </c>
      <c r="F781" s="1" t="s">
        <v>309</v>
      </c>
      <c r="G781" s="1" t="s">
        <v>164</v>
      </c>
      <c r="H781" s="1" t="s">
        <v>607</v>
      </c>
      <c r="I781" s="1" t="s">
        <v>211</v>
      </c>
      <c r="J781" s="2" t="s">
        <v>1692</v>
      </c>
    </row>
    <row r="782">
      <c r="A782" s="1" t="s">
        <v>2731</v>
      </c>
      <c r="B782" s="1" t="s">
        <v>2539</v>
      </c>
      <c r="C782" s="1" t="s">
        <v>2187</v>
      </c>
      <c r="D782" s="2" t="s">
        <v>460</v>
      </c>
      <c r="E782" s="1" t="s">
        <v>28</v>
      </c>
      <c r="F782" s="1" t="s">
        <v>47</v>
      </c>
      <c r="G782" s="1" t="s">
        <v>164</v>
      </c>
      <c r="H782" s="1" t="s">
        <v>286</v>
      </c>
      <c r="I782" s="1" t="s">
        <v>97</v>
      </c>
      <c r="J782" s="2" t="s">
        <v>2732</v>
      </c>
    </row>
    <row r="783">
      <c r="A783" s="1" t="s">
        <v>2734</v>
      </c>
      <c r="B783" s="1" t="s">
        <v>536</v>
      </c>
      <c r="C783" s="1" t="s">
        <v>556</v>
      </c>
      <c r="D783" s="2" t="s">
        <v>150</v>
      </c>
      <c r="E783" s="1" t="s">
        <v>1572</v>
      </c>
      <c r="F783" s="1" t="s">
        <v>64</v>
      </c>
      <c r="G783" s="1" t="s">
        <v>916</v>
      </c>
      <c r="H783" s="1" t="s">
        <v>319</v>
      </c>
      <c r="I783" s="1" t="s">
        <v>97</v>
      </c>
      <c r="J783" s="2" t="s">
        <v>2735</v>
      </c>
    </row>
    <row r="784">
      <c r="A784" s="1" t="s">
        <v>2736</v>
      </c>
      <c r="B784" s="1" t="s">
        <v>2475</v>
      </c>
      <c r="C784" s="1" t="s">
        <v>2313</v>
      </c>
      <c r="D784" s="2" t="s">
        <v>161</v>
      </c>
      <c r="E784" s="1" t="s">
        <v>152</v>
      </c>
      <c r="F784" s="1" t="s">
        <v>107</v>
      </c>
      <c r="G784" s="1" t="s">
        <v>164</v>
      </c>
      <c r="H784" s="1" t="s">
        <v>50</v>
      </c>
      <c r="I784" s="1" t="s">
        <v>211</v>
      </c>
      <c r="J784" s="2" t="s">
        <v>2738</v>
      </c>
    </row>
    <row r="785">
      <c r="A785" s="1" t="s">
        <v>2739</v>
      </c>
      <c r="B785" s="1" t="s">
        <v>2479</v>
      </c>
      <c r="C785" s="1" t="s">
        <v>2442</v>
      </c>
      <c r="D785" s="2" t="s">
        <v>1343</v>
      </c>
      <c r="E785" s="1" t="s">
        <v>45</v>
      </c>
      <c r="F785" s="1" t="s">
        <v>237</v>
      </c>
      <c r="G785" s="1" t="s">
        <v>439</v>
      </c>
      <c r="H785" s="1" t="s">
        <v>394</v>
      </c>
      <c r="I785" s="1" t="s">
        <v>97</v>
      </c>
      <c r="J785" s="2" t="s">
        <v>2742</v>
      </c>
    </row>
    <row r="786">
      <c r="A786" s="1" t="s">
        <v>2743</v>
      </c>
      <c r="B786" s="1" t="s">
        <v>983</v>
      </c>
      <c r="C786" s="1" t="s">
        <v>2416</v>
      </c>
      <c r="D786" s="2" t="s">
        <v>445</v>
      </c>
      <c r="E786" s="1" t="s">
        <v>1572</v>
      </c>
      <c r="F786" s="1" t="s">
        <v>30</v>
      </c>
      <c r="G786" s="1" t="s">
        <v>277</v>
      </c>
      <c r="H786" s="1" t="s">
        <v>319</v>
      </c>
      <c r="I786" s="1" t="s">
        <v>97</v>
      </c>
      <c r="J786" s="2" t="s">
        <v>2745</v>
      </c>
    </row>
    <row r="787">
      <c r="A787" s="1" t="s">
        <v>2746</v>
      </c>
      <c r="B787" s="1" t="s">
        <v>2099</v>
      </c>
      <c r="C787" s="1" t="s">
        <v>2135</v>
      </c>
      <c r="D787" s="2" t="s">
        <v>185</v>
      </c>
      <c r="E787" s="1" t="s">
        <v>45</v>
      </c>
      <c r="F787" s="1" t="s">
        <v>256</v>
      </c>
      <c r="G787" s="1" t="s">
        <v>132</v>
      </c>
      <c r="H787" s="1" t="s">
        <v>165</v>
      </c>
      <c r="I787" s="1" t="s">
        <v>97</v>
      </c>
      <c r="J787" s="2" t="s">
        <v>782</v>
      </c>
    </row>
    <row r="788">
      <c r="A788" s="1" t="s">
        <v>2747</v>
      </c>
      <c r="B788" s="1" t="s">
        <v>2086</v>
      </c>
      <c r="C788" s="1" t="s">
        <v>25</v>
      </c>
      <c r="D788" s="2" t="s">
        <v>383</v>
      </c>
      <c r="E788" s="1" t="s">
        <v>1572</v>
      </c>
      <c r="F788" s="1" t="s">
        <v>107</v>
      </c>
      <c r="G788" s="1" t="s">
        <v>642</v>
      </c>
      <c r="H788" s="1" t="s">
        <v>96</v>
      </c>
      <c r="I788" s="1" t="s">
        <v>211</v>
      </c>
      <c r="J788" s="2" t="s">
        <v>2749</v>
      </c>
    </row>
    <row r="789">
      <c r="A789" s="1" t="s">
        <v>2750</v>
      </c>
      <c r="B789" s="1" t="s">
        <v>2153</v>
      </c>
      <c r="C789" s="1" t="s">
        <v>2624</v>
      </c>
      <c r="D789" s="2" t="s">
        <v>344</v>
      </c>
      <c r="E789" s="1" t="s">
        <v>28</v>
      </c>
      <c r="F789" s="1" t="s">
        <v>47</v>
      </c>
      <c r="G789" s="1" t="s">
        <v>132</v>
      </c>
      <c r="H789" s="1" t="s">
        <v>96</v>
      </c>
      <c r="I789" s="1" t="s">
        <v>35</v>
      </c>
      <c r="J789" s="2" t="s">
        <v>2751</v>
      </c>
    </row>
    <row r="790">
      <c r="A790" s="1" t="s">
        <v>2752</v>
      </c>
      <c r="B790" s="1" t="s">
        <v>2103</v>
      </c>
      <c r="C790" s="1" t="s">
        <v>2753</v>
      </c>
      <c r="D790" s="2" t="s">
        <v>655</v>
      </c>
      <c r="E790" s="1" t="s">
        <v>105</v>
      </c>
      <c r="F790" s="1" t="s">
        <v>107</v>
      </c>
      <c r="G790" s="1" t="s">
        <v>642</v>
      </c>
      <c r="H790" s="1" t="s">
        <v>346</v>
      </c>
      <c r="I790" s="1" t="s">
        <v>211</v>
      </c>
      <c r="J790" s="2" t="s">
        <v>2754</v>
      </c>
    </row>
    <row r="791">
      <c r="A791" s="1" t="s">
        <v>2755</v>
      </c>
      <c r="B791" s="1" t="s">
        <v>2281</v>
      </c>
      <c r="C791" s="1" t="s">
        <v>2299</v>
      </c>
      <c r="D791" s="2" t="s">
        <v>336</v>
      </c>
      <c r="E791" s="1" t="s">
        <v>152</v>
      </c>
      <c r="F791" s="1" t="s">
        <v>237</v>
      </c>
      <c r="G791" s="1" t="s">
        <v>269</v>
      </c>
      <c r="H791" s="1" t="s">
        <v>452</v>
      </c>
      <c r="I791" s="1" t="s">
        <v>97</v>
      </c>
      <c r="J791" s="2" t="s">
        <v>2756</v>
      </c>
    </row>
    <row r="792">
      <c r="A792" s="1" t="s">
        <v>2757</v>
      </c>
      <c r="B792" s="1" t="s">
        <v>2758</v>
      </c>
      <c r="C792" s="1" t="s">
        <v>2351</v>
      </c>
      <c r="D792" s="2" t="s">
        <v>92</v>
      </c>
      <c r="E792" s="1" t="s">
        <v>45</v>
      </c>
      <c r="F792" s="1" t="s">
        <v>237</v>
      </c>
      <c r="G792" s="1" t="s">
        <v>789</v>
      </c>
      <c r="H792" s="1" t="s">
        <v>165</v>
      </c>
      <c r="I792" s="1" t="s">
        <v>35</v>
      </c>
      <c r="J792" s="2" t="s">
        <v>2759</v>
      </c>
    </row>
    <row r="793">
      <c r="A793" s="1" t="s">
        <v>2760</v>
      </c>
      <c r="B793" s="1" t="s">
        <v>577</v>
      </c>
      <c r="C793" s="1" t="s">
        <v>2761</v>
      </c>
      <c r="D793" s="2" t="s">
        <v>509</v>
      </c>
      <c r="E793" s="1" t="s">
        <v>80</v>
      </c>
      <c r="F793" s="1" t="s">
        <v>47</v>
      </c>
      <c r="G793" s="1" t="s">
        <v>408</v>
      </c>
      <c r="H793" s="1" t="s">
        <v>359</v>
      </c>
      <c r="I793" s="1" t="s">
        <v>222</v>
      </c>
      <c r="J793" s="2" t="s">
        <v>2762</v>
      </c>
    </row>
    <row r="794">
      <c r="A794" s="1" t="s">
        <v>2763</v>
      </c>
      <c r="B794" s="1" t="s">
        <v>2198</v>
      </c>
      <c r="C794" s="1" t="s">
        <v>2753</v>
      </c>
      <c r="D794" s="2" t="s">
        <v>78</v>
      </c>
      <c r="E794" s="1" t="s">
        <v>28</v>
      </c>
      <c r="F794" s="1" t="s">
        <v>47</v>
      </c>
      <c r="G794" s="1" t="s">
        <v>439</v>
      </c>
      <c r="H794" s="1" t="s">
        <v>386</v>
      </c>
      <c r="I794" s="1" t="s">
        <v>211</v>
      </c>
      <c r="J794" s="2" t="s">
        <v>2765</v>
      </c>
    </row>
    <row r="795">
      <c r="A795" s="1" t="s">
        <v>2766</v>
      </c>
      <c r="B795" s="1" t="s">
        <v>323</v>
      </c>
      <c r="C795" s="1" t="s">
        <v>2486</v>
      </c>
      <c r="D795" s="2" t="s">
        <v>317</v>
      </c>
      <c r="E795" s="1" t="s">
        <v>45</v>
      </c>
      <c r="F795" s="1" t="s">
        <v>47</v>
      </c>
      <c r="G795" s="1" t="s">
        <v>277</v>
      </c>
      <c r="H795" s="1" t="s">
        <v>279</v>
      </c>
      <c r="I795" s="1" t="s">
        <v>97</v>
      </c>
      <c r="J795" s="2" t="s">
        <v>2768</v>
      </c>
    </row>
    <row r="796">
      <c r="A796" s="1" t="s">
        <v>2769</v>
      </c>
      <c r="B796" s="1" t="s">
        <v>1143</v>
      </c>
      <c r="C796" s="1" t="s">
        <v>1187</v>
      </c>
      <c r="D796" s="2" t="s">
        <v>878</v>
      </c>
      <c r="E796" s="1" t="s">
        <v>1572</v>
      </c>
      <c r="F796" s="1" t="s">
        <v>571</v>
      </c>
      <c r="G796" s="1" t="s">
        <v>608</v>
      </c>
      <c r="H796" s="1" t="s">
        <v>143</v>
      </c>
      <c r="I796" s="1" t="s">
        <v>35</v>
      </c>
      <c r="J796" s="2" t="s">
        <v>2770</v>
      </c>
    </row>
    <row r="797">
      <c r="A797" s="1" t="s">
        <v>2771</v>
      </c>
      <c r="B797" s="1" t="s">
        <v>2428</v>
      </c>
      <c r="C797" s="1" t="s">
        <v>2351</v>
      </c>
      <c r="D797" s="2" t="s">
        <v>738</v>
      </c>
      <c r="E797" s="1" t="s">
        <v>28</v>
      </c>
      <c r="F797" s="1" t="s">
        <v>539</v>
      </c>
      <c r="G797" s="1" t="s">
        <v>572</v>
      </c>
      <c r="H797" s="1" t="s">
        <v>124</v>
      </c>
      <c r="I797" s="1" t="s">
        <v>222</v>
      </c>
      <c r="J797" s="2" t="s">
        <v>2773</v>
      </c>
    </row>
    <row r="798">
      <c r="A798" s="1" t="s">
        <v>2774</v>
      </c>
      <c r="B798" s="1" t="s">
        <v>2193</v>
      </c>
      <c r="C798" s="1" t="s">
        <v>2303</v>
      </c>
      <c r="D798" s="2" t="s">
        <v>667</v>
      </c>
      <c r="E798" s="1" t="s">
        <v>28</v>
      </c>
      <c r="F798" s="1" t="s">
        <v>237</v>
      </c>
      <c r="G798" s="1" t="s">
        <v>977</v>
      </c>
      <c r="H798" s="1" t="s">
        <v>394</v>
      </c>
      <c r="I798" s="1" t="s">
        <v>222</v>
      </c>
      <c r="J798" s="2" t="s">
        <v>1599</v>
      </c>
    </row>
    <row r="799">
      <c r="A799" s="1" t="s">
        <v>2776</v>
      </c>
      <c r="B799" s="1" t="s">
        <v>2225</v>
      </c>
      <c r="C799" s="1" t="s">
        <v>2667</v>
      </c>
      <c r="D799" s="2" t="s">
        <v>714</v>
      </c>
      <c r="E799" s="1" t="s">
        <v>80</v>
      </c>
      <c r="F799" s="1" t="s">
        <v>401</v>
      </c>
      <c r="G799" s="1" t="s">
        <v>249</v>
      </c>
      <c r="H799" s="1" t="s">
        <v>34</v>
      </c>
      <c r="I799" s="1" t="s">
        <v>222</v>
      </c>
      <c r="J799" s="2" t="s">
        <v>2451</v>
      </c>
    </row>
    <row r="800">
      <c r="A800" s="1" t="s">
        <v>2777</v>
      </c>
      <c r="B800" s="1" t="s">
        <v>2183</v>
      </c>
      <c r="C800" s="1" t="s">
        <v>2684</v>
      </c>
      <c r="D800" s="2" t="s">
        <v>521</v>
      </c>
      <c r="E800" s="1" t="s">
        <v>152</v>
      </c>
      <c r="F800" s="1" t="s">
        <v>47</v>
      </c>
      <c r="G800" s="1" t="s">
        <v>583</v>
      </c>
      <c r="H800" s="1" t="s">
        <v>319</v>
      </c>
      <c r="I800" s="1" t="s">
        <v>222</v>
      </c>
      <c r="J800" s="2" t="s">
        <v>2778</v>
      </c>
    </row>
    <row r="801">
      <c r="A801" s="1" t="s">
        <v>2779</v>
      </c>
      <c r="B801" s="1" t="s">
        <v>2780</v>
      </c>
      <c r="C801" s="1" t="s">
        <v>2179</v>
      </c>
      <c r="D801" s="2" t="s">
        <v>604</v>
      </c>
      <c r="E801" s="1" t="s">
        <v>80</v>
      </c>
      <c r="F801" s="1" t="s">
        <v>107</v>
      </c>
      <c r="G801" s="1" t="s">
        <v>1269</v>
      </c>
      <c r="H801" s="1" t="s">
        <v>477</v>
      </c>
      <c r="I801" s="1" t="s">
        <v>222</v>
      </c>
      <c r="J801" s="2" t="s">
        <v>2781</v>
      </c>
    </row>
    <row r="802">
      <c r="A802" s="1" t="s">
        <v>2783</v>
      </c>
      <c r="B802" s="1" t="s">
        <v>2479</v>
      </c>
      <c r="C802" s="1" t="s">
        <v>2217</v>
      </c>
      <c r="D802" s="2" t="s">
        <v>139</v>
      </c>
      <c r="E802" s="1" t="s">
        <v>28</v>
      </c>
      <c r="F802" s="1" t="s">
        <v>47</v>
      </c>
      <c r="G802" s="1" t="s">
        <v>1269</v>
      </c>
      <c r="H802" s="1" t="s">
        <v>179</v>
      </c>
      <c r="I802" s="1" t="s">
        <v>97</v>
      </c>
      <c r="J802" s="2" t="s">
        <v>2784</v>
      </c>
    </row>
    <row r="803">
      <c r="A803" s="1" t="s">
        <v>2785</v>
      </c>
      <c r="B803" s="1" t="s">
        <v>2410</v>
      </c>
      <c r="C803" s="1" t="s">
        <v>2435</v>
      </c>
      <c r="D803" s="2" t="s">
        <v>353</v>
      </c>
      <c r="E803" s="1" t="s">
        <v>1572</v>
      </c>
      <c r="F803" s="1" t="s">
        <v>64</v>
      </c>
      <c r="G803" s="1" t="s">
        <v>1188</v>
      </c>
      <c r="H803" s="1" t="s">
        <v>500</v>
      </c>
      <c r="I803" s="1" t="s">
        <v>211</v>
      </c>
      <c r="J803" s="2" t="s">
        <v>748</v>
      </c>
    </row>
    <row r="804">
      <c r="A804" s="1" t="s">
        <v>2787</v>
      </c>
      <c r="B804" s="1" t="s">
        <v>2108</v>
      </c>
      <c r="C804" s="1" t="s">
        <v>2332</v>
      </c>
      <c r="D804" s="2" t="s">
        <v>655</v>
      </c>
      <c r="E804" s="1" t="s">
        <v>28</v>
      </c>
      <c r="F804" s="1" t="s">
        <v>539</v>
      </c>
      <c r="G804" s="1" t="s">
        <v>238</v>
      </c>
      <c r="H804" s="1" t="s">
        <v>240</v>
      </c>
      <c r="I804" s="1" t="s">
        <v>35</v>
      </c>
      <c r="J804" s="2" t="s">
        <v>2788</v>
      </c>
    </row>
    <row r="805">
      <c r="A805" s="1" t="s">
        <v>2789</v>
      </c>
      <c r="B805" s="1" t="s">
        <v>2363</v>
      </c>
      <c r="C805" s="1" t="s">
        <v>2429</v>
      </c>
      <c r="D805" s="2" t="s">
        <v>392</v>
      </c>
      <c r="E805" s="1" t="s">
        <v>105</v>
      </c>
      <c r="F805" s="1" t="s">
        <v>268</v>
      </c>
      <c r="G805" s="1" t="s">
        <v>583</v>
      </c>
      <c r="H805" s="1" t="s">
        <v>346</v>
      </c>
      <c r="I805" s="1" t="s">
        <v>222</v>
      </c>
      <c r="J805" s="2" t="s">
        <v>2791</v>
      </c>
    </row>
    <row r="806">
      <c r="A806" s="1" t="s">
        <v>2792</v>
      </c>
      <c r="B806" s="1" t="s">
        <v>2193</v>
      </c>
      <c r="C806" s="1" t="s">
        <v>128</v>
      </c>
      <c r="D806" s="2" t="s">
        <v>336</v>
      </c>
      <c r="E806" s="1" t="s">
        <v>105</v>
      </c>
      <c r="F806" s="1" t="s">
        <v>176</v>
      </c>
      <c r="G806" s="1" t="s">
        <v>188</v>
      </c>
      <c r="H806" s="1" t="s">
        <v>210</v>
      </c>
      <c r="I806" s="1" t="s">
        <v>97</v>
      </c>
      <c r="J806" s="2" t="s">
        <v>2794</v>
      </c>
    </row>
    <row r="807">
      <c r="A807" s="1" t="s">
        <v>2795</v>
      </c>
      <c r="B807" s="1" t="s">
        <v>983</v>
      </c>
      <c r="C807" s="1" t="s">
        <v>556</v>
      </c>
      <c r="D807" s="2" t="s">
        <v>714</v>
      </c>
      <c r="E807" s="1" t="s">
        <v>152</v>
      </c>
      <c r="F807" s="1" t="s">
        <v>364</v>
      </c>
      <c r="G807" s="1" t="s">
        <v>164</v>
      </c>
      <c r="H807" s="1" t="s">
        <v>452</v>
      </c>
      <c r="I807" s="1" t="s">
        <v>222</v>
      </c>
      <c r="J807" s="2" t="s">
        <v>2796</v>
      </c>
    </row>
    <row r="808">
      <c r="A808" s="1" t="s">
        <v>2797</v>
      </c>
      <c r="B808" s="1" t="s">
        <v>2548</v>
      </c>
      <c r="C808" s="1" t="s">
        <v>2087</v>
      </c>
      <c r="D808" s="2" t="s">
        <v>255</v>
      </c>
      <c r="E808" s="1" t="s">
        <v>1572</v>
      </c>
      <c r="F808" s="1" t="s">
        <v>107</v>
      </c>
      <c r="G808" s="1" t="s">
        <v>94</v>
      </c>
      <c r="H808" s="1" t="s">
        <v>165</v>
      </c>
      <c r="I808" s="1" t="s">
        <v>97</v>
      </c>
      <c r="J808" s="2" t="s">
        <v>2799</v>
      </c>
    </row>
    <row r="809">
      <c r="A809" s="1" t="s">
        <v>2800</v>
      </c>
      <c r="B809" s="1" t="s">
        <v>827</v>
      </c>
      <c r="C809" s="1" t="s">
        <v>2266</v>
      </c>
      <c r="D809" s="2" t="s">
        <v>667</v>
      </c>
      <c r="E809" s="1" t="s">
        <v>1572</v>
      </c>
      <c r="F809" s="1" t="s">
        <v>30</v>
      </c>
      <c r="G809" s="1" t="s">
        <v>94</v>
      </c>
      <c r="H809" s="1" t="s">
        <v>143</v>
      </c>
      <c r="I809" s="1" t="s">
        <v>222</v>
      </c>
      <c r="J809" s="2" t="s">
        <v>491</v>
      </c>
    </row>
    <row r="810">
      <c r="A810" s="1" t="s">
        <v>2801</v>
      </c>
      <c r="B810" s="1" t="s">
        <v>1237</v>
      </c>
      <c r="C810" s="1" t="s">
        <v>2332</v>
      </c>
      <c r="D810" s="2" t="s">
        <v>392</v>
      </c>
      <c r="E810" s="1" t="s">
        <v>1572</v>
      </c>
      <c r="F810" s="1" t="s">
        <v>571</v>
      </c>
      <c r="G810" s="1" t="s">
        <v>408</v>
      </c>
      <c r="H810" s="1" t="s">
        <v>221</v>
      </c>
      <c r="I810" s="1" t="s">
        <v>211</v>
      </c>
      <c r="J810" s="2" t="s">
        <v>2802</v>
      </c>
    </row>
    <row r="811">
      <c r="A811" s="1" t="s">
        <v>2803</v>
      </c>
      <c r="B811" s="1" t="s">
        <v>2410</v>
      </c>
      <c r="C811" s="1" t="s">
        <v>2371</v>
      </c>
      <c r="D811" s="2" t="s">
        <v>733</v>
      </c>
      <c r="E811" s="1" t="s">
        <v>28</v>
      </c>
      <c r="F811" s="1" t="s">
        <v>759</v>
      </c>
      <c r="G811" s="1" t="s">
        <v>436</v>
      </c>
      <c r="H811" s="1" t="s">
        <v>359</v>
      </c>
      <c r="I811" s="1" t="s">
        <v>52</v>
      </c>
      <c r="J811" s="2" t="s">
        <v>2805</v>
      </c>
    </row>
    <row r="812">
      <c r="A812" s="1" t="s">
        <v>2806</v>
      </c>
      <c r="B812" s="1" t="s">
        <v>1583</v>
      </c>
      <c r="C812" s="1" t="s">
        <v>2368</v>
      </c>
      <c r="D812" s="2" t="s">
        <v>481</v>
      </c>
      <c r="E812" s="1" t="s">
        <v>80</v>
      </c>
      <c r="F812" s="1" t="s">
        <v>47</v>
      </c>
      <c r="G812" s="1" t="s">
        <v>94</v>
      </c>
      <c r="H812" s="1" t="s">
        <v>96</v>
      </c>
      <c r="I812" s="1" t="s">
        <v>211</v>
      </c>
      <c r="J812" s="2" t="s">
        <v>2808</v>
      </c>
    </row>
    <row r="813">
      <c r="A813" s="1" t="s">
        <v>2809</v>
      </c>
      <c r="B813" s="1" t="s">
        <v>1583</v>
      </c>
      <c r="C813" s="1" t="s">
        <v>2217</v>
      </c>
      <c r="D813" s="2" t="s">
        <v>1180</v>
      </c>
      <c r="E813" s="1" t="s">
        <v>80</v>
      </c>
      <c r="F813" s="1" t="s">
        <v>256</v>
      </c>
      <c r="G813" s="1" t="s">
        <v>612</v>
      </c>
      <c r="H813" s="1" t="s">
        <v>691</v>
      </c>
      <c r="I813" s="1" t="s">
        <v>35</v>
      </c>
      <c r="J813" s="2" t="s">
        <v>2810</v>
      </c>
    </row>
    <row r="814">
      <c r="A814" s="1" t="s">
        <v>2811</v>
      </c>
      <c r="B814" s="1" t="s">
        <v>2291</v>
      </c>
      <c r="C814" s="1" t="s">
        <v>2127</v>
      </c>
      <c r="D814" s="2" t="s">
        <v>509</v>
      </c>
      <c r="E814" s="1" t="s">
        <v>1572</v>
      </c>
      <c r="F814" s="1" t="s">
        <v>208</v>
      </c>
      <c r="G814" s="1" t="s">
        <v>385</v>
      </c>
      <c r="H814" s="1" t="s">
        <v>210</v>
      </c>
      <c r="I814" s="1" t="s">
        <v>52</v>
      </c>
      <c r="J814" s="2" t="s">
        <v>2813</v>
      </c>
    </row>
    <row r="815">
      <c r="A815" s="1" t="s">
        <v>2814</v>
      </c>
      <c r="B815" s="1" t="s">
        <v>2350</v>
      </c>
      <c r="C815" s="1" t="s">
        <v>2486</v>
      </c>
      <c r="D815" s="2" t="s">
        <v>139</v>
      </c>
      <c r="E815" s="1" t="s">
        <v>105</v>
      </c>
      <c r="F815" s="1" t="s">
        <v>47</v>
      </c>
      <c r="G815" s="1" t="s">
        <v>132</v>
      </c>
      <c r="H815" s="1" t="s">
        <v>165</v>
      </c>
      <c r="I815" s="1" t="s">
        <v>97</v>
      </c>
      <c r="J815" s="2" t="s">
        <v>2815</v>
      </c>
    </row>
    <row r="816">
      <c r="A816" s="1" t="s">
        <v>2817</v>
      </c>
      <c r="B816" s="1" t="s">
        <v>2250</v>
      </c>
      <c r="C816" s="1" t="s">
        <v>128</v>
      </c>
      <c r="D816" s="2" t="s">
        <v>26</v>
      </c>
      <c r="E816" s="1" t="s">
        <v>105</v>
      </c>
      <c r="F816" s="1" t="s">
        <v>237</v>
      </c>
      <c r="G816" s="1" t="s">
        <v>345</v>
      </c>
      <c r="H816" s="1" t="s">
        <v>346</v>
      </c>
      <c r="I816" s="1" t="s">
        <v>222</v>
      </c>
      <c r="J816" s="2" t="s">
        <v>2818</v>
      </c>
    </row>
    <row r="817">
      <c r="A817" s="1" t="s">
        <v>2819</v>
      </c>
      <c r="B817" s="1" t="s">
        <v>2008</v>
      </c>
      <c r="C817" s="1" t="s">
        <v>2405</v>
      </c>
      <c r="D817" s="2" t="s">
        <v>63</v>
      </c>
      <c r="E817" s="1" t="s">
        <v>45</v>
      </c>
      <c r="F817" s="1" t="s">
        <v>237</v>
      </c>
      <c r="G817" s="1" t="s">
        <v>867</v>
      </c>
      <c r="H817" s="1" t="s">
        <v>500</v>
      </c>
      <c r="I817" s="1" t="s">
        <v>35</v>
      </c>
      <c r="J817" s="2" t="s">
        <v>2821</v>
      </c>
    </row>
    <row r="818">
      <c r="A818" s="1" t="s">
        <v>2822</v>
      </c>
      <c r="B818" s="1" t="s">
        <v>2086</v>
      </c>
      <c r="C818" s="1" t="s">
        <v>2217</v>
      </c>
      <c r="D818" s="2" t="s">
        <v>1442</v>
      </c>
      <c r="E818" s="1" t="s">
        <v>28</v>
      </c>
      <c r="F818" s="1" t="s">
        <v>47</v>
      </c>
      <c r="G818" s="1" t="s">
        <v>470</v>
      </c>
      <c r="H818" s="1" t="s">
        <v>592</v>
      </c>
      <c r="I818" s="1" t="s">
        <v>97</v>
      </c>
      <c r="J818" s="2" t="s">
        <v>2279</v>
      </c>
    </row>
    <row r="819">
      <c r="A819" s="1" t="s">
        <v>2823</v>
      </c>
      <c r="B819" s="1" t="s">
        <v>620</v>
      </c>
      <c r="C819" s="1" t="s">
        <v>2824</v>
      </c>
      <c r="D819" s="2" t="s">
        <v>266</v>
      </c>
      <c r="E819" s="1" t="s">
        <v>1572</v>
      </c>
      <c r="F819" s="1" t="s">
        <v>364</v>
      </c>
      <c r="G819" s="1" t="s">
        <v>642</v>
      </c>
      <c r="H819" s="1" t="s">
        <v>546</v>
      </c>
      <c r="I819" s="1" t="s">
        <v>97</v>
      </c>
      <c r="J819" s="2" t="s">
        <v>1566</v>
      </c>
    </row>
    <row r="820">
      <c r="A820" s="1" t="s">
        <v>2826</v>
      </c>
      <c r="B820" s="1" t="s">
        <v>2758</v>
      </c>
      <c r="C820" s="1" t="s">
        <v>2336</v>
      </c>
      <c r="D820" s="2" t="s">
        <v>325</v>
      </c>
      <c r="E820" s="1" t="s">
        <v>105</v>
      </c>
      <c r="F820" s="1" t="s">
        <v>571</v>
      </c>
      <c r="G820" s="1" t="s">
        <v>333</v>
      </c>
      <c r="H820" s="1" t="s">
        <v>271</v>
      </c>
      <c r="I820" s="1" t="s">
        <v>52</v>
      </c>
      <c r="J820" s="2" t="s">
        <v>2828</v>
      </c>
    </row>
    <row r="821">
      <c r="A821" s="1" t="s">
        <v>2829</v>
      </c>
      <c r="B821" s="1" t="s">
        <v>2326</v>
      </c>
      <c r="C821" s="1" t="s">
        <v>2179</v>
      </c>
      <c r="D821" s="2" t="s">
        <v>336</v>
      </c>
      <c r="E821" s="1" t="s">
        <v>152</v>
      </c>
      <c r="F821" s="1" t="s">
        <v>571</v>
      </c>
      <c r="G821" s="1" t="s">
        <v>511</v>
      </c>
      <c r="H821" s="1" t="s">
        <v>260</v>
      </c>
      <c r="I821" s="1" t="s">
        <v>97</v>
      </c>
      <c r="J821" s="2" t="s">
        <v>2830</v>
      </c>
    </row>
    <row r="822">
      <c r="A822" s="1" t="s">
        <v>2831</v>
      </c>
      <c r="B822" s="1" t="s">
        <v>2206</v>
      </c>
      <c r="C822" s="1" t="s">
        <v>2145</v>
      </c>
      <c r="D822" s="2" t="s">
        <v>229</v>
      </c>
      <c r="E822" s="1" t="s">
        <v>45</v>
      </c>
      <c r="F822" s="1" t="s">
        <v>64</v>
      </c>
      <c r="G822" s="1" t="s">
        <v>583</v>
      </c>
      <c r="H822" s="1" t="s">
        <v>197</v>
      </c>
      <c r="I822" s="1" t="s">
        <v>97</v>
      </c>
      <c r="J822" s="2" t="s">
        <v>2648</v>
      </c>
    </row>
    <row r="823">
      <c r="A823" s="1" t="s">
        <v>2833</v>
      </c>
      <c r="B823" s="1" t="s">
        <v>2618</v>
      </c>
      <c r="C823" s="1" t="s">
        <v>2187</v>
      </c>
      <c r="D823" s="2" t="s">
        <v>509</v>
      </c>
      <c r="E823" s="1" t="s">
        <v>152</v>
      </c>
      <c r="F823" s="1" t="s">
        <v>107</v>
      </c>
      <c r="G823" s="1" t="s">
        <v>551</v>
      </c>
      <c r="H823" s="1" t="s">
        <v>34</v>
      </c>
      <c r="I823" s="1" t="s">
        <v>35</v>
      </c>
      <c r="J823" s="2" t="s">
        <v>2834</v>
      </c>
    </row>
    <row r="824">
      <c r="A824" s="1" t="s">
        <v>2835</v>
      </c>
      <c r="B824" s="1" t="s">
        <v>2123</v>
      </c>
      <c r="C824" s="1" t="s">
        <v>713</v>
      </c>
      <c r="D824" s="2" t="s">
        <v>460</v>
      </c>
      <c r="E824" s="1" t="s">
        <v>152</v>
      </c>
      <c r="F824" s="1" t="s">
        <v>208</v>
      </c>
      <c r="G824" s="1" t="s">
        <v>188</v>
      </c>
      <c r="H824" s="1" t="s">
        <v>386</v>
      </c>
      <c r="I824" s="1" t="s">
        <v>97</v>
      </c>
      <c r="J824" s="2" t="s">
        <v>2836</v>
      </c>
    </row>
    <row r="825">
      <c r="A825" s="1" t="s">
        <v>2837</v>
      </c>
      <c r="B825" s="1" t="s">
        <v>925</v>
      </c>
      <c r="C825" s="1" t="s">
        <v>2163</v>
      </c>
      <c r="D825" s="2" t="s">
        <v>1487</v>
      </c>
      <c r="E825" s="1" t="s">
        <v>45</v>
      </c>
      <c r="F825" s="1" t="s">
        <v>47</v>
      </c>
      <c r="G825" s="1" t="s">
        <v>377</v>
      </c>
      <c r="H825" s="1" t="s">
        <v>319</v>
      </c>
      <c r="I825" s="1" t="s">
        <v>211</v>
      </c>
      <c r="J825" s="2" t="s">
        <v>1079</v>
      </c>
    </row>
    <row r="826">
      <c r="A826" s="1" t="s">
        <v>2838</v>
      </c>
      <c r="B826" s="1" t="s">
        <v>2681</v>
      </c>
      <c r="C826" s="1" t="s">
        <v>2154</v>
      </c>
      <c r="D826" s="2" t="s">
        <v>185</v>
      </c>
      <c r="E826" s="1" t="s">
        <v>105</v>
      </c>
      <c r="F826" s="1" t="s">
        <v>364</v>
      </c>
      <c r="G826" s="1" t="s">
        <v>511</v>
      </c>
      <c r="H826" s="1" t="s">
        <v>304</v>
      </c>
      <c r="I826" s="1" t="s">
        <v>97</v>
      </c>
      <c r="J826" s="2" t="s">
        <v>821</v>
      </c>
    </row>
    <row r="827">
      <c r="A827" s="1" t="s">
        <v>2840</v>
      </c>
      <c r="B827" s="1" t="s">
        <v>2455</v>
      </c>
      <c r="C827" s="1" t="s">
        <v>2203</v>
      </c>
      <c r="D827" s="2" t="s">
        <v>392</v>
      </c>
      <c r="E827" s="1" t="s">
        <v>80</v>
      </c>
      <c r="F827" s="1" t="s">
        <v>256</v>
      </c>
      <c r="G827" s="1" t="s">
        <v>132</v>
      </c>
      <c r="H827" s="1" t="s">
        <v>452</v>
      </c>
      <c r="I827" s="1" t="s">
        <v>52</v>
      </c>
      <c r="J827" s="2" t="s">
        <v>2842</v>
      </c>
    </row>
    <row r="828">
      <c r="A828" s="1" t="s">
        <v>1034</v>
      </c>
      <c r="B828" s="1" t="s">
        <v>171</v>
      </c>
      <c r="C828" s="1" t="s">
        <v>1035</v>
      </c>
      <c r="D828" s="2" t="s">
        <v>873</v>
      </c>
      <c r="E828" s="1" t="s">
        <v>152</v>
      </c>
      <c r="F828" s="1" t="s">
        <v>30</v>
      </c>
      <c r="G828" s="1" t="s">
        <v>66</v>
      </c>
      <c r="H828" s="1" t="s">
        <v>231</v>
      </c>
      <c r="I828" s="1" t="s">
        <v>222</v>
      </c>
      <c r="J828" s="2" t="s">
        <v>1037</v>
      </c>
    </row>
    <row r="829">
      <c r="A829" s="1" t="s">
        <v>1591</v>
      </c>
      <c r="B829" s="1" t="s">
        <v>343</v>
      </c>
      <c r="C829" s="1" t="s">
        <v>137</v>
      </c>
      <c r="E829" s="1" t="s">
        <v>152</v>
      </c>
      <c r="F829" s="1" t="s">
        <v>47</v>
      </c>
      <c r="G829" s="1" t="s">
        <v>1592</v>
      </c>
      <c r="H829" s="1" t="s">
        <v>34</v>
      </c>
      <c r="I829" s="1" t="s">
        <v>52</v>
      </c>
      <c r="J829" s="2" t="s">
        <v>1593</v>
      </c>
    </row>
    <row r="830">
      <c r="A830" s="1" t="s">
        <v>2265</v>
      </c>
      <c r="B830" s="1" t="s">
        <v>2134</v>
      </c>
      <c r="C830" s="1" t="s">
        <v>2266</v>
      </c>
      <c r="D830" s="2" t="s">
        <v>325</v>
      </c>
      <c r="E830" s="1" t="s">
        <v>1572</v>
      </c>
      <c r="F830" s="1" t="s">
        <v>131</v>
      </c>
      <c r="G830" s="1" t="s">
        <v>418</v>
      </c>
      <c r="H830" s="1" t="s">
        <v>189</v>
      </c>
      <c r="I830" s="1" t="s">
        <v>35</v>
      </c>
      <c r="J830" s="2" t="s">
        <v>2267</v>
      </c>
    </row>
    <row r="831">
      <c r="A831" s="1" t="s">
        <v>2603</v>
      </c>
      <c r="B831" s="1" t="s">
        <v>2072</v>
      </c>
      <c r="C831" s="1" t="s">
        <v>316</v>
      </c>
      <c r="D831" s="2" t="s">
        <v>1180</v>
      </c>
      <c r="E831" s="1" t="s">
        <v>45</v>
      </c>
      <c r="F831" s="1" t="s">
        <v>64</v>
      </c>
      <c r="G831" s="1" t="s">
        <v>572</v>
      </c>
      <c r="H831" s="1" t="s">
        <v>124</v>
      </c>
      <c r="I831" s="1" t="s">
        <v>211</v>
      </c>
      <c r="J831" s="2" t="s">
        <v>2604</v>
      </c>
    </row>
    <row r="832">
      <c r="A832" s="1" t="s">
        <v>2353</v>
      </c>
      <c r="B832" s="1" t="s">
        <v>2258</v>
      </c>
      <c r="C832" s="1" t="s">
        <v>324</v>
      </c>
      <c r="D832" s="2" t="s">
        <v>122</v>
      </c>
      <c r="E832" s="1" t="s">
        <v>152</v>
      </c>
      <c r="F832" s="1" t="s">
        <v>47</v>
      </c>
      <c r="G832" s="1" t="s">
        <v>462</v>
      </c>
      <c r="H832" s="1" t="s">
        <v>67</v>
      </c>
      <c r="I832" s="1" t="s">
        <v>222</v>
      </c>
      <c r="J832" s="2" t="s">
        <v>2355</v>
      </c>
    </row>
    <row r="833">
      <c r="A833" s="1" t="s">
        <v>2481</v>
      </c>
      <c r="B833" s="1" t="s">
        <v>1788</v>
      </c>
      <c r="C833" s="1" t="s">
        <v>2368</v>
      </c>
      <c r="D833" s="2" t="s">
        <v>488</v>
      </c>
      <c r="E833" s="1" t="s">
        <v>105</v>
      </c>
      <c r="F833" s="1" t="s">
        <v>141</v>
      </c>
      <c r="G833" s="1" t="s">
        <v>345</v>
      </c>
      <c r="H833" s="1" t="s">
        <v>279</v>
      </c>
      <c r="I833" s="1" t="s">
        <v>97</v>
      </c>
      <c r="J833" s="2" t="s">
        <v>2482</v>
      </c>
    </row>
    <row r="834">
      <c r="A834" s="1" t="s">
        <v>1444</v>
      </c>
      <c r="B834" s="1" t="s">
        <v>620</v>
      </c>
      <c r="C834" s="1" t="s">
        <v>148</v>
      </c>
      <c r="D834" s="2" t="s">
        <v>1091</v>
      </c>
      <c r="E834" s="1" t="s">
        <v>45</v>
      </c>
      <c r="F834" s="1" t="s">
        <v>571</v>
      </c>
      <c r="G834" s="1" t="s">
        <v>164</v>
      </c>
      <c r="H834" s="1" t="s">
        <v>50</v>
      </c>
      <c r="I834" s="1" t="s">
        <v>52</v>
      </c>
      <c r="J834" s="2" t="s">
        <v>1446</v>
      </c>
    </row>
    <row r="835">
      <c r="A835" s="1" t="s">
        <v>2444</v>
      </c>
      <c r="B835" s="1" t="s">
        <v>2312</v>
      </c>
      <c r="C835" s="1" t="s">
        <v>2104</v>
      </c>
      <c r="D835" s="2" t="s">
        <v>429</v>
      </c>
      <c r="E835" s="1" t="s">
        <v>28</v>
      </c>
      <c r="F835" s="1" t="s">
        <v>47</v>
      </c>
      <c r="G835" s="1" t="s">
        <v>576</v>
      </c>
      <c r="H835" s="1" t="s">
        <v>286</v>
      </c>
      <c r="I835" s="1" t="s">
        <v>52</v>
      </c>
      <c r="J835" s="2" t="s">
        <v>2445</v>
      </c>
    </row>
    <row r="836">
      <c r="A836" s="1" t="s">
        <v>1597</v>
      </c>
      <c r="B836" s="1" t="s">
        <v>1598</v>
      </c>
      <c r="C836" s="1" t="s">
        <v>374</v>
      </c>
      <c r="D836" s="2" t="s">
        <v>429</v>
      </c>
      <c r="E836" s="1" t="s">
        <v>105</v>
      </c>
      <c r="F836" s="1" t="s">
        <v>571</v>
      </c>
      <c r="G836" s="1" t="s">
        <v>164</v>
      </c>
      <c r="H836" s="1" t="s">
        <v>592</v>
      </c>
      <c r="I836" s="1" t="s">
        <v>211</v>
      </c>
      <c r="J836" s="2" t="s">
        <v>1599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4.0"/>
    <col customWidth="1" min="3" max="3" width="16.88"/>
    <col customWidth="1" min="4" max="4" width="19.75"/>
    <col customWidth="1" min="5" max="5" width="13.88"/>
    <col customWidth="1" min="6" max="6" width="16.75"/>
    <col customWidth="1" min="7" max="7" width="19.63"/>
    <col customWidth="1" min="9" max="9" width="11.25"/>
    <col customWidth="1" min="10" max="10" width="14.13"/>
    <col customWidth="1" min="11" max="11" width="14.5"/>
    <col customWidth="1" min="12" max="12" width="20.25"/>
    <col customWidth="1" min="14" max="14" width="13.75"/>
    <col customWidth="1" min="15" max="15" width="16.63"/>
    <col customWidth="1" min="17" max="17" width="19.38"/>
    <col customWidth="1" min="18" max="18" width="21.75"/>
    <col customWidth="1" min="19" max="19" width="19.63"/>
    <col customWidth="1" min="20" max="20" width="23.5"/>
    <col customWidth="1" min="21" max="21" width="23.25"/>
    <col customWidth="1" min="22" max="22" width="26.13"/>
  </cols>
  <sheetData>
    <row r="1" ht="22.5" customHeight="1">
      <c r="A1" s="3" t="s">
        <v>0</v>
      </c>
      <c r="B1" s="3" t="s">
        <v>2</v>
      </c>
      <c r="C1" s="3" t="s">
        <v>442</v>
      </c>
      <c r="D1" s="3" t="s">
        <v>447</v>
      </c>
      <c r="E1" s="3" t="s">
        <v>4</v>
      </c>
      <c r="F1" s="3" t="s">
        <v>459</v>
      </c>
      <c r="G1" s="4" t="s">
        <v>466</v>
      </c>
      <c r="H1" s="3" t="s">
        <v>6</v>
      </c>
      <c r="I1" s="4" t="s">
        <v>476</v>
      </c>
      <c r="J1" s="4" t="s">
        <v>480</v>
      </c>
      <c r="K1" s="4" t="s">
        <v>453</v>
      </c>
      <c r="L1" s="4" t="s">
        <v>492</v>
      </c>
      <c r="M1" s="3" t="s">
        <v>8</v>
      </c>
      <c r="N1" s="4" t="s">
        <v>504</v>
      </c>
      <c r="O1" s="4" t="s">
        <v>510</v>
      </c>
      <c r="P1" s="3" t="s">
        <v>11</v>
      </c>
      <c r="Q1" s="3" t="s">
        <v>13</v>
      </c>
      <c r="R1" s="3" t="s">
        <v>15</v>
      </c>
      <c r="S1" s="3" t="s">
        <v>18</v>
      </c>
      <c r="T1" s="3" t="s">
        <v>20</v>
      </c>
      <c r="U1" s="7" t="s">
        <v>537</v>
      </c>
      <c r="V1" s="7" t="s">
        <v>544</v>
      </c>
    </row>
    <row r="2" ht="22.5" customHeight="1">
      <c r="A2" s="5" t="s">
        <v>21</v>
      </c>
      <c r="B2" s="5" t="s">
        <v>24</v>
      </c>
      <c r="C2" s="5" t="str">
        <f t="shared" ref="C2:C806" si="1">PROPER(TRIM(B2))</f>
        <v>Charlotte</v>
      </c>
      <c r="D2" s="5" t="s">
        <v>24</v>
      </c>
      <c r="E2" s="5" t="s">
        <v>25</v>
      </c>
      <c r="F2" s="5" t="str">
        <f t="shared" ref="F2:F806" si="2">PROPER(TRIM(E2))</f>
        <v>Garcia</v>
      </c>
      <c r="G2" s="5" t="s">
        <v>25</v>
      </c>
      <c r="H2" s="6">
        <v>32.0</v>
      </c>
      <c r="I2" s="6">
        <f t="shared" ref="I2:I806" si="3">ABS(FLOOR(H2,1))</f>
        <v>32</v>
      </c>
      <c r="J2" s="6">
        <v>32.0</v>
      </c>
      <c r="K2" s="6" t="str">
        <f t="shared" ref="K2:K806" si="4">IF(J2&gt;90,"Unknown",IF(J2&gt;60, "Senior",IF(J2&gt;40,"Middle Age",IF(J2&gt;=18,"Young Adult",IF(J2&gt;0,"Adolescence",IF(J2=0,"Unknown",""))))))</f>
        <v>Young Adult</v>
      </c>
      <c r="L2" s="6" t="s">
        <v>528</v>
      </c>
      <c r="M2" s="5" t="s">
        <v>28</v>
      </c>
      <c r="N2" s="5" t="str">
        <f t="shared" ref="N2:N806" si="5">PROPER(TRIM(M2))</f>
        <v>Female</v>
      </c>
      <c r="O2" s="5" t="s">
        <v>105</v>
      </c>
      <c r="P2" s="5" t="s">
        <v>30</v>
      </c>
      <c r="Q2" s="5" t="s">
        <v>32</v>
      </c>
      <c r="R2" s="5" t="s">
        <v>83</v>
      </c>
      <c r="S2" s="5" t="s">
        <v>559</v>
      </c>
      <c r="T2" s="6">
        <v>1804.0</v>
      </c>
      <c r="U2" s="5">
        <f t="shared" ref="U2:U806" si="6">ABS(FLOOR(T2,1))</f>
        <v>1804</v>
      </c>
      <c r="V2" s="5">
        <v>1804.0</v>
      </c>
    </row>
    <row r="3" ht="22.5" customHeight="1">
      <c r="A3" s="5" t="s">
        <v>40</v>
      </c>
      <c r="B3" s="5" t="s">
        <v>41</v>
      </c>
      <c r="C3" s="5" t="str">
        <f t="shared" si="1"/>
        <v>Rebecca</v>
      </c>
      <c r="D3" s="5" t="s">
        <v>577</v>
      </c>
      <c r="E3" s="5" t="s">
        <v>42</v>
      </c>
      <c r="F3" s="5" t="str">
        <f t="shared" si="2"/>
        <v>Lopez</v>
      </c>
      <c r="G3" s="5" t="s">
        <v>42</v>
      </c>
      <c r="H3" s="6">
        <v>45.0</v>
      </c>
      <c r="I3" s="6">
        <f t="shared" si="3"/>
        <v>45</v>
      </c>
      <c r="J3" s="6">
        <v>45.0</v>
      </c>
      <c r="K3" s="6" t="str">
        <f t="shared" si="4"/>
        <v>Middle Age</v>
      </c>
      <c r="L3" s="6" t="s">
        <v>591</v>
      </c>
      <c r="M3" s="5" t="s">
        <v>45</v>
      </c>
      <c r="N3" s="5" t="str">
        <f t="shared" si="5"/>
        <v>Female</v>
      </c>
      <c r="O3" s="5" t="s">
        <v>105</v>
      </c>
      <c r="P3" s="5" t="s">
        <v>47</v>
      </c>
      <c r="Q3" s="5" t="s">
        <v>576</v>
      </c>
      <c r="R3" s="5" t="s">
        <v>607</v>
      </c>
      <c r="S3" s="5" t="s">
        <v>52</v>
      </c>
      <c r="T3" s="6">
        <v>2858.0</v>
      </c>
      <c r="U3" s="5">
        <f t="shared" si="6"/>
        <v>2858</v>
      </c>
      <c r="V3" s="5">
        <v>2858.0</v>
      </c>
    </row>
    <row r="4" ht="22.5" customHeight="1">
      <c r="A4" s="5" t="s">
        <v>57</v>
      </c>
      <c r="B4" s="5" t="s">
        <v>59</v>
      </c>
      <c r="C4" s="5" t="str">
        <f t="shared" si="1"/>
        <v>Mary</v>
      </c>
      <c r="D4" s="5" t="s">
        <v>625</v>
      </c>
      <c r="E4" s="5" t="s">
        <v>61</v>
      </c>
      <c r="F4" s="5" t="str">
        <f t="shared" si="2"/>
        <v>Lee</v>
      </c>
      <c r="G4" s="5" t="s">
        <v>301</v>
      </c>
      <c r="H4" s="6">
        <v>50.0</v>
      </c>
      <c r="I4" s="6">
        <f t="shared" si="3"/>
        <v>50</v>
      </c>
      <c r="J4" s="6">
        <v>50.0</v>
      </c>
      <c r="K4" s="6" t="str">
        <f t="shared" si="4"/>
        <v>Middle Age</v>
      </c>
      <c r="L4" s="6" t="s">
        <v>591</v>
      </c>
      <c r="M4" s="5" t="s">
        <v>45</v>
      </c>
      <c r="N4" s="5" t="str">
        <f t="shared" si="5"/>
        <v>Female</v>
      </c>
      <c r="O4" s="5" t="s">
        <v>105</v>
      </c>
      <c r="P4" s="5" t="s">
        <v>64</v>
      </c>
      <c r="Q4" s="5" t="s">
        <v>669</v>
      </c>
      <c r="R4" s="5" t="s">
        <v>452</v>
      </c>
      <c r="S4" s="5" t="s">
        <v>52</v>
      </c>
      <c r="T4" s="6">
        <v>2524.0</v>
      </c>
      <c r="U4" s="5">
        <f t="shared" si="6"/>
        <v>2524</v>
      </c>
      <c r="V4" s="5">
        <v>2524.0</v>
      </c>
    </row>
    <row r="5" ht="22.5" customHeight="1">
      <c r="A5" s="5" t="s">
        <v>72</v>
      </c>
      <c r="B5" s="5" t="s">
        <v>74</v>
      </c>
      <c r="C5" s="5" t="str">
        <f t="shared" si="1"/>
        <v>Harry</v>
      </c>
      <c r="D5" s="5" t="s">
        <v>689</v>
      </c>
      <c r="E5" s="5" t="s">
        <v>76</v>
      </c>
      <c r="F5" s="5" t="str">
        <f t="shared" si="2"/>
        <v>Brown</v>
      </c>
      <c r="G5" s="5" t="s">
        <v>76</v>
      </c>
      <c r="H5" s="6">
        <v>-21.0</v>
      </c>
      <c r="I5" s="6">
        <f t="shared" si="3"/>
        <v>21</v>
      </c>
      <c r="J5" s="6">
        <v>21.0</v>
      </c>
      <c r="K5" s="6" t="str">
        <f t="shared" si="4"/>
        <v>Young Adult</v>
      </c>
      <c r="L5" s="6" t="s">
        <v>528</v>
      </c>
      <c r="M5" s="5" t="s">
        <v>80</v>
      </c>
      <c r="N5" s="5" t="str">
        <f t="shared" si="5"/>
        <v>Male</v>
      </c>
      <c r="O5" s="5" t="s">
        <v>152</v>
      </c>
      <c r="P5" s="5" t="s">
        <v>81</v>
      </c>
      <c r="Q5" s="5" t="s">
        <v>32</v>
      </c>
      <c r="R5" s="5" t="s">
        <v>83</v>
      </c>
      <c r="S5" s="5" t="s">
        <v>52</v>
      </c>
      <c r="T5" s="6">
        <v>2429.0</v>
      </c>
      <c r="U5" s="5">
        <f t="shared" si="6"/>
        <v>2429</v>
      </c>
      <c r="V5" s="5">
        <v>2429.0</v>
      </c>
    </row>
    <row r="6" ht="22.5" customHeight="1">
      <c r="A6" s="5" t="s">
        <v>87</v>
      </c>
      <c r="B6" s="5" t="s">
        <v>89</v>
      </c>
      <c r="C6" s="5" t="str">
        <f t="shared" si="1"/>
        <v>Wendy</v>
      </c>
      <c r="D6" s="5" t="s">
        <v>89</v>
      </c>
      <c r="E6" s="5" t="s">
        <v>90</v>
      </c>
      <c r="F6" s="5" t="str">
        <f t="shared" si="2"/>
        <v>Davis</v>
      </c>
      <c r="G6" s="5" t="s">
        <v>90</v>
      </c>
      <c r="H6" s="6">
        <v>63.0</v>
      </c>
      <c r="I6" s="6">
        <f t="shared" si="3"/>
        <v>63</v>
      </c>
      <c r="J6" s="6">
        <v>63.0</v>
      </c>
      <c r="K6" s="6" t="str">
        <f t="shared" si="4"/>
        <v>Senior</v>
      </c>
      <c r="L6" s="6" t="s">
        <v>734</v>
      </c>
      <c r="M6" s="5" t="s">
        <v>28</v>
      </c>
      <c r="N6" s="5" t="str">
        <f t="shared" si="5"/>
        <v>Female</v>
      </c>
      <c r="O6" s="5" t="s">
        <v>105</v>
      </c>
      <c r="P6" s="5" t="s">
        <v>64</v>
      </c>
      <c r="Q6" s="5" t="s">
        <v>164</v>
      </c>
      <c r="R6" s="5" t="s">
        <v>96</v>
      </c>
      <c r="S6" s="5" t="s">
        <v>97</v>
      </c>
      <c r="T6" s="6">
        <v>1269.0</v>
      </c>
      <c r="U6" s="5">
        <f t="shared" si="6"/>
        <v>1269</v>
      </c>
      <c r="V6" s="5">
        <v>1269.0</v>
      </c>
    </row>
    <row r="7" ht="22.5" customHeight="1">
      <c r="A7" s="5" t="s">
        <v>99</v>
      </c>
      <c r="B7" s="5" t="s">
        <v>100</v>
      </c>
      <c r="C7" s="5" t="str">
        <f t="shared" si="1"/>
        <v>Nancy</v>
      </c>
      <c r="D7" s="5" t="s">
        <v>764</v>
      </c>
      <c r="E7" s="5" t="s">
        <v>101</v>
      </c>
      <c r="F7" s="5" t="str">
        <f t="shared" si="2"/>
        <v>Ferguson</v>
      </c>
      <c r="G7" s="5" t="s">
        <v>101</v>
      </c>
      <c r="H7" s="6">
        <v>69.0</v>
      </c>
      <c r="I7" s="6">
        <f t="shared" si="3"/>
        <v>69</v>
      </c>
      <c r="J7" s="6">
        <v>69.0</v>
      </c>
      <c r="K7" s="6" t="str">
        <f t="shared" si="4"/>
        <v>Senior</v>
      </c>
      <c r="L7" s="6" t="s">
        <v>734</v>
      </c>
      <c r="M7" s="5" t="s">
        <v>105</v>
      </c>
      <c r="N7" s="5" t="str">
        <f t="shared" si="5"/>
        <v>Female</v>
      </c>
      <c r="O7" s="5" t="s">
        <v>105</v>
      </c>
      <c r="P7" s="5" t="s">
        <v>107</v>
      </c>
      <c r="Q7" s="5" t="s">
        <v>482</v>
      </c>
      <c r="R7" s="5" t="s">
        <v>179</v>
      </c>
      <c r="S7" s="5" t="s">
        <v>97</v>
      </c>
      <c r="T7" s="6">
        <v>3839.0</v>
      </c>
      <c r="U7" s="5">
        <f t="shared" si="6"/>
        <v>3839</v>
      </c>
      <c r="V7" s="5">
        <v>3839.0</v>
      </c>
    </row>
    <row r="8" ht="22.5" customHeight="1">
      <c r="A8" s="5" t="s">
        <v>119</v>
      </c>
      <c r="B8" s="5" t="s">
        <v>120</v>
      </c>
      <c r="C8" s="5" t="str">
        <f t="shared" si="1"/>
        <v>Claire</v>
      </c>
      <c r="D8" s="5" t="s">
        <v>802</v>
      </c>
      <c r="E8" s="5" t="s">
        <v>121</v>
      </c>
      <c r="F8" s="5" t="str">
        <f t="shared" si="2"/>
        <v>Chan</v>
      </c>
      <c r="G8" s="5" t="s">
        <v>806</v>
      </c>
      <c r="H8" s="6">
        <v>48.0</v>
      </c>
      <c r="I8" s="6">
        <f t="shared" si="3"/>
        <v>48</v>
      </c>
      <c r="J8" s="6">
        <v>48.0</v>
      </c>
      <c r="K8" s="6" t="str">
        <f t="shared" si="4"/>
        <v>Middle Age</v>
      </c>
      <c r="L8" s="6" t="s">
        <v>591</v>
      </c>
      <c r="M8" s="5" t="s">
        <v>28</v>
      </c>
      <c r="N8" s="5" t="str">
        <f t="shared" si="5"/>
        <v>Female</v>
      </c>
      <c r="O8" s="5" t="s">
        <v>105</v>
      </c>
      <c r="P8" s="5" t="s">
        <v>107</v>
      </c>
      <c r="Q8" s="5" t="s">
        <v>123</v>
      </c>
      <c r="R8" s="5" t="s">
        <v>83</v>
      </c>
      <c r="S8" s="5" t="s">
        <v>52</v>
      </c>
      <c r="T8" s="6">
        <v>1819.0</v>
      </c>
      <c r="U8" s="5">
        <f t="shared" si="6"/>
        <v>1819</v>
      </c>
      <c r="V8" s="5">
        <v>1819.0</v>
      </c>
    </row>
    <row r="9" ht="22.5" customHeight="1">
      <c r="A9" s="5" t="s">
        <v>126</v>
      </c>
      <c r="B9" s="5" t="s">
        <v>127</v>
      </c>
      <c r="C9" s="5" t="str">
        <f t="shared" si="1"/>
        <v>John</v>
      </c>
      <c r="D9" s="5" t="s">
        <v>127</v>
      </c>
      <c r="E9" s="5" t="s">
        <v>128</v>
      </c>
      <c r="F9" s="5" t="str">
        <f t="shared" si="2"/>
        <v>Rodriguez</v>
      </c>
      <c r="G9" s="5" t="s">
        <v>128</v>
      </c>
      <c r="H9" s="6">
        <v>65.0</v>
      </c>
      <c r="I9" s="6">
        <f t="shared" si="3"/>
        <v>65</v>
      </c>
      <c r="J9" s="6">
        <v>65.0</v>
      </c>
      <c r="K9" s="6" t="str">
        <f t="shared" si="4"/>
        <v>Senior</v>
      </c>
      <c r="L9" s="6" t="s">
        <v>734</v>
      </c>
      <c r="M9" s="5" t="s">
        <v>130</v>
      </c>
      <c r="N9" s="5" t="str">
        <f t="shared" si="5"/>
        <v>Male</v>
      </c>
      <c r="O9" s="5" t="s">
        <v>152</v>
      </c>
      <c r="P9" s="5" t="s">
        <v>131</v>
      </c>
      <c r="Q9" s="5" t="s">
        <v>164</v>
      </c>
      <c r="R9" s="5" t="s">
        <v>452</v>
      </c>
      <c r="S9" s="5" t="s">
        <v>97</v>
      </c>
      <c r="T9" s="6">
        <v>3827.0</v>
      </c>
      <c r="U9" s="5">
        <f t="shared" si="6"/>
        <v>3827</v>
      </c>
      <c r="V9" s="5">
        <v>3827.0</v>
      </c>
    </row>
    <row r="10" ht="22.5" customHeight="1">
      <c r="A10" s="5" t="s">
        <v>134</v>
      </c>
      <c r="B10" s="5" t="s">
        <v>136</v>
      </c>
      <c r="C10" s="5" t="str">
        <f t="shared" si="1"/>
        <v>Alice</v>
      </c>
      <c r="D10" s="5" t="s">
        <v>136</v>
      </c>
      <c r="E10" s="5" t="s">
        <v>137</v>
      </c>
      <c r="F10" s="5" t="str">
        <f t="shared" si="2"/>
        <v>Ng</v>
      </c>
      <c r="G10" s="5" t="s">
        <v>515</v>
      </c>
      <c r="H10" s="6">
        <v>68.0</v>
      </c>
      <c r="I10" s="6">
        <f t="shared" si="3"/>
        <v>68</v>
      </c>
      <c r="J10" s="6">
        <v>68.0</v>
      </c>
      <c r="K10" s="6" t="str">
        <f t="shared" si="4"/>
        <v>Senior</v>
      </c>
      <c r="L10" s="6" t="s">
        <v>734</v>
      </c>
      <c r="M10" s="5" t="s">
        <v>45</v>
      </c>
      <c r="N10" s="5" t="str">
        <f t="shared" si="5"/>
        <v>Female</v>
      </c>
      <c r="O10" s="5" t="s">
        <v>105</v>
      </c>
      <c r="P10" s="5" t="s">
        <v>141</v>
      </c>
      <c r="Q10" s="5" t="s">
        <v>470</v>
      </c>
      <c r="R10" s="5" t="s">
        <v>96</v>
      </c>
      <c r="S10" s="5" t="s">
        <v>97</v>
      </c>
      <c r="T10" s="6">
        <v>454.0</v>
      </c>
      <c r="U10" s="5">
        <f t="shared" si="6"/>
        <v>454</v>
      </c>
      <c r="V10" s="5">
        <v>454.0</v>
      </c>
    </row>
    <row r="11" ht="22.5" customHeight="1">
      <c r="A11" s="5" t="s">
        <v>145</v>
      </c>
      <c r="B11" s="5" t="s">
        <v>147</v>
      </c>
      <c r="C11" s="5" t="str">
        <f t="shared" si="1"/>
        <v>Greg</v>
      </c>
      <c r="D11" s="5" t="s">
        <v>147</v>
      </c>
      <c r="E11" s="5" t="s">
        <v>148</v>
      </c>
      <c r="F11" s="5" t="str">
        <f t="shared" si="2"/>
        <v>Johnson</v>
      </c>
      <c r="G11" s="5" t="s">
        <v>148</v>
      </c>
      <c r="H11" s="6">
        <v>71.0</v>
      </c>
      <c r="I11" s="6">
        <f t="shared" si="3"/>
        <v>71</v>
      </c>
      <c r="J11" s="6">
        <v>71.0</v>
      </c>
      <c r="K11" s="6" t="str">
        <f t="shared" si="4"/>
        <v>Senior</v>
      </c>
      <c r="L11" s="6" t="s">
        <v>734</v>
      </c>
      <c r="M11" s="5" t="s">
        <v>152</v>
      </c>
      <c r="N11" s="5" t="str">
        <f t="shared" si="5"/>
        <v>Male</v>
      </c>
      <c r="O11" s="5" t="s">
        <v>152</v>
      </c>
      <c r="P11" s="5" t="s">
        <v>81</v>
      </c>
      <c r="Q11" s="5" t="s">
        <v>482</v>
      </c>
      <c r="R11" s="5" t="s">
        <v>179</v>
      </c>
      <c r="S11" s="5" t="s">
        <v>97</v>
      </c>
      <c r="T11" s="6">
        <v>4437.0</v>
      </c>
      <c r="U11" s="5">
        <f t="shared" si="6"/>
        <v>4437</v>
      </c>
      <c r="V11" s="5">
        <v>4437.0</v>
      </c>
    </row>
    <row r="12" ht="22.5" customHeight="1">
      <c r="A12" s="5" t="s">
        <v>156</v>
      </c>
      <c r="B12" s="5" t="s">
        <v>158</v>
      </c>
      <c r="C12" s="5" t="str">
        <f t="shared" si="1"/>
        <v>Eva</v>
      </c>
      <c r="D12" s="5" t="s">
        <v>158</v>
      </c>
      <c r="E12" s="5" t="s">
        <v>159</v>
      </c>
      <c r="F12" s="5" t="str">
        <f t="shared" si="2"/>
        <v>Young</v>
      </c>
      <c r="G12" s="5" t="s">
        <v>159</v>
      </c>
      <c r="H12" s="6">
        <v>56.0</v>
      </c>
      <c r="I12" s="6">
        <f t="shared" si="3"/>
        <v>56</v>
      </c>
      <c r="J12" s="6">
        <v>56.0</v>
      </c>
      <c r="K12" s="6" t="str">
        <f t="shared" si="4"/>
        <v>Middle Age</v>
      </c>
      <c r="L12" s="6" t="s">
        <v>591</v>
      </c>
      <c r="M12" s="5" t="s">
        <v>45</v>
      </c>
      <c r="N12" s="5" t="str">
        <f t="shared" si="5"/>
        <v>Female</v>
      </c>
      <c r="O12" s="5" t="s">
        <v>105</v>
      </c>
      <c r="P12" s="5" t="s">
        <v>47</v>
      </c>
      <c r="Q12" s="5" t="s">
        <v>164</v>
      </c>
      <c r="R12" s="5" t="s">
        <v>607</v>
      </c>
      <c r="S12" s="5" t="s">
        <v>559</v>
      </c>
      <c r="T12" s="6">
        <v>2421.0</v>
      </c>
      <c r="U12" s="5">
        <f t="shared" si="6"/>
        <v>2421</v>
      </c>
      <c r="V12" s="5">
        <v>2421.0</v>
      </c>
    </row>
    <row r="13" ht="22.5" customHeight="1">
      <c r="A13" s="5" t="s">
        <v>169</v>
      </c>
      <c r="B13" s="5" t="s">
        <v>171</v>
      </c>
      <c r="C13" s="5" t="str">
        <f t="shared" si="1"/>
        <v>Frank</v>
      </c>
      <c r="D13" s="5" t="s">
        <v>171</v>
      </c>
      <c r="E13" s="5" t="s">
        <v>172</v>
      </c>
      <c r="F13" s="5" t="str">
        <f t="shared" si="2"/>
        <v>Little</v>
      </c>
      <c r="G13" s="5" t="s">
        <v>172</v>
      </c>
      <c r="H13" s="6">
        <v>73.0</v>
      </c>
      <c r="I13" s="6">
        <f t="shared" si="3"/>
        <v>73</v>
      </c>
      <c r="J13" s="6">
        <v>73.0</v>
      </c>
      <c r="K13" s="6" t="str">
        <f t="shared" si="4"/>
        <v>Senior</v>
      </c>
      <c r="L13" s="6" t="s">
        <v>734</v>
      </c>
      <c r="M13" s="5" t="s">
        <v>130</v>
      </c>
      <c r="N13" s="5" t="str">
        <f t="shared" si="5"/>
        <v>Male</v>
      </c>
      <c r="O13" s="5" t="s">
        <v>152</v>
      </c>
      <c r="P13" s="5" t="s">
        <v>176</v>
      </c>
      <c r="Q13" s="5" t="s">
        <v>470</v>
      </c>
      <c r="R13" s="5" t="s">
        <v>179</v>
      </c>
      <c r="S13" s="5" t="s">
        <v>97</v>
      </c>
      <c r="T13" s="6">
        <v>3557.0</v>
      </c>
      <c r="U13" s="5">
        <f t="shared" si="6"/>
        <v>3557</v>
      </c>
      <c r="V13" s="5">
        <v>3557.0</v>
      </c>
    </row>
    <row r="14" ht="22.5" customHeight="1">
      <c r="A14" s="5" t="s">
        <v>182</v>
      </c>
      <c r="B14" s="5" t="s">
        <v>183</v>
      </c>
      <c r="C14" s="5" t="str">
        <f t="shared" si="1"/>
        <v>Victor</v>
      </c>
      <c r="D14" s="5" t="s">
        <v>183</v>
      </c>
      <c r="E14" s="5" t="s">
        <v>184</v>
      </c>
      <c r="F14" s="5" t="str">
        <f t="shared" si="2"/>
        <v>Perez</v>
      </c>
      <c r="G14" s="5" t="s">
        <v>469</v>
      </c>
      <c r="H14" s="6">
        <v>90.0</v>
      </c>
      <c r="I14" s="6">
        <f t="shared" si="3"/>
        <v>90</v>
      </c>
      <c r="J14" s="6">
        <v>90.0</v>
      </c>
      <c r="K14" s="6" t="str">
        <f t="shared" si="4"/>
        <v>Senior</v>
      </c>
      <c r="L14" s="6" t="s">
        <v>734</v>
      </c>
      <c r="M14" s="5" t="s">
        <v>80</v>
      </c>
      <c r="N14" s="5" t="str">
        <f t="shared" si="5"/>
        <v>Male</v>
      </c>
      <c r="O14" s="5" t="s">
        <v>152</v>
      </c>
      <c r="P14" s="5" t="s">
        <v>141</v>
      </c>
      <c r="Q14" s="5" t="s">
        <v>439</v>
      </c>
      <c r="R14" s="5" t="s">
        <v>210</v>
      </c>
      <c r="S14" s="5" t="s">
        <v>97</v>
      </c>
      <c r="T14" s="6">
        <v>962.0</v>
      </c>
      <c r="U14" s="5">
        <f t="shared" si="6"/>
        <v>962</v>
      </c>
      <c r="V14" s="5">
        <v>962.0</v>
      </c>
    </row>
    <row r="15" ht="22.5" customHeight="1">
      <c r="A15" s="5" t="s">
        <v>192</v>
      </c>
      <c r="B15" s="5" t="s">
        <v>193</v>
      </c>
      <c r="C15" s="5" t="str">
        <f t="shared" si="1"/>
        <v>Fiona</v>
      </c>
      <c r="D15" s="5" t="s">
        <v>193</v>
      </c>
      <c r="E15" s="5" t="s">
        <v>194</v>
      </c>
      <c r="F15" s="5" t="str">
        <f t="shared" si="2"/>
        <v>Chen</v>
      </c>
      <c r="G15" s="5" t="s">
        <v>194</v>
      </c>
      <c r="H15" s="6">
        <v>81.0</v>
      </c>
      <c r="I15" s="6">
        <f t="shared" si="3"/>
        <v>81</v>
      </c>
      <c r="J15" s="6">
        <v>81.0</v>
      </c>
      <c r="K15" s="6" t="str">
        <f t="shared" si="4"/>
        <v>Senior</v>
      </c>
      <c r="L15" s="6" t="s">
        <v>734</v>
      </c>
      <c r="M15" s="5" t="s">
        <v>45</v>
      </c>
      <c r="N15" s="5" t="str">
        <f t="shared" si="5"/>
        <v>Female</v>
      </c>
      <c r="O15" s="5" t="s">
        <v>105</v>
      </c>
      <c r="P15" s="5" t="s">
        <v>30</v>
      </c>
      <c r="Q15" s="5" t="s">
        <v>916</v>
      </c>
      <c r="R15" s="5" t="s">
        <v>402</v>
      </c>
      <c r="S15" s="5" t="s">
        <v>97</v>
      </c>
      <c r="T15" s="6">
        <v>2711.0</v>
      </c>
      <c r="U15" s="5">
        <f t="shared" si="6"/>
        <v>2711</v>
      </c>
      <c r="V15" s="5">
        <v>2711.0</v>
      </c>
    </row>
    <row r="16" ht="22.5" customHeight="1">
      <c r="A16" s="5" t="s">
        <v>202</v>
      </c>
      <c r="B16" s="5" t="s">
        <v>204</v>
      </c>
      <c r="C16" s="5" t="str">
        <f t="shared" si="1"/>
        <v>Tina</v>
      </c>
      <c r="D16" s="5" t="s">
        <v>898</v>
      </c>
      <c r="E16" s="5" t="s">
        <v>205</v>
      </c>
      <c r="F16" s="5" t="str">
        <f t="shared" si="2"/>
        <v>Zu</v>
      </c>
      <c r="G16" s="5" t="s">
        <v>1078</v>
      </c>
      <c r="H16" s="6">
        <v>0.0</v>
      </c>
      <c r="I16" s="6">
        <f t="shared" si="3"/>
        <v>0</v>
      </c>
      <c r="J16" s="6">
        <v>0.0</v>
      </c>
      <c r="K16" s="6" t="str">
        <f t="shared" si="4"/>
        <v>Unknown</v>
      </c>
      <c r="L16" s="6" t="s">
        <v>1081</v>
      </c>
      <c r="M16" s="5" t="s">
        <v>28</v>
      </c>
      <c r="N16" s="5" t="str">
        <f t="shared" si="5"/>
        <v>Female</v>
      </c>
      <c r="O16" s="5" t="s">
        <v>105</v>
      </c>
      <c r="P16" s="5" t="s">
        <v>208</v>
      </c>
      <c r="Q16" s="5" t="s">
        <v>418</v>
      </c>
      <c r="R16" s="5" t="s">
        <v>210</v>
      </c>
      <c r="S16" s="5" t="s">
        <v>211</v>
      </c>
      <c r="T16" s="6">
        <v>1062.0</v>
      </c>
      <c r="U16" s="5">
        <f t="shared" si="6"/>
        <v>1062</v>
      </c>
      <c r="V16" s="5">
        <v>1062.0</v>
      </c>
    </row>
    <row r="17" ht="22.5" customHeight="1">
      <c r="A17" s="5" t="s">
        <v>214</v>
      </c>
      <c r="B17" s="5" t="s">
        <v>127</v>
      </c>
      <c r="C17" s="5" t="str">
        <f t="shared" si="1"/>
        <v>John</v>
      </c>
      <c r="D17" s="5" t="s">
        <v>127</v>
      </c>
      <c r="E17" s="5" t="s">
        <v>216</v>
      </c>
      <c r="F17" s="5" t="str">
        <f t="shared" si="2"/>
        <v>Williams</v>
      </c>
      <c r="G17" s="5" t="s">
        <v>216</v>
      </c>
      <c r="H17" s="6">
        <v>57.0</v>
      </c>
      <c r="I17" s="6">
        <f t="shared" si="3"/>
        <v>57</v>
      </c>
      <c r="J17" s="6">
        <v>57.0</v>
      </c>
      <c r="K17" s="6" t="str">
        <f t="shared" si="4"/>
        <v>Middle Age</v>
      </c>
      <c r="L17" s="6" t="s">
        <v>591</v>
      </c>
      <c r="M17" s="5" t="s">
        <v>130</v>
      </c>
      <c r="N17" s="5" t="str">
        <f t="shared" si="5"/>
        <v>Male</v>
      </c>
      <c r="O17" s="5" t="s">
        <v>152</v>
      </c>
      <c r="P17" s="5" t="s">
        <v>47</v>
      </c>
      <c r="Q17" s="5" t="s">
        <v>358</v>
      </c>
      <c r="R17" s="5" t="s">
        <v>561</v>
      </c>
      <c r="S17" s="5" t="s">
        <v>222</v>
      </c>
      <c r="T17" s="6">
        <v>2057.0</v>
      </c>
      <c r="U17" s="5">
        <f t="shared" si="6"/>
        <v>2057</v>
      </c>
      <c r="V17" s="5">
        <v>2057.0</v>
      </c>
    </row>
    <row r="18" ht="22.5" customHeight="1">
      <c r="A18" s="5" t="s">
        <v>225</v>
      </c>
      <c r="B18" s="5" t="s">
        <v>227</v>
      </c>
      <c r="C18" s="5" t="str">
        <f t="shared" si="1"/>
        <v>Frnk</v>
      </c>
      <c r="D18" s="5" t="s">
        <v>227</v>
      </c>
      <c r="E18" s="5" t="s">
        <v>128</v>
      </c>
      <c r="F18" s="5" t="str">
        <f t="shared" si="2"/>
        <v>Rodriguez</v>
      </c>
      <c r="G18" s="5" t="s">
        <v>128</v>
      </c>
      <c r="H18" s="6">
        <v>66.0</v>
      </c>
      <c r="I18" s="6">
        <f t="shared" si="3"/>
        <v>66</v>
      </c>
      <c r="J18" s="6">
        <v>66.0</v>
      </c>
      <c r="K18" s="6" t="str">
        <f t="shared" si="4"/>
        <v>Senior</v>
      </c>
      <c r="L18" s="6" t="s">
        <v>734</v>
      </c>
      <c r="M18" s="5" t="s">
        <v>130</v>
      </c>
      <c r="N18" s="5" t="str">
        <f t="shared" si="5"/>
        <v>Male</v>
      </c>
      <c r="O18" s="5" t="s">
        <v>152</v>
      </c>
      <c r="P18" s="5" t="s">
        <v>47</v>
      </c>
      <c r="Q18" s="5" t="s">
        <v>230</v>
      </c>
      <c r="R18" s="5" t="s">
        <v>452</v>
      </c>
      <c r="S18" s="5" t="s">
        <v>97</v>
      </c>
      <c r="T18" s="6">
        <v>2822.0</v>
      </c>
      <c r="U18" s="5">
        <f t="shared" si="6"/>
        <v>2822</v>
      </c>
      <c r="V18" s="5">
        <v>2822.0</v>
      </c>
    </row>
    <row r="19" ht="22.5" customHeight="1">
      <c r="A19" s="5" t="s">
        <v>233</v>
      </c>
      <c r="B19" s="5" t="s">
        <v>234</v>
      </c>
      <c r="C19" s="5" t="str">
        <f t="shared" si="1"/>
        <v>Kylie</v>
      </c>
      <c r="D19" s="5" t="s">
        <v>1177</v>
      </c>
      <c r="E19" s="5" t="s">
        <v>137</v>
      </c>
      <c r="F19" s="5" t="str">
        <f t="shared" si="2"/>
        <v>Ng</v>
      </c>
      <c r="G19" s="5" t="s">
        <v>515</v>
      </c>
      <c r="H19" s="6">
        <v>55.0</v>
      </c>
      <c r="I19" s="6">
        <f t="shared" si="3"/>
        <v>55</v>
      </c>
      <c r="J19" s="6">
        <v>55.0</v>
      </c>
      <c r="K19" s="6" t="str">
        <f t="shared" si="4"/>
        <v>Middle Age</v>
      </c>
      <c r="L19" s="6" t="s">
        <v>591</v>
      </c>
      <c r="M19" s="5" t="s">
        <v>45</v>
      </c>
      <c r="N19" s="5" t="str">
        <f t="shared" si="5"/>
        <v>Female</v>
      </c>
      <c r="O19" s="5" t="s">
        <v>105</v>
      </c>
      <c r="P19" s="5" t="s">
        <v>237</v>
      </c>
      <c r="Q19" s="5" t="s">
        <v>238</v>
      </c>
      <c r="R19" s="5" t="s">
        <v>533</v>
      </c>
      <c r="S19" s="5" t="s">
        <v>52</v>
      </c>
      <c r="T19" s="6">
        <v>923.0</v>
      </c>
      <c r="U19" s="5">
        <f t="shared" si="6"/>
        <v>923</v>
      </c>
      <c r="V19" s="5">
        <v>923.0</v>
      </c>
    </row>
    <row r="20" ht="22.5" customHeight="1">
      <c r="A20" s="5" t="s">
        <v>242</v>
      </c>
      <c r="B20" s="5" t="s">
        <v>243</v>
      </c>
      <c r="C20" s="5" t="str">
        <f t="shared" si="1"/>
        <v>Keiith</v>
      </c>
      <c r="D20" s="5" t="s">
        <v>1219</v>
      </c>
      <c r="E20" s="5" t="s">
        <v>244</v>
      </c>
      <c r="F20" s="5" t="str">
        <f t="shared" si="2"/>
        <v>Jackson</v>
      </c>
      <c r="G20" s="5" t="s">
        <v>244</v>
      </c>
      <c r="H20" s="6">
        <v>18.0</v>
      </c>
      <c r="I20" s="6">
        <f t="shared" si="3"/>
        <v>18</v>
      </c>
      <c r="J20" s="6">
        <v>18.0</v>
      </c>
      <c r="K20" s="6" t="str">
        <f t="shared" si="4"/>
        <v>Young Adult</v>
      </c>
      <c r="L20" s="6" t="s">
        <v>528</v>
      </c>
      <c r="M20" s="5" t="s">
        <v>130</v>
      </c>
      <c r="N20" s="5" t="str">
        <f t="shared" si="5"/>
        <v>Male</v>
      </c>
      <c r="O20" s="5" t="s">
        <v>152</v>
      </c>
      <c r="P20" s="5" t="s">
        <v>30</v>
      </c>
      <c r="Q20" s="5" t="s">
        <v>32</v>
      </c>
      <c r="R20" s="5" t="s">
        <v>83</v>
      </c>
      <c r="S20" s="5" t="s">
        <v>559</v>
      </c>
      <c r="T20" s="6">
        <v>2187.0</v>
      </c>
      <c r="U20" s="5">
        <f t="shared" si="6"/>
        <v>2187</v>
      </c>
      <c r="V20" s="5">
        <v>2187.0</v>
      </c>
    </row>
    <row r="21" ht="22.5" customHeight="1">
      <c r="A21" s="5" t="s">
        <v>253</v>
      </c>
      <c r="B21" s="5" t="s">
        <v>171</v>
      </c>
      <c r="C21" s="5" t="str">
        <f t="shared" si="1"/>
        <v>Frank</v>
      </c>
      <c r="D21" s="5" t="s">
        <v>171</v>
      </c>
      <c r="E21" s="5" t="s">
        <v>254</v>
      </c>
      <c r="F21" s="5" t="str">
        <f t="shared" si="2"/>
        <v>Doe</v>
      </c>
      <c r="G21" s="5" t="s">
        <v>254</v>
      </c>
      <c r="H21" s="6">
        <v>150.0</v>
      </c>
      <c r="I21" s="6">
        <f t="shared" si="3"/>
        <v>150</v>
      </c>
      <c r="J21" s="6"/>
      <c r="K21" s="6" t="str">
        <f t="shared" si="4"/>
        <v>Unknown</v>
      </c>
      <c r="L21" s="6" t="s">
        <v>1081</v>
      </c>
      <c r="M21" s="5" t="s">
        <v>152</v>
      </c>
      <c r="N21" s="5" t="str">
        <f t="shared" si="5"/>
        <v>Male</v>
      </c>
      <c r="O21" s="5" t="s">
        <v>152</v>
      </c>
      <c r="P21" s="5" t="s">
        <v>256</v>
      </c>
      <c r="Q21" s="5" t="s">
        <v>311</v>
      </c>
      <c r="R21" s="5" t="s">
        <v>546</v>
      </c>
      <c r="S21" s="5" t="s">
        <v>97</v>
      </c>
      <c r="T21" s="6">
        <v>2932.0</v>
      </c>
      <c r="U21" s="5">
        <f t="shared" si="6"/>
        <v>2932</v>
      </c>
      <c r="V21" s="5">
        <v>2932.0</v>
      </c>
    </row>
    <row r="22" ht="22.5" customHeight="1">
      <c r="A22" s="5" t="s">
        <v>262</v>
      </c>
      <c r="B22" s="5" t="s">
        <v>263</v>
      </c>
      <c r="C22" s="5" t="str">
        <f t="shared" si="1"/>
        <v>Natalie</v>
      </c>
      <c r="D22" s="5" t="s">
        <v>1278</v>
      </c>
      <c r="E22" s="5" t="s">
        <v>264</v>
      </c>
      <c r="F22" s="5" t="str">
        <f t="shared" si="2"/>
        <v>Wu</v>
      </c>
      <c r="G22" s="5" t="s">
        <v>264</v>
      </c>
      <c r="H22" s="6">
        <v>64.0</v>
      </c>
      <c r="I22" s="6">
        <f t="shared" si="3"/>
        <v>64</v>
      </c>
      <c r="J22" s="6">
        <v>64.0</v>
      </c>
      <c r="K22" s="6" t="str">
        <f t="shared" si="4"/>
        <v>Senior</v>
      </c>
      <c r="L22" s="6" t="s">
        <v>734</v>
      </c>
      <c r="M22" s="5" t="s">
        <v>105</v>
      </c>
      <c r="N22" s="5" t="str">
        <f t="shared" si="5"/>
        <v>Female</v>
      </c>
      <c r="O22" s="5" t="s">
        <v>105</v>
      </c>
      <c r="P22" s="5" t="s">
        <v>268</v>
      </c>
      <c r="Q22" s="5" t="s">
        <v>230</v>
      </c>
      <c r="R22" s="5" t="s">
        <v>452</v>
      </c>
      <c r="S22" s="5" t="s">
        <v>97</v>
      </c>
      <c r="T22" s="6">
        <v>3324.0</v>
      </c>
      <c r="U22" s="5">
        <f t="shared" si="6"/>
        <v>3324</v>
      </c>
      <c r="V22" s="5">
        <v>3324.0</v>
      </c>
    </row>
    <row r="23" ht="22.5" customHeight="1">
      <c r="A23" s="5" t="s">
        <v>274</v>
      </c>
      <c r="B23" s="5" t="s">
        <v>275</v>
      </c>
      <c r="C23" s="5" t="str">
        <f t="shared" si="1"/>
        <v>Charli</v>
      </c>
      <c r="D23" s="5" t="s">
        <v>275</v>
      </c>
      <c r="E23" s="5" t="s">
        <v>128</v>
      </c>
      <c r="F23" s="5" t="str">
        <f t="shared" si="2"/>
        <v>Rodriguez</v>
      </c>
      <c r="G23" s="5" t="s">
        <v>128</v>
      </c>
      <c r="H23" s="6">
        <v>21.0</v>
      </c>
      <c r="I23" s="6">
        <f t="shared" si="3"/>
        <v>21</v>
      </c>
      <c r="J23" s="6">
        <v>21.0</v>
      </c>
      <c r="K23" s="6" t="str">
        <f t="shared" si="4"/>
        <v>Young Adult</v>
      </c>
      <c r="L23" s="6" t="s">
        <v>528</v>
      </c>
      <c r="M23" s="5" t="s">
        <v>105</v>
      </c>
      <c r="N23" s="5" t="str">
        <f t="shared" si="5"/>
        <v>Female</v>
      </c>
      <c r="O23" s="5" t="s">
        <v>105</v>
      </c>
      <c r="P23" s="5" t="s">
        <v>237</v>
      </c>
      <c r="Q23" s="5" t="s">
        <v>277</v>
      </c>
      <c r="R23" s="5" t="s">
        <v>402</v>
      </c>
      <c r="S23" s="5" t="s">
        <v>52</v>
      </c>
      <c r="T23" s="6">
        <v>1756.0</v>
      </c>
      <c r="U23" s="5">
        <f t="shared" si="6"/>
        <v>1756</v>
      </c>
      <c r="V23" s="5">
        <v>1756.0</v>
      </c>
    </row>
    <row r="24" ht="22.5" customHeight="1">
      <c r="A24" s="5" t="s">
        <v>281</v>
      </c>
      <c r="B24" s="5" t="s">
        <v>283</v>
      </c>
      <c r="C24" s="5" t="str">
        <f t="shared" si="1"/>
        <v>Victor</v>
      </c>
      <c r="D24" s="5" t="s">
        <v>183</v>
      </c>
      <c r="E24" s="5" t="s">
        <v>284</v>
      </c>
      <c r="F24" s="5" t="str">
        <f t="shared" si="2"/>
        <v>Lim</v>
      </c>
      <c r="G24" s="5" t="s">
        <v>284</v>
      </c>
      <c r="H24" s="6">
        <v>88.0</v>
      </c>
      <c r="I24" s="6">
        <f t="shared" si="3"/>
        <v>88</v>
      </c>
      <c r="J24" s="6">
        <v>88.0</v>
      </c>
      <c r="K24" s="6" t="str">
        <f t="shared" si="4"/>
        <v>Senior</v>
      </c>
      <c r="L24" s="6" t="s">
        <v>734</v>
      </c>
      <c r="M24" s="5" t="s">
        <v>130</v>
      </c>
      <c r="N24" s="5" t="str">
        <f t="shared" si="5"/>
        <v>Male</v>
      </c>
      <c r="O24" s="5" t="s">
        <v>152</v>
      </c>
      <c r="P24" s="5" t="s">
        <v>237</v>
      </c>
      <c r="Q24" s="5" t="s">
        <v>576</v>
      </c>
      <c r="R24" s="5" t="s">
        <v>607</v>
      </c>
      <c r="S24" s="5" t="s">
        <v>97</v>
      </c>
      <c r="T24" s="6">
        <v>2527.0</v>
      </c>
      <c r="U24" s="5">
        <f t="shared" si="6"/>
        <v>2527</v>
      </c>
      <c r="V24" s="5">
        <v>2527.0</v>
      </c>
    </row>
    <row r="25" ht="22.5" customHeight="1">
      <c r="A25" s="5" t="s">
        <v>291</v>
      </c>
      <c r="B25" s="5" t="s">
        <v>292</v>
      </c>
      <c r="C25" s="5" t="str">
        <f t="shared" si="1"/>
        <v>Ava</v>
      </c>
      <c r="D25" s="5" t="s">
        <v>865</v>
      </c>
      <c r="E25" s="5" t="s">
        <v>293</v>
      </c>
      <c r="F25" s="5" t="str">
        <f t="shared" si="2"/>
        <v>Miler</v>
      </c>
      <c r="G25" s="5" t="s">
        <v>293</v>
      </c>
      <c r="H25" s="6">
        <v>85.0</v>
      </c>
      <c r="I25" s="6">
        <f t="shared" si="3"/>
        <v>85</v>
      </c>
      <c r="J25" s="6">
        <v>85.0</v>
      </c>
      <c r="K25" s="6" t="str">
        <f t="shared" si="4"/>
        <v>Senior</v>
      </c>
      <c r="L25" s="6" t="s">
        <v>734</v>
      </c>
      <c r="M25" s="5" t="s">
        <v>45</v>
      </c>
      <c r="N25" s="5" t="str">
        <f t="shared" si="5"/>
        <v>Female</v>
      </c>
      <c r="O25" s="5" t="s">
        <v>105</v>
      </c>
      <c r="P25" s="5" t="s">
        <v>47</v>
      </c>
      <c r="Q25" s="5" t="s">
        <v>439</v>
      </c>
      <c r="R25" s="5" t="s">
        <v>210</v>
      </c>
      <c r="S25" s="5" t="s">
        <v>97</v>
      </c>
      <c r="T25" s="6">
        <v>1111.0</v>
      </c>
      <c r="U25" s="5">
        <f t="shared" si="6"/>
        <v>1111</v>
      </c>
      <c r="V25" s="5">
        <v>1111.0</v>
      </c>
    </row>
    <row r="26" ht="22.5" customHeight="1">
      <c r="A26" s="5" t="s">
        <v>298</v>
      </c>
      <c r="B26" s="5" t="s">
        <v>299</v>
      </c>
      <c r="C26" s="5" t="str">
        <f t="shared" si="1"/>
        <v>Evan</v>
      </c>
      <c r="D26" s="5" t="s">
        <v>299</v>
      </c>
      <c r="E26" s="5" t="s">
        <v>301</v>
      </c>
      <c r="F26" s="5" t="str">
        <f t="shared" si="2"/>
        <v>Lee</v>
      </c>
      <c r="G26" s="5" t="s">
        <v>301</v>
      </c>
      <c r="H26" s="6">
        <v>999.0</v>
      </c>
      <c r="I26" s="6">
        <f t="shared" si="3"/>
        <v>999</v>
      </c>
      <c r="J26" s="6"/>
      <c r="K26" s="6" t="str">
        <f t="shared" si="4"/>
        <v>Unknown</v>
      </c>
      <c r="L26" s="6" t="s">
        <v>1081</v>
      </c>
      <c r="M26" s="5" t="s">
        <v>130</v>
      </c>
      <c r="N26" s="5" t="str">
        <f t="shared" si="5"/>
        <v>Male</v>
      </c>
      <c r="O26" s="5" t="s">
        <v>152</v>
      </c>
      <c r="P26" s="5" t="s">
        <v>47</v>
      </c>
      <c r="Q26" s="5" t="s">
        <v>311</v>
      </c>
      <c r="R26" s="5" t="s">
        <v>546</v>
      </c>
      <c r="S26" s="5" t="s">
        <v>97</v>
      </c>
      <c r="T26" s="6">
        <v>3007.0</v>
      </c>
      <c r="U26" s="5">
        <f t="shared" si="6"/>
        <v>3007</v>
      </c>
      <c r="V26" s="5">
        <v>3007.0</v>
      </c>
    </row>
    <row r="27" ht="22.5" customHeight="1">
      <c r="A27" s="5" t="s">
        <v>306</v>
      </c>
      <c r="B27" s="5" t="s">
        <v>307</v>
      </c>
      <c r="C27" s="5" t="str">
        <f t="shared" si="1"/>
        <v>Hannah</v>
      </c>
      <c r="D27" s="5" t="s">
        <v>307</v>
      </c>
      <c r="E27" s="5" t="s">
        <v>25</v>
      </c>
      <c r="F27" s="5" t="str">
        <f t="shared" si="2"/>
        <v>Garcia</v>
      </c>
      <c r="G27" s="5" t="s">
        <v>25</v>
      </c>
      <c r="H27" s="6">
        <v>-76.0</v>
      </c>
      <c r="I27" s="6">
        <f t="shared" si="3"/>
        <v>76</v>
      </c>
      <c r="J27" s="6">
        <v>76.0</v>
      </c>
      <c r="K27" s="6" t="str">
        <f t="shared" si="4"/>
        <v>Senior</v>
      </c>
      <c r="L27" s="6" t="s">
        <v>734</v>
      </c>
      <c r="M27" s="5" t="s">
        <v>105</v>
      </c>
      <c r="N27" s="5" t="str">
        <f t="shared" si="5"/>
        <v>Female</v>
      </c>
      <c r="O27" s="5" t="s">
        <v>105</v>
      </c>
      <c r="P27" s="5" t="s">
        <v>309</v>
      </c>
      <c r="Q27" s="5" t="s">
        <v>311</v>
      </c>
      <c r="R27" s="5" t="s">
        <v>96</v>
      </c>
      <c r="S27" s="5" t="s">
        <v>211</v>
      </c>
      <c r="T27" s="6">
        <v>573.0</v>
      </c>
      <c r="U27" s="5">
        <f t="shared" si="6"/>
        <v>573</v>
      </c>
      <c r="V27" s="5">
        <v>573.0</v>
      </c>
    </row>
    <row r="28" ht="22.5" customHeight="1">
      <c r="A28" s="5" t="s">
        <v>314</v>
      </c>
      <c r="B28" s="5" t="s">
        <v>315</v>
      </c>
      <c r="C28" s="5" t="str">
        <f t="shared" si="1"/>
        <v>Silvia</v>
      </c>
      <c r="D28" s="5" t="s">
        <v>1431</v>
      </c>
      <c r="E28" s="5" t="s">
        <v>316</v>
      </c>
      <c r="F28" s="5" t="str">
        <f t="shared" si="2"/>
        <v>Baker</v>
      </c>
      <c r="G28" s="5" t="s">
        <v>316</v>
      </c>
      <c r="H28" s="6">
        <v>86.0</v>
      </c>
      <c r="I28" s="6">
        <f t="shared" si="3"/>
        <v>86</v>
      </c>
      <c r="J28" s="6">
        <v>86.0</v>
      </c>
      <c r="K28" s="6" t="str">
        <f t="shared" si="4"/>
        <v>Senior</v>
      </c>
      <c r="L28" s="6" t="s">
        <v>734</v>
      </c>
      <c r="M28" s="5" t="s">
        <v>28</v>
      </c>
      <c r="N28" s="5" t="str">
        <f t="shared" si="5"/>
        <v>Female</v>
      </c>
      <c r="O28" s="5" t="s">
        <v>105</v>
      </c>
      <c r="P28" s="5" t="s">
        <v>208</v>
      </c>
      <c r="Q28" s="5" t="s">
        <v>916</v>
      </c>
      <c r="R28" s="5" t="s">
        <v>402</v>
      </c>
      <c r="S28" s="5" t="s">
        <v>97</v>
      </c>
      <c r="T28" s="6">
        <v>1950.0</v>
      </c>
      <c r="U28" s="5">
        <f t="shared" si="6"/>
        <v>1950</v>
      </c>
      <c r="V28" s="5">
        <v>1950.0</v>
      </c>
    </row>
    <row r="29" ht="22.5" customHeight="1">
      <c r="A29" s="5" t="s">
        <v>321</v>
      </c>
      <c r="B29" s="5" t="s">
        <v>323</v>
      </c>
      <c r="C29" s="5" t="str">
        <f t="shared" si="1"/>
        <v>Betty</v>
      </c>
      <c r="D29" s="5" t="s">
        <v>323</v>
      </c>
      <c r="E29" s="5" t="s">
        <v>324</v>
      </c>
      <c r="F29" s="5" t="str">
        <f t="shared" si="2"/>
        <v>Cooper</v>
      </c>
      <c r="G29" s="5" t="s">
        <v>324</v>
      </c>
      <c r="H29" s="6">
        <v>46.0</v>
      </c>
      <c r="I29" s="6">
        <f t="shared" si="3"/>
        <v>46</v>
      </c>
      <c r="J29" s="6">
        <v>46.0</v>
      </c>
      <c r="K29" s="6" t="str">
        <f t="shared" si="4"/>
        <v>Middle Age</v>
      </c>
      <c r="L29" s="6" t="s">
        <v>591</v>
      </c>
      <c r="M29" s="5" t="s">
        <v>28</v>
      </c>
      <c r="N29" s="5" t="str">
        <f t="shared" si="5"/>
        <v>Female</v>
      </c>
      <c r="O29" s="5" t="s">
        <v>105</v>
      </c>
      <c r="P29" s="5" t="s">
        <v>47</v>
      </c>
      <c r="Q29" s="5" t="s">
        <v>489</v>
      </c>
      <c r="R29" s="5" t="s">
        <v>179</v>
      </c>
      <c r="S29" s="5" t="s">
        <v>211</v>
      </c>
      <c r="T29" s="6">
        <v>4247.0</v>
      </c>
      <c r="U29" s="5">
        <f t="shared" si="6"/>
        <v>4247</v>
      </c>
      <c r="V29" s="5">
        <v>4247.0</v>
      </c>
    </row>
    <row r="30" ht="22.5" customHeight="1">
      <c r="A30" s="5" t="s">
        <v>329</v>
      </c>
      <c r="B30" s="5" t="s">
        <v>330</v>
      </c>
      <c r="C30" s="5" t="str">
        <f t="shared" si="1"/>
        <v>Gale</v>
      </c>
      <c r="D30" s="5" t="s">
        <v>1492</v>
      </c>
      <c r="E30" s="5" t="s">
        <v>172</v>
      </c>
      <c r="F30" s="5" t="str">
        <f t="shared" si="2"/>
        <v>Little</v>
      </c>
      <c r="G30" s="5" t="s">
        <v>172</v>
      </c>
      <c r="H30" s="6">
        <v>52.0</v>
      </c>
      <c r="I30" s="6">
        <f t="shared" si="3"/>
        <v>52</v>
      </c>
      <c r="J30" s="6">
        <v>52.0</v>
      </c>
      <c r="K30" s="6" t="str">
        <f t="shared" si="4"/>
        <v>Middle Age</v>
      </c>
      <c r="L30" s="6" t="s">
        <v>591</v>
      </c>
      <c r="M30" s="5" t="s">
        <v>105</v>
      </c>
      <c r="N30" s="5" t="str">
        <f t="shared" si="5"/>
        <v>Female</v>
      </c>
      <c r="O30" s="5" t="s">
        <v>105</v>
      </c>
      <c r="P30" s="5" t="s">
        <v>107</v>
      </c>
      <c r="Q30" s="5" t="s">
        <v>669</v>
      </c>
      <c r="R30" s="5" t="s">
        <v>452</v>
      </c>
      <c r="S30" s="5" t="s">
        <v>559</v>
      </c>
      <c r="T30" s="6">
        <v>4451.0</v>
      </c>
      <c r="U30" s="5">
        <f t="shared" si="6"/>
        <v>4451</v>
      </c>
      <c r="V30" s="5">
        <v>4451.0</v>
      </c>
    </row>
    <row r="31" ht="22.5" customHeight="1">
      <c r="A31" s="5" t="s">
        <v>335</v>
      </c>
      <c r="B31" s="5" t="s">
        <v>127</v>
      </c>
      <c r="C31" s="5" t="str">
        <f t="shared" si="1"/>
        <v>John</v>
      </c>
      <c r="D31" s="5" t="s">
        <v>127</v>
      </c>
      <c r="E31" s="5" t="s">
        <v>148</v>
      </c>
      <c r="F31" s="5" t="str">
        <f t="shared" si="2"/>
        <v>Johnson</v>
      </c>
      <c r="G31" s="5" t="s">
        <v>148</v>
      </c>
      <c r="H31" s="6">
        <v>79.0</v>
      </c>
      <c r="I31" s="6">
        <f t="shared" si="3"/>
        <v>79</v>
      </c>
      <c r="J31" s="6">
        <v>79.0</v>
      </c>
      <c r="K31" s="6" t="str">
        <f t="shared" si="4"/>
        <v>Senior</v>
      </c>
      <c r="L31" s="6" t="s">
        <v>734</v>
      </c>
      <c r="M31" s="5" t="s">
        <v>130</v>
      </c>
      <c r="N31" s="5" t="str">
        <f t="shared" si="5"/>
        <v>Male</v>
      </c>
      <c r="O31" s="5" t="s">
        <v>152</v>
      </c>
      <c r="P31" s="5" t="s">
        <v>64</v>
      </c>
      <c r="Q31" s="5" t="s">
        <v>164</v>
      </c>
      <c r="R31" s="5" t="s">
        <v>96</v>
      </c>
      <c r="S31" s="5" t="s">
        <v>97</v>
      </c>
      <c r="T31" s="6">
        <v>546.0</v>
      </c>
      <c r="U31" s="5">
        <f t="shared" si="6"/>
        <v>546</v>
      </c>
      <c r="V31" s="5">
        <v>546.0</v>
      </c>
    </row>
    <row r="32" ht="22.5" customHeight="1">
      <c r="A32" s="5" t="s">
        <v>341</v>
      </c>
      <c r="B32" s="5" t="s">
        <v>343</v>
      </c>
      <c r="C32" s="5" t="str">
        <f t="shared" si="1"/>
        <v>Bob</v>
      </c>
      <c r="D32" s="5" t="s">
        <v>343</v>
      </c>
      <c r="E32" s="5" t="s">
        <v>128</v>
      </c>
      <c r="F32" s="5" t="str">
        <f t="shared" si="2"/>
        <v>Rodriguez</v>
      </c>
      <c r="G32" s="5" t="s">
        <v>128</v>
      </c>
      <c r="H32" s="6">
        <v>40.0</v>
      </c>
      <c r="I32" s="6">
        <f t="shared" si="3"/>
        <v>40</v>
      </c>
      <c r="J32" s="6">
        <v>40.0</v>
      </c>
      <c r="K32" s="6" t="str">
        <f t="shared" si="4"/>
        <v>Young Adult</v>
      </c>
      <c r="L32" s="6" t="s">
        <v>528</v>
      </c>
      <c r="M32" s="5" t="s">
        <v>130</v>
      </c>
      <c r="N32" s="5" t="str">
        <f t="shared" si="5"/>
        <v>Male</v>
      </c>
      <c r="O32" s="5" t="s">
        <v>152</v>
      </c>
      <c r="P32" s="5" t="s">
        <v>141</v>
      </c>
      <c r="Q32" s="5" t="s">
        <v>377</v>
      </c>
      <c r="R32" s="5" t="s">
        <v>96</v>
      </c>
      <c r="S32" s="5" t="s">
        <v>52</v>
      </c>
      <c r="T32" s="6">
        <v>1021.0</v>
      </c>
      <c r="U32" s="5">
        <f t="shared" si="6"/>
        <v>1021</v>
      </c>
      <c r="V32" s="5">
        <v>1021.0</v>
      </c>
    </row>
    <row r="33" ht="22.5" customHeight="1">
      <c r="A33" s="5" t="s">
        <v>349</v>
      </c>
      <c r="B33" s="5" t="s">
        <v>350</v>
      </c>
      <c r="C33" s="5" t="str">
        <f t="shared" si="1"/>
        <v>Lisa</v>
      </c>
      <c r="D33" s="5" t="s">
        <v>1583</v>
      </c>
      <c r="E33" s="5" t="s">
        <v>352</v>
      </c>
      <c r="F33" s="5" t="str">
        <f t="shared" si="2"/>
        <v>Kim</v>
      </c>
      <c r="G33" s="5" t="s">
        <v>352</v>
      </c>
      <c r="H33" s="6">
        <v>38.0</v>
      </c>
      <c r="I33" s="6">
        <f t="shared" si="3"/>
        <v>38</v>
      </c>
      <c r="J33" s="6">
        <v>38.0</v>
      </c>
      <c r="K33" s="6" t="str">
        <f t="shared" si="4"/>
        <v>Young Adult</v>
      </c>
      <c r="L33" s="6" t="s">
        <v>528</v>
      </c>
      <c r="M33" s="5" t="s">
        <v>105</v>
      </c>
      <c r="N33" s="5" t="str">
        <f t="shared" si="5"/>
        <v>Female</v>
      </c>
      <c r="O33" s="5" t="s">
        <v>105</v>
      </c>
      <c r="P33" s="5" t="s">
        <v>81</v>
      </c>
      <c r="Q33" s="5" t="s">
        <v>230</v>
      </c>
      <c r="R33" s="5" t="s">
        <v>452</v>
      </c>
      <c r="S33" s="5" t="s">
        <v>222</v>
      </c>
      <c r="T33" s="6">
        <v>3750.0</v>
      </c>
      <c r="U33" s="5">
        <f t="shared" si="6"/>
        <v>3750</v>
      </c>
      <c r="V33" s="5">
        <v>3750.0</v>
      </c>
    </row>
    <row r="34" ht="22.5" customHeight="1">
      <c r="A34" s="5" t="s">
        <v>356</v>
      </c>
      <c r="B34" s="5" t="s">
        <v>127</v>
      </c>
      <c r="C34" s="5" t="str">
        <f t="shared" si="1"/>
        <v>John</v>
      </c>
      <c r="D34" s="5" t="s">
        <v>127</v>
      </c>
      <c r="E34" s="5" t="s">
        <v>76</v>
      </c>
      <c r="F34" s="5" t="str">
        <f t="shared" si="2"/>
        <v>Brown</v>
      </c>
      <c r="G34" s="5" t="s">
        <v>76</v>
      </c>
      <c r="H34" s="6">
        <v>40.0</v>
      </c>
      <c r="I34" s="6">
        <f t="shared" si="3"/>
        <v>40</v>
      </c>
      <c r="J34" s="6">
        <v>40.0</v>
      </c>
      <c r="K34" s="6" t="str">
        <f t="shared" si="4"/>
        <v>Young Adult</v>
      </c>
      <c r="L34" s="6" t="s">
        <v>528</v>
      </c>
      <c r="M34" s="5" t="s">
        <v>152</v>
      </c>
      <c r="N34" s="5" t="str">
        <f t="shared" si="5"/>
        <v>Male</v>
      </c>
      <c r="O34" s="5" t="s">
        <v>152</v>
      </c>
      <c r="P34" s="5" t="s">
        <v>208</v>
      </c>
      <c r="Q34" s="5" t="s">
        <v>358</v>
      </c>
      <c r="R34" s="5" t="s">
        <v>561</v>
      </c>
      <c r="S34" s="5" t="s">
        <v>559</v>
      </c>
      <c r="T34" s="6">
        <v>4906.0</v>
      </c>
      <c r="U34" s="5">
        <f t="shared" si="6"/>
        <v>4906</v>
      </c>
      <c r="V34" s="5">
        <v>4906.0</v>
      </c>
    </row>
    <row r="35" ht="22.5" customHeight="1">
      <c r="A35" s="5" t="s">
        <v>362</v>
      </c>
      <c r="B35" s="5" t="s">
        <v>147</v>
      </c>
      <c r="C35" s="5" t="str">
        <f t="shared" si="1"/>
        <v>Greg</v>
      </c>
      <c r="D35" s="5" t="s">
        <v>147</v>
      </c>
      <c r="E35" s="5" t="s">
        <v>363</v>
      </c>
      <c r="F35" s="5" t="str">
        <f t="shared" si="2"/>
        <v>Smith</v>
      </c>
      <c r="G35" s="5" t="s">
        <v>363</v>
      </c>
      <c r="H35" s="6">
        <v>40.0</v>
      </c>
      <c r="I35" s="6">
        <f t="shared" si="3"/>
        <v>40</v>
      </c>
      <c r="J35" s="6">
        <v>40.0</v>
      </c>
      <c r="K35" s="6" t="str">
        <f t="shared" si="4"/>
        <v>Young Adult</v>
      </c>
      <c r="L35" s="6" t="s">
        <v>528</v>
      </c>
      <c r="M35" s="5" t="s">
        <v>130</v>
      </c>
      <c r="N35" s="5" t="str">
        <f t="shared" si="5"/>
        <v>Male</v>
      </c>
      <c r="O35" s="5" t="s">
        <v>152</v>
      </c>
      <c r="P35" s="5" t="s">
        <v>364</v>
      </c>
      <c r="Q35" s="5" t="s">
        <v>164</v>
      </c>
      <c r="R35" s="5" t="s">
        <v>96</v>
      </c>
      <c r="S35" s="5" t="s">
        <v>211</v>
      </c>
      <c r="T35" s="6">
        <v>1225.0</v>
      </c>
      <c r="U35" s="5">
        <f t="shared" si="6"/>
        <v>1225</v>
      </c>
      <c r="V35" s="5">
        <v>1225.0</v>
      </c>
    </row>
    <row r="36" ht="22.5" customHeight="1">
      <c r="A36" s="5" t="s">
        <v>367</v>
      </c>
      <c r="B36" s="5" t="s">
        <v>368</v>
      </c>
      <c r="C36" s="5" t="str">
        <f t="shared" si="1"/>
        <v>Grace</v>
      </c>
      <c r="D36" s="5" t="s">
        <v>368</v>
      </c>
      <c r="E36" s="5" t="s">
        <v>128</v>
      </c>
      <c r="F36" s="5" t="str">
        <f t="shared" si="2"/>
        <v>Rodriguez</v>
      </c>
      <c r="G36" s="5" t="s">
        <v>128</v>
      </c>
      <c r="H36" s="6">
        <v>79.0</v>
      </c>
      <c r="I36" s="6">
        <f t="shared" si="3"/>
        <v>79</v>
      </c>
      <c r="J36" s="6">
        <v>79.0</v>
      </c>
      <c r="K36" s="6" t="str">
        <f t="shared" si="4"/>
        <v>Senior</v>
      </c>
      <c r="L36" s="6" t="s">
        <v>734</v>
      </c>
      <c r="M36" s="5" t="s">
        <v>45</v>
      </c>
      <c r="N36" s="5" t="str">
        <f t="shared" si="5"/>
        <v>Female</v>
      </c>
      <c r="O36" s="5" t="s">
        <v>105</v>
      </c>
      <c r="P36" s="5" t="s">
        <v>131</v>
      </c>
      <c r="Q36" s="5" t="s">
        <v>277</v>
      </c>
      <c r="R36" s="5" t="s">
        <v>402</v>
      </c>
      <c r="S36" s="5" t="s">
        <v>97</v>
      </c>
      <c r="T36" s="6">
        <v>1667.0</v>
      </c>
      <c r="U36" s="5">
        <f t="shared" si="6"/>
        <v>1667</v>
      </c>
      <c r="V36" s="5">
        <v>1667.0</v>
      </c>
    </row>
    <row r="37" ht="22.5" customHeight="1">
      <c r="A37" s="5" t="s">
        <v>373</v>
      </c>
      <c r="B37" s="5" t="s">
        <v>343</v>
      </c>
      <c r="C37" s="5" t="str">
        <f t="shared" si="1"/>
        <v>Bob</v>
      </c>
      <c r="D37" s="5" t="s">
        <v>343</v>
      </c>
      <c r="E37" s="5" t="s">
        <v>374</v>
      </c>
      <c r="F37" s="5" t="str">
        <f t="shared" si="2"/>
        <v>Miller</v>
      </c>
      <c r="G37" s="5" t="s">
        <v>374</v>
      </c>
      <c r="H37" s="8"/>
      <c r="I37" s="8">
        <f t="shared" si="3"/>
        <v>0</v>
      </c>
      <c r="J37" s="8"/>
      <c r="K37" s="8" t="str">
        <f t="shared" si="4"/>
        <v>Unknown</v>
      </c>
      <c r="L37" s="8" t="s">
        <v>1081</v>
      </c>
      <c r="M37" s="5" t="s">
        <v>152</v>
      </c>
      <c r="N37" s="5" t="str">
        <f t="shared" si="5"/>
        <v>Male</v>
      </c>
      <c r="O37" s="5" t="s">
        <v>152</v>
      </c>
      <c r="P37" s="5" t="s">
        <v>376</v>
      </c>
      <c r="Q37" s="5" t="s">
        <v>377</v>
      </c>
      <c r="R37" s="5" t="s">
        <v>402</v>
      </c>
      <c r="S37" s="5" t="s">
        <v>559</v>
      </c>
      <c r="T37" s="6">
        <v>2788.0</v>
      </c>
      <c r="U37" s="5">
        <f t="shared" si="6"/>
        <v>2788</v>
      </c>
      <c r="V37" s="5">
        <v>2788.0</v>
      </c>
    </row>
    <row r="38" ht="22.5" customHeight="1">
      <c r="A38" s="5" t="s">
        <v>380</v>
      </c>
      <c r="B38" s="5" t="s">
        <v>381</v>
      </c>
      <c r="C38" s="5" t="str">
        <f t="shared" si="1"/>
        <v>Zachary</v>
      </c>
      <c r="D38" s="5" t="s">
        <v>1729</v>
      </c>
      <c r="E38" s="5" t="s">
        <v>382</v>
      </c>
      <c r="F38" s="5" t="str">
        <f t="shared" si="2"/>
        <v>Jonez</v>
      </c>
      <c r="G38" s="5" t="s">
        <v>382</v>
      </c>
      <c r="H38" s="6">
        <v>49.0</v>
      </c>
      <c r="I38" s="6">
        <f t="shared" si="3"/>
        <v>49</v>
      </c>
      <c r="J38" s="6">
        <v>49.0</v>
      </c>
      <c r="K38" s="6" t="str">
        <f t="shared" si="4"/>
        <v>Middle Age</v>
      </c>
      <c r="L38" s="6" t="s">
        <v>591</v>
      </c>
      <c r="M38" s="5" t="s">
        <v>130</v>
      </c>
      <c r="N38" s="5" t="str">
        <f t="shared" si="5"/>
        <v>Male</v>
      </c>
      <c r="O38" s="5" t="s">
        <v>152</v>
      </c>
      <c r="P38" s="5" t="s">
        <v>237</v>
      </c>
      <c r="Q38" s="5" t="s">
        <v>439</v>
      </c>
      <c r="R38" s="5" t="s">
        <v>210</v>
      </c>
      <c r="S38" s="5" t="s">
        <v>52</v>
      </c>
      <c r="T38" s="6">
        <v>446.0</v>
      </c>
      <c r="U38" s="5">
        <f t="shared" si="6"/>
        <v>446</v>
      </c>
      <c r="V38" s="5">
        <v>446.0</v>
      </c>
    </row>
    <row r="39" ht="22.5" customHeight="1">
      <c r="A39" s="5" t="s">
        <v>389</v>
      </c>
      <c r="B39" s="5" t="s">
        <v>390</v>
      </c>
      <c r="C39" s="5" t="str">
        <f t="shared" si="1"/>
        <v>Joshua</v>
      </c>
      <c r="D39" s="5" t="s">
        <v>1143</v>
      </c>
      <c r="E39" s="5" t="s">
        <v>128</v>
      </c>
      <c r="F39" s="5" t="str">
        <f t="shared" si="2"/>
        <v>Rodriguez</v>
      </c>
      <c r="G39" s="5" t="s">
        <v>128</v>
      </c>
      <c r="H39" s="6">
        <v>43.0</v>
      </c>
      <c r="I39" s="6">
        <f t="shared" si="3"/>
        <v>43</v>
      </c>
      <c r="J39" s="6">
        <v>43.0</v>
      </c>
      <c r="K39" s="6" t="str">
        <f t="shared" si="4"/>
        <v>Middle Age</v>
      </c>
      <c r="L39" s="6" t="s">
        <v>591</v>
      </c>
      <c r="M39" s="5" t="s">
        <v>80</v>
      </c>
      <c r="N39" s="5" t="str">
        <f t="shared" si="5"/>
        <v>Male</v>
      </c>
      <c r="O39" s="5" t="s">
        <v>152</v>
      </c>
      <c r="P39" s="5" t="s">
        <v>393</v>
      </c>
      <c r="Q39" s="5" t="s">
        <v>439</v>
      </c>
      <c r="R39" s="5" t="s">
        <v>210</v>
      </c>
      <c r="S39" s="5" t="s">
        <v>559</v>
      </c>
      <c r="T39" s="6">
        <v>1336.0</v>
      </c>
      <c r="U39" s="5">
        <f t="shared" si="6"/>
        <v>1336</v>
      </c>
      <c r="V39" s="5">
        <v>1336.0</v>
      </c>
    </row>
    <row r="40" ht="22.5" customHeight="1">
      <c r="A40" s="5" t="s">
        <v>398</v>
      </c>
      <c r="B40" s="5" t="s">
        <v>399</v>
      </c>
      <c r="C40" s="5" t="str">
        <f t="shared" si="1"/>
        <v>Paul</v>
      </c>
      <c r="D40" s="5" t="s">
        <v>872</v>
      </c>
      <c r="E40" s="5" t="s">
        <v>244</v>
      </c>
      <c r="F40" s="5" t="str">
        <f t="shared" si="2"/>
        <v>Jackson</v>
      </c>
      <c r="G40" s="5" t="s">
        <v>244</v>
      </c>
      <c r="H40" s="6">
        <v>88.0</v>
      </c>
      <c r="I40" s="6">
        <f t="shared" si="3"/>
        <v>88</v>
      </c>
      <c r="J40" s="6">
        <v>88.0</v>
      </c>
      <c r="K40" s="6" t="str">
        <f t="shared" si="4"/>
        <v>Senior</v>
      </c>
      <c r="L40" s="6" t="s">
        <v>734</v>
      </c>
      <c r="M40" s="5" t="s">
        <v>152</v>
      </c>
      <c r="N40" s="5" t="str">
        <f t="shared" si="5"/>
        <v>Male</v>
      </c>
      <c r="O40" s="5" t="s">
        <v>152</v>
      </c>
      <c r="P40" s="5" t="s">
        <v>401</v>
      </c>
      <c r="Q40" s="5" t="s">
        <v>277</v>
      </c>
      <c r="R40" s="5" t="s">
        <v>402</v>
      </c>
      <c r="S40" s="5" t="s">
        <v>97</v>
      </c>
      <c r="T40" s="6">
        <v>2235.0</v>
      </c>
      <c r="U40" s="5">
        <f t="shared" si="6"/>
        <v>2235</v>
      </c>
      <c r="V40" s="5">
        <v>2235.0</v>
      </c>
    </row>
    <row r="41" ht="22.5" customHeight="1">
      <c r="A41" s="5" t="s">
        <v>404</v>
      </c>
      <c r="B41" s="5" t="s">
        <v>136</v>
      </c>
      <c r="C41" s="5" t="str">
        <f t="shared" si="1"/>
        <v>Alice</v>
      </c>
      <c r="D41" s="5" t="s">
        <v>136</v>
      </c>
      <c r="E41" s="5" t="s">
        <v>128</v>
      </c>
      <c r="F41" s="5" t="str">
        <f t="shared" si="2"/>
        <v>Rodriguez</v>
      </c>
      <c r="G41" s="5" t="s">
        <v>128</v>
      </c>
      <c r="H41" s="6">
        <v>75.0</v>
      </c>
      <c r="I41" s="6">
        <f t="shared" si="3"/>
        <v>75</v>
      </c>
      <c r="J41" s="6">
        <v>75.0</v>
      </c>
      <c r="K41" s="6" t="str">
        <f t="shared" si="4"/>
        <v>Senior</v>
      </c>
      <c r="L41" s="6" t="s">
        <v>734</v>
      </c>
      <c r="M41" s="5" t="s">
        <v>105</v>
      </c>
      <c r="N41" s="5" t="str">
        <f t="shared" si="5"/>
        <v>Female</v>
      </c>
      <c r="O41" s="5" t="s">
        <v>105</v>
      </c>
      <c r="P41" s="5" t="s">
        <v>47</v>
      </c>
      <c r="Q41" s="5" t="s">
        <v>436</v>
      </c>
      <c r="R41" s="5" t="s">
        <v>561</v>
      </c>
      <c r="S41" s="5" t="s">
        <v>97</v>
      </c>
      <c r="T41" s="6">
        <v>3247.0</v>
      </c>
      <c r="U41" s="5">
        <f t="shared" si="6"/>
        <v>3247</v>
      </c>
      <c r="V41" s="5">
        <v>3247.0</v>
      </c>
    </row>
    <row r="42" ht="22.5" customHeight="1">
      <c r="A42" s="5" t="s">
        <v>410</v>
      </c>
      <c r="B42" s="5" t="s">
        <v>411</v>
      </c>
      <c r="C42" s="5" t="str">
        <f t="shared" si="1"/>
        <v>Jane</v>
      </c>
      <c r="D42" s="5" t="s">
        <v>411</v>
      </c>
      <c r="E42" s="5" t="s">
        <v>148</v>
      </c>
      <c r="F42" s="5" t="str">
        <f t="shared" si="2"/>
        <v>Johnson</v>
      </c>
      <c r="G42" s="5" t="s">
        <v>148</v>
      </c>
      <c r="H42" s="6">
        <v>73.0</v>
      </c>
      <c r="I42" s="6">
        <f t="shared" si="3"/>
        <v>73</v>
      </c>
      <c r="J42" s="6">
        <v>73.0</v>
      </c>
      <c r="K42" s="6" t="str">
        <f t="shared" si="4"/>
        <v>Senior</v>
      </c>
      <c r="L42" s="6" t="s">
        <v>734</v>
      </c>
      <c r="M42" s="5" t="s">
        <v>45</v>
      </c>
      <c r="N42" s="5" t="str">
        <f t="shared" si="5"/>
        <v>Female</v>
      </c>
      <c r="O42" s="5" t="s">
        <v>105</v>
      </c>
      <c r="P42" s="5" t="s">
        <v>237</v>
      </c>
      <c r="Q42" s="5" t="s">
        <v>164</v>
      </c>
      <c r="R42" s="5" t="s">
        <v>607</v>
      </c>
      <c r="S42" s="5" t="s">
        <v>97</v>
      </c>
      <c r="T42" s="6">
        <v>3298.0</v>
      </c>
      <c r="U42" s="5">
        <f t="shared" si="6"/>
        <v>3298</v>
      </c>
      <c r="V42" s="5">
        <v>3298.0</v>
      </c>
    </row>
    <row r="43" ht="22.5" customHeight="1">
      <c r="A43" s="5" t="s">
        <v>415</v>
      </c>
      <c r="B43" s="5" t="s">
        <v>416</v>
      </c>
      <c r="C43" s="5" t="str">
        <f t="shared" si="1"/>
        <v>Katherine</v>
      </c>
      <c r="D43" s="5" t="s">
        <v>1873</v>
      </c>
      <c r="E43" s="5" t="s">
        <v>301</v>
      </c>
      <c r="F43" s="5" t="str">
        <f t="shared" si="2"/>
        <v>Lee</v>
      </c>
      <c r="G43" s="5" t="s">
        <v>301</v>
      </c>
      <c r="H43" s="6">
        <v>55.5</v>
      </c>
      <c r="I43" s="6">
        <f t="shared" si="3"/>
        <v>55</v>
      </c>
      <c r="J43" s="6">
        <v>55.0</v>
      </c>
      <c r="K43" s="6" t="str">
        <f t="shared" si="4"/>
        <v>Middle Age</v>
      </c>
      <c r="L43" s="6" t="s">
        <v>591</v>
      </c>
      <c r="M43" s="5" t="s">
        <v>105</v>
      </c>
      <c r="N43" s="5" t="str">
        <f t="shared" si="5"/>
        <v>Female</v>
      </c>
      <c r="O43" s="5" t="s">
        <v>105</v>
      </c>
      <c r="P43" s="5" t="s">
        <v>47</v>
      </c>
      <c r="Q43" s="5" t="s">
        <v>418</v>
      </c>
      <c r="R43" s="5" t="s">
        <v>210</v>
      </c>
      <c r="S43" s="5" t="s">
        <v>52</v>
      </c>
      <c r="T43" s="6">
        <v>596.0</v>
      </c>
      <c r="U43" s="5">
        <f t="shared" si="6"/>
        <v>596</v>
      </c>
      <c r="V43" s="5">
        <v>596.0</v>
      </c>
    </row>
    <row r="44" ht="22.5" customHeight="1">
      <c r="A44" s="5" t="s">
        <v>421</v>
      </c>
      <c r="B44" s="5" t="s">
        <v>422</v>
      </c>
      <c r="C44" s="5" t="str">
        <f t="shared" si="1"/>
        <v>Pauline</v>
      </c>
      <c r="D44" s="5" t="s">
        <v>1149</v>
      </c>
      <c r="E44" s="5" t="s">
        <v>374</v>
      </c>
      <c r="F44" s="5" t="str">
        <f t="shared" si="2"/>
        <v>Miller</v>
      </c>
      <c r="G44" s="5" t="s">
        <v>374</v>
      </c>
      <c r="H44" s="6">
        <v>62.0</v>
      </c>
      <c r="I44" s="6">
        <f t="shared" si="3"/>
        <v>62</v>
      </c>
      <c r="J44" s="6">
        <v>62.0</v>
      </c>
      <c r="K44" s="6" t="str">
        <f t="shared" si="4"/>
        <v>Senior</v>
      </c>
      <c r="L44" s="6" t="s">
        <v>734</v>
      </c>
      <c r="M44" s="5" t="s">
        <v>105</v>
      </c>
      <c r="N44" s="5" t="str">
        <f t="shared" si="5"/>
        <v>Female</v>
      </c>
      <c r="O44" s="5" t="s">
        <v>105</v>
      </c>
      <c r="P44" s="5" t="s">
        <v>237</v>
      </c>
      <c r="Q44" s="5" t="s">
        <v>489</v>
      </c>
      <c r="R44" s="5" t="s">
        <v>179</v>
      </c>
      <c r="S44" s="5" t="s">
        <v>97</v>
      </c>
      <c r="T44" s="6">
        <v>4542.0</v>
      </c>
      <c r="U44" s="5">
        <f t="shared" si="6"/>
        <v>4542</v>
      </c>
      <c r="V44" s="5">
        <v>4542.0</v>
      </c>
    </row>
    <row r="45" ht="22.5" customHeight="1">
      <c r="A45" s="5" t="s">
        <v>426</v>
      </c>
      <c r="B45" s="5" t="s">
        <v>136</v>
      </c>
      <c r="C45" s="5" t="str">
        <f t="shared" si="1"/>
        <v>Alice</v>
      </c>
      <c r="D45" s="5" t="s">
        <v>136</v>
      </c>
      <c r="E45" s="5" t="s">
        <v>428</v>
      </c>
      <c r="F45" s="5" t="str">
        <f t="shared" si="2"/>
        <v>Bush</v>
      </c>
      <c r="G45" s="5" t="s">
        <v>428</v>
      </c>
      <c r="H45" s="6">
        <v>41.0</v>
      </c>
      <c r="I45" s="6">
        <f t="shared" si="3"/>
        <v>41</v>
      </c>
      <c r="J45" s="6">
        <v>41.0</v>
      </c>
      <c r="K45" s="6" t="str">
        <f t="shared" si="4"/>
        <v>Middle Age</v>
      </c>
      <c r="L45" s="6" t="s">
        <v>591</v>
      </c>
      <c r="M45" s="5" t="s">
        <v>28</v>
      </c>
      <c r="N45" s="5" t="str">
        <f t="shared" si="5"/>
        <v>Female</v>
      </c>
      <c r="O45" s="5" t="s">
        <v>105</v>
      </c>
      <c r="P45" s="5" t="s">
        <v>47</v>
      </c>
      <c r="Q45" s="5" t="s">
        <v>439</v>
      </c>
      <c r="R45" s="5" t="s">
        <v>210</v>
      </c>
      <c r="S45" s="5" t="s">
        <v>559</v>
      </c>
      <c r="T45" s="6">
        <v>1126.0</v>
      </c>
      <c r="U45" s="5">
        <f t="shared" si="6"/>
        <v>1126</v>
      </c>
      <c r="V45" s="5">
        <v>1126.0</v>
      </c>
    </row>
    <row r="46" ht="22.5" customHeight="1">
      <c r="A46" s="5" t="s">
        <v>431</v>
      </c>
      <c r="B46" s="5" t="s">
        <v>432</v>
      </c>
      <c r="C46" s="5" t="str">
        <f t="shared" si="1"/>
        <v>Keith</v>
      </c>
      <c r="D46" s="5" t="s">
        <v>1525</v>
      </c>
      <c r="E46" s="5" t="s">
        <v>433</v>
      </c>
      <c r="F46" s="5" t="str">
        <f t="shared" si="2"/>
        <v>Volkov</v>
      </c>
      <c r="G46" s="5" t="s">
        <v>433</v>
      </c>
      <c r="H46" s="6">
        <v>80.0</v>
      </c>
      <c r="I46" s="6">
        <f t="shared" si="3"/>
        <v>80</v>
      </c>
      <c r="J46" s="6">
        <v>80.0</v>
      </c>
      <c r="K46" s="6" t="str">
        <f t="shared" si="4"/>
        <v>Senior</v>
      </c>
      <c r="L46" s="6" t="s">
        <v>734</v>
      </c>
      <c r="M46" s="5" t="s">
        <v>130</v>
      </c>
      <c r="N46" s="5" t="str">
        <f t="shared" si="5"/>
        <v>Male</v>
      </c>
      <c r="O46" s="5" t="s">
        <v>152</v>
      </c>
      <c r="P46" s="5" t="s">
        <v>393</v>
      </c>
      <c r="Q46" s="5" t="s">
        <v>436</v>
      </c>
      <c r="R46" s="5" t="s">
        <v>561</v>
      </c>
      <c r="S46" s="5" t="s">
        <v>97</v>
      </c>
      <c r="T46" s="6">
        <v>3207.0</v>
      </c>
      <c r="U46" s="5">
        <f t="shared" si="6"/>
        <v>3207</v>
      </c>
      <c r="V46" s="5">
        <v>3207.0</v>
      </c>
    </row>
    <row r="47" ht="22.5" customHeight="1">
      <c r="A47" s="5" t="s">
        <v>438</v>
      </c>
      <c r="B47" s="5" t="s">
        <v>171</v>
      </c>
      <c r="C47" s="5" t="str">
        <f t="shared" si="1"/>
        <v>Frank</v>
      </c>
      <c r="D47" s="5" t="s">
        <v>171</v>
      </c>
      <c r="E47" s="5" t="s">
        <v>76</v>
      </c>
      <c r="F47" s="5" t="str">
        <f t="shared" si="2"/>
        <v>Brown</v>
      </c>
      <c r="G47" s="5" t="s">
        <v>76</v>
      </c>
      <c r="H47" s="6">
        <v>75.0</v>
      </c>
      <c r="I47" s="6">
        <f t="shared" si="3"/>
        <v>75</v>
      </c>
      <c r="J47" s="6">
        <v>75.0</v>
      </c>
      <c r="K47" s="6" t="str">
        <f t="shared" si="4"/>
        <v>Senior</v>
      </c>
      <c r="L47" s="6" t="s">
        <v>734</v>
      </c>
      <c r="M47" s="5" t="s">
        <v>152</v>
      </c>
      <c r="N47" s="5" t="str">
        <f t="shared" si="5"/>
        <v>Male</v>
      </c>
      <c r="O47" s="5" t="s">
        <v>152</v>
      </c>
      <c r="P47" s="5" t="s">
        <v>401</v>
      </c>
      <c r="Q47" s="5" t="s">
        <v>439</v>
      </c>
      <c r="R47" s="5" t="s">
        <v>210</v>
      </c>
      <c r="S47" s="5" t="s">
        <v>97</v>
      </c>
      <c r="T47" s="6">
        <v>825.0</v>
      </c>
      <c r="U47" s="5">
        <f t="shared" si="6"/>
        <v>825</v>
      </c>
      <c r="V47" s="5">
        <v>825.0</v>
      </c>
    </row>
    <row r="48" ht="22.5" customHeight="1">
      <c r="A48" s="5" t="s">
        <v>443</v>
      </c>
      <c r="B48" s="5" t="s">
        <v>444</v>
      </c>
      <c r="C48" s="5" t="str">
        <f t="shared" si="1"/>
        <v>William</v>
      </c>
      <c r="D48" s="5" t="s">
        <v>2008</v>
      </c>
      <c r="E48" s="5" t="s">
        <v>90</v>
      </c>
      <c r="F48" s="5" t="str">
        <f t="shared" si="2"/>
        <v>Davis</v>
      </c>
      <c r="G48" s="5" t="s">
        <v>90</v>
      </c>
      <c r="H48" s="6">
        <v>74.0</v>
      </c>
      <c r="I48" s="6">
        <f t="shared" si="3"/>
        <v>74</v>
      </c>
      <c r="J48" s="6">
        <v>74.0</v>
      </c>
      <c r="K48" s="6" t="str">
        <f t="shared" si="4"/>
        <v>Senior</v>
      </c>
      <c r="L48" s="6" t="s">
        <v>734</v>
      </c>
      <c r="M48" s="5" t="s">
        <v>130</v>
      </c>
      <c r="N48" s="5" t="str">
        <f t="shared" si="5"/>
        <v>Male</v>
      </c>
      <c r="O48" s="5" t="s">
        <v>152</v>
      </c>
      <c r="P48" s="5" t="s">
        <v>176</v>
      </c>
      <c r="Q48" s="5" t="s">
        <v>311</v>
      </c>
      <c r="R48" s="5" t="s">
        <v>546</v>
      </c>
      <c r="S48" s="5" t="s">
        <v>97</v>
      </c>
      <c r="T48" s="6">
        <v>1751.0</v>
      </c>
      <c r="U48" s="5">
        <f t="shared" si="6"/>
        <v>1751</v>
      </c>
      <c r="V48" s="5">
        <v>1751.0</v>
      </c>
    </row>
    <row r="49" ht="22.5" customHeight="1">
      <c r="A49" s="5" t="s">
        <v>450</v>
      </c>
      <c r="B49" s="5" t="s">
        <v>158</v>
      </c>
      <c r="C49" s="5" t="str">
        <f t="shared" si="1"/>
        <v>Eva</v>
      </c>
      <c r="D49" s="5" t="s">
        <v>158</v>
      </c>
      <c r="E49" s="5" t="s">
        <v>363</v>
      </c>
      <c r="F49" s="5" t="str">
        <f t="shared" si="2"/>
        <v>Smith</v>
      </c>
      <c r="G49" s="5" t="s">
        <v>363</v>
      </c>
      <c r="H49" s="6">
        <v>68.0</v>
      </c>
      <c r="I49" s="6">
        <f t="shared" si="3"/>
        <v>68</v>
      </c>
      <c r="J49" s="6">
        <v>68.0</v>
      </c>
      <c r="K49" s="6" t="str">
        <f t="shared" si="4"/>
        <v>Senior</v>
      </c>
      <c r="L49" s="6" t="s">
        <v>734</v>
      </c>
      <c r="M49" s="5" t="s">
        <v>45</v>
      </c>
      <c r="N49" s="5" t="str">
        <f t="shared" si="5"/>
        <v>Female</v>
      </c>
      <c r="O49" s="5" t="s">
        <v>105</v>
      </c>
      <c r="P49" s="5" t="s">
        <v>401</v>
      </c>
      <c r="Q49" s="5" t="s">
        <v>230</v>
      </c>
      <c r="R49" s="5" t="s">
        <v>452</v>
      </c>
      <c r="S49" s="5" t="s">
        <v>97</v>
      </c>
      <c r="T49" s="6">
        <v>4316.0</v>
      </c>
      <c r="U49" s="5">
        <f t="shared" si="6"/>
        <v>4316</v>
      </c>
      <c r="V49" s="5">
        <v>4316.0</v>
      </c>
    </row>
    <row r="50" ht="22.5" customHeight="1">
      <c r="A50" s="5" t="s">
        <v>455</v>
      </c>
      <c r="B50" s="5" t="s">
        <v>456</v>
      </c>
      <c r="C50" s="5" t="str">
        <f t="shared" si="1"/>
        <v>Tina</v>
      </c>
      <c r="D50" s="5" t="s">
        <v>898</v>
      </c>
      <c r="E50" s="5" t="s">
        <v>458</v>
      </c>
      <c r="F50" s="5" t="str">
        <f t="shared" si="2"/>
        <v>Smirnov</v>
      </c>
      <c r="G50" s="5" t="s">
        <v>458</v>
      </c>
      <c r="H50" s="6">
        <v>76.0</v>
      </c>
      <c r="I50" s="6">
        <f t="shared" si="3"/>
        <v>76</v>
      </c>
      <c r="J50" s="6">
        <v>76.0</v>
      </c>
      <c r="K50" s="6" t="str">
        <f t="shared" si="4"/>
        <v>Senior</v>
      </c>
      <c r="L50" s="6" t="s">
        <v>734</v>
      </c>
      <c r="M50" s="5" t="s">
        <v>105</v>
      </c>
      <c r="N50" s="5" t="str">
        <f t="shared" si="5"/>
        <v>Female</v>
      </c>
      <c r="O50" s="5" t="s">
        <v>105</v>
      </c>
      <c r="P50" s="5" t="s">
        <v>364</v>
      </c>
      <c r="Q50" s="5" t="s">
        <v>230</v>
      </c>
      <c r="R50" s="5" t="s">
        <v>452</v>
      </c>
      <c r="S50" s="5" t="s">
        <v>97</v>
      </c>
      <c r="T50" s="6">
        <v>4999.0</v>
      </c>
      <c r="U50" s="5">
        <f t="shared" si="6"/>
        <v>4999</v>
      </c>
      <c r="V50" s="5">
        <v>4999.0</v>
      </c>
    </row>
    <row r="51" ht="22.5" customHeight="1">
      <c r="A51" s="5" t="s">
        <v>467</v>
      </c>
      <c r="B51" s="5" t="s">
        <v>468</v>
      </c>
      <c r="C51" s="5" t="str">
        <f t="shared" si="1"/>
        <v>Dale</v>
      </c>
      <c r="D51" s="5" t="s">
        <v>1875</v>
      </c>
      <c r="E51" s="5" t="s">
        <v>469</v>
      </c>
      <c r="F51" s="5" t="str">
        <f t="shared" si="2"/>
        <v>Perez</v>
      </c>
      <c r="G51" s="5" t="s">
        <v>469</v>
      </c>
      <c r="H51" s="6">
        <v>65.0</v>
      </c>
      <c r="I51" s="6">
        <f t="shared" si="3"/>
        <v>65</v>
      </c>
      <c r="J51" s="6">
        <v>65.0</v>
      </c>
      <c r="K51" s="6" t="str">
        <f t="shared" si="4"/>
        <v>Senior</v>
      </c>
      <c r="L51" s="6" t="s">
        <v>734</v>
      </c>
      <c r="M51" s="5" t="s">
        <v>152</v>
      </c>
      <c r="N51" s="5" t="str">
        <f t="shared" si="5"/>
        <v>Male</v>
      </c>
      <c r="O51" s="5" t="s">
        <v>152</v>
      </c>
      <c r="P51" s="5" t="s">
        <v>208</v>
      </c>
      <c r="Q51" s="5" t="s">
        <v>470</v>
      </c>
      <c r="R51" s="5" t="s">
        <v>96</v>
      </c>
      <c r="S51" s="5" t="s">
        <v>97</v>
      </c>
      <c r="T51" s="6">
        <v>1309.0</v>
      </c>
      <c r="U51" s="5">
        <f t="shared" si="6"/>
        <v>1309</v>
      </c>
      <c r="V51" s="5">
        <v>1309.0</v>
      </c>
    </row>
    <row r="52" ht="22.5" customHeight="1">
      <c r="A52" s="5" t="s">
        <v>472</v>
      </c>
      <c r="B52" s="5" t="s">
        <v>473</v>
      </c>
      <c r="C52" s="5" t="str">
        <f t="shared" si="1"/>
        <v>Ailce</v>
      </c>
      <c r="D52" s="5" t="s">
        <v>473</v>
      </c>
      <c r="E52" s="5" t="s">
        <v>474</v>
      </c>
      <c r="F52" s="5" t="str">
        <f t="shared" si="2"/>
        <v>Wiliams</v>
      </c>
      <c r="G52" s="5" t="s">
        <v>474</v>
      </c>
      <c r="H52" s="6">
        <v>64.0</v>
      </c>
      <c r="I52" s="6">
        <f t="shared" si="3"/>
        <v>64</v>
      </c>
      <c r="J52" s="6">
        <v>64.0</v>
      </c>
      <c r="K52" s="6" t="str">
        <f t="shared" si="4"/>
        <v>Senior</v>
      </c>
      <c r="L52" s="6" t="s">
        <v>734</v>
      </c>
      <c r="M52" s="5" t="s">
        <v>28</v>
      </c>
      <c r="N52" s="5" t="str">
        <f t="shared" si="5"/>
        <v>Female</v>
      </c>
      <c r="O52" s="5" t="s">
        <v>105</v>
      </c>
      <c r="P52" s="5" t="s">
        <v>237</v>
      </c>
      <c r="Q52" s="5" t="s">
        <v>482</v>
      </c>
      <c r="R52" s="5" t="s">
        <v>179</v>
      </c>
      <c r="S52" s="5" t="s">
        <v>97</v>
      </c>
      <c r="T52" s="6">
        <v>3805.0</v>
      </c>
      <c r="U52" s="5">
        <f t="shared" si="6"/>
        <v>3805</v>
      </c>
      <c r="V52" s="5">
        <v>3805.0</v>
      </c>
    </row>
    <row r="53" ht="22.5" customHeight="1">
      <c r="A53" s="5" t="s">
        <v>479</v>
      </c>
      <c r="B53" s="5" t="s">
        <v>127</v>
      </c>
      <c r="C53" s="5" t="str">
        <f t="shared" si="1"/>
        <v>John</v>
      </c>
      <c r="D53" s="5" t="s">
        <v>127</v>
      </c>
      <c r="E53" s="5" t="s">
        <v>90</v>
      </c>
      <c r="F53" s="5" t="str">
        <f t="shared" si="2"/>
        <v>Davis</v>
      </c>
      <c r="G53" s="5" t="s">
        <v>90</v>
      </c>
      <c r="H53" s="6">
        <v>27.0</v>
      </c>
      <c r="I53" s="6">
        <f t="shared" si="3"/>
        <v>27</v>
      </c>
      <c r="J53" s="6">
        <v>27.0</v>
      </c>
      <c r="K53" s="6" t="str">
        <f t="shared" si="4"/>
        <v>Young Adult</v>
      </c>
      <c r="L53" s="6" t="s">
        <v>528</v>
      </c>
      <c r="M53" s="5" t="s">
        <v>80</v>
      </c>
      <c r="N53" s="5" t="str">
        <f t="shared" si="5"/>
        <v>Male</v>
      </c>
      <c r="O53" s="5" t="s">
        <v>152</v>
      </c>
      <c r="P53" s="5" t="s">
        <v>30</v>
      </c>
      <c r="Q53" s="5" t="s">
        <v>482</v>
      </c>
      <c r="R53" s="5" t="s">
        <v>179</v>
      </c>
      <c r="S53" s="5" t="s">
        <v>222</v>
      </c>
      <c r="T53" s="6">
        <v>4065.0</v>
      </c>
      <c r="U53" s="5">
        <f t="shared" si="6"/>
        <v>4065</v>
      </c>
      <c r="V53" s="5">
        <v>4065.0</v>
      </c>
    </row>
    <row r="54" ht="22.5" customHeight="1">
      <c r="A54" s="5" t="s">
        <v>484</v>
      </c>
      <c r="B54" s="5" t="s">
        <v>486</v>
      </c>
      <c r="C54" s="5" t="str">
        <f t="shared" si="1"/>
        <v>Michelle</v>
      </c>
      <c r="D54" s="5" t="s">
        <v>620</v>
      </c>
      <c r="E54" s="5" t="s">
        <v>487</v>
      </c>
      <c r="F54" s="5" t="str">
        <f t="shared" si="2"/>
        <v>Johnson</v>
      </c>
      <c r="G54" s="5" t="s">
        <v>148</v>
      </c>
      <c r="H54" s="6">
        <v>77.0</v>
      </c>
      <c r="I54" s="6">
        <f t="shared" si="3"/>
        <v>77</v>
      </c>
      <c r="J54" s="6">
        <v>77.0</v>
      </c>
      <c r="K54" s="6" t="str">
        <f t="shared" si="4"/>
        <v>Senior</v>
      </c>
      <c r="L54" s="6" t="s">
        <v>734</v>
      </c>
      <c r="M54" s="5" t="s">
        <v>105</v>
      </c>
      <c r="N54" s="5" t="str">
        <f t="shared" si="5"/>
        <v>Female</v>
      </c>
      <c r="O54" s="5" t="s">
        <v>105</v>
      </c>
      <c r="P54" s="5" t="s">
        <v>64</v>
      </c>
      <c r="Q54" s="5" t="s">
        <v>489</v>
      </c>
      <c r="R54" s="5" t="s">
        <v>179</v>
      </c>
      <c r="S54" s="5" t="s">
        <v>97</v>
      </c>
      <c r="T54" s="6">
        <v>3502.0</v>
      </c>
      <c r="U54" s="5">
        <f t="shared" si="6"/>
        <v>3502</v>
      </c>
      <c r="V54" s="5">
        <v>3502.0</v>
      </c>
    </row>
    <row r="55" ht="22.5" customHeight="1">
      <c r="A55" s="5" t="s">
        <v>493</v>
      </c>
      <c r="B55" s="5" t="s">
        <v>171</v>
      </c>
      <c r="C55" s="5" t="str">
        <f t="shared" si="1"/>
        <v>Frank</v>
      </c>
      <c r="D55" s="5" t="s">
        <v>171</v>
      </c>
      <c r="E55" s="5" t="s">
        <v>495</v>
      </c>
      <c r="F55" s="5" t="str">
        <f t="shared" si="2"/>
        <v>Sharp</v>
      </c>
      <c r="G55" s="5" t="s">
        <v>495</v>
      </c>
      <c r="H55" s="6">
        <v>41.5</v>
      </c>
      <c r="I55" s="6">
        <f t="shared" si="3"/>
        <v>41</v>
      </c>
      <c r="J55" s="6">
        <v>41.0</v>
      </c>
      <c r="K55" s="6" t="str">
        <f t="shared" si="4"/>
        <v>Middle Age</v>
      </c>
      <c r="L55" s="6" t="s">
        <v>591</v>
      </c>
      <c r="M55" s="5" t="s">
        <v>130</v>
      </c>
      <c r="N55" s="5" t="str">
        <f t="shared" si="5"/>
        <v>Male</v>
      </c>
      <c r="O55" s="5" t="s">
        <v>152</v>
      </c>
      <c r="P55" s="5" t="s">
        <v>81</v>
      </c>
      <c r="Q55" s="5" t="s">
        <v>1290</v>
      </c>
      <c r="R55" s="5" t="s">
        <v>533</v>
      </c>
      <c r="S55" s="5" t="s">
        <v>211</v>
      </c>
      <c r="T55" s="6">
        <v>1567.0</v>
      </c>
      <c r="U55" s="5">
        <f t="shared" si="6"/>
        <v>1567</v>
      </c>
      <c r="V55" s="5">
        <v>1567.0</v>
      </c>
    </row>
    <row r="56" ht="22.5" customHeight="1">
      <c r="A56" s="5" t="s">
        <v>502</v>
      </c>
      <c r="B56" s="5" t="s">
        <v>503</v>
      </c>
      <c r="C56" s="5" t="str">
        <f t="shared" si="1"/>
        <v>Melanie</v>
      </c>
      <c r="D56" s="5" t="s">
        <v>2259</v>
      </c>
      <c r="E56" s="5" t="s">
        <v>148</v>
      </c>
      <c r="F56" s="5" t="str">
        <f t="shared" si="2"/>
        <v>Johnson</v>
      </c>
      <c r="G56" s="5" t="s">
        <v>148</v>
      </c>
      <c r="H56" s="6">
        <v>63.0</v>
      </c>
      <c r="I56" s="6">
        <f t="shared" si="3"/>
        <v>63</v>
      </c>
      <c r="J56" s="6">
        <v>63.0</v>
      </c>
      <c r="K56" s="6" t="str">
        <f t="shared" si="4"/>
        <v>Senior</v>
      </c>
      <c r="L56" s="6" t="s">
        <v>734</v>
      </c>
      <c r="M56" s="5" t="s">
        <v>28</v>
      </c>
      <c r="N56" s="5" t="str">
        <f t="shared" si="5"/>
        <v>Female</v>
      </c>
      <c r="O56" s="5" t="s">
        <v>105</v>
      </c>
      <c r="P56" s="5" t="s">
        <v>47</v>
      </c>
      <c r="Q56" s="5" t="s">
        <v>164</v>
      </c>
      <c r="R56" s="5" t="s">
        <v>96</v>
      </c>
      <c r="S56" s="5" t="s">
        <v>97</v>
      </c>
      <c r="T56" s="6">
        <v>100.0</v>
      </c>
      <c r="U56" s="5">
        <f t="shared" si="6"/>
        <v>100</v>
      </c>
      <c r="V56" s="5">
        <v>100.0</v>
      </c>
    </row>
    <row r="57" ht="22.5" customHeight="1">
      <c r="A57" s="5" t="s">
        <v>507</v>
      </c>
      <c r="B57" s="5" t="s">
        <v>416</v>
      </c>
      <c r="C57" s="5" t="str">
        <f t="shared" si="1"/>
        <v>Katherine</v>
      </c>
      <c r="D57" s="5" t="s">
        <v>1873</v>
      </c>
      <c r="E57" s="5" t="s">
        <v>352</v>
      </c>
      <c r="F57" s="5" t="str">
        <f t="shared" si="2"/>
        <v>Kim</v>
      </c>
      <c r="G57" s="5" t="s">
        <v>352</v>
      </c>
      <c r="H57" s="6">
        <v>60.0</v>
      </c>
      <c r="I57" s="6">
        <f t="shared" si="3"/>
        <v>60</v>
      </c>
      <c r="J57" s="6">
        <v>60.0</v>
      </c>
      <c r="K57" s="6" t="str">
        <f t="shared" si="4"/>
        <v>Middle Age</v>
      </c>
      <c r="L57" s="6" t="s">
        <v>591</v>
      </c>
      <c r="M57" s="5" t="s">
        <v>130</v>
      </c>
      <c r="N57" s="5" t="str">
        <f t="shared" si="5"/>
        <v>Male</v>
      </c>
      <c r="O57" s="5" t="s">
        <v>152</v>
      </c>
      <c r="P57" s="5" t="s">
        <v>47</v>
      </c>
      <c r="Q57" s="5" t="s">
        <v>637</v>
      </c>
      <c r="R57" s="5" t="s">
        <v>546</v>
      </c>
      <c r="S57" s="5" t="s">
        <v>211</v>
      </c>
      <c r="T57" s="6">
        <v>2538.0</v>
      </c>
      <c r="U57" s="5">
        <f t="shared" si="6"/>
        <v>2538</v>
      </c>
      <c r="V57" s="5">
        <v>2538.0</v>
      </c>
    </row>
    <row r="58" ht="22.5" customHeight="1">
      <c r="A58" s="5" t="s">
        <v>513</v>
      </c>
      <c r="B58" s="5" t="s">
        <v>422</v>
      </c>
      <c r="C58" s="5" t="str">
        <f t="shared" si="1"/>
        <v>Pauline</v>
      </c>
      <c r="D58" s="5" t="s">
        <v>1149</v>
      </c>
      <c r="E58" s="5" t="s">
        <v>515</v>
      </c>
      <c r="F58" s="5" t="str">
        <f t="shared" si="2"/>
        <v>Ng</v>
      </c>
      <c r="G58" s="5" t="s">
        <v>515</v>
      </c>
      <c r="H58" s="6">
        <v>46.0</v>
      </c>
      <c r="I58" s="6">
        <f t="shared" si="3"/>
        <v>46</v>
      </c>
      <c r="J58" s="6">
        <v>46.0</v>
      </c>
      <c r="K58" s="6" t="str">
        <f t="shared" si="4"/>
        <v>Middle Age</v>
      </c>
      <c r="L58" s="6" t="s">
        <v>591</v>
      </c>
      <c r="M58" s="5" t="s">
        <v>80</v>
      </c>
      <c r="N58" s="5" t="str">
        <f t="shared" si="5"/>
        <v>Male</v>
      </c>
      <c r="O58" s="5" t="s">
        <v>152</v>
      </c>
      <c r="P58" s="5" t="s">
        <v>256</v>
      </c>
      <c r="Q58" s="5" t="s">
        <v>551</v>
      </c>
      <c r="R58" s="5" t="s">
        <v>83</v>
      </c>
      <c r="S58" s="5" t="s">
        <v>222</v>
      </c>
      <c r="T58" s="6">
        <v>1705.0</v>
      </c>
      <c r="U58" s="5">
        <f t="shared" si="6"/>
        <v>1705</v>
      </c>
      <c r="V58" s="5">
        <v>1705.0</v>
      </c>
    </row>
    <row r="59" ht="22.5" customHeight="1">
      <c r="A59" s="5" t="s">
        <v>519</v>
      </c>
      <c r="B59" s="5" t="s">
        <v>127</v>
      </c>
      <c r="C59" s="5" t="str">
        <f t="shared" si="1"/>
        <v>John</v>
      </c>
      <c r="D59" s="5" t="s">
        <v>127</v>
      </c>
      <c r="E59" s="5" t="s">
        <v>520</v>
      </c>
      <c r="F59" s="5" t="str">
        <f t="shared" si="2"/>
        <v>Jones</v>
      </c>
      <c r="G59" s="5" t="s">
        <v>556</v>
      </c>
      <c r="H59" s="6">
        <v>53.0</v>
      </c>
      <c r="I59" s="6">
        <f t="shared" si="3"/>
        <v>53</v>
      </c>
      <c r="J59" s="6">
        <v>53.0</v>
      </c>
      <c r="K59" s="6" t="str">
        <f t="shared" si="4"/>
        <v>Middle Age</v>
      </c>
      <c r="L59" s="6" t="s">
        <v>591</v>
      </c>
      <c r="M59" s="5" t="s">
        <v>80</v>
      </c>
      <c r="N59" s="5" t="str">
        <f t="shared" si="5"/>
        <v>Male</v>
      </c>
      <c r="O59" s="5" t="s">
        <v>152</v>
      </c>
      <c r="P59" s="5" t="s">
        <v>393</v>
      </c>
      <c r="Q59" s="5" t="s">
        <v>277</v>
      </c>
      <c r="R59" s="5" t="s">
        <v>402</v>
      </c>
      <c r="S59" s="5" t="s">
        <v>52</v>
      </c>
      <c r="T59" s="6">
        <v>3009.0</v>
      </c>
      <c r="U59" s="5">
        <f t="shared" si="6"/>
        <v>3009</v>
      </c>
      <c r="V59" s="5">
        <v>3009.0</v>
      </c>
    </row>
    <row r="60" ht="22.5" customHeight="1">
      <c r="A60" s="5" t="s">
        <v>524</v>
      </c>
      <c r="B60" s="5" t="s">
        <v>343</v>
      </c>
      <c r="C60" s="5" t="str">
        <f t="shared" si="1"/>
        <v>Bob</v>
      </c>
      <c r="D60" s="5" t="s">
        <v>343</v>
      </c>
      <c r="E60" s="5" t="s">
        <v>526</v>
      </c>
      <c r="F60" s="5" t="str">
        <f t="shared" si="2"/>
        <v>Davidson</v>
      </c>
      <c r="G60" s="5" t="s">
        <v>526</v>
      </c>
      <c r="H60" s="6">
        <v>74.0</v>
      </c>
      <c r="I60" s="6">
        <f t="shared" si="3"/>
        <v>74</v>
      </c>
      <c r="J60" s="6">
        <v>74.0</v>
      </c>
      <c r="K60" s="6" t="str">
        <f t="shared" si="4"/>
        <v>Senior</v>
      </c>
      <c r="L60" s="6" t="s">
        <v>734</v>
      </c>
      <c r="M60" s="5" t="s">
        <v>152</v>
      </c>
      <c r="N60" s="5" t="str">
        <f t="shared" si="5"/>
        <v>Male</v>
      </c>
      <c r="O60" s="5" t="s">
        <v>152</v>
      </c>
      <c r="P60" s="5" t="s">
        <v>309</v>
      </c>
      <c r="Q60" s="5" t="s">
        <v>489</v>
      </c>
      <c r="R60" s="5" t="s">
        <v>179</v>
      </c>
      <c r="S60" s="5" t="s">
        <v>97</v>
      </c>
      <c r="T60" s="6">
        <v>2920.0</v>
      </c>
      <c r="U60" s="5">
        <f t="shared" si="6"/>
        <v>2920</v>
      </c>
      <c r="V60" s="5">
        <v>2920.0</v>
      </c>
    </row>
    <row r="61" ht="22.5" customHeight="1">
      <c r="A61" s="5" t="s">
        <v>530</v>
      </c>
      <c r="B61" s="5" t="s">
        <v>531</v>
      </c>
      <c r="C61" s="5" t="str">
        <f t="shared" si="1"/>
        <v>Vanessa</v>
      </c>
      <c r="D61" s="5" t="s">
        <v>1945</v>
      </c>
      <c r="E61" s="5" t="s">
        <v>76</v>
      </c>
      <c r="F61" s="5" t="str">
        <f t="shared" si="2"/>
        <v>Brown</v>
      </c>
      <c r="G61" s="5" t="s">
        <v>76</v>
      </c>
      <c r="H61" s="6">
        <v>80.0</v>
      </c>
      <c r="I61" s="6">
        <f t="shared" si="3"/>
        <v>80</v>
      </c>
      <c r="J61" s="6">
        <v>80.0</v>
      </c>
      <c r="K61" s="6" t="str">
        <f t="shared" si="4"/>
        <v>Senior</v>
      </c>
      <c r="L61" s="6" t="s">
        <v>734</v>
      </c>
      <c r="M61" s="5" t="s">
        <v>45</v>
      </c>
      <c r="N61" s="5" t="str">
        <f t="shared" si="5"/>
        <v>Female</v>
      </c>
      <c r="O61" s="5" t="s">
        <v>105</v>
      </c>
      <c r="P61" s="5" t="s">
        <v>81</v>
      </c>
      <c r="Q61" s="5" t="s">
        <v>1290</v>
      </c>
      <c r="R61" s="5" t="s">
        <v>533</v>
      </c>
      <c r="S61" s="5" t="s">
        <v>97</v>
      </c>
      <c r="T61" s="6">
        <v>1124.0</v>
      </c>
      <c r="U61" s="5">
        <f t="shared" si="6"/>
        <v>1124</v>
      </c>
      <c r="V61" s="5">
        <v>1124.0</v>
      </c>
    </row>
    <row r="62" ht="22.5" customHeight="1">
      <c r="A62" s="5" t="s">
        <v>535</v>
      </c>
      <c r="B62" s="5" t="s">
        <v>536</v>
      </c>
      <c r="C62" s="5" t="str">
        <f t="shared" si="1"/>
        <v>Christopher</v>
      </c>
      <c r="D62" s="5" t="s">
        <v>536</v>
      </c>
      <c r="E62" s="5" t="s">
        <v>244</v>
      </c>
      <c r="F62" s="5" t="str">
        <f t="shared" si="2"/>
        <v>Jackson</v>
      </c>
      <c r="G62" s="5" t="s">
        <v>244</v>
      </c>
      <c r="H62" s="8"/>
      <c r="I62" s="8">
        <f t="shared" si="3"/>
        <v>0</v>
      </c>
      <c r="J62" s="8"/>
      <c r="K62" s="8" t="str">
        <f t="shared" si="4"/>
        <v>Unknown</v>
      </c>
      <c r="L62" s="8" t="s">
        <v>1081</v>
      </c>
      <c r="M62" s="5" t="s">
        <v>152</v>
      </c>
      <c r="N62" s="5" t="str">
        <f t="shared" si="5"/>
        <v>Male</v>
      </c>
      <c r="O62" s="5" t="s">
        <v>152</v>
      </c>
      <c r="P62" s="5" t="s">
        <v>539</v>
      </c>
      <c r="Q62" s="5" t="s">
        <v>123</v>
      </c>
      <c r="R62" s="5" t="s">
        <v>83</v>
      </c>
      <c r="S62" s="5" t="s">
        <v>559</v>
      </c>
      <c r="T62" s="6">
        <v>2899.0</v>
      </c>
      <c r="U62" s="5">
        <f t="shared" si="6"/>
        <v>2899</v>
      </c>
      <c r="V62" s="5">
        <v>2899.0</v>
      </c>
    </row>
    <row r="63" ht="22.5" customHeight="1">
      <c r="A63" s="5" t="s">
        <v>541</v>
      </c>
      <c r="B63" s="5" t="s">
        <v>542</v>
      </c>
      <c r="C63" s="5" t="str">
        <f t="shared" si="1"/>
        <v>David</v>
      </c>
      <c r="D63" s="5" t="s">
        <v>542</v>
      </c>
      <c r="E63" s="5" t="s">
        <v>25</v>
      </c>
      <c r="F63" s="5" t="str">
        <f t="shared" si="2"/>
        <v>Garcia</v>
      </c>
      <c r="G63" s="5" t="s">
        <v>25</v>
      </c>
      <c r="H63" s="6">
        <v>86.0</v>
      </c>
      <c r="I63" s="6">
        <f t="shared" si="3"/>
        <v>86</v>
      </c>
      <c r="J63" s="6">
        <v>86.0</v>
      </c>
      <c r="K63" s="6" t="str">
        <f t="shared" si="4"/>
        <v>Senior</v>
      </c>
      <c r="L63" s="6" t="s">
        <v>734</v>
      </c>
      <c r="M63" s="5" t="s">
        <v>80</v>
      </c>
      <c r="N63" s="5" t="str">
        <f t="shared" si="5"/>
        <v>Male</v>
      </c>
      <c r="O63" s="5" t="s">
        <v>152</v>
      </c>
      <c r="P63" s="5" t="s">
        <v>64</v>
      </c>
      <c r="Q63" s="5" t="s">
        <v>637</v>
      </c>
      <c r="R63" s="5" t="s">
        <v>546</v>
      </c>
      <c r="S63" s="5" t="s">
        <v>97</v>
      </c>
      <c r="T63" s="6">
        <v>2231.0</v>
      </c>
      <c r="U63" s="5">
        <f t="shared" si="6"/>
        <v>2231</v>
      </c>
      <c r="V63" s="5">
        <v>2231.0</v>
      </c>
    </row>
    <row r="64" ht="22.5" customHeight="1">
      <c r="A64" s="5" t="s">
        <v>548</v>
      </c>
      <c r="B64" s="5" t="s">
        <v>549</v>
      </c>
      <c r="C64" s="5" t="str">
        <f t="shared" si="1"/>
        <v>Grace#</v>
      </c>
      <c r="D64" s="5" t="s">
        <v>549</v>
      </c>
      <c r="E64" s="5" t="s">
        <v>363</v>
      </c>
      <c r="F64" s="5" t="str">
        <f t="shared" si="2"/>
        <v>Smith</v>
      </c>
      <c r="G64" s="5" t="s">
        <v>363</v>
      </c>
      <c r="H64" s="6">
        <v>84.0</v>
      </c>
      <c r="I64" s="6">
        <f t="shared" si="3"/>
        <v>84</v>
      </c>
      <c r="J64" s="6">
        <v>84.0</v>
      </c>
      <c r="K64" s="6" t="str">
        <f t="shared" si="4"/>
        <v>Senior</v>
      </c>
      <c r="L64" s="6" t="s">
        <v>734</v>
      </c>
      <c r="M64" s="5" t="s">
        <v>45</v>
      </c>
      <c r="N64" s="5" t="str">
        <f t="shared" si="5"/>
        <v>Female</v>
      </c>
      <c r="O64" s="5" t="s">
        <v>105</v>
      </c>
      <c r="P64" s="5" t="s">
        <v>237</v>
      </c>
      <c r="Q64" s="5" t="s">
        <v>551</v>
      </c>
      <c r="R64" s="5" t="s">
        <v>83</v>
      </c>
      <c r="S64" s="5" t="s">
        <v>97</v>
      </c>
      <c r="T64" s="6">
        <v>2560.0</v>
      </c>
      <c r="U64" s="5">
        <f t="shared" si="6"/>
        <v>2560</v>
      </c>
      <c r="V64" s="5">
        <v>2560.0</v>
      </c>
    </row>
    <row r="65" ht="22.5" customHeight="1">
      <c r="A65" s="5" t="s">
        <v>554</v>
      </c>
      <c r="B65" s="5" t="s">
        <v>555</v>
      </c>
      <c r="C65" s="5" t="str">
        <f t="shared" si="1"/>
        <v>Grace</v>
      </c>
      <c r="D65" s="5" t="s">
        <v>368</v>
      </c>
      <c r="E65" s="5" t="s">
        <v>556</v>
      </c>
      <c r="F65" s="5" t="str">
        <f t="shared" si="2"/>
        <v>Jones</v>
      </c>
      <c r="G65" s="5" t="s">
        <v>556</v>
      </c>
      <c r="H65" s="6">
        <v>82.0</v>
      </c>
      <c r="I65" s="6">
        <f t="shared" si="3"/>
        <v>82</v>
      </c>
      <c r="J65" s="6">
        <v>82.0</v>
      </c>
      <c r="K65" s="6" t="str">
        <f t="shared" si="4"/>
        <v>Senior</v>
      </c>
      <c r="L65" s="6" t="s">
        <v>734</v>
      </c>
      <c r="M65" s="5" t="s">
        <v>28</v>
      </c>
      <c r="N65" s="5" t="str">
        <f t="shared" si="5"/>
        <v>Female</v>
      </c>
      <c r="O65" s="5" t="s">
        <v>105</v>
      </c>
      <c r="P65" s="5" t="s">
        <v>401</v>
      </c>
      <c r="Q65" s="5" t="s">
        <v>436</v>
      </c>
      <c r="R65" s="5" t="s">
        <v>561</v>
      </c>
      <c r="S65" s="5" t="s">
        <v>97</v>
      </c>
      <c r="T65" s="6">
        <v>3039.0</v>
      </c>
      <c r="U65" s="5">
        <f t="shared" si="6"/>
        <v>3039</v>
      </c>
      <c r="V65" s="5">
        <v>3039.0</v>
      </c>
    </row>
    <row r="66" ht="22.5" customHeight="1">
      <c r="A66" s="5" t="s">
        <v>563</v>
      </c>
      <c r="B66" s="5" t="s">
        <v>411</v>
      </c>
      <c r="C66" s="5" t="str">
        <f t="shared" si="1"/>
        <v>Jane</v>
      </c>
      <c r="D66" s="5" t="s">
        <v>411</v>
      </c>
      <c r="E66" s="5" t="s">
        <v>128</v>
      </c>
      <c r="F66" s="5" t="str">
        <f t="shared" si="2"/>
        <v>Rodriguez</v>
      </c>
      <c r="G66" s="5" t="s">
        <v>128</v>
      </c>
      <c r="H66" s="6">
        <v>22.0</v>
      </c>
      <c r="I66" s="6">
        <f t="shared" si="3"/>
        <v>22</v>
      </c>
      <c r="J66" s="6">
        <v>22.0</v>
      </c>
      <c r="K66" s="6" t="str">
        <f t="shared" si="4"/>
        <v>Young Adult</v>
      </c>
      <c r="L66" s="6" t="s">
        <v>528</v>
      </c>
      <c r="M66" s="5" t="s">
        <v>105</v>
      </c>
      <c r="N66" s="5" t="str">
        <f t="shared" si="5"/>
        <v>Female</v>
      </c>
      <c r="O66" s="5" t="s">
        <v>105</v>
      </c>
      <c r="P66" s="5" t="s">
        <v>256</v>
      </c>
      <c r="Q66" s="5" t="s">
        <v>576</v>
      </c>
      <c r="R66" s="5" t="s">
        <v>607</v>
      </c>
      <c r="S66" s="5" t="s">
        <v>222</v>
      </c>
      <c r="T66" s="6">
        <v>2552.0</v>
      </c>
      <c r="U66" s="5">
        <f t="shared" si="6"/>
        <v>2552</v>
      </c>
      <c r="V66" s="5">
        <v>2552.0</v>
      </c>
    </row>
    <row r="67" ht="22.5" customHeight="1">
      <c r="A67" s="5" t="s">
        <v>568</v>
      </c>
      <c r="B67" s="5" t="s">
        <v>569</v>
      </c>
      <c r="C67" s="5" t="str">
        <f t="shared" si="1"/>
        <v>Daniella</v>
      </c>
      <c r="D67" s="5" t="s">
        <v>2589</v>
      </c>
      <c r="E67" s="5" t="s">
        <v>76</v>
      </c>
      <c r="F67" s="5" t="str">
        <f t="shared" si="2"/>
        <v>Brown</v>
      </c>
      <c r="G67" s="5" t="s">
        <v>76</v>
      </c>
      <c r="H67" s="6">
        <v>84.0</v>
      </c>
      <c r="I67" s="6">
        <f t="shared" si="3"/>
        <v>84</v>
      </c>
      <c r="J67" s="6">
        <v>84.0</v>
      </c>
      <c r="K67" s="6" t="str">
        <f t="shared" si="4"/>
        <v>Senior</v>
      </c>
      <c r="L67" s="6" t="s">
        <v>734</v>
      </c>
      <c r="M67" s="5" t="s">
        <v>105</v>
      </c>
      <c r="N67" s="5" t="str">
        <f t="shared" si="5"/>
        <v>Female</v>
      </c>
      <c r="O67" s="5" t="s">
        <v>105</v>
      </c>
      <c r="P67" s="5" t="s">
        <v>571</v>
      </c>
      <c r="Q67" s="5" t="s">
        <v>123</v>
      </c>
      <c r="R67" s="5" t="s">
        <v>83</v>
      </c>
      <c r="S67" s="5" t="s">
        <v>97</v>
      </c>
      <c r="T67" s="6">
        <v>1688.0</v>
      </c>
      <c r="U67" s="5">
        <f t="shared" si="6"/>
        <v>1688</v>
      </c>
      <c r="V67" s="5">
        <v>1688.0</v>
      </c>
    </row>
    <row r="68" ht="22.5" customHeight="1">
      <c r="A68" s="5" t="s">
        <v>574</v>
      </c>
      <c r="B68" s="5" t="s">
        <v>127</v>
      </c>
      <c r="C68" s="5" t="str">
        <f t="shared" si="1"/>
        <v>John</v>
      </c>
      <c r="D68" s="5" t="s">
        <v>127</v>
      </c>
      <c r="E68" s="5" t="s">
        <v>90</v>
      </c>
      <c r="F68" s="5" t="str">
        <f t="shared" si="2"/>
        <v>Davis</v>
      </c>
      <c r="G68" s="5" t="s">
        <v>90</v>
      </c>
      <c r="H68" s="6">
        <v>73.0</v>
      </c>
      <c r="I68" s="6">
        <f t="shared" si="3"/>
        <v>73</v>
      </c>
      <c r="J68" s="6">
        <v>73.0</v>
      </c>
      <c r="K68" s="6" t="str">
        <f t="shared" si="4"/>
        <v>Senior</v>
      </c>
      <c r="L68" s="6" t="s">
        <v>734</v>
      </c>
      <c r="M68" s="5" t="s">
        <v>130</v>
      </c>
      <c r="N68" s="5" t="str">
        <f t="shared" si="5"/>
        <v>Male</v>
      </c>
      <c r="O68" s="5" t="s">
        <v>152</v>
      </c>
      <c r="P68" s="5" t="s">
        <v>401</v>
      </c>
      <c r="Q68" s="5" t="s">
        <v>576</v>
      </c>
      <c r="R68" s="5" t="s">
        <v>607</v>
      </c>
      <c r="S68" s="5" t="s">
        <v>97</v>
      </c>
      <c r="T68" s="6">
        <v>3794.0</v>
      </c>
      <c r="U68" s="5">
        <f t="shared" si="6"/>
        <v>3794</v>
      </c>
      <c r="V68" s="5">
        <v>3794.0</v>
      </c>
    </row>
    <row r="69" ht="22.5" customHeight="1">
      <c r="A69" s="5" t="s">
        <v>580</v>
      </c>
      <c r="B69" s="5" t="s">
        <v>581</v>
      </c>
      <c r="C69" s="5" t="str">
        <f t="shared" si="1"/>
        <v>Ruby</v>
      </c>
      <c r="D69" s="5" t="s">
        <v>2645</v>
      </c>
      <c r="E69" s="5" t="s">
        <v>244</v>
      </c>
      <c r="F69" s="5" t="str">
        <f t="shared" si="2"/>
        <v>Jackson</v>
      </c>
      <c r="G69" s="5" t="s">
        <v>244</v>
      </c>
      <c r="H69" s="6">
        <v>44.0</v>
      </c>
      <c r="I69" s="6">
        <f t="shared" si="3"/>
        <v>44</v>
      </c>
      <c r="J69" s="6">
        <v>44.0</v>
      </c>
      <c r="K69" s="6" t="str">
        <f t="shared" si="4"/>
        <v>Middle Age</v>
      </c>
      <c r="L69" s="6" t="s">
        <v>591</v>
      </c>
      <c r="M69" s="5" t="s">
        <v>105</v>
      </c>
      <c r="N69" s="5" t="str">
        <f t="shared" si="5"/>
        <v>Female</v>
      </c>
      <c r="O69" s="5" t="s">
        <v>105</v>
      </c>
      <c r="P69" s="5" t="s">
        <v>571</v>
      </c>
      <c r="Q69" s="5" t="s">
        <v>377</v>
      </c>
      <c r="R69" s="5" t="s">
        <v>402</v>
      </c>
      <c r="S69" s="5" t="s">
        <v>222</v>
      </c>
      <c r="T69" s="6">
        <v>2531.0</v>
      </c>
      <c r="U69" s="5">
        <f t="shared" si="6"/>
        <v>2531</v>
      </c>
      <c r="V69" s="5">
        <v>2531.0</v>
      </c>
    </row>
    <row r="70" ht="22.5" customHeight="1">
      <c r="A70" s="5" t="s">
        <v>586</v>
      </c>
      <c r="B70" s="5" t="s">
        <v>542</v>
      </c>
      <c r="C70" s="5" t="str">
        <f t="shared" si="1"/>
        <v>David</v>
      </c>
      <c r="D70" s="5" t="s">
        <v>542</v>
      </c>
      <c r="E70" s="5" t="s">
        <v>254</v>
      </c>
      <c r="F70" s="5" t="str">
        <f t="shared" si="2"/>
        <v>Doe</v>
      </c>
      <c r="G70" s="5" t="s">
        <v>254</v>
      </c>
      <c r="H70" s="6">
        <v>62.0</v>
      </c>
      <c r="I70" s="6">
        <f t="shared" si="3"/>
        <v>62</v>
      </c>
      <c r="J70" s="6">
        <v>62.0</v>
      </c>
      <c r="K70" s="6" t="str">
        <f t="shared" si="4"/>
        <v>Senior</v>
      </c>
      <c r="L70" s="6" t="s">
        <v>734</v>
      </c>
      <c r="M70" s="5" t="s">
        <v>80</v>
      </c>
      <c r="N70" s="5" t="str">
        <f t="shared" si="5"/>
        <v>Male</v>
      </c>
      <c r="O70" s="5" t="s">
        <v>152</v>
      </c>
      <c r="P70" s="5" t="s">
        <v>131</v>
      </c>
      <c r="Q70" s="5" t="s">
        <v>164</v>
      </c>
      <c r="R70" s="5" t="s">
        <v>96</v>
      </c>
      <c r="S70" s="5" t="s">
        <v>97</v>
      </c>
      <c r="T70" s="6">
        <v>601.0</v>
      </c>
      <c r="U70" s="5">
        <f t="shared" si="6"/>
        <v>601</v>
      </c>
      <c r="V70" s="5">
        <v>601.0</v>
      </c>
    </row>
    <row r="71" ht="22.5" customHeight="1">
      <c r="A71" s="5" t="s">
        <v>589</v>
      </c>
      <c r="B71" s="5" t="s">
        <v>590</v>
      </c>
      <c r="C71" s="5" t="str">
        <f t="shared" si="1"/>
        <v>Roger</v>
      </c>
      <c r="D71" s="5" t="s">
        <v>590</v>
      </c>
      <c r="E71" s="5" t="s">
        <v>216</v>
      </c>
      <c r="F71" s="5" t="str">
        <f t="shared" si="2"/>
        <v>Williams</v>
      </c>
      <c r="G71" s="5" t="s">
        <v>216</v>
      </c>
      <c r="H71" s="6">
        <v>21.0</v>
      </c>
      <c r="I71" s="6">
        <f t="shared" si="3"/>
        <v>21</v>
      </c>
      <c r="J71" s="6">
        <v>21.0</v>
      </c>
      <c r="K71" s="6" t="str">
        <f t="shared" si="4"/>
        <v>Young Adult</v>
      </c>
      <c r="L71" s="6" t="s">
        <v>528</v>
      </c>
      <c r="M71" s="5" t="s">
        <v>130</v>
      </c>
      <c r="N71" s="5" t="str">
        <f t="shared" si="5"/>
        <v>Male</v>
      </c>
      <c r="O71" s="5" t="s">
        <v>152</v>
      </c>
      <c r="P71" s="5" t="s">
        <v>237</v>
      </c>
      <c r="Q71" s="5" t="s">
        <v>164</v>
      </c>
      <c r="R71" s="5" t="s">
        <v>96</v>
      </c>
      <c r="S71" s="5" t="s">
        <v>52</v>
      </c>
      <c r="T71" s="6">
        <v>929.0</v>
      </c>
      <c r="U71" s="5">
        <f t="shared" si="6"/>
        <v>929</v>
      </c>
      <c r="V71" s="5">
        <v>929.0</v>
      </c>
    </row>
    <row r="72" ht="22.5" customHeight="1">
      <c r="A72" s="5" t="s">
        <v>595</v>
      </c>
      <c r="B72" s="5" t="s">
        <v>596</v>
      </c>
      <c r="C72" s="5" t="str">
        <f t="shared" si="1"/>
        <v>Daneil</v>
      </c>
      <c r="D72" s="5" t="s">
        <v>596</v>
      </c>
      <c r="E72" s="5" t="s">
        <v>597</v>
      </c>
      <c r="F72" s="5" t="str">
        <f t="shared" si="2"/>
        <v>Smih</v>
      </c>
      <c r="G72" s="5" t="s">
        <v>597</v>
      </c>
      <c r="H72" s="6">
        <v>21.0</v>
      </c>
      <c r="I72" s="6">
        <f t="shared" si="3"/>
        <v>21</v>
      </c>
      <c r="J72" s="6">
        <v>21.0</v>
      </c>
      <c r="K72" s="6" t="str">
        <f t="shared" si="4"/>
        <v>Young Adult</v>
      </c>
      <c r="L72" s="6" t="s">
        <v>528</v>
      </c>
      <c r="M72" s="5" t="s">
        <v>105</v>
      </c>
      <c r="N72" s="5" t="str">
        <f t="shared" si="5"/>
        <v>Female</v>
      </c>
      <c r="O72" s="5" t="s">
        <v>105</v>
      </c>
      <c r="P72" s="5" t="s">
        <v>81</v>
      </c>
      <c r="Q72" s="5" t="s">
        <v>637</v>
      </c>
      <c r="R72" s="5" t="s">
        <v>546</v>
      </c>
      <c r="S72" s="5" t="s">
        <v>52</v>
      </c>
      <c r="T72" s="6">
        <v>1683.0</v>
      </c>
      <c r="U72" s="5">
        <f t="shared" si="6"/>
        <v>1683</v>
      </c>
      <c r="V72" s="5">
        <v>1683.0</v>
      </c>
    </row>
    <row r="73" ht="22.5" customHeight="1">
      <c r="A73" s="5" t="s">
        <v>600</v>
      </c>
      <c r="B73" s="5" t="s">
        <v>368</v>
      </c>
      <c r="C73" s="5" t="str">
        <f t="shared" si="1"/>
        <v>Grace</v>
      </c>
      <c r="D73" s="5" t="s">
        <v>368</v>
      </c>
      <c r="E73" s="5" t="s">
        <v>25</v>
      </c>
      <c r="F73" s="5" t="str">
        <f t="shared" si="2"/>
        <v>Garcia</v>
      </c>
      <c r="G73" s="5" t="s">
        <v>25</v>
      </c>
      <c r="H73" s="8"/>
      <c r="I73" s="8">
        <f t="shared" si="3"/>
        <v>0</v>
      </c>
      <c r="J73" s="8"/>
      <c r="K73" s="8" t="str">
        <f t="shared" si="4"/>
        <v>Unknown</v>
      </c>
      <c r="L73" s="8" t="s">
        <v>1081</v>
      </c>
      <c r="M73" s="5" t="s">
        <v>105</v>
      </c>
      <c r="N73" s="5" t="str">
        <f t="shared" si="5"/>
        <v>Female</v>
      </c>
      <c r="O73" s="5" t="s">
        <v>105</v>
      </c>
      <c r="P73" s="5" t="s">
        <v>131</v>
      </c>
      <c r="Q73" s="5" t="s">
        <v>230</v>
      </c>
      <c r="R73" s="5" t="s">
        <v>452</v>
      </c>
      <c r="S73" s="5" t="s">
        <v>222</v>
      </c>
      <c r="T73" s="6">
        <v>4399.0</v>
      </c>
      <c r="U73" s="5">
        <f t="shared" si="6"/>
        <v>4399</v>
      </c>
      <c r="V73" s="5">
        <v>4399.0</v>
      </c>
    </row>
    <row r="74" ht="22.5" customHeight="1">
      <c r="A74" s="5" t="s">
        <v>603</v>
      </c>
      <c r="B74" s="5" t="s">
        <v>411</v>
      </c>
      <c r="C74" s="5" t="str">
        <f t="shared" si="1"/>
        <v>Jane</v>
      </c>
      <c r="D74" s="5" t="s">
        <v>411</v>
      </c>
      <c r="E74" s="5" t="s">
        <v>284</v>
      </c>
      <c r="F74" s="5" t="str">
        <f t="shared" si="2"/>
        <v>Lim</v>
      </c>
      <c r="G74" s="5" t="s">
        <v>284</v>
      </c>
      <c r="H74" s="6">
        <v>36.0</v>
      </c>
      <c r="I74" s="6">
        <f t="shared" si="3"/>
        <v>36</v>
      </c>
      <c r="J74" s="6">
        <v>36.0</v>
      </c>
      <c r="K74" s="6" t="str">
        <f t="shared" si="4"/>
        <v>Young Adult</v>
      </c>
      <c r="L74" s="6" t="s">
        <v>528</v>
      </c>
      <c r="M74" s="5" t="s">
        <v>28</v>
      </c>
      <c r="N74" s="5" t="str">
        <f t="shared" si="5"/>
        <v>Female</v>
      </c>
      <c r="O74" s="5" t="s">
        <v>105</v>
      </c>
      <c r="P74" s="5" t="s">
        <v>237</v>
      </c>
      <c r="Q74" s="5" t="s">
        <v>164</v>
      </c>
      <c r="R74" s="5" t="s">
        <v>452</v>
      </c>
      <c r="S74" s="5" t="s">
        <v>559</v>
      </c>
      <c r="T74" s="6">
        <v>4230.0</v>
      </c>
      <c r="U74" s="5">
        <f t="shared" si="6"/>
        <v>4230</v>
      </c>
      <c r="V74" s="5">
        <v>4230.0</v>
      </c>
    </row>
    <row r="75" ht="22.5" customHeight="1">
      <c r="A75" s="5" t="s">
        <v>606</v>
      </c>
      <c r="B75" s="5" t="s">
        <v>193</v>
      </c>
      <c r="C75" s="5" t="str">
        <f t="shared" si="1"/>
        <v>Fiona</v>
      </c>
      <c r="D75" s="5" t="s">
        <v>193</v>
      </c>
      <c r="E75" s="5" t="s">
        <v>363</v>
      </c>
      <c r="F75" s="5" t="str">
        <f t="shared" si="2"/>
        <v>Smith</v>
      </c>
      <c r="G75" s="5" t="s">
        <v>363</v>
      </c>
      <c r="H75" s="6">
        <v>74.0</v>
      </c>
      <c r="I75" s="6">
        <f t="shared" si="3"/>
        <v>74</v>
      </c>
      <c r="J75" s="6">
        <v>74.0</v>
      </c>
      <c r="K75" s="6" t="str">
        <f t="shared" si="4"/>
        <v>Senior</v>
      </c>
      <c r="L75" s="6" t="s">
        <v>734</v>
      </c>
      <c r="M75" s="5" t="s">
        <v>45</v>
      </c>
      <c r="N75" s="5" t="str">
        <f t="shared" si="5"/>
        <v>Female</v>
      </c>
      <c r="O75" s="5" t="s">
        <v>105</v>
      </c>
      <c r="P75" s="5" t="s">
        <v>208</v>
      </c>
      <c r="Q75" s="5" t="s">
        <v>470</v>
      </c>
      <c r="R75" s="5" t="s">
        <v>179</v>
      </c>
      <c r="S75" s="5" t="s">
        <v>97</v>
      </c>
      <c r="T75" s="6">
        <v>2646.0</v>
      </c>
      <c r="U75" s="5">
        <f t="shared" si="6"/>
        <v>2646</v>
      </c>
      <c r="V75" s="5">
        <v>2646.0</v>
      </c>
    </row>
    <row r="76" ht="22.5" customHeight="1">
      <c r="A76" s="5" t="s">
        <v>610</v>
      </c>
      <c r="B76" s="5" t="s">
        <v>100</v>
      </c>
      <c r="C76" s="5" t="str">
        <f t="shared" si="1"/>
        <v>Nancy</v>
      </c>
      <c r="D76" s="5" t="s">
        <v>764</v>
      </c>
      <c r="E76" s="5" t="s">
        <v>244</v>
      </c>
      <c r="F76" s="5" t="str">
        <f t="shared" si="2"/>
        <v>Jackson</v>
      </c>
      <c r="G76" s="5" t="s">
        <v>244</v>
      </c>
      <c r="H76" s="6">
        <v>76.0</v>
      </c>
      <c r="I76" s="6">
        <f t="shared" si="3"/>
        <v>76</v>
      </c>
      <c r="J76" s="6">
        <v>76.0</v>
      </c>
      <c r="K76" s="6" t="str">
        <f t="shared" si="4"/>
        <v>Senior</v>
      </c>
      <c r="L76" s="6" t="s">
        <v>734</v>
      </c>
      <c r="M76" s="5" t="s">
        <v>105</v>
      </c>
      <c r="N76" s="5" t="str">
        <f t="shared" si="5"/>
        <v>Female</v>
      </c>
      <c r="O76" s="5" t="s">
        <v>105</v>
      </c>
      <c r="P76" s="5" t="s">
        <v>237</v>
      </c>
      <c r="Q76" s="5" t="s">
        <v>238</v>
      </c>
      <c r="R76" s="5" t="s">
        <v>533</v>
      </c>
      <c r="S76" s="5" t="s">
        <v>97</v>
      </c>
      <c r="T76" s="6">
        <v>1637.0</v>
      </c>
      <c r="U76" s="5">
        <f t="shared" si="6"/>
        <v>1637</v>
      </c>
      <c r="V76" s="5">
        <v>1637.0</v>
      </c>
    </row>
    <row r="77" ht="22.5" customHeight="1">
      <c r="A77" s="5" t="s">
        <v>615</v>
      </c>
      <c r="B77" s="5" t="s">
        <v>616</v>
      </c>
      <c r="C77" s="5" t="str">
        <f t="shared" si="1"/>
        <v>Wendy</v>
      </c>
      <c r="D77" s="5" t="s">
        <v>89</v>
      </c>
      <c r="E77" s="5" t="s">
        <v>137</v>
      </c>
      <c r="F77" s="5" t="str">
        <f t="shared" si="2"/>
        <v>Ng</v>
      </c>
      <c r="G77" s="5" t="s">
        <v>515</v>
      </c>
      <c r="H77" s="6">
        <v>63.0</v>
      </c>
      <c r="I77" s="6">
        <f t="shared" si="3"/>
        <v>63</v>
      </c>
      <c r="J77" s="6">
        <v>63.0</v>
      </c>
      <c r="K77" s="6" t="str">
        <f t="shared" si="4"/>
        <v>Senior</v>
      </c>
      <c r="L77" s="6" t="s">
        <v>734</v>
      </c>
      <c r="M77" s="5" t="s">
        <v>28</v>
      </c>
      <c r="N77" s="5" t="str">
        <f t="shared" si="5"/>
        <v>Female</v>
      </c>
      <c r="O77" s="5" t="s">
        <v>105</v>
      </c>
      <c r="P77" s="5" t="s">
        <v>64</v>
      </c>
      <c r="Q77" s="5" t="s">
        <v>238</v>
      </c>
      <c r="R77" s="5" t="s">
        <v>533</v>
      </c>
      <c r="S77" s="5" t="s">
        <v>97</v>
      </c>
      <c r="T77" s="6">
        <v>1874.0</v>
      </c>
      <c r="U77" s="5">
        <f t="shared" si="6"/>
        <v>1874</v>
      </c>
      <c r="V77" s="5">
        <v>1874.0</v>
      </c>
    </row>
    <row r="78" ht="22.5" customHeight="1">
      <c r="A78" s="5" t="s">
        <v>619</v>
      </c>
      <c r="B78" s="5" t="s">
        <v>620</v>
      </c>
      <c r="C78" s="5" t="str">
        <f t="shared" si="1"/>
        <v>Michelle</v>
      </c>
      <c r="D78" s="5" t="s">
        <v>620</v>
      </c>
      <c r="E78" s="5" t="s">
        <v>352</v>
      </c>
      <c r="F78" s="5" t="str">
        <f t="shared" si="2"/>
        <v>Kim</v>
      </c>
      <c r="G78" s="5" t="s">
        <v>352</v>
      </c>
      <c r="H78" s="6">
        <v>90.0</v>
      </c>
      <c r="I78" s="6">
        <f t="shared" si="3"/>
        <v>90</v>
      </c>
      <c r="J78" s="6">
        <v>90.0</v>
      </c>
      <c r="K78" s="6" t="str">
        <f t="shared" si="4"/>
        <v>Senior</v>
      </c>
      <c r="L78" s="6" t="s">
        <v>734</v>
      </c>
      <c r="M78" s="5" t="s">
        <v>105</v>
      </c>
      <c r="N78" s="5" t="str">
        <f t="shared" si="5"/>
        <v>Female</v>
      </c>
      <c r="O78" s="5" t="s">
        <v>105</v>
      </c>
      <c r="P78" s="5" t="s">
        <v>47</v>
      </c>
      <c r="Q78" s="5" t="s">
        <v>470</v>
      </c>
      <c r="R78" s="5" t="s">
        <v>179</v>
      </c>
      <c r="S78" s="5" t="s">
        <v>97</v>
      </c>
      <c r="T78" s="6">
        <v>3612.0</v>
      </c>
      <c r="U78" s="5">
        <f t="shared" si="6"/>
        <v>3612</v>
      </c>
      <c r="V78" s="5">
        <v>3612.0</v>
      </c>
    </row>
    <row r="79" ht="22.5" customHeight="1">
      <c r="A79" s="5" t="s">
        <v>623</v>
      </c>
      <c r="B79" s="5" t="s">
        <v>624</v>
      </c>
      <c r="C79" s="5" t="str">
        <f t="shared" si="1"/>
        <v>Jasmine</v>
      </c>
      <c r="D79" s="5" t="s">
        <v>624</v>
      </c>
      <c r="E79" s="5" t="s">
        <v>301</v>
      </c>
      <c r="F79" s="5" t="str">
        <f t="shared" si="2"/>
        <v>Lee</v>
      </c>
      <c r="G79" s="5" t="s">
        <v>301</v>
      </c>
      <c r="H79" s="6">
        <v>82.0</v>
      </c>
      <c r="I79" s="6">
        <f t="shared" si="3"/>
        <v>82</v>
      </c>
      <c r="J79" s="6">
        <v>82.0</v>
      </c>
      <c r="K79" s="6" t="str">
        <f t="shared" si="4"/>
        <v>Senior</v>
      </c>
      <c r="L79" s="6" t="s">
        <v>734</v>
      </c>
      <c r="M79" s="5" t="s">
        <v>45</v>
      </c>
      <c r="N79" s="5" t="str">
        <f t="shared" si="5"/>
        <v>Female</v>
      </c>
      <c r="O79" s="5" t="s">
        <v>105</v>
      </c>
      <c r="P79" s="5" t="s">
        <v>47</v>
      </c>
      <c r="Q79" s="5" t="s">
        <v>439</v>
      </c>
      <c r="R79" s="5" t="s">
        <v>210</v>
      </c>
      <c r="S79" s="5" t="s">
        <v>97</v>
      </c>
      <c r="T79" s="6">
        <v>365.0</v>
      </c>
      <c r="U79" s="5">
        <f t="shared" si="6"/>
        <v>365</v>
      </c>
      <c r="V79" s="5">
        <v>365.0</v>
      </c>
    </row>
    <row r="80" ht="22.5" customHeight="1">
      <c r="A80" s="5" t="s">
        <v>628</v>
      </c>
      <c r="B80" s="5" t="s">
        <v>542</v>
      </c>
      <c r="C80" s="5" t="str">
        <f t="shared" si="1"/>
        <v>David</v>
      </c>
      <c r="D80" s="5" t="s">
        <v>542</v>
      </c>
      <c r="E80" s="5" t="s">
        <v>629</v>
      </c>
      <c r="F80" s="5" t="str">
        <f t="shared" si="2"/>
        <v>Richardson</v>
      </c>
      <c r="G80" s="5" t="s">
        <v>629</v>
      </c>
      <c r="H80" s="6">
        <v>87.0</v>
      </c>
      <c r="I80" s="6">
        <f t="shared" si="3"/>
        <v>87</v>
      </c>
      <c r="J80" s="6">
        <v>87.0</v>
      </c>
      <c r="K80" s="6" t="str">
        <f t="shared" si="4"/>
        <v>Senior</v>
      </c>
      <c r="L80" s="6" t="s">
        <v>734</v>
      </c>
      <c r="M80" s="5" t="s">
        <v>130</v>
      </c>
      <c r="N80" s="5" t="str">
        <f t="shared" si="5"/>
        <v>Male</v>
      </c>
      <c r="O80" s="5" t="s">
        <v>152</v>
      </c>
      <c r="P80" s="5" t="s">
        <v>256</v>
      </c>
      <c r="Q80" s="5" t="s">
        <v>164</v>
      </c>
      <c r="R80" s="5" t="s">
        <v>96</v>
      </c>
      <c r="S80" s="5" t="s">
        <v>97</v>
      </c>
      <c r="T80" s="6">
        <v>698.0</v>
      </c>
      <c r="U80" s="5">
        <f t="shared" si="6"/>
        <v>698</v>
      </c>
      <c r="V80" s="5">
        <v>698.0</v>
      </c>
    </row>
    <row r="81" ht="22.5" customHeight="1">
      <c r="A81" s="5" t="s">
        <v>633</v>
      </c>
      <c r="B81" s="5" t="s">
        <v>473</v>
      </c>
      <c r="C81" s="5" t="str">
        <f t="shared" si="1"/>
        <v>Ailce</v>
      </c>
      <c r="D81" s="5" t="s">
        <v>473</v>
      </c>
      <c r="E81" s="5" t="s">
        <v>128</v>
      </c>
      <c r="F81" s="5" t="str">
        <f t="shared" si="2"/>
        <v>Rodriguez</v>
      </c>
      <c r="G81" s="5" t="s">
        <v>128</v>
      </c>
      <c r="H81" s="6">
        <v>36.0</v>
      </c>
      <c r="I81" s="6">
        <f t="shared" si="3"/>
        <v>36</v>
      </c>
      <c r="J81" s="6">
        <v>36.0</v>
      </c>
      <c r="K81" s="6" t="str">
        <f t="shared" si="4"/>
        <v>Young Adult</v>
      </c>
      <c r="L81" s="6" t="s">
        <v>528</v>
      </c>
      <c r="M81" s="5" t="s">
        <v>105</v>
      </c>
      <c r="N81" s="5" t="str">
        <f t="shared" si="5"/>
        <v>Female</v>
      </c>
      <c r="O81" s="5" t="s">
        <v>105</v>
      </c>
      <c r="P81" s="5" t="s">
        <v>64</v>
      </c>
      <c r="Q81" s="5" t="s">
        <v>470</v>
      </c>
      <c r="R81" s="5" t="s">
        <v>96</v>
      </c>
      <c r="S81" s="5" t="s">
        <v>52</v>
      </c>
      <c r="T81" s="6">
        <v>786.0</v>
      </c>
      <c r="U81" s="5">
        <f t="shared" si="6"/>
        <v>786</v>
      </c>
      <c r="V81" s="5">
        <v>786.0</v>
      </c>
    </row>
    <row r="82" ht="22.5" customHeight="1">
      <c r="A82" s="5" t="s">
        <v>636</v>
      </c>
      <c r="B82" s="5" t="s">
        <v>343</v>
      </c>
      <c r="C82" s="5" t="str">
        <f t="shared" si="1"/>
        <v>Bob</v>
      </c>
      <c r="D82" s="5" t="s">
        <v>343</v>
      </c>
      <c r="E82" s="5" t="s">
        <v>90</v>
      </c>
      <c r="F82" s="5" t="str">
        <f t="shared" si="2"/>
        <v>Davis</v>
      </c>
      <c r="G82" s="5" t="s">
        <v>90</v>
      </c>
      <c r="H82" s="6">
        <v>77.0</v>
      </c>
      <c r="I82" s="6">
        <f t="shared" si="3"/>
        <v>77</v>
      </c>
      <c r="J82" s="6">
        <v>77.0</v>
      </c>
      <c r="K82" s="6" t="str">
        <f t="shared" si="4"/>
        <v>Senior</v>
      </c>
      <c r="L82" s="6" t="s">
        <v>734</v>
      </c>
      <c r="M82" s="5" t="s">
        <v>105</v>
      </c>
      <c r="N82" s="5" t="str">
        <f t="shared" si="5"/>
        <v>Female</v>
      </c>
      <c r="O82" s="5" t="s">
        <v>105</v>
      </c>
      <c r="P82" s="5" t="s">
        <v>81</v>
      </c>
      <c r="Q82" s="5" t="s">
        <v>637</v>
      </c>
      <c r="R82" s="5" t="s">
        <v>546</v>
      </c>
      <c r="S82" s="5" t="s">
        <v>97</v>
      </c>
      <c r="T82" s="6">
        <v>3127.0</v>
      </c>
      <c r="U82" s="5">
        <f t="shared" si="6"/>
        <v>3127</v>
      </c>
      <c r="V82" s="5">
        <v>3127.0</v>
      </c>
    </row>
    <row r="83" ht="22.5" customHeight="1">
      <c r="A83" s="5" t="s">
        <v>640</v>
      </c>
      <c r="B83" s="5" t="s">
        <v>411</v>
      </c>
      <c r="C83" s="5" t="str">
        <f t="shared" si="1"/>
        <v>Jane</v>
      </c>
      <c r="D83" s="5" t="s">
        <v>411</v>
      </c>
      <c r="E83" s="5" t="s">
        <v>128</v>
      </c>
      <c r="F83" s="5" t="str">
        <f t="shared" si="2"/>
        <v>Rodriguez</v>
      </c>
      <c r="G83" s="5" t="s">
        <v>128</v>
      </c>
      <c r="H83" s="6">
        <v>77.0</v>
      </c>
      <c r="I83" s="6">
        <f t="shared" si="3"/>
        <v>77</v>
      </c>
      <c r="J83" s="6">
        <v>77.0</v>
      </c>
      <c r="K83" s="6" t="str">
        <f t="shared" si="4"/>
        <v>Senior</v>
      </c>
      <c r="L83" s="6" t="s">
        <v>734</v>
      </c>
      <c r="M83" s="5" t="s">
        <v>45</v>
      </c>
      <c r="N83" s="5" t="str">
        <f t="shared" si="5"/>
        <v>Female</v>
      </c>
      <c r="O83" s="5" t="s">
        <v>105</v>
      </c>
      <c r="P83" s="5" t="s">
        <v>64</v>
      </c>
      <c r="Q83" s="5" t="s">
        <v>311</v>
      </c>
      <c r="R83" s="5" t="s">
        <v>546</v>
      </c>
      <c r="S83" s="5" t="s">
        <v>97</v>
      </c>
      <c r="T83" s="6">
        <v>1665.0</v>
      </c>
      <c r="U83" s="5">
        <f t="shared" si="6"/>
        <v>1665</v>
      </c>
      <c r="V83" s="5">
        <v>1665.0</v>
      </c>
    </row>
    <row r="84" ht="22.5" customHeight="1">
      <c r="A84" s="5" t="s">
        <v>644</v>
      </c>
      <c r="B84" s="5" t="s">
        <v>645</v>
      </c>
      <c r="C84" s="5" t="str">
        <f t="shared" si="1"/>
        <v>Josephine</v>
      </c>
      <c r="D84" s="5" t="s">
        <v>1939</v>
      </c>
      <c r="E84" s="5" t="s">
        <v>363</v>
      </c>
      <c r="F84" s="5" t="str">
        <f t="shared" si="2"/>
        <v>Smith</v>
      </c>
      <c r="G84" s="5" t="s">
        <v>363</v>
      </c>
      <c r="H84" s="6">
        <v>66.0</v>
      </c>
      <c r="I84" s="6">
        <f t="shared" si="3"/>
        <v>66</v>
      </c>
      <c r="J84" s="6">
        <v>66.0</v>
      </c>
      <c r="K84" s="6" t="str">
        <f t="shared" si="4"/>
        <v>Senior</v>
      </c>
      <c r="L84" s="6" t="s">
        <v>734</v>
      </c>
      <c r="M84" s="5" t="s">
        <v>45</v>
      </c>
      <c r="N84" s="5" t="str">
        <f t="shared" si="5"/>
        <v>Female</v>
      </c>
      <c r="O84" s="5" t="s">
        <v>105</v>
      </c>
      <c r="P84" s="5" t="s">
        <v>237</v>
      </c>
      <c r="Q84" s="5" t="s">
        <v>358</v>
      </c>
      <c r="R84" s="5" t="s">
        <v>561</v>
      </c>
      <c r="S84" s="5" t="s">
        <v>97</v>
      </c>
      <c r="T84" s="6">
        <v>2580.0</v>
      </c>
      <c r="U84" s="5">
        <f t="shared" si="6"/>
        <v>2580</v>
      </c>
      <c r="V84" s="5">
        <v>2580.0</v>
      </c>
    </row>
    <row r="85" ht="22.5" customHeight="1">
      <c r="A85" s="5" t="s">
        <v>649</v>
      </c>
      <c r="B85" s="5" t="s">
        <v>292</v>
      </c>
      <c r="C85" s="5" t="str">
        <f t="shared" si="1"/>
        <v>Ava</v>
      </c>
      <c r="D85" s="5" t="s">
        <v>865</v>
      </c>
      <c r="E85" s="5" t="s">
        <v>25</v>
      </c>
      <c r="F85" s="5" t="str">
        <f t="shared" si="2"/>
        <v>Garcia</v>
      </c>
      <c r="G85" s="5" t="s">
        <v>25</v>
      </c>
      <c r="H85" s="6">
        <v>-52.0</v>
      </c>
      <c r="I85" s="6">
        <f t="shared" si="3"/>
        <v>52</v>
      </c>
      <c r="J85" s="6">
        <v>52.0</v>
      </c>
      <c r="K85" s="6" t="str">
        <f t="shared" si="4"/>
        <v>Middle Age</v>
      </c>
      <c r="L85" s="6" t="s">
        <v>591</v>
      </c>
      <c r="M85" s="5" t="s">
        <v>45</v>
      </c>
      <c r="N85" s="5" t="str">
        <f t="shared" si="5"/>
        <v>Female</v>
      </c>
      <c r="O85" s="5" t="s">
        <v>105</v>
      </c>
      <c r="P85" s="5" t="s">
        <v>30</v>
      </c>
      <c r="Q85" s="5" t="s">
        <v>377</v>
      </c>
      <c r="R85" s="5" t="s">
        <v>402</v>
      </c>
      <c r="S85" s="5" t="s">
        <v>559</v>
      </c>
      <c r="T85" s="6">
        <v>956.0</v>
      </c>
      <c r="U85" s="5">
        <f t="shared" si="6"/>
        <v>956</v>
      </c>
      <c r="V85" s="5">
        <v>956.0</v>
      </c>
    </row>
    <row r="86" ht="22.5" customHeight="1">
      <c r="A86" s="5" t="s">
        <v>653</v>
      </c>
      <c r="B86" s="5" t="s">
        <v>432</v>
      </c>
      <c r="C86" s="5" t="str">
        <f t="shared" si="1"/>
        <v>Keith</v>
      </c>
      <c r="D86" s="5" t="s">
        <v>1525</v>
      </c>
      <c r="E86" s="5" t="s">
        <v>301</v>
      </c>
      <c r="F86" s="5" t="str">
        <f t="shared" si="2"/>
        <v>Lee</v>
      </c>
      <c r="G86" s="5" t="s">
        <v>301</v>
      </c>
      <c r="H86" s="6">
        <v>54.0</v>
      </c>
      <c r="I86" s="6">
        <f t="shared" si="3"/>
        <v>54</v>
      </c>
      <c r="J86" s="6">
        <v>54.0</v>
      </c>
      <c r="K86" s="6" t="str">
        <f t="shared" si="4"/>
        <v>Middle Age</v>
      </c>
      <c r="L86" s="6" t="s">
        <v>591</v>
      </c>
      <c r="M86" s="5" t="s">
        <v>152</v>
      </c>
      <c r="N86" s="5" t="str">
        <f t="shared" si="5"/>
        <v>Male</v>
      </c>
      <c r="O86" s="5" t="s">
        <v>152</v>
      </c>
      <c r="P86" s="5" t="s">
        <v>401</v>
      </c>
      <c r="Q86" s="5" t="s">
        <v>470</v>
      </c>
      <c r="R86" s="5" t="s">
        <v>179</v>
      </c>
      <c r="S86" s="5" t="s">
        <v>52</v>
      </c>
      <c r="T86" s="6">
        <v>2558.0</v>
      </c>
      <c r="U86" s="5">
        <f t="shared" si="6"/>
        <v>2558</v>
      </c>
      <c r="V86" s="5">
        <v>2558.0</v>
      </c>
    </row>
    <row r="87" ht="22.5" customHeight="1">
      <c r="A87" s="5" t="s">
        <v>657</v>
      </c>
      <c r="B87" s="5" t="s">
        <v>658</v>
      </c>
      <c r="C87" s="5" t="str">
        <f t="shared" si="1"/>
        <v>Timothy</v>
      </c>
      <c r="D87" s="5" t="s">
        <v>1329</v>
      </c>
      <c r="E87" s="5" t="s">
        <v>526</v>
      </c>
      <c r="F87" s="5" t="str">
        <f t="shared" si="2"/>
        <v>Davidson</v>
      </c>
      <c r="G87" s="5" t="s">
        <v>526</v>
      </c>
      <c r="H87" s="8"/>
      <c r="I87" s="8">
        <f t="shared" si="3"/>
        <v>0</v>
      </c>
      <c r="J87" s="8"/>
      <c r="K87" s="8" t="str">
        <f t="shared" si="4"/>
        <v>Unknown</v>
      </c>
      <c r="L87" s="8" t="s">
        <v>1081</v>
      </c>
      <c r="M87" s="5" t="s">
        <v>130</v>
      </c>
      <c r="N87" s="5" t="str">
        <f t="shared" si="5"/>
        <v>Male</v>
      </c>
      <c r="O87" s="5" t="s">
        <v>152</v>
      </c>
      <c r="P87" s="5" t="s">
        <v>268</v>
      </c>
      <c r="Q87" s="5" t="s">
        <v>551</v>
      </c>
      <c r="R87" s="5" t="s">
        <v>83</v>
      </c>
      <c r="S87" s="5" t="s">
        <v>222</v>
      </c>
      <c r="T87" s="6">
        <v>2010.0</v>
      </c>
      <c r="U87" s="5">
        <f t="shared" si="6"/>
        <v>2010</v>
      </c>
      <c r="V87" s="5">
        <v>2010.0</v>
      </c>
    </row>
    <row r="88" ht="22.5" customHeight="1">
      <c r="A88" s="5" t="s">
        <v>661</v>
      </c>
      <c r="B88" s="5" t="s">
        <v>662</v>
      </c>
      <c r="C88" s="5" t="str">
        <f t="shared" si="1"/>
        <v>Peter</v>
      </c>
      <c r="D88" s="5" t="s">
        <v>662</v>
      </c>
      <c r="E88" s="5" t="s">
        <v>556</v>
      </c>
      <c r="F88" s="5" t="str">
        <f t="shared" si="2"/>
        <v>Jones</v>
      </c>
      <c r="G88" s="5" t="s">
        <v>556</v>
      </c>
      <c r="H88" s="6">
        <v>999.0</v>
      </c>
      <c r="I88" s="6">
        <f t="shared" si="3"/>
        <v>999</v>
      </c>
      <c r="J88" s="6"/>
      <c r="K88" s="6" t="str">
        <f t="shared" si="4"/>
        <v>Unknown</v>
      </c>
      <c r="L88" s="6" t="s">
        <v>1081</v>
      </c>
      <c r="M88" s="5" t="s">
        <v>80</v>
      </c>
      <c r="N88" s="5" t="str">
        <f t="shared" si="5"/>
        <v>Male</v>
      </c>
      <c r="O88" s="5" t="s">
        <v>152</v>
      </c>
      <c r="P88" s="5" t="s">
        <v>81</v>
      </c>
      <c r="Q88" s="5" t="s">
        <v>164</v>
      </c>
      <c r="R88" s="5" t="s">
        <v>96</v>
      </c>
      <c r="S88" s="5" t="s">
        <v>97</v>
      </c>
      <c r="T88" s="6">
        <v>1214.0</v>
      </c>
      <c r="U88" s="5">
        <f t="shared" si="6"/>
        <v>1214</v>
      </c>
      <c r="V88" s="5">
        <v>1214.0</v>
      </c>
    </row>
    <row r="89" ht="22.5" customHeight="1">
      <c r="A89" s="5" t="s">
        <v>665</v>
      </c>
      <c r="B89" s="5" t="s">
        <v>666</v>
      </c>
      <c r="C89" s="5" t="str">
        <f t="shared" si="1"/>
        <v>Roger</v>
      </c>
      <c r="D89" s="5" t="s">
        <v>590</v>
      </c>
      <c r="E89" s="5" t="s">
        <v>216</v>
      </c>
      <c r="F89" s="5" t="str">
        <f t="shared" si="2"/>
        <v>Williams</v>
      </c>
      <c r="G89" s="5" t="s">
        <v>216</v>
      </c>
      <c r="H89" s="6">
        <v>39.0</v>
      </c>
      <c r="I89" s="6">
        <f t="shared" si="3"/>
        <v>39</v>
      </c>
      <c r="J89" s="6">
        <v>39.0</v>
      </c>
      <c r="K89" s="6" t="str">
        <f t="shared" si="4"/>
        <v>Young Adult</v>
      </c>
      <c r="L89" s="6" t="s">
        <v>528</v>
      </c>
      <c r="M89" s="5" t="s">
        <v>152</v>
      </c>
      <c r="N89" s="5" t="str">
        <f t="shared" si="5"/>
        <v>Male</v>
      </c>
      <c r="O89" s="5" t="s">
        <v>152</v>
      </c>
      <c r="P89" s="5" t="s">
        <v>141</v>
      </c>
      <c r="Q89" s="5" t="s">
        <v>439</v>
      </c>
      <c r="R89" s="5" t="s">
        <v>210</v>
      </c>
      <c r="S89" s="5" t="s">
        <v>222</v>
      </c>
      <c r="T89" s="6">
        <v>1065.0</v>
      </c>
      <c r="U89" s="5">
        <f t="shared" si="6"/>
        <v>1065</v>
      </c>
      <c r="V89" s="5">
        <v>1065.0</v>
      </c>
    </row>
    <row r="90" ht="22.5" customHeight="1">
      <c r="A90" s="5" t="s">
        <v>671</v>
      </c>
      <c r="B90" s="5" t="s">
        <v>171</v>
      </c>
      <c r="C90" s="5" t="str">
        <f t="shared" si="1"/>
        <v>Frank</v>
      </c>
      <c r="D90" s="5" t="s">
        <v>171</v>
      </c>
      <c r="E90" s="5" t="s">
        <v>254</v>
      </c>
      <c r="F90" s="5" t="str">
        <f t="shared" si="2"/>
        <v>Doe</v>
      </c>
      <c r="G90" s="5" t="s">
        <v>254</v>
      </c>
      <c r="H90" s="6">
        <v>76.0</v>
      </c>
      <c r="I90" s="6">
        <f t="shared" si="3"/>
        <v>76</v>
      </c>
      <c r="J90" s="6">
        <v>76.0</v>
      </c>
      <c r="K90" s="6" t="str">
        <f t="shared" si="4"/>
        <v>Senior</v>
      </c>
      <c r="L90" s="6" t="s">
        <v>734</v>
      </c>
      <c r="M90" s="5" t="s">
        <v>80</v>
      </c>
      <c r="N90" s="5" t="str">
        <f t="shared" si="5"/>
        <v>Male</v>
      </c>
      <c r="O90" s="5" t="s">
        <v>152</v>
      </c>
      <c r="P90" s="5" t="s">
        <v>571</v>
      </c>
      <c r="Q90" s="5" t="s">
        <v>277</v>
      </c>
      <c r="R90" s="5" t="s">
        <v>402</v>
      </c>
      <c r="S90" s="5" t="s">
        <v>97</v>
      </c>
      <c r="T90" s="6">
        <v>2621.0</v>
      </c>
      <c r="U90" s="5">
        <f t="shared" si="6"/>
        <v>2621</v>
      </c>
      <c r="V90" s="5">
        <v>2621.0</v>
      </c>
    </row>
    <row r="91" ht="22.5" customHeight="1">
      <c r="A91" s="5" t="s">
        <v>674</v>
      </c>
      <c r="B91" s="5" t="s">
        <v>542</v>
      </c>
      <c r="C91" s="5" t="str">
        <f t="shared" si="1"/>
        <v>David</v>
      </c>
      <c r="D91" s="5" t="s">
        <v>542</v>
      </c>
      <c r="E91" s="5" t="s">
        <v>254</v>
      </c>
      <c r="F91" s="5" t="str">
        <f t="shared" si="2"/>
        <v>Doe</v>
      </c>
      <c r="G91" s="5" t="s">
        <v>254</v>
      </c>
      <c r="H91" s="6">
        <v>34.0</v>
      </c>
      <c r="I91" s="6">
        <f t="shared" si="3"/>
        <v>34</v>
      </c>
      <c r="J91" s="6">
        <v>34.0</v>
      </c>
      <c r="K91" s="6" t="str">
        <f t="shared" si="4"/>
        <v>Young Adult</v>
      </c>
      <c r="L91" s="6" t="s">
        <v>528</v>
      </c>
      <c r="M91" s="5" t="s">
        <v>130</v>
      </c>
      <c r="N91" s="5" t="str">
        <f t="shared" si="5"/>
        <v>Male</v>
      </c>
      <c r="O91" s="5" t="s">
        <v>152</v>
      </c>
      <c r="P91" s="5" t="s">
        <v>309</v>
      </c>
      <c r="Q91" s="5" t="s">
        <v>551</v>
      </c>
      <c r="R91" s="5" t="s">
        <v>83</v>
      </c>
      <c r="S91" s="5" t="s">
        <v>52</v>
      </c>
      <c r="T91" s="6">
        <v>3312.0</v>
      </c>
      <c r="U91" s="5">
        <f t="shared" si="6"/>
        <v>3312</v>
      </c>
      <c r="V91" s="5">
        <v>3312.0</v>
      </c>
    </row>
    <row r="92" ht="22.5" customHeight="1">
      <c r="A92" s="5" t="s">
        <v>679</v>
      </c>
      <c r="B92" s="5" t="s">
        <v>171</v>
      </c>
      <c r="C92" s="5" t="str">
        <f t="shared" si="1"/>
        <v>Frank</v>
      </c>
      <c r="D92" s="5" t="s">
        <v>171</v>
      </c>
      <c r="E92" s="5" t="s">
        <v>680</v>
      </c>
      <c r="F92" s="5" t="str">
        <f t="shared" si="2"/>
        <v>White</v>
      </c>
      <c r="G92" s="5" t="s">
        <v>713</v>
      </c>
      <c r="H92" s="6">
        <v>84.0</v>
      </c>
      <c r="I92" s="6">
        <f t="shared" si="3"/>
        <v>84</v>
      </c>
      <c r="J92" s="6">
        <v>84.0</v>
      </c>
      <c r="K92" s="6" t="str">
        <f t="shared" si="4"/>
        <v>Senior</v>
      </c>
      <c r="L92" s="6" t="s">
        <v>734</v>
      </c>
      <c r="M92" s="5" t="s">
        <v>80</v>
      </c>
      <c r="N92" s="5" t="str">
        <f t="shared" si="5"/>
        <v>Male</v>
      </c>
      <c r="O92" s="5" t="s">
        <v>152</v>
      </c>
      <c r="P92" s="5" t="s">
        <v>30</v>
      </c>
      <c r="Q92" s="5" t="s">
        <v>230</v>
      </c>
      <c r="R92" s="5" t="s">
        <v>452</v>
      </c>
      <c r="S92" s="5" t="s">
        <v>97</v>
      </c>
      <c r="T92" s="6">
        <v>3442.0</v>
      </c>
      <c r="U92" s="5">
        <f t="shared" si="6"/>
        <v>3442</v>
      </c>
      <c r="V92" s="5">
        <v>3442.0</v>
      </c>
    </row>
    <row r="93" ht="22.5" customHeight="1">
      <c r="A93" s="5" t="s">
        <v>683</v>
      </c>
      <c r="B93" s="5" t="s">
        <v>368</v>
      </c>
      <c r="C93" s="5" t="str">
        <f t="shared" si="1"/>
        <v>Grace</v>
      </c>
      <c r="D93" s="5" t="s">
        <v>368</v>
      </c>
      <c r="E93" s="5" t="s">
        <v>159</v>
      </c>
      <c r="F93" s="5" t="str">
        <f t="shared" si="2"/>
        <v>Young</v>
      </c>
      <c r="G93" s="5" t="s">
        <v>159</v>
      </c>
      <c r="H93" s="6">
        <v>50.0</v>
      </c>
      <c r="I93" s="6">
        <f t="shared" si="3"/>
        <v>50</v>
      </c>
      <c r="J93" s="6">
        <v>50.0</v>
      </c>
      <c r="K93" s="6" t="str">
        <f t="shared" si="4"/>
        <v>Middle Age</v>
      </c>
      <c r="L93" s="6" t="s">
        <v>591</v>
      </c>
      <c r="M93" s="5" t="s">
        <v>45</v>
      </c>
      <c r="N93" s="5" t="str">
        <f t="shared" si="5"/>
        <v>Female</v>
      </c>
      <c r="O93" s="5" t="s">
        <v>105</v>
      </c>
      <c r="P93" s="5" t="s">
        <v>256</v>
      </c>
      <c r="Q93" s="5" t="s">
        <v>164</v>
      </c>
      <c r="R93" s="5" t="s">
        <v>452</v>
      </c>
      <c r="S93" s="5" t="s">
        <v>211</v>
      </c>
      <c r="T93" s="6">
        <v>-120.0</v>
      </c>
      <c r="U93" s="5">
        <f t="shared" si="6"/>
        <v>120</v>
      </c>
      <c r="V93" s="5">
        <v>120.0</v>
      </c>
    </row>
    <row r="94" ht="22.5" customHeight="1">
      <c r="A94" s="5" t="s">
        <v>687</v>
      </c>
      <c r="B94" s="5" t="s">
        <v>688</v>
      </c>
      <c r="C94" s="5" t="str">
        <f t="shared" si="1"/>
        <v>Robert</v>
      </c>
      <c r="D94" s="5" t="s">
        <v>2950</v>
      </c>
      <c r="E94" s="5" t="s">
        <v>172</v>
      </c>
      <c r="F94" s="5" t="str">
        <f t="shared" si="2"/>
        <v>Little</v>
      </c>
      <c r="G94" s="5" t="s">
        <v>172</v>
      </c>
      <c r="H94" s="8"/>
      <c r="I94" s="8">
        <f t="shared" si="3"/>
        <v>0</v>
      </c>
      <c r="J94" s="8"/>
      <c r="K94" s="8" t="str">
        <f t="shared" si="4"/>
        <v>Unknown</v>
      </c>
      <c r="L94" s="8" t="s">
        <v>1081</v>
      </c>
      <c r="M94" s="5" t="s">
        <v>130</v>
      </c>
      <c r="N94" s="5" t="str">
        <f t="shared" si="5"/>
        <v>Male</v>
      </c>
      <c r="O94" s="5" t="s">
        <v>152</v>
      </c>
      <c r="P94" s="5" t="s">
        <v>237</v>
      </c>
      <c r="Q94" s="5" t="s">
        <v>238</v>
      </c>
      <c r="R94" s="5" t="s">
        <v>533</v>
      </c>
      <c r="S94" s="5" t="s">
        <v>211</v>
      </c>
      <c r="T94" s="6">
        <v>1189.0</v>
      </c>
      <c r="U94" s="5">
        <f t="shared" si="6"/>
        <v>1189</v>
      </c>
      <c r="V94" s="5">
        <v>1189.0</v>
      </c>
    </row>
    <row r="95" ht="22.5" customHeight="1">
      <c r="A95" s="5" t="s">
        <v>693</v>
      </c>
      <c r="B95" s="5" t="s">
        <v>444</v>
      </c>
      <c r="C95" s="5" t="str">
        <f t="shared" si="1"/>
        <v>William</v>
      </c>
      <c r="D95" s="5" t="s">
        <v>2008</v>
      </c>
      <c r="E95" s="5" t="s">
        <v>374</v>
      </c>
      <c r="F95" s="5" t="str">
        <f t="shared" si="2"/>
        <v>Miller</v>
      </c>
      <c r="G95" s="5" t="s">
        <v>374</v>
      </c>
      <c r="H95" s="6">
        <v>84.0</v>
      </c>
      <c r="I95" s="6">
        <f t="shared" si="3"/>
        <v>84</v>
      </c>
      <c r="J95" s="6">
        <v>84.0</v>
      </c>
      <c r="K95" s="6" t="str">
        <f t="shared" si="4"/>
        <v>Senior</v>
      </c>
      <c r="L95" s="6" t="s">
        <v>734</v>
      </c>
      <c r="M95" s="5" t="s">
        <v>105</v>
      </c>
      <c r="N95" s="5" t="str">
        <f t="shared" si="5"/>
        <v>Female</v>
      </c>
      <c r="O95" s="5" t="s">
        <v>105</v>
      </c>
      <c r="P95" s="5" t="s">
        <v>64</v>
      </c>
      <c r="Q95" s="5" t="s">
        <v>436</v>
      </c>
      <c r="R95" s="5" t="s">
        <v>561</v>
      </c>
      <c r="S95" s="5" t="s">
        <v>97</v>
      </c>
      <c r="T95" s="6">
        <v>4999.0</v>
      </c>
      <c r="U95" s="5">
        <f t="shared" si="6"/>
        <v>4999</v>
      </c>
      <c r="V95" s="5">
        <v>4999.0</v>
      </c>
    </row>
    <row r="96" ht="22.5" customHeight="1">
      <c r="A96" s="5" t="s">
        <v>695</v>
      </c>
      <c r="B96" s="5" t="s">
        <v>696</v>
      </c>
      <c r="C96" s="5" t="str">
        <f t="shared" si="1"/>
        <v>Charlie</v>
      </c>
      <c r="D96" s="5" t="s">
        <v>696</v>
      </c>
      <c r="E96" s="5" t="s">
        <v>76</v>
      </c>
      <c r="F96" s="5" t="str">
        <f t="shared" si="2"/>
        <v>Brown</v>
      </c>
      <c r="G96" s="5" t="s">
        <v>76</v>
      </c>
      <c r="H96" s="6">
        <v>87.0</v>
      </c>
      <c r="I96" s="6">
        <f t="shared" si="3"/>
        <v>87</v>
      </c>
      <c r="J96" s="6">
        <v>87.0</v>
      </c>
      <c r="K96" s="6" t="str">
        <f t="shared" si="4"/>
        <v>Senior</v>
      </c>
      <c r="L96" s="6" t="s">
        <v>734</v>
      </c>
      <c r="M96" s="5" t="s">
        <v>80</v>
      </c>
      <c r="N96" s="5" t="str">
        <f t="shared" si="5"/>
        <v>Male</v>
      </c>
      <c r="O96" s="5" t="s">
        <v>152</v>
      </c>
      <c r="P96" s="5" t="s">
        <v>237</v>
      </c>
      <c r="Q96" s="5" t="s">
        <v>551</v>
      </c>
      <c r="R96" s="5" t="s">
        <v>83</v>
      </c>
      <c r="S96" s="5" t="s">
        <v>97</v>
      </c>
      <c r="T96" s="6">
        <v>1903.0</v>
      </c>
      <c r="U96" s="5">
        <f t="shared" si="6"/>
        <v>1903</v>
      </c>
      <c r="V96" s="5">
        <v>1903.0</v>
      </c>
    </row>
    <row r="97" ht="22.5" customHeight="1">
      <c r="A97" s="5" t="s">
        <v>701</v>
      </c>
      <c r="B97" s="5" t="s">
        <v>343</v>
      </c>
      <c r="C97" s="5" t="str">
        <f t="shared" si="1"/>
        <v>Bob</v>
      </c>
      <c r="D97" s="5" t="s">
        <v>343</v>
      </c>
      <c r="E97" s="5" t="s">
        <v>61</v>
      </c>
      <c r="F97" s="5" t="str">
        <f t="shared" si="2"/>
        <v>Lee</v>
      </c>
      <c r="G97" s="5" t="s">
        <v>301</v>
      </c>
      <c r="H97" s="8"/>
      <c r="I97" s="8">
        <f t="shared" si="3"/>
        <v>0</v>
      </c>
      <c r="J97" s="8"/>
      <c r="K97" s="8" t="str">
        <f t="shared" si="4"/>
        <v>Unknown</v>
      </c>
      <c r="L97" s="8" t="s">
        <v>1081</v>
      </c>
      <c r="M97" s="5" t="s">
        <v>130</v>
      </c>
      <c r="N97" s="5" t="str">
        <f t="shared" si="5"/>
        <v>Male</v>
      </c>
      <c r="O97" s="5" t="s">
        <v>152</v>
      </c>
      <c r="P97" s="5" t="s">
        <v>364</v>
      </c>
      <c r="Q97" s="5" t="s">
        <v>551</v>
      </c>
      <c r="R97" s="5" t="s">
        <v>83</v>
      </c>
      <c r="S97" s="5" t="s">
        <v>211</v>
      </c>
      <c r="T97" s="6">
        <v>1528.0</v>
      </c>
      <c r="U97" s="5">
        <f t="shared" si="6"/>
        <v>1528</v>
      </c>
      <c r="V97" s="5">
        <v>1528.0</v>
      </c>
    </row>
    <row r="98" ht="22.5" customHeight="1">
      <c r="A98" s="5" t="s">
        <v>704</v>
      </c>
      <c r="B98" s="5" t="s">
        <v>368</v>
      </c>
      <c r="C98" s="5" t="str">
        <f t="shared" si="1"/>
        <v>Grace</v>
      </c>
      <c r="D98" s="5" t="s">
        <v>368</v>
      </c>
      <c r="E98" s="5" t="s">
        <v>25</v>
      </c>
      <c r="F98" s="5" t="str">
        <f t="shared" si="2"/>
        <v>Garcia</v>
      </c>
      <c r="G98" s="5" t="s">
        <v>25</v>
      </c>
      <c r="H98" s="6">
        <v>90.0</v>
      </c>
      <c r="I98" s="6">
        <f t="shared" si="3"/>
        <v>90</v>
      </c>
      <c r="J98" s="6">
        <v>90.0</v>
      </c>
      <c r="K98" s="6" t="str">
        <f t="shared" si="4"/>
        <v>Senior</v>
      </c>
      <c r="L98" s="6" t="s">
        <v>734</v>
      </c>
      <c r="M98" s="5" t="s">
        <v>105</v>
      </c>
      <c r="N98" s="5" t="str">
        <f t="shared" si="5"/>
        <v>Female</v>
      </c>
      <c r="O98" s="5" t="s">
        <v>105</v>
      </c>
      <c r="P98" s="5" t="s">
        <v>571</v>
      </c>
      <c r="Q98" s="5" t="s">
        <v>238</v>
      </c>
      <c r="R98" s="5" t="s">
        <v>533</v>
      </c>
      <c r="S98" s="5" t="s">
        <v>97</v>
      </c>
      <c r="T98" s="6">
        <v>1631.0</v>
      </c>
      <c r="U98" s="5">
        <f t="shared" si="6"/>
        <v>1631</v>
      </c>
      <c r="V98" s="5">
        <v>1631.0</v>
      </c>
    </row>
    <row r="99" ht="22.5" customHeight="1">
      <c r="A99" s="5" t="s">
        <v>707</v>
      </c>
      <c r="B99" s="5" t="s">
        <v>399</v>
      </c>
      <c r="C99" s="5" t="str">
        <f t="shared" si="1"/>
        <v>Paul</v>
      </c>
      <c r="D99" s="5" t="s">
        <v>872</v>
      </c>
      <c r="E99" s="5" t="s">
        <v>709</v>
      </c>
      <c r="F99" s="5" t="str">
        <f t="shared" si="2"/>
        <v>Smith</v>
      </c>
      <c r="G99" s="5" t="s">
        <v>363</v>
      </c>
      <c r="H99" s="6">
        <v>999.0</v>
      </c>
      <c r="I99" s="6">
        <f t="shared" si="3"/>
        <v>999</v>
      </c>
      <c r="J99" s="6"/>
      <c r="K99" s="6" t="str">
        <f t="shared" si="4"/>
        <v>Unknown</v>
      </c>
      <c r="L99" s="6" t="s">
        <v>1081</v>
      </c>
      <c r="M99" s="5" t="s">
        <v>80</v>
      </c>
      <c r="N99" s="5" t="str">
        <f t="shared" si="5"/>
        <v>Male</v>
      </c>
      <c r="O99" s="5" t="s">
        <v>152</v>
      </c>
      <c r="P99" s="5" t="s">
        <v>364</v>
      </c>
      <c r="Q99" s="5" t="s">
        <v>377</v>
      </c>
      <c r="R99" s="5" t="s">
        <v>96</v>
      </c>
      <c r="S99" s="5" t="s">
        <v>97</v>
      </c>
      <c r="T99" s="6">
        <v>993.0</v>
      </c>
      <c r="U99" s="5">
        <f t="shared" si="6"/>
        <v>993</v>
      </c>
      <c r="V99" s="5">
        <v>993.0</v>
      </c>
    </row>
    <row r="100" ht="22.5" customHeight="1">
      <c r="A100" s="5" t="s">
        <v>712</v>
      </c>
      <c r="B100" s="5" t="s">
        <v>127</v>
      </c>
      <c r="C100" s="5" t="str">
        <f t="shared" si="1"/>
        <v>John</v>
      </c>
      <c r="D100" s="5" t="s">
        <v>127</v>
      </c>
      <c r="E100" s="5" t="s">
        <v>713</v>
      </c>
      <c r="F100" s="5" t="str">
        <f t="shared" si="2"/>
        <v>White</v>
      </c>
      <c r="G100" s="5" t="s">
        <v>713</v>
      </c>
      <c r="H100" s="6">
        <v>24.0</v>
      </c>
      <c r="I100" s="6">
        <f t="shared" si="3"/>
        <v>24</v>
      </c>
      <c r="J100" s="6">
        <v>24.0</v>
      </c>
      <c r="K100" s="6" t="str">
        <f t="shared" si="4"/>
        <v>Young Adult</v>
      </c>
      <c r="L100" s="6" t="s">
        <v>528</v>
      </c>
      <c r="M100" s="5" t="s">
        <v>80</v>
      </c>
      <c r="N100" s="5" t="str">
        <f t="shared" si="5"/>
        <v>Male</v>
      </c>
      <c r="O100" s="5" t="s">
        <v>152</v>
      </c>
      <c r="P100" s="5" t="s">
        <v>237</v>
      </c>
      <c r="Q100" s="5" t="s">
        <v>1290</v>
      </c>
      <c r="R100" s="5" t="s">
        <v>533</v>
      </c>
      <c r="S100" s="5" t="s">
        <v>222</v>
      </c>
      <c r="T100" s="6">
        <v>1623.0</v>
      </c>
      <c r="U100" s="5">
        <f t="shared" si="6"/>
        <v>1623</v>
      </c>
      <c r="V100" s="5">
        <v>1623.0</v>
      </c>
    </row>
    <row r="101" ht="22.5" customHeight="1">
      <c r="A101" s="5" t="s">
        <v>717</v>
      </c>
      <c r="B101" s="5" t="s">
        <v>718</v>
      </c>
      <c r="C101" s="5" t="str">
        <f t="shared" si="1"/>
        <v>Thalia</v>
      </c>
      <c r="D101" s="5" t="s">
        <v>2991</v>
      </c>
      <c r="E101" s="5" t="s">
        <v>101</v>
      </c>
      <c r="F101" s="5" t="str">
        <f t="shared" si="2"/>
        <v>Ferguson</v>
      </c>
      <c r="G101" s="5" t="s">
        <v>101</v>
      </c>
      <c r="H101" s="6">
        <v>38.0</v>
      </c>
      <c r="I101" s="6">
        <f t="shared" si="3"/>
        <v>38</v>
      </c>
      <c r="J101" s="6">
        <v>38.0</v>
      </c>
      <c r="K101" s="6" t="str">
        <f t="shared" si="4"/>
        <v>Young Adult</v>
      </c>
      <c r="L101" s="6" t="s">
        <v>528</v>
      </c>
      <c r="M101" s="5" t="s">
        <v>105</v>
      </c>
      <c r="N101" s="5" t="str">
        <f t="shared" si="5"/>
        <v>Female</v>
      </c>
      <c r="O101" s="5" t="s">
        <v>105</v>
      </c>
      <c r="P101" s="5" t="s">
        <v>30</v>
      </c>
      <c r="Q101" s="5" t="s">
        <v>311</v>
      </c>
      <c r="R101" s="5" t="s">
        <v>546</v>
      </c>
      <c r="S101" s="5" t="s">
        <v>211</v>
      </c>
      <c r="T101" s="6">
        <v>2135.0</v>
      </c>
      <c r="U101" s="5">
        <f t="shared" si="6"/>
        <v>2135</v>
      </c>
      <c r="V101" s="5">
        <v>2135.0</v>
      </c>
    </row>
    <row r="102" ht="22.5" customHeight="1">
      <c r="A102" s="5" t="s">
        <v>722</v>
      </c>
      <c r="B102" s="5" t="s">
        <v>723</v>
      </c>
      <c r="C102" s="5" t="str">
        <f t="shared" si="1"/>
        <v>Jasmine</v>
      </c>
      <c r="D102" s="5" t="s">
        <v>624</v>
      </c>
      <c r="E102" s="5" t="s">
        <v>324</v>
      </c>
      <c r="F102" s="5" t="str">
        <f t="shared" si="2"/>
        <v>Cooper</v>
      </c>
      <c r="G102" s="5" t="s">
        <v>324</v>
      </c>
      <c r="H102" s="6">
        <v>65.0</v>
      </c>
      <c r="I102" s="6">
        <f t="shared" si="3"/>
        <v>65</v>
      </c>
      <c r="J102" s="6">
        <v>65.0</v>
      </c>
      <c r="K102" s="6" t="str">
        <f t="shared" si="4"/>
        <v>Senior</v>
      </c>
      <c r="L102" s="6" t="s">
        <v>734</v>
      </c>
      <c r="M102" s="5" t="s">
        <v>105</v>
      </c>
      <c r="N102" s="5" t="str">
        <f t="shared" si="5"/>
        <v>Female</v>
      </c>
      <c r="O102" s="5" t="s">
        <v>105</v>
      </c>
      <c r="P102" s="5" t="s">
        <v>268</v>
      </c>
      <c r="Q102" s="5" t="s">
        <v>164</v>
      </c>
      <c r="R102" s="5" t="s">
        <v>607</v>
      </c>
      <c r="S102" s="5" t="s">
        <v>97</v>
      </c>
      <c r="T102" s="6">
        <v>1523.0</v>
      </c>
      <c r="U102" s="5">
        <f t="shared" si="6"/>
        <v>1523</v>
      </c>
      <c r="V102" s="5">
        <v>1523.0</v>
      </c>
    </row>
    <row r="103" ht="22.5" customHeight="1">
      <c r="A103" s="5" t="s">
        <v>727</v>
      </c>
      <c r="B103" s="5" t="s">
        <v>171</v>
      </c>
      <c r="C103" s="5" t="str">
        <f t="shared" si="1"/>
        <v>Frank</v>
      </c>
      <c r="D103" s="5" t="s">
        <v>171</v>
      </c>
      <c r="E103" s="5" t="s">
        <v>148</v>
      </c>
      <c r="F103" s="5" t="str">
        <f t="shared" si="2"/>
        <v>Johnson</v>
      </c>
      <c r="G103" s="5" t="s">
        <v>148</v>
      </c>
      <c r="H103" s="6">
        <v>18.0</v>
      </c>
      <c r="I103" s="6">
        <f t="shared" si="3"/>
        <v>18</v>
      </c>
      <c r="J103" s="6">
        <v>18.0</v>
      </c>
      <c r="K103" s="6" t="str">
        <f t="shared" si="4"/>
        <v>Young Adult</v>
      </c>
      <c r="L103" s="6" t="s">
        <v>528</v>
      </c>
      <c r="M103" s="5" t="s">
        <v>152</v>
      </c>
      <c r="N103" s="5" t="str">
        <f t="shared" si="5"/>
        <v>Male</v>
      </c>
      <c r="O103" s="5" t="s">
        <v>152</v>
      </c>
      <c r="P103" s="5" t="s">
        <v>393</v>
      </c>
      <c r="Q103" s="5" t="s">
        <v>164</v>
      </c>
      <c r="R103" s="5" t="s">
        <v>96</v>
      </c>
      <c r="S103" s="5" t="s">
        <v>559</v>
      </c>
      <c r="T103" s="6">
        <v>586.0</v>
      </c>
      <c r="U103" s="5">
        <f t="shared" si="6"/>
        <v>586</v>
      </c>
      <c r="V103" s="5">
        <v>586.0</v>
      </c>
    </row>
    <row r="104" ht="22.5" customHeight="1">
      <c r="A104" s="5" t="s">
        <v>730</v>
      </c>
      <c r="B104" s="5" t="s">
        <v>731</v>
      </c>
      <c r="C104" s="5" t="str">
        <f t="shared" si="1"/>
        <v>Eva</v>
      </c>
      <c r="D104" s="5" t="s">
        <v>158</v>
      </c>
      <c r="E104" s="5" t="s">
        <v>363</v>
      </c>
      <c r="F104" s="5" t="str">
        <f t="shared" si="2"/>
        <v>Smith</v>
      </c>
      <c r="G104" s="5" t="s">
        <v>363</v>
      </c>
      <c r="H104" s="6">
        <v>47.0</v>
      </c>
      <c r="I104" s="6">
        <f t="shared" si="3"/>
        <v>47</v>
      </c>
      <c r="J104" s="6">
        <v>47.0</v>
      </c>
      <c r="K104" s="6" t="str">
        <f t="shared" si="4"/>
        <v>Middle Age</v>
      </c>
      <c r="L104" s="6" t="s">
        <v>591</v>
      </c>
      <c r="M104" s="5" t="s">
        <v>105</v>
      </c>
      <c r="N104" s="5" t="str">
        <f t="shared" si="5"/>
        <v>Female</v>
      </c>
      <c r="O104" s="5" t="s">
        <v>105</v>
      </c>
      <c r="P104" s="5" t="s">
        <v>64</v>
      </c>
      <c r="Q104" s="5" t="s">
        <v>470</v>
      </c>
      <c r="R104" s="5" t="s">
        <v>96</v>
      </c>
      <c r="S104" s="5" t="s">
        <v>222</v>
      </c>
      <c r="T104" s="6">
        <v>1027.0</v>
      </c>
      <c r="U104" s="5">
        <f t="shared" si="6"/>
        <v>1027</v>
      </c>
      <c r="V104" s="5">
        <v>1027.0</v>
      </c>
    </row>
    <row r="105" ht="22.5" customHeight="1">
      <c r="A105" s="5" t="s">
        <v>737</v>
      </c>
      <c r="B105" s="5" t="s">
        <v>127</v>
      </c>
      <c r="C105" s="5" t="str">
        <f t="shared" si="1"/>
        <v>John</v>
      </c>
      <c r="D105" s="5" t="s">
        <v>127</v>
      </c>
      <c r="E105" s="5" t="s">
        <v>128</v>
      </c>
      <c r="F105" s="5" t="str">
        <f t="shared" si="2"/>
        <v>Rodriguez</v>
      </c>
      <c r="G105" s="5" t="s">
        <v>128</v>
      </c>
      <c r="H105" s="6">
        <v>30.0</v>
      </c>
      <c r="I105" s="6">
        <f t="shared" si="3"/>
        <v>30</v>
      </c>
      <c r="J105" s="6">
        <v>30.0</v>
      </c>
      <c r="K105" s="6" t="str">
        <f t="shared" si="4"/>
        <v>Young Adult</v>
      </c>
      <c r="L105" s="6" t="s">
        <v>528</v>
      </c>
      <c r="M105" s="5" t="s">
        <v>130</v>
      </c>
      <c r="N105" s="5" t="str">
        <f t="shared" si="5"/>
        <v>Male</v>
      </c>
      <c r="O105" s="5" t="s">
        <v>152</v>
      </c>
      <c r="P105" s="5" t="s">
        <v>47</v>
      </c>
      <c r="Q105" s="5" t="s">
        <v>470</v>
      </c>
      <c r="R105" s="5" t="s">
        <v>179</v>
      </c>
      <c r="S105" s="5" t="s">
        <v>222</v>
      </c>
      <c r="T105" s="6">
        <v>3840.0</v>
      </c>
      <c r="U105" s="5">
        <f t="shared" si="6"/>
        <v>3840</v>
      </c>
      <c r="V105" s="5">
        <v>3840.0</v>
      </c>
    </row>
    <row r="106" ht="22.5" customHeight="1">
      <c r="A106" s="5" t="s">
        <v>741</v>
      </c>
      <c r="B106" s="5" t="s">
        <v>422</v>
      </c>
      <c r="C106" s="5" t="str">
        <f t="shared" si="1"/>
        <v>Pauline</v>
      </c>
      <c r="D106" s="5" t="s">
        <v>1149</v>
      </c>
      <c r="E106" s="5" t="s">
        <v>363</v>
      </c>
      <c r="F106" s="5" t="str">
        <f t="shared" si="2"/>
        <v>Smith</v>
      </c>
      <c r="G106" s="5" t="s">
        <v>363</v>
      </c>
      <c r="H106" s="6">
        <v>79.0</v>
      </c>
      <c r="I106" s="6">
        <f t="shared" si="3"/>
        <v>79</v>
      </c>
      <c r="J106" s="6">
        <v>79.0</v>
      </c>
      <c r="K106" s="6" t="str">
        <f t="shared" si="4"/>
        <v>Senior</v>
      </c>
      <c r="L106" s="6" t="s">
        <v>734</v>
      </c>
      <c r="M106" s="5" t="s">
        <v>105</v>
      </c>
      <c r="N106" s="5" t="str">
        <f t="shared" si="5"/>
        <v>Female</v>
      </c>
      <c r="O106" s="5" t="s">
        <v>105</v>
      </c>
      <c r="P106" s="5" t="s">
        <v>393</v>
      </c>
      <c r="Q106" s="5" t="s">
        <v>311</v>
      </c>
      <c r="R106" s="5" t="s">
        <v>96</v>
      </c>
      <c r="S106" s="5" t="s">
        <v>97</v>
      </c>
      <c r="T106" s="6">
        <v>947.0</v>
      </c>
      <c r="U106" s="5">
        <f t="shared" si="6"/>
        <v>947</v>
      </c>
      <c r="V106" s="5">
        <v>947.0</v>
      </c>
    </row>
    <row r="107" ht="22.5" customHeight="1">
      <c r="A107" s="5" t="s">
        <v>744</v>
      </c>
      <c r="B107" s="5" t="s">
        <v>745</v>
      </c>
      <c r="C107" s="5" t="str">
        <f t="shared" si="1"/>
        <v>Evan</v>
      </c>
      <c r="D107" s="5" t="s">
        <v>299</v>
      </c>
      <c r="E107" s="5" t="s">
        <v>128</v>
      </c>
      <c r="F107" s="5" t="str">
        <f t="shared" si="2"/>
        <v>Rodriguez</v>
      </c>
      <c r="G107" s="5" t="s">
        <v>128</v>
      </c>
      <c r="H107" s="6">
        <v>41.0</v>
      </c>
      <c r="I107" s="6">
        <f t="shared" si="3"/>
        <v>41</v>
      </c>
      <c r="J107" s="6">
        <v>41.0</v>
      </c>
      <c r="K107" s="6" t="str">
        <f t="shared" si="4"/>
        <v>Middle Age</v>
      </c>
      <c r="L107" s="6" t="s">
        <v>591</v>
      </c>
      <c r="M107" s="5" t="s">
        <v>80</v>
      </c>
      <c r="N107" s="5" t="str">
        <f t="shared" si="5"/>
        <v>Male</v>
      </c>
      <c r="O107" s="5" t="s">
        <v>152</v>
      </c>
      <c r="P107" s="5" t="s">
        <v>47</v>
      </c>
      <c r="Q107" s="5" t="s">
        <v>439</v>
      </c>
      <c r="R107" s="5" t="s">
        <v>210</v>
      </c>
      <c r="S107" s="5" t="s">
        <v>559</v>
      </c>
      <c r="T107" s="6">
        <v>1848.0</v>
      </c>
      <c r="U107" s="5">
        <f t="shared" si="6"/>
        <v>1848</v>
      </c>
      <c r="V107" s="5">
        <v>1848.0</v>
      </c>
    </row>
    <row r="108" ht="22.5" customHeight="1">
      <c r="A108" s="5" t="s">
        <v>749</v>
      </c>
      <c r="B108" s="5" t="s">
        <v>307</v>
      </c>
      <c r="C108" s="5" t="str">
        <f t="shared" si="1"/>
        <v>Hannah</v>
      </c>
      <c r="D108" s="5" t="s">
        <v>307</v>
      </c>
      <c r="E108" s="5" t="s">
        <v>90</v>
      </c>
      <c r="F108" s="5" t="str">
        <f t="shared" si="2"/>
        <v>Davis</v>
      </c>
      <c r="G108" s="5" t="s">
        <v>90</v>
      </c>
      <c r="H108" s="6">
        <v>32.0</v>
      </c>
      <c r="I108" s="6">
        <f t="shared" si="3"/>
        <v>32</v>
      </c>
      <c r="J108" s="6">
        <v>32.0</v>
      </c>
      <c r="K108" s="6" t="str">
        <f t="shared" si="4"/>
        <v>Young Adult</v>
      </c>
      <c r="L108" s="6" t="s">
        <v>528</v>
      </c>
      <c r="M108" s="5" t="s">
        <v>45</v>
      </c>
      <c r="N108" s="5" t="str">
        <f t="shared" si="5"/>
        <v>Female</v>
      </c>
      <c r="O108" s="5" t="s">
        <v>105</v>
      </c>
      <c r="P108" s="5" t="s">
        <v>237</v>
      </c>
      <c r="Q108" s="5" t="s">
        <v>164</v>
      </c>
      <c r="R108" s="5" t="s">
        <v>452</v>
      </c>
      <c r="S108" s="5" t="s">
        <v>211</v>
      </c>
      <c r="T108" s="6">
        <v>2931.0</v>
      </c>
      <c r="U108" s="5">
        <f t="shared" si="6"/>
        <v>2931</v>
      </c>
      <c r="V108" s="5">
        <v>2931.0</v>
      </c>
    </row>
    <row r="109" ht="22.5" customHeight="1">
      <c r="A109" s="5" t="s">
        <v>751</v>
      </c>
      <c r="B109" s="5" t="s">
        <v>752</v>
      </c>
      <c r="C109" s="5" t="str">
        <f t="shared" si="1"/>
        <v>Ryan</v>
      </c>
      <c r="D109" s="5" t="s">
        <v>827</v>
      </c>
      <c r="E109" s="5" t="s">
        <v>753</v>
      </c>
      <c r="F109" s="5" t="str">
        <f t="shared" si="2"/>
        <v>Kim</v>
      </c>
      <c r="G109" s="5" t="s">
        <v>352</v>
      </c>
      <c r="H109" s="6">
        <v>999.0</v>
      </c>
      <c r="I109" s="6">
        <f t="shared" si="3"/>
        <v>999</v>
      </c>
      <c r="J109" s="6"/>
      <c r="K109" s="6" t="str">
        <f t="shared" si="4"/>
        <v>Unknown</v>
      </c>
      <c r="L109" s="6" t="s">
        <v>1081</v>
      </c>
      <c r="M109" s="5" t="s">
        <v>80</v>
      </c>
      <c r="N109" s="5" t="str">
        <f t="shared" si="5"/>
        <v>Male</v>
      </c>
      <c r="O109" s="5" t="s">
        <v>152</v>
      </c>
      <c r="P109" s="5" t="s">
        <v>309</v>
      </c>
      <c r="Q109" s="5" t="s">
        <v>377</v>
      </c>
      <c r="R109" s="5" t="s">
        <v>402</v>
      </c>
      <c r="S109" s="5" t="s">
        <v>97</v>
      </c>
      <c r="T109" s="6">
        <v>1862.0</v>
      </c>
      <c r="U109" s="5">
        <f t="shared" si="6"/>
        <v>1862</v>
      </c>
      <c r="V109" s="5">
        <v>1862.0</v>
      </c>
    </row>
    <row r="110" ht="22.5" customHeight="1">
      <c r="A110" s="5" t="s">
        <v>756</v>
      </c>
      <c r="B110" s="5" t="s">
        <v>757</v>
      </c>
      <c r="C110" s="5" t="str">
        <f t="shared" si="1"/>
        <v>Christine</v>
      </c>
      <c r="D110" s="5" t="s">
        <v>2094</v>
      </c>
      <c r="E110" s="5" t="s">
        <v>316</v>
      </c>
      <c r="F110" s="5" t="str">
        <f t="shared" si="2"/>
        <v>Baker</v>
      </c>
      <c r="G110" s="5" t="s">
        <v>316</v>
      </c>
      <c r="H110" s="6">
        <v>38.0</v>
      </c>
      <c r="I110" s="6">
        <f t="shared" si="3"/>
        <v>38</v>
      </c>
      <c r="J110" s="6">
        <v>38.0</v>
      </c>
      <c r="K110" s="6" t="str">
        <f t="shared" si="4"/>
        <v>Young Adult</v>
      </c>
      <c r="L110" s="6" t="s">
        <v>528</v>
      </c>
      <c r="M110" s="5" t="s">
        <v>105</v>
      </c>
      <c r="N110" s="5" t="str">
        <f t="shared" si="5"/>
        <v>Female</v>
      </c>
      <c r="O110" s="5" t="s">
        <v>105</v>
      </c>
      <c r="P110" s="5" t="s">
        <v>759</v>
      </c>
      <c r="Q110" s="5" t="s">
        <v>123</v>
      </c>
      <c r="R110" s="5" t="s">
        <v>83</v>
      </c>
      <c r="S110" s="5" t="s">
        <v>52</v>
      </c>
      <c r="T110" s="6">
        <v>1139.0</v>
      </c>
      <c r="U110" s="5">
        <f t="shared" si="6"/>
        <v>1139</v>
      </c>
      <c r="V110" s="5">
        <v>1139.0</v>
      </c>
    </row>
    <row r="111" ht="22.5" customHeight="1">
      <c r="A111" s="5" t="s">
        <v>762</v>
      </c>
      <c r="B111" s="5" t="s">
        <v>763</v>
      </c>
      <c r="C111" s="5" t="str">
        <f t="shared" si="1"/>
        <v>Olivia</v>
      </c>
      <c r="D111" s="5" t="s">
        <v>820</v>
      </c>
      <c r="E111" s="5" t="s">
        <v>159</v>
      </c>
      <c r="F111" s="5" t="str">
        <f t="shared" si="2"/>
        <v>Young</v>
      </c>
      <c r="G111" s="5" t="s">
        <v>159</v>
      </c>
      <c r="H111" s="6">
        <v>81.0</v>
      </c>
      <c r="I111" s="6">
        <f t="shared" si="3"/>
        <v>81</v>
      </c>
      <c r="J111" s="6">
        <v>81.0</v>
      </c>
      <c r="K111" s="6" t="str">
        <f t="shared" si="4"/>
        <v>Senior</v>
      </c>
      <c r="L111" s="6" t="s">
        <v>734</v>
      </c>
      <c r="M111" s="5" t="s">
        <v>28</v>
      </c>
      <c r="N111" s="5" t="str">
        <f t="shared" si="5"/>
        <v>Female</v>
      </c>
      <c r="O111" s="5" t="s">
        <v>105</v>
      </c>
      <c r="P111" s="5" t="s">
        <v>208</v>
      </c>
      <c r="Q111" s="5" t="s">
        <v>489</v>
      </c>
      <c r="R111" s="5" t="s">
        <v>179</v>
      </c>
      <c r="S111" s="5" t="s">
        <v>97</v>
      </c>
      <c r="T111" s="6">
        <v>2144.0</v>
      </c>
      <c r="U111" s="5">
        <f t="shared" si="6"/>
        <v>2144</v>
      </c>
      <c r="V111" s="5">
        <v>2144.0</v>
      </c>
    </row>
    <row r="112" ht="22.5" customHeight="1">
      <c r="A112" s="5" t="s">
        <v>766</v>
      </c>
      <c r="B112" s="5" t="s">
        <v>74</v>
      </c>
      <c r="C112" s="5" t="str">
        <f t="shared" si="1"/>
        <v>Harry</v>
      </c>
      <c r="D112" s="5" t="s">
        <v>689</v>
      </c>
      <c r="E112" s="5" t="s">
        <v>42</v>
      </c>
      <c r="F112" s="5" t="str">
        <f t="shared" si="2"/>
        <v>Lopez</v>
      </c>
      <c r="G112" s="5" t="s">
        <v>42</v>
      </c>
      <c r="H112" s="6">
        <v>56.0</v>
      </c>
      <c r="I112" s="6">
        <f t="shared" si="3"/>
        <v>56</v>
      </c>
      <c r="J112" s="6">
        <v>56.0</v>
      </c>
      <c r="K112" s="6" t="str">
        <f t="shared" si="4"/>
        <v>Middle Age</v>
      </c>
      <c r="L112" s="6" t="s">
        <v>591</v>
      </c>
      <c r="M112" s="5" t="s">
        <v>152</v>
      </c>
      <c r="N112" s="5" t="str">
        <f t="shared" si="5"/>
        <v>Male</v>
      </c>
      <c r="O112" s="5" t="s">
        <v>152</v>
      </c>
      <c r="P112" s="5" t="s">
        <v>393</v>
      </c>
      <c r="Q112" s="5" t="s">
        <v>470</v>
      </c>
      <c r="R112" s="5" t="s">
        <v>96</v>
      </c>
      <c r="S112" s="5" t="s">
        <v>52</v>
      </c>
      <c r="T112" s="6">
        <v>1142.0</v>
      </c>
      <c r="U112" s="5">
        <f t="shared" si="6"/>
        <v>1142</v>
      </c>
      <c r="V112" s="5">
        <v>1142.0</v>
      </c>
    </row>
    <row r="113" ht="22.5" customHeight="1">
      <c r="A113" s="5" t="s">
        <v>768</v>
      </c>
      <c r="B113" s="5" t="s">
        <v>769</v>
      </c>
      <c r="C113" s="5" t="str">
        <f t="shared" si="1"/>
        <v>David</v>
      </c>
      <c r="D113" s="5" t="s">
        <v>542</v>
      </c>
      <c r="E113" s="5" t="s">
        <v>469</v>
      </c>
      <c r="F113" s="5" t="str">
        <f t="shared" si="2"/>
        <v>Perez</v>
      </c>
      <c r="G113" s="5" t="s">
        <v>469</v>
      </c>
      <c r="H113" s="6">
        <v>77.0</v>
      </c>
      <c r="I113" s="6">
        <f t="shared" si="3"/>
        <v>77</v>
      </c>
      <c r="J113" s="6">
        <v>77.0</v>
      </c>
      <c r="K113" s="6" t="str">
        <f t="shared" si="4"/>
        <v>Senior</v>
      </c>
      <c r="L113" s="6" t="s">
        <v>734</v>
      </c>
      <c r="M113" s="5" t="s">
        <v>130</v>
      </c>
      <c r="N113" s="5" t="str">
        <f t="shared" si="5"/>
        <v>Male</v>
      </c>
      <c r="O113" s="5" t="s">
        <v>152</v>
      </c>
      <c r="P113" s="5" t="s">
        <v>571</v>
      </c>
      <c r="Q113" s="5" t="s">
        <v>1290</v>
      </c>
      <c r="R113" s="5" t="s">
        <v>533</v>
      </c>
      <c r="S113" s="5" t="s">
        <v>97</v>
      </c>
      <c r="T113" s="6">
        <v>793.0</v>
      </c>
      <c r="U113" s="5">
        <f t="shared" si="6"/>
        <v>793</v>
      </c>
      <c r="V113" s="5">
        <v>793.0</v>
      </c>
    </row>
    <row r="114" ht="22.5" customHeight="1">
      <c r="A114" s="5" t="s">
        <v>771</v>
      </c>
      <c r="B114" s="5" t="s">
        <v>772</v>
      </c>
      <c r="C114" s="5" t="str">
        <f t="shared" si="1"/>
        <v>Ian</v>
      </c>
      <c r="D114" s="5" t="s">
        <v>877</v>
      </c>
      <c r="E114" s="5" t="s">
        <v>556</v>
      </c>
      <c r="F114" s="5" t="str">
        <f t="shared" si="2"/>
        <v>Jones</v>
      </c>
      <c r="G114" s="5" t="s">
        <v>556</v>
      </c>
      <c r="H114" s="6">
        <v>36.0</v>
      </c>
      <c r="I114" s="6">
        <f t="shared" si="3"/>
        <v>36</v>
      </c>
      <c r="J114" s="6">
        <v>36.0</v>
      </c>
      <c r="K114" s="6" t="str">
        <f t="shared" si="4"/>
        <v>Young Adult</v>
      </c>
      <c r="L114" s="6" t="s">
        <v>528</v>
      </c>
      <c r="M114" s="5" t="s">
        <v>130</v>
      </c>
      <c r="N114" s="5" t="str">
        <f t="shared" si="5"/>
        <v>Male</v>
      </c>
      <c r="O114" s="5" t="s">
        <v>152</v>
      </c>
      <c r="P114" s="5" t="s">
        <v>208</v>
      </c>
      <c r="Q114" s="5" t="s">
        <v>311</v>
      </c>
      <c r="R114" s="5" t="s">
        <v>546</v>
      </c>
      <c r="S114" s="5" t="s">
        <v>52</v>
      </c>
      <c r="T114" s="6">
        <v>1799.0</v>
      </c>
      <c r="U114" s="5">
        <f t="shared" si="6"/>
        <v>1799</v>
      </c>
      <c r="V114" s="5">
        <v>1799.0</v>
      </c>
    </row>
    <row r="115" ht="22.5" customHeight="1">
      <c r="A115" s="5" t="s">
        <v>775</v>
      </c>
      <c r="B115" s="5" t="s">
        <v>486</v>
      </c>
      <c r="C115" s="5" t="str">
        <f t="shared" si="1"/>
        <v>Michelle</v>
      </c>
      <c r="D115" s="5" t="s">
        <v>620</v>
      </c>
      <c r="E115" s="5" t="s">
        <v>776</v>
      </c>
      <c r="F115" s="5" t="str">
        <f t="shared" si="2"/>
        <v>Lee</v>
      </c>
      <c r="G115" s="5" t="s">
        <v>301</v>
      </c>
      <c r="H115" s="6">
        <v>23.0</v>
      </c>
      <c r="I115" s="6">
        <f t="shared" si="3"/>
        <v>23</v>
      </c>
      <c r="J115" s="6">
        <v>23.0</v>
      </c>
      <c r="K115" s="6" t="str">
        <f t="shared" si="4"/>
        <v>Young Adult</v>
      </c>
      <c r="L115" s="6" t="s">
        <v>528</v>
      </c>
      <c r="M115" s="5" t="s">
        <v>28</v>
      </c>
      <c r="N115" s="5" t="str">
        <f t="shared" si="5"/>
        <v>Female</v>
      </c>
      <c r="O115" s="5" t="s">
        <v>105</v>
      </c>
      <c r="P115" s="5" t="s">
        <v>268</v>
      </c>
      <c r="Q115" s="5" t="s">
        <v>164</v>
      </c>
      <c r="R115" s="5" t="s">
        <v>607</v>
      </c>
      <c r="S115" s="5" t="s">
        <v>211</v>
      </c>
      <c r="T115" s="6">
        <v>3358.0</v>
      </c>
      <c r="U115" s="5">
        <f t="shared" si="6"/>
        <v>3358</v>
      </c>
      <c r="V115" s="5">
        <v>3358.0</v>
      </c>
    </row>
    <row r="116" ht="22.5" customHeight="1">
      <c r="A116" s="5" t="s">
        <v>780</v>
      </c>
      <c r="B116" s="5" t="s">
        <v>616</v>
      </c>
      <c r="C116" s="5" t="str">
        <f t="shared" si="1"/>
        <v>Wendy</v>
      </c>
      <c r="D116" s="5" t="s">
        <v>89</v>
      </c>
      <c r="E116" s="5" t="s">
        <v>254</v>
      </c>
      <c r="F116" s="5" t="str">
        <f t="shared" si="2"/>
        <v>Doe</v>
      </c>
      <c r="G116" s="5" t="s">
        <v>254</v>
      </c>
      <c r="H116" s="6">
        <v>18.0</v>
      </c>
      <c r="I116" s="6">
        <f t="shared" si="3"/>
        <v>18</v>
      </c>
      <c r="J116" s="6">
        <v>18.0</v>
      </c>
      <c r="K116" s="6" t="str">
        <f t="shared" si="4"/>
        <v>Young Adult</v>
      </c>
      <c r="L116" s="6" t="s">
        <v>528</v>
      </c>
      <c r="M116" s="5" t="s">
        <v>105</v>
      </c>
      <c r="N116" s="5" t="str">
        <f t="shared" si="5"/>
        <v>Female</v>
      </c>
      <c r="O116" s="5" t="s">
        <v>105</v>
      </c>
      <c r="P116" s="5" t="s">
        <v>364</v>
      </c>
      <c r="Q116" s="5" t="s">
        <v>489</v>
      </c>
      <c r="R116" s="5" t="s">
        <v>179</v>
      </c>
      <c r="S116" s="5" t="s">
        <v>52</v>
      </c>
      <c r="T116" s="6">
        <v>1954.0</v>
      </c>
      <c r="U116" s="5">
        <f t="shared" si="6"/>
        <v>1954</v>
      </c>
      <c r="V116" s="5">
        <v>1954.0</v>
      </c>
    </row>
    <row r="117" ht="22.5" customHeight="1">
      <c r="A117" s="5" t="s">
        <v>783</v>
      </c>
      <c r="B117" s="5" t="s">
        <v>784</v>
      </c>
      <c r="C117" s="5" t="str">
        <f t="shared" si="1"/>
        <v>Louis</v>
      </c>
      <c r="D117" s="5" t="s">
        <v>1656</v>
      </c>
      <c r="E117" s="5" t="s">
        <v>284</v>
      </c>
      <c r="F117" s="5" t="str">
        <f t="shared" si="2"/>
        <v>Lim</v>
      </c>
      <c r="G117" s="5" t="s">
        <v>284</v>
      </c>
      <c r="H117" s="6">
        <v>27.0</v>
      </c>
      <c r="I117" s="6">
        <f t="shared" si="3"/>
        <v>27</v>
      </c>
      <c r="J117" s="6">
        <v>27.0</v>
      </c>
      <c r="K117" s="6" t="str">
        <f t="shared" si="4"/>
        <v>Young Adult</v>
      </c>
      <c r="L117" s="6" t="s">
        <v>528</v>
      </c>
      <c r="M117" s="5" t="s">
        <v>130</v>
      </c>
      <c r="N117" s="5" t="str">
        <f t="shared" si="5"/>
        <v>Male</v>
      </c>
      <c r="O117" s="5" t="s">
        <v>152</v>
      </c>
      <c r="P117" s="5" t="s">
        <v>539</v>
      </c>
      <c r="Q117" s="5" t="s">
        <v>377</v>
      </c>
      <c r="R117" s="5" t="s">
        <v>402</v>
      </c>
      <c r="S117" s="5" t="s">
        <v>211</v>
      </c>
      <c r="T117" s="6">
        <v>2503.0</v>
      </c>
      <c r="U117" s="5">
        <f t="shared" si="6"/>
        <v>2503</v>
      </c>
      <c r="V117" s="5">
        <v>2503.0</v>
      </c>
    </row>
    <row r="118" ht="22.5" customHeight="1">
      <c r="A118" s="5" t="s">
        <v>786</v>
      </c>
      <c r="B118" s="5" t="s">
        <v>136</v>
      </c>
      <c r="C118" s="5" t="str">
        <f t="shared" si="1"/>
        <v>Alice</v>
      </c>
      <c r="D118" s="5" t="s">
        <v>136</v>
      </c>
      <c r="E118" s="5" t="s">
        <v>788</v>
      </c>
      <c r="F118" s="5" t="str">
        <f t="shared" si="2"/>
        <v>Davidson</v>
      </c>
      <c r="G118" s="5" t="s">
        <v>526</v>
      </c>
      <c r="H118" s="6">
        <v>90.0</v>
      </c>
      <c r="I118" s="6">
        <f t="shared" si="3"/>
        <v>90</v>
      </c>
      <c r="J118" s="6">
        <v>90.0</v>
      </c>
      <c r="K118" s="6" t="str">
        <f t="shared" si="4"/>
        <v>Senior</v>
      </c>
      <c r="L118" s="6" t="s">
        <v>734</v>
      </c>
      <c r="M118" s="5" t="s">
        <v>105</v>
      </c>
      <c r="N118" s="5" t="str">
        <f t="shared" si="5"/>
        <v>Female</v>
      </c>
      <c r="O118" s="5" t="s">
        <v>105</v>
      </c>
      <c r="P118" s="5" t="s">
        <v>64</v>
      </c>
      <c r="Q118" s="5" t="s">
        <v>576</v>
      </c>
      <c r="R118" s="5" t="s">
        <v>607</v>
      </c>
      <c r="S118" s="5" t="s">
        <v>97</v>
      </c>
      <c r="T118" s="6">
        <v>2165.0</v>
      </c>
      <c r="U118" s="5">
        <f t="shared" si="6"/>
        <v>2165</v>
      </c>
      <c r="V118" s="5">
        <v>2165.0</v>
      </c>
    </row>
    <row r="119" ht="22.5" customHeight="1">
      <c r="A119" s="5" t="s">
        <v>791</v>
      </c>
      <c r="B119" s="5" t="s">
        <v>343</v>
      </c>
      <c r="C119" s="5" t="str">
        <f t="shared" si="1"/>
        <v>Bob</v>
      </c>
      <c r="D119" s="5" t="s">
        <v>343</v>
      </c>
      <c r="E119" s="5" t="s">
        <v>159</v>
      </c>
      <c r="F119" s="5" t="str">
        <f t="shared" si="2"/>
        <v>Young</v>
      </c>
      <c r="G119" s="5" t="s">
        <v>159</v>
      </c>
      <c r="H119" s="6">
        <v>999.0</v>
      </c>
      <c r="I119" s="6">
        <f t="shared" si="3"/>
        <v>999</v>
      </c>
      <c r="J119" s="6"/>
      <c r="K119" s="6" t="str">
        <f t="shared" si="4"/>
        <v>Unknown</v>
      </c>
      <c r="L119" s="6" t="s">
        <v>1081</v>
      </c>
      <c r="M119" s="5" t="s">
        <v>80</v>
      </c>
      <c r="N119" s="5" t="str">
        <f t="shared" si="5"/>
        <v>Male</v>
      </c>
      <c r="O119" s="5" t="s">
        <v>152</v>
      </c>
      <c r="P119" s="5" t="s">
        <v>393</v>
      </c>
      <c r="Q119" s="5" t="s">
        <v>311</v>
      </c>
      <c r="R119" s="5" t="s">
        <v>96</v>
      </c>
      <c r="S119" s="5" t="s">
        <v>97</v>
      </c>
      <c r="T119" s="6">
        <v>439.0</v>
      </c>
      <c r="U119" s="5">
        <f t="shared" si="6"/>
        <v>439</v>
      </c>
      <c r="V119" s="5">
        <v>439.0</v>
      </c>
    </row>
    <row r="120" ht="22.5" customHeight="1">
      <c r="A120" s="5" t="s">
        <v>795</v>
      </c>
      <c r="B120" s="5" t="s">
        <v>745</v>
      </c>
      <c r="C120" s="5" t="str">
        <f t="shared" si="1"/>
        <v>Evan</v>
      </c>
      <c r="D120" s="5" t="s">
        <v>299</v>
      </c>
      <c r="E120" s="5" t="s">
        <v>148</v>
      </c>
      <c r="F120" s="5" t="str">
        <f t="shared" si="2"/>
        <v>Johnson</v>
      </c>
      <c r="G120" s="5" t="s">
        <v>148</v>
      </c>
      <c r="H120" s="6">
        <v>39.0</v>
      </c>
      <c r="I120" s="6">
        <f t="shared" si="3"/>
        <v>39</v>
      </c>
      <c r="J120" s="6">
        <v>39.0</v>
      </c>
      <c r="K120" s="6" t="str">
        <f t="shared" si="4"/>
        <v>Young Adult</v>
      </c>
      <c r="L120" s="6" t="s">
        <v>528</v>
      </c>
      <c r="M120" s="5" t="s">
        <v>45</v>
      </c>
      <c r="N120" s="5" t="str">
        <f t="shared" si="5"/>
        <v>Female</v>
      </c>
      <c r="O120" s="5" t="s">
        <v>105</v>
      </c>
      <c r="P120" s="5" t="s">
        <v>107</v>
      </c>
      <c r="Q120" s="5" t="s">
        <v>470</v>
      </c>
      <c r="R120" s="5" t="s">
        <v>179</v>
      </c>
      <c r="S120" s="5" t="s">
        <v>52</v>
      </c>
      <c r="T120" s="6">
        <v>4536.0</v>
      </c>
      <c r="U120" s="5">
        <f t="shared" si="6"/>
        <v>4536</v>
      </c>
      <c r="V120" s="5">
        <v>4536.0</v>
      </c>
    </row>
    <row r="121" ht="22.5" customHeight="1">
      <c r="A121" s="5" t="s">
        <v>798</v>
      </c>
      <c r="B121" s="5" t="s">
        <v>772</v>
      </c>
      <c r="C121" s="5" t="str">
        <f t="shared" si="1"/>
        <v>Ian</v>
      </c>
      <c r="D121" s="5" t="s">
        <v>877</v>
      </c>
      <c r="E121" s="5" t="s">
        <v>128</v>
      </c>
      <c r="F121" s="5" t="str">
        <f t="shared" si="2"/>
        <v>Rodriguez</v>
      </c>
      <c r="G121" s="5" t="s">
        <v>128</v>
      </c>
      <c r="H121" s="6">
        <v>57.0</v>
      </c>
      <c r="I121" s="6">
        <f t="shared" si="3"/>
        <v>57</v>
      </c>
      <c r="J121" s="6">
        <v>57.0</v>
      </c>
      <c r="K121" s="6" t="str">
        <f t="shared" si="4"/>
        <v>Middle Age</v>
      </c>
      <c r="L121" s="6" t="s">
        <v>591</v>
      </c>
      <c r="M121" s="5" t="s">
        <v>80</v>
      </c>
      <c r="N121" s="5" t="str">
        <f t="shared" si="5"/>
        <v>Male</v>
      </c>
      <c r="O121" s="5" t="s">
        <v>152</v>
      </c>
      <c r="P121" s="5" t="s">
        <v>539</v>
      </c>
      <c r="Q121" s="5" t="s">
        <v>358</v>
      </c>
      <c r="R121" s="5" t="s">
        <v>561</v>
      </c>
      <c r="S121" s="5" t="s">
        <v>52</v>
      </c>
      <c r="T121" s="6">
        <v>2838.0</v>
      </c>
      <c r="U121" s="5">
        <f t="shared" si="6"/>
        <v>2838</v>
      </c>
      <c r="V121" s="5">
        <v>2838.0</v>
      </c>
    </row>
    <row r="122" ht="22.5" customHeight="1">
      <c r="A122" s="5" t="s">
        <v>801</v>
      </c>
      <c r="B122" s="5" t="s">
        <v>803</v>
      </c>
      <c r="C122" s="5" t="str">
        <f t="shared" si="1"/>
        <v>Craig</v>
      </c>
      <c r="D122" s="5" t="s">
        <v>1160</v>
      </c>
      <c r="E122" s="5" t="s">
        <v>433</v>
      </c>
      <c r="F122" s="5" t="str">
        <f t="shared" si="2"/>
        <v>Volkov</v>
      </c>
      <c r="G122" s="5" t="s">
        <v>433</v>
      </c>
      <c r="H122" s="6">
        <v>39.0</v>
      </c>
      <c r="I122" s="6">
        <f t="shared" si="3"/>
        <v>39</v>
      </c>
      <c r="J122" s="6">
        <v>39.0</v>
      </c>
      <c r="K122" s="6" t="str">
        <f t="shared" si="4"/>
        <v>Young Adult</v>
      </c>
      <c r="L122" s="6" t="s">
        <v>528</v>
      </c>
      <c r="M122" s="5" t="s">
        <v>130</v>
      </c>
      <c r="N122" s="5" t="str">
        <f t="shared" si="5"/>
        <v>Male</v>
      </c>
      <c r="O122" s="5" t="s">
        <v>152</v>
      </c>
      <c r="P122" s="5" t="s">
        <v>81</v>
      </c>
      <c r="Q122" s="5" t="s">
        <v>436</v>
      </c>
      <c r="R122" s="5" t="s">
        <v>561</v>
      </c>
      <c r="S122" s="5" t="s">
        <v>559</v>
      </c>
      <c r="T122" s="6">
        <v>3378.0</v>
      </c>
      <c r="U122" s="5">
        <f t="shared" si="6"/>
        <v>3378</v>
      </c>
      <c r="V122" s="5">
        <v>3378.0</v>
      </c>
    </row>
    <row r="123" ht="22.5" customHeight="1">
      <c r="A123" s="5" t="s">
        <v>805</v>
      </c>
      <c r="B123" s="5" t="s">
        <v>658</v>
      </c>
      <c r="C123" s="5" t="str">
        <f t="shared" si="1"/>
        <v>Timothy</v>
      </c>
      <c r="D123" s="5" t="s">
        <v>1329</v>
      </c>
      <c r="E123" s="5" t="s">
        <v>25</v>
      </c>
      <c r="F123" s="5" t="str">
        <f t="shared" si="2"/>
        <v>Garcia</v>
      </c>
      <c r="G123" s="5" t="s">
        <v>25</v>
      </c>
      <c r="H123" s="6">
        <v>30.0</v>
      </c>
      <c r="I123" s="6">
        <f t="shared" si="3"/>
        <v>30</v>
      </c>
      <c r="J123" s="6">
        <v>30.0</v>
      </c>
      <c r="K123" s="6" t="str">
        <f t="shared" si="4"/>
        <v>Young Adult</v>
      </c>
      <c r="L123" s="6" t="s">
        <v>528</v>
      </c>
      <c r="M123" s="5" t="s">
        <v>80</v>
      </c>
      <c r="N123" s="5" t="str">
        <f t="shared" si="5"/>
        <v>Male</v>
      </c>
      <c r="O123" s="5" t="s">
        <v>152</v>
      </c>
      <c r="P123" s="5" t="s">
        <v>107</v>
      </c>
      <c r="Q123" s="5" t="s">
        <v>164</v>
      </c>
      <c r="R123" s="5" t="s">
        <v>96</v>
      </c>
      <c r="S123" s="5" t="s">
        <v>52</v>
      </c>
      <c r="T123" s="6">
        <v>1160.0</v>
      </c>
      <c r="U123" s="5">
        <f t="shared" si="6"/>
        <v>1160</v>
      </c>
      <c r="V123" s="5">
        <v>1160.0</v>
      </c>
    </row>
    <row r="124" ht="22.5" customHeight="1">
      <c r="A124" s="5" t="s">
        <v>811</v>
      </c>
      <c r="B124" s="5" t="s">
        <v>812</v>
      </c>
      <c r="C124" s="5" t="str">
        <f t="shared" si="1"/>
        <v>Keith#</v>
      </c>
      <c r="D124" s="5" t="s">
        <v>812</v>
      </c>
      <c r="E124" s="5" t="s">
        <v>216</v>
      </c>
      <c r="F124" s="5" t="str">
        <f t="shared" si="2"/>
        <v>Williams</v>
      </c>
      <c r="G124" s="5" t="s">
        <v>216</v>
      </c>
      <c r="H124" s="6">
        <v>34.0</v>
      </c>
      <c r="I124" s="6">
        <f t="shared" si="3"/>
        <v>34</v>
      </c>
      <c r="J124" s="6">
        <v>34.0</v>
      </c>
      <c r="K124" s="6" t="str">
        <f t="shared" si="4"/>
        <v>Young Adult</v>
      </c>
      <c r="L124" s="6" t="s">
        <v>528</v>
      </c>
      <c r="M124" s="5" t="s">
        <v>80</v>
      </c>
      <c r="N124" s="5" t="str">
        <f t="shared" si="5"/>
        <v>Male</v>
      </c>
      <c r="O124" s="5" t="s">
        <v>152</v>
      </c>
      <c r="P124" s="5" t="s">
        <v>107</v>
      </c>
      <c r="Q124" s="5" t="s">
        <v>482</v>
      </c>
      <c r="R124" s="5" t="s">
        <v>179</v>
      </c>
      <c r="S124" s="5" t="s">
        <v>222</v>
      </c>
      <c r="T124" s="6">
        <v>4153.0</v>
      </c>
      <c r="U124" s="5">
        <f t="shared" si="6"/>
        <v>4153</v>
      </c>
      <c r="V124" s="5">
        <v>4153.0</v>
      </c>
    </row>
    <row r="125" ht="22.5" customHeight="1">
      <c r="A125" s="5" t="s">
        <v>815</v>
      </c>
      <c r="B125" s="5" t="s">
        <v>193</v>
      </c>
      <c r="C125" s="5" t="str">
        <f t="shared" si="1"/>
        <v>Fiona</v>
      </c>
      <c r="D125" s="5" t="s">
        <v>193</v>
      </c>
      <c r="E125" s="5" t="s">
        <v>363</v>
      </c>
      <c r="F125" s="5" t="str">
        <f t="shared" si="2"/>
        <v>Smith</v>
      </c>
      <c r="G125" s="5" t="s">
        <v>363</v>
      </c>
      <c r="H125" s="6">
        <v>88.0</v>
      </c>
      <c r="I125" s="6">
        <f t="shared" si="3"/>
        <v>88</v>
      </c>
      <c r="J125" s="6">
        <v>88.0</v>
      </c>
      <c r="K125" s="6" t="str">
        <f t="shared" si="4"/>
        <v>Senior</v>
      </c>
      <c r="L125" s="6" t="s">
        <v>734</v>
      </c>
      <c r="M125" s="5" t="s">
        <v>105</v>
      </c>
      <c r="N125" s="5" t="str">
        <f t="shared" si="5"/>
        <v>Female</v>
      </c>
      <c r="O125" s="5" t="s">
        <v>105</v>
      </c>
      <c r="P125" s="5" t="s">
        <v>571</v>
      </c>
      <c r="Q125" s="5" t="s">
        <v>576</v>
      </c>
      <c r="R125" s="5" t="s">
        <v>607</v>
      </c>
      <c r="S125" s="5" t="s">
        <v>97</v>
      </c>
      <c r="T125" s="6">
        <v>4277.0</v>
      </c>
      <c r="U125" s="5">
        <f t="shared" si="6"/>
        <v>4277</v>
      </c>
      <c r="V125" s="5">
        <v>4277.0</v>
      </c>
    </row>
    <row r="126" ht="22.5" customHeight="1">
      <c r="A126" s="5" t="s">
        <v>819</v>
      </c>
      <c r="B126" s="5" t="s">
        <v>820</v>
      </c>
      <c r="C126" s="5" t="str">
        <f t="shared" si="1"/>
        <v>Olivia</v>
      </c>
      <c r="D126" s="5" t="s">
        <v>820</v>
      </c>
      <c r="E126" s="5" t="s">
        <v>76</v>
      </c>
      <c r="F126" s="5" t="str">
        <f t="shared" si="2"/>
        <v>Brown</v>
      </c>
      <c r="G126" s="5" t="s">
        <v>76</v>
      </c>
      <c r="H126" s="6">
        <v>56.0</v>
      </c>
      <c r="I126" s="6">
        <f t="shared" si="3"/>
        <v>56</v>
      </c>
      <c r="J126" s="6">
        <v>56.0</v>
      </c>
      <c r="K126" s="6" t="str">
        <f t="shared" si="4"/>
        <v>Middle Age</v>
      </c>
      <c r="L126" s="6" t="s">
        <v>591</v>
      </c>
      <c r="M126" s="5" t="s">
        <v>28</v>
      </c>
      <c r="N126" s="5" t="str">
        <f t="shared" si="5"/>
        <v>Female</v>
      </c>
      <c r="O126" s="5" t="s">
        <v>105</v>
      </c>
      <c r="P126" s="5" t="s">
        <v>64</v>
      </c>
      <c r="Q126" s="5" t="s">
        <v>551</v>
      </c>
      <c r="R126" s="5" t="s">
        <v>83</v>
      </c>
      <c r="S126" s="5" t="s">
        <v>559</v>
      </c>
      <c r="T126" s="6">
        <v>2382.0</v>
      </c>
      <c r="U126" s="5">
        <f t="shared" si="6"/>
        <v>2382</v>
      </c>
      <c r="V126" s="5">
        <v>2382.0</v>
      </c>
    </row>
    <row r="127" ht="22.5" customHeight="1">
      <c r="A127" s="5" t="s">
        <v>822</v>
      </c>
      <c r="B127" s="5" t="s">
        <v>542</v>
      </c>
      <c r="C127" s="5" t="str">
        <f t="shared" si="1"/>
        <v>David</v>
      </c>
      <c r="D127" s="5" t="s">
        <v>542</v>
      </c>
      <c r="E127" s="5" t="s">
        <v>264</v>
      </c>
      <c r="F127" s="5" t="str">
        <f t="shared" si="2"/>
        <v>Wu</v>
      </c>
      <c r="G127" s="5" t="s">
        <v>264</v>
      </c>
      <c r="H127" s="6">
        <v>26.0</v>
      </c>
      <c r="I127" s="6">
        <f t="shared" si="3"/>
        <v>26</v>
      </c>
      <c r="J127" s="6">
        <v>26.0</v>
      </c>
      <c r="K127" s="6" t="str">
        <f t="shared" si="4"/>
        <v>Young Adult</v>
      </c>
      <c r="L127" s="6" t="s">
        <v>528</v>
      </c>
      <c r="M127" s="5" t="s">
        <v>152</v>
      </c>
      <c r="N127" s="5" t="str">
        <f t="shared" si="5"/>
        <v>Male</v>
      </c>
      <c r="O127" s="5" t="s">
        <v>152</v>
      </c>
      <c r="P127" s="5" t="s">
        <v>364</v>
      </c>
      <c r="Q127" s="5" t="s">
        <v>637</v>
      </c>
      <c r="R127" s="5" t="s">
        <v>546</v>
      </c>
      <c r="S127" s="5" t="s">
        <v>559</v>
      </c>
      <c r="T127" s="6">
        <v>2510.0</v>
      </c>
      <c r="U127" s="5">
        <f t="shared" si="6"/>
        <v>2510</v>
      </c>
      <c r="V127" s="5">
        <v>2510.0</v>
      </c>
    </row>
    <row r="128" ht="22.5" customHeight="1">
      <c r="A128" s="5" t="s">
        <v>826</v>
      </c>
      <c r="B128" s="5" t="s">
        <v>827</v>
      </c>
      <c r="C128" s="5" t="str">
        <f t="shared" si="1"/>
        <v>Ryan</v>
      </c>
      <c r="D128" s="5" t="s">
        <v>827</v>
      </c>
      <c r="E128" s="5" t="s">
        <v>828</v>
      </c>
      <c r="F128" s="5" t="str">
        <f t="shared" si="2"/>
        <v>Chang</v>
      </c>
      <c r="G128" s="5" t="s">
        <v>828</v>
      </c>
      <c r="H128" s="6">
        <v>90.0</v>
      </c>
      <c r="I128" s="6">
        <f t="shared" si="3"/>
        <v>90</v>
      </c>
      <c r="J128" s="6">
        <v>90.0</v>
      </c>
      <c r="K128" s="6" t="str">
        <f t="shared" si="4"/>
        <v>Senior</v>
      </c>
      <c r="L128" s="6" t="s">
        <v>734</v>
      </c>
      <c r="M128" s="5" t="s">
        <v>152</v>
      </c>
      <c r="N128" s="5" t="str">
        <f t="shared" si="5"/>
        <v>Male</v>
      </c>
      <c r="O128" s="5" t="s">
        <v>152</v>
      </c>
      <c r="P128" s="5" t="s">
        <v>759</v>
      </c>
      <c r="Q128" s="5" t="s">
        <v>418</v>
      </c>
      <c r="R128" s="5" t="s">
        <v>210</v>
      </c>
      <c r="S128" s="5" t="s">
        <v>97</v>
      </c>
      <c r="T128" s="6">
        <v>715.0</v>
      </c>
      <c r="U128" s="5">
        <f t="shared" si="6"/>
        <v>715</v>
      </c>
      <c r="V128" s="5">
        <v>715.0</v>
      </c>
    </row>
    <row r="129" ht="22.5" customHeight="1">
      <c r="A129" s="5" t="s">
        <v>830</v>
      </c>
      <c r="B129" s="5" t="s">
        <v>831</v>
      </c>
      <c r="C129" s="5" t="str">
        <f t="shared" si="1"/>
        <v>Sally</v>
      </c>
      <c r="D129" s="5" t="s">
        <v>831</v>
      </c>
      <c r="E129" s="5" t="s">
        <v>254</v>
      </c>
      <c r="F129" s="5" t="str">
        <f t="shared" si="2"/>
        <v>Doe</v>
      </c>
      <c r="G129" s="5" t="s">
        <v>254</v>
      </c>
      <c r="H129" s="6">
        <v>54.0</v>
      </c>
      <c r="I129" s="6">
        <f t="shared" si="3"/>
        <v>54</v>
      </c>
      <c r="J129" s="6">
        <v>54.0</v>
      </c>
      <c r="K129" s="6" t="str">
        <f t="shared" si="4"/>
        <v>Middle Age</v>
      </c>
      <c r="L129" s="6" t="s">
        <v>591</v>
      </c>
      <c r="M129" s="5" t="s">
        <v>45</v>
      </c>
      <c r="N129" s="5" t="str">
        <f t="shared" si="5"/>
        <v>Female</v>
      </c>
      <c r="O129" s="5" t="s">
        <v>105</v>
      </c>
      <c r="P129" s="5" t="s">
        <v>539</v>
      </c>
      <c r="Q129" s="5" t="s">
        <v>311</v>
      </c>
      <c r="R129" s="5" t="s">
        <v>546</v>
      </c>
      <c r="S129" s="5" t="s">
        <v>52</v>
      </c>
      <c r="T129" s="6">
        <v>2258.0</v>
      </c>
      <c r="U129" s="5">
        <f t="shared" si="6"/>
        <v>2258</v>
      </c>
      <c r="V129" s="5">
        <v>2258.0</v>
      </c>
    </row>
    <row r="130" ht="22.5" customHeight="1">
      <c r="A130" s="5" t="s">
        <v>834</v>
      </c>
      <c r="B130" s="5" t="s">
        <v>542</v>
      </c>
      <c r="C130" s="5" t="str">
        <f t="shared" si="1"/>
        <v>David</v>
      </c>
      <c r="D130" s="5" t="s">
        <v>542</v>
      </c>
      <c r="E130" s="5" t="s">
        <v>713</v>
      </c>
      <c r="F130" s="5" t="str">
        <f t="shared" si="2"/>
        <v>White</v>
      </c>
      <c r="G130" s="5" t="s">
        <v>713</v>
      </c>
      <c r="H130" s="6">
        <v>62.0</v>
      </c>
      <c r="I130" s="6">
        <f t="shared" si="3"/>
        <v>62</v>
      </c>
      <c r="J130" s="6">
        <v>62.0</v>
      </c>
      <c r="K130" s="6" t="str">
        <f t="shared" si="4"/>
        <v>Senior</v>
      </c>
      <c r="L130" s="6" t="s">
        <v>734</v>
      </c>
      <c r="M130" s="5" t="s">
        <v>130</v>
      </c>
      <c r="N130" s="5" t="str">
        <f t="shared" si="5"/>
        <v>Male</v>
      </c>
      <c r="O130" s="5" t="s">
        <v>152</v>
      </c>
      <c r="P130" s="5" t="s">
        <v>268</v>
      </c>
      <c r="Q130" s="5" t="s">
        <v>439</v>
      </c>
      <c r="R130" s="5" t="s">
        <v>210</v>
      </c>
      <c r="S130" s="5" t="s">
        <v>97</v>
      </c>
      <c r="T130" s="6">
        <v>504.0</v>
      </c>
      <c r="U130" s="5">
        <f t="shared" si="6"/>
        <v>504</v>
      </c>
      <c r="V130" s="5">
        <v>504.0</v>
      </c>
    </row>
    <row r="131" ht="22.5" customHeight="1">
      <c r="A131" s="5" t="s">
        <v>837</v>
      </c>
      <c r="B131" s="5" t="s">
        <v>838</v>
      </c>
      <c r="C131" s="5" t="str">
        <f t="shared" si="1"/>
        <v>Jack</v>
      </c>
      <c r="D131" s="5" t="s">
        <v>1186</v>
      </c>
      <c r="E131" s="5" t="s">
        <v>76</v>
      </c>
      <c r="F131" s="5" t="str">
        <f t="shared" si="2"/>
        <v>Brown</v>
      </c>
      <c r="G131" s="5" t="s">
        <v>76</v>
      </c>
      <c r="H131" s="6">
        <v>999.0</v>
      </c>
      <c r="I131" s="6">
        <f t="shared" si="3"/>
        <v>999</v>
      </c>
      <c r="J131" s="6"/>
      <c r="K131" s="6" t="str">
        <f t="shared" si="4"/>
        <v>Unknown</v>
      </c>
      <c r="L131" s="6" t="s">
        <v>1081</v>
      </c>
      <c r="M131" s="5" t="s">
        <v>152</v>
      </c>
      <c r="N131" s="5" t="str">
        <f t="shared" si="5"/>
        <v>Male</v>
      </c>
      <c r="O131" s="5" t="s">
        <v>152</v>
      </c>
      <c r="P131" s="5" t="s">
        <v>30</v>
      </c>
      <c r="Q131" s="5" t="s">
        <v>470</v>
      </c>
      <c r="R131" s="5" t="s">
        <v>96</v>
      </c>
      <c r="S131" s="5" t="s">
        <v>97</v>
      </c>
      <c r="T131" s="6">
        <v>161.0</v>
      </c>
      <c r="U131" s="5">
        <f t="shared" si="6"/>
        <v>161</v>
      </c>
      <c r="V131" s="5">
        <v>161.0</v>
      </c>
    </row>
    <row r="132" ht="22.5" customHeight="1">
      <c r="A132" s="5" t="s">
        <v>841</v>
      </c>
      <c r="B132" s="5" t="s">
        <v>843</v>
      </c>
      <c r="C132" s="5" t="str">
        <f t="shared" si="1"/>
        <v>Frank</v>
      </c>
      <c r="D132" s="5" t="s">
        <v>171</v>
      </c>
      <c r="E132" s="5" t="s">
        <v>316</v>
      </c>
      <c r="F132" s="5" t="str">
        <f t="shared" si="2"/>
        <v>Baker</v>
      </c>
      <c r="G132" s="5" t="s">
        <v>316</v>
      </c>
      <c r="H132" s="6">
        <v>36.0</v>
      </c>
      <c r="I132" s="6">
        <f t="shared" si="3"/>
        <v>36</v>
      </c>
      <c r="J132" s="6">
        <v>36.0</v>
      </c>
      <c r="K132" s="6" t="str">
        <f t="shared" si="4"/>
        <v>Young Adult</v>
      </c>
      <c r="L132" s="6" t="s">
        <v>528</v>
      </c>
      <c r="M132" s="5" t="s">
        <v>80</v>
      </c>
      <c r="N132" s="5" t="str">
        <f t="shared" si="5"/>
        <v>Male</v>
      </c>
      <c r="O132" s="5" t="s">
        <v>152</v>
      </c>
      <c r="P132" s="5" t="s">
        <v>364</v>
      </c>
      <c r="Q132" s="5" t="s">
        <v>470</v>
      </c>
      <c r="R132" s="5" t="s">
        <v>179</v>
      </c>
      <c r="S132" s="5" t="s">
        <v>222</v>
      </c>
      <c r="T132" s="6">
        <v>4381.0</v>
      </c>
      <c r="U132" s="5">
        <f t="shared" si="6"/>
        <v>4381</v>
      </c>
      <c r="V132" s="5">
        <v>4381.0</v>
      </c>
    </row>
    <row r="133" ht="22.5" customHeight="1">
      <c r="A133" s="5" t="s">
        <v>845</v>
      </c>
      <c r="B133" s="5" t="s">
        <v>158</v>
      </c>
      <c r="C133" s="5" t="str">
        <f t="shared" si="1"/>
        <v>Eva</v>
      </c>
      <c r="D133" s="5" t="s">
        <v>158</v>
      </c>
      <c r="E133" s="5" t="s">
        <v>148</v>
      </c>
      <c r="F133" s="5" t="str">
        <f t="shared" si="2"/>
        <v>Johnson</v>
      </c>
      <c r="G133" s="5" t="s">
        <v>148</v>
      </c>
      <c r="H133" s="8"/>
      <c r="I133" s="8">
        <f t="shared" si="3"/>
        <v>0</v>
      </c>
      <c r="J133" s="8"/>
      <c r="K133" s="8" t="str">
        <f t="shared" si="4"/>
        <v>Unknown</v>
      </c>
      <c r="L133" s="8" t="s">
        <v>1081</v>
      </c>
      <c r="M133" s="5" t="s">
        <v>45</v>
      </c>
      <c r="N133" s="5" t="str">
        <f t="shared" si="5"/>
        <v>Female</v>
      </c>
      <c r="O133" s="5" t="s">
        <v>105</v>
      </c>
      <c r="P133" s="5" t="s">
        <v>237</v>
      </c>
      <c r="Q133" s="5" t="s">
        <v>482</v>
      </c>
      <c r="R133" s="5" t="s">
        <v>179</v>
      </c>
      <c r="S133" s="5" t="s">
        <v>211</v>
      </c>
      <c r="T133" s="6">
        <v>3979.0</v>
      </c>
      <c r="U133" s="5">
        <f t="shared" si="6"/>
        <v>3979</v>
      </c>
      <c r="V133" s="5">
        <v>3979.0</v>
      </c>
    </row>
    <row r="134" ht="22.5" customHeight="1">
      <c r="A134" s="5" t="s">
        <v>849</v>
      </c>
      <c r="B134" s="5" t="s">
        <v>136</v>
      </c>
      <c r="C134" s="5" t="str">
        <f t="shared" si="1"/>
        <v>Alice</v>
      </c>
      <c r="D134" s="5" t="s">
        <v>136</v>
      </c>
      <c r="E134" s="5" t="s">
        <v>128</v>
      </c>
      <c r="F134" s="5" t="str">
        <f t="shared" si="2"/>
        <v>Rodriguez</v>
      </c>
      <c r="G134" s="5" t="s">
        <v>128</v>
      </c>
      <c r="H134" s="6">
        <v>83.0</v>
      </c>
      <c r="I134" s="6">
        <f t="shared" si="3"/>
        <v>83</v>
      </c>
      <c r="J134" s="6">
        <v>83.0</v>
      </c>
      <c r="K134" s="6" t="str">
        <f t="shared" si="4"/>
        <v>Senior</v>
      </c>
      <c r="L134" s="6" t="s">
        <v>734</v>
      </c>
      <c r="M134" s="5" t="s">
        <v>28</v>
      </c>
      <c r="N134" s="5" t="str">
        <f t="shared" si="5"/>
        <v>Female</v>
      </c>
      <c r="O134" s="5" t="s">
        <v>105</v>
      </c>
      <c r="P134" s="5" t="s">
        <v>539</v>
      </c>
      <c r="Q134" s="5" t="s">
        <v>436</v>
      </c>
      <c r="R134" s="5" t="s">
        <v>561</v>
      </c>
      <c r="S134" s="5" t="s">
        <v>97</v>
      </c>
      <c r="T134" s="6">
        <v>3092.0</v>
      </c>
      <c r="U134" s="5">
        <f t="shared" si="6"/>
        <v>3092</v>
      </c>
      <c r="V134" s="5">
        <v>3092.0</v>
      </c>
    </row>
    <row r="135" ht="22.5" customHeight="1">
      <c r="A135" s="5" t="s">
        <v>854</v>
      </c>
      <c r="B135" s="5" t="s">
        <v>764</v>
      </c>
      <c r="C135" s="5" t="str">
        <f t="shared" si="1"/>
        <v>Nancy</v>
      </c>
      <c r="D135" s="5" t="s">
        <v>764</v>
      </c>
      <c r="E135" s="5" t="s">
        <v>374</v>
      </c>
      <c r="F135" s="5" t="str">
        <f t="shared" si="2"/>
        <v>Miller</v>
      </c>
      <c r="G135" s="5" t="s">
        <v>374</v>
      </c>
      <c r="H135" s="6">
        <v>999.0</v>
      </c>
      <c r="I135" s="6">
        <f t="shared" si="3"/>
        <v>999</v>
      </c>
      <c r="J135" s="6"/>
      <c r="K135" s="6" t="str">
        <f t="shared" si="4"/>
        <v>Unknown</v>
      </c>
      <c r="L135" s="6" t="s">
        <v>1081</v>
      </c>
      <c r="M135" s="5" t="s">
        <v>28</v>
      </c>
      <c r="N135" s="5" t="str">
        <f t="shared" si="5"/>
        <v>Female</v>
      </c>
      <c r="O135" s="5" t="s">
        <v>105</v>
      </c>
      <c r="P135" s="5" t="s">
        <v>393</v>
      </c>
      <c r="Q135" s="5" t="s">
        <v>916</v>
      </c>
      <c r="R135" s="5" t="s">
        <v>402</v>
      </c>
      <c r="S135" s="5" t="s">
        <v>97</v>
      </c>
      <c r="T135" s="6">
        <v>2079.0</v>
      </c>
      <c r="U135" s="5">
        <f t="shared" si="6"/>
        <v>2079</v>
      </c>
      <c r="V135" s="5">
        <v>2079.0</v>
      </c>
    </row>
    <row r="136" ht="22.5" customHeight="1">
      <c r="A136" s="5" t="s">
        <v>857</v>
      </c>
      <c r="B136" s="5" t="s">
        <v>858</v>
      </c>
      <c r="C136" s="5" t="str">
        <f t="shared" si="1"/>
        <v>Will</v>
      </c>
      <c r="D136" s="5" t="s">
        <v>3104</v>
      </c>
      <c r="E136" s="5" t="s">
        <v>352</v>
      </c>
      <c r="F136" s="5" t="str">
        <f t="shared" si="2"/>
        <v>Kim</v>
      </c>
      <c r="G136" s="5" t="s">
        <v>352</v>
      </c>
      <c r="H136" s="6">
        <v>49.0</v>
      </c>
      <c r="I136" s="6">
        <f t="shared" si="3"/>
        <v>49</v>
      </c>
      <c r="J136" s="6">
        <v>49.0</v>
      </c>
      <c r="K136" s="6" t="str">
        <f t="shared" si="4"/>
        <v>Middle Age</v>
      </c>
      <c r="L136" s="6" t="s">
        <v>591</v>
      </c>
      <c r="M136" s="5" t="s">
        <v>152</v>
      </c>
      <c r="N136" s="5" t="str">
        <f t="shared" si="5"/>
        <v>Male</v>
      </c>
      <c r="O136" s="5" t="s">
        <v>152</v>
      </c>
      <c r="P136" s="5" t="s">
        <v>539</v>
      </c>
      <c r="Q136" s="5" t="s">
        <v>377</v>
      </c>
      <c r="R136" s="5" t="s">
        <v>96</v>
      </c>
      <c r="S136" s="5" t="s">
        <v>559</v>
      </c>
      <c r="T136" s="6">
        <v>481.0</v>
      </c>
      <c r="U136" s="5">
        <f t="shared" si="6"/>
        <v>481</v>
      </c>
      <c r="V136" s="5">
        <v>481.0</v>
      </c>
    </row>
    <row r="137" ht="22.5" customHeight="1">
      <c r="A137" s="5" t="s">
        <v>861</v>
      </c>
      <c r="B137" s="5" t="s">
        <v>411</v>
      </c>
      <c r="C137" s="5" t="str">
        <f t="shared" si="1"/>
        <v>Jane</v>
      </c>
      <c r="D137" s="5" t="s">
        <v>411</v>
      </c>
      <c r="E137" s="5" t="s">
        <v>324</v>
      </c>
      <c r="F137" s="5" t="str">
        <f t="shared" si="2"/>
        <v>Cooper</v>
      </c>
      <c r="G137" s="5" t="s">
        <v>324</v>
      </c>
      <c r="H137" s="6">
        <v>32.0</v>
      </c>
      <c r="I137" s="6">
        <f t="shared" si="3"/>
        <v>32</v>
      </c>
      <c r="J137" s="6">
        <v>32.0</v>
      </c>
      <c r="K137" s="6" t="str">
        <f t="shared" si="4"/>
        <v>Young Adult</v>
      </c>
      <c r="L137" s="6" t="s">
        <v>528</v>
      </c>
      <c r="M137" s="5" t="s">
        <v>28</v>
      </c>
      <c r="N137" s="5" t="str">
        <f t="shared" si="5"/>
        <v>Female</v>
      </c>
      <c r="O137" s="5" t="s">
        <v>105</v>
      </c>
      <c r="P137" s="5" t="s">
        <v>393</v>
      </c>
      <c r="Q137" s="5" t="s">
        <v>32</v>
      </c>
      <c r="R137" s="5" t="s">
        <v>83</v>
      </c>
      <c r="S137" s="5" t="s">
        <v>52</v>
      </c>
      <c r="T137" s="6">
        <v>2263.0</v>
      </c>
      <c r="U137" s="5">
        <f t="shared" si="6"/>
        <v>2263</v>
      </c>
      <c r="V137" s="5">
        <v>2263.0</v>
      </c>
    </row>
    <row r="138" ht="22.5" customHeight="1">
      <c r="A138" s="5" t="s">
        <v>864</v>
      </c>
      <c r="B138" s="5" t="s">
        <v>865</v>
      </c>
      <c r="C138" s="5" t="str">
        <f t="shared" si="1"/>
        <v>Ava</v>
      </c>
      <c r="D138" s="5" t="s">
        <v>865</v>
      </c>
      <c r="E138" s="5" t="s">
        <v>244</v>
      </c>
      <c r="F138" s="5" t="str">
        <f t="shared" si="2"/>
        <v>Jackson</v>
      </c>
      <c r="G138" s="5" t="s">
        <v>244</v>
      </c>
      <c r="H138" s="6">
        <v>25.0</v>
      </c>
      <c r="I138" s="6">
        <f t="shared" si="3"/>
        <v>25</v>
      </c>
      <c r="J138" s="6">
        <v>25.0</v>
      </c>
      <c r="K138" s="6" t="str">
        <f t="shared" si="4"/>
        <v>Young Adult</v>
      </c>
      <c r="L138" s="6" t="s">
        <v>528</v>
      </c>
      <c r="M138" s="5" t="s">
        <v>45</v>
      </c>
      <c r="N138" s="5" t="str">
        <f t="shared" si="5"/>
        <v>Female</v>
      </c>
      <c r="O138" s="5" t="s">
        <v>105</v>
      </c>
      <c r="P138" s="5" t="s">
        <v>64</v>
      </c>
      <c r="Q138" s="5" t="s">
        <v>238</v>
      </c>
      <c r="R138" s="5" t="s">
        <v>533</v>
      </c>
      <c r="S138" s="5" t="s">
        <v>222</v>
      </c>
      <c r="T138" s="6">
        <v>1108.0</v>
      </c>
      <c r="U138" s="5">
        <f t="shared" si="6"/>
        <v>1108</v>
      </c>
      <c r="V138" s="5">
        <v>1108.0</v>
      </c>
    </row>
    <row r="139" ht="22.5" customHeight="1">
      <c r="A139" s="5" t="s">
        <v>871</v>
      </c>
      <c r="B139" s="5" t="s">
        <v>872</v>
      </c>
      <c r="C139" s="5" t="str">
        <f t="shared" si="1"/>
        <v>Paul</v>
      </c>
      <c r="D139" s="5" t="s">
        <v>872</v>
      </c>
      <c r="E139" s="5" t="s">
        <v>42</v>
      </c>
      <c r="F139" s="5" t="str">
        <f t="shared" si="2"/>
        <v>Lopez</v>
      </c>
      <c r="G139" s="5" t="s">
        <v>42</v>
      </c>
      <c r="H139" s="6">
        <v>42.0</v>
      </c>
      <c r="I139" s="6">
        <f t="shared" si="3"/>
        <v>42</v>
      </c>
      <c r="J139" s="6">
        <v>42.0</v>
      </c>
      <c r="K139" s="6" t="str">
        <f t="shared" si="4"/>
        <v>Middle Age</v>
      </c>
      <c r="L139" s="6" t="s">
        <v>591</v>
      </c>
      <c r="M139" s="5" t="s">
        <v>130</v>
      </c>
      <c r="N139" s="5" t="str">
        <f t="shared" si="5"/>
        <v>Male</v>
      </c>
      <c r="O139" s="5" t="s">
        <v>152</v>
      </c>
      <c r="P139" s="5" t="s">
        <v>759</v>
      </c>
      <c r="Q139" s="5" t="s">
        <v>277</v>
      </c>
      <c r="R139" s="5" t="s">
        <v>402</v>
      </c>
      <c r="S139" s="5" t="s">
        <v>52</v>
      </c>
      <c r="T139" s="6">
        <v>922.0</v>
      </c>
      <c r="U139" s="5">
        <f t="shared" si="6"/>
        <v>922</v>
      </c>
      <c r="V139" s="5">
        <v>922.0</v>
      </c>
    </row>
    <row r="140" ht="22.5" customHeight="1">
      <c r="A140" s="5" t="s">
        <v>876</v>
      </c>
      <c r="B140" s="5" t="s">
        <v>877</v>
      </c>
      <c r="C140" s="5" t="str">
        <f t="shared" si="1"/>
        <v>Ian</v>
      </c>
      <c r="D140" s="5" t="s">
        <v>877</v>
      </c>
      <c r="E140" s="5" t="s">
        <v>316</v>
      </c>
      <c r="F140" s="5" t="str">
        <f t="shared" si="2"/>
        <v>Baker</v>
      </c>
      <c r="G140" s="5" t="s">
        <v>316</v>
      </c>
      <c r="H140" s="6">
        <v>59.0</v>
      </c>
      <c r="I140" s="6">
        <f t="shared" si="3"/>
        <v>59</v>
      </c>
      <c r="J140" s="6">
        <v>59.0</v>
      </c>
      <c r="K140" s="6" t="str">
        <f t="shared" si="4"/>
        <v>Middle Age</v>
      </c>
      <c r="L140" s="6" t="s">
        <v>591</v>
      </c>
      <c r="M140" s="5" t="s">
        <v>152</v>
      </c>
      <c r="N140" s="5" t="str">
        <f t="shared" si="5"/>
        <v>Male</v>
      </c>
      <c r="O140" s="5" t="s">
        <v>152</v>
      </c>
      <c r="P140" s="5" t="s">
        <v>208</v>
      </c>
      <c r="Q140" s="5" t="s">
        <v>123</v>
      </c>
      <c r="R140" s="5" t="s">
        <v>83</v>
      </c>
      <c r="S140" s="5" t="s">
        <v>222</v>
      </c>
      <c r="T140" s="6">
        <v>2110.0</v>
      </c>
      <c r="U140" s="5">
        <f t="shared" si="6"/>
        <v>2110</v>
      </c>
      <c r="V140" s="5">
        <v>2110.0</v>
      </c>
    </row>
    <row r="141" ht="22.5" customHeight="1">
      <c r="A141" s="5" t="s">
        <v>881</v>
      </c>
      <c r="B141" s="5" t="s">
        <v>411</v>
      </c>
      <c r="C141" s="5" t="str">
        <f t="shared" si="1"/>
        <v>Jane</v>
      </c>
      <c r="D141" s="5" t="s">
        <v>411</v>
      </c>
      <c r="E141" s="5" t="s">
        <v>90</v>
      </c>
      <c r="F141" s="5" t="str">
        <f t="shared" si="2"/>
        <v>Davis</v>
      </c>
      <c r="G141" s="5" t="s">
        <v>90</v>
      </c>
      <c r="H141" s="6">
        <v>43.0</v>
      </c>
      <c r="I141" s="6">
        <f t="shared" si="3"/>
        <v>43</v>
      </c>
      <c r="J141" s="6">
        <v>43.0</v>
      </c>
      <c r="K141" s="6" t="str">
        <f t="shared" si="4"/>
        <v>Middle Age</v>
      </c>
      <c r="L141" s="6" t="s">
        <v>591</v>
      </c>
      <c r="M141" s="5" t="s">
        <v>45</v>
      </c>
      <c r="N141" s="5" t="str">
        <f t="shared" si="5"/>
        <v>Female</v>
      </c>
      <c r="O141" s="5" t="s">
        <v>105</v>
      </c>
      <c r="P141" s="5" t="s">
        <v>539</v>
      </c>
      <c r="Q141" s="5" t="s">
        <v>311</v>
      </c>
      <c r="R141" s="5" t="s">
        <v>546</v>
      </c>
      <c r="S141" s="5" t="s">
        <v>52</v>
      </c>
      <c r="T141" s="6">
        <v>3101.0</v>
      </c>
      <c r="U141" s="5">
        <f t="shared" si="6"/>
        <v>3101</v>
      </c>
      <c r="V141" s="5">
        <v>3101.0</v>
      </c>
    </row>
    <row r="142" ht="22.5" customHeight="1">
      <c r="A142" s="5" t="s">
        <v>884</v>
      </c>
      <c r="B142" s="5" t="s">
        <v>136</v>
      </c>
      <c r="C142" s="5" t="str">
        <f t="shared" si="1"/>
        <v>Alice</v>
      </c>
      <c r="D142" s="5" t="s">
        <v>136</v>
      </c>
      <c r="E142" s="5" t="s">
        <v>885</v>
      </c>
      <c r="F142" s="5" t="str">
        <f t="shared" si="2"/>
        <v>Davis</v>
      </c>
      <c r="G142" s="5" t="s">
        <v>90</v>
      </c>
      <c r="H142" s="6">
        <v>33.0</v>
      </c>
      <c r="I142" s="6">
        <f t="shared" si="3"/>
        <v>33</v>
      </c>
      <c r="J142" s="6">
        <v>33.0</v>
      </c>
      <c r="K142" s="6" t="str">
        <f t="shared" si="4"/>
        <v>Young Adult</v>
      </c>
      <c r="L142" s="6" t="s">
        <v>528</v>
      </c>
      <c r="M142" s="5" t="s">
        <v>105</v>
      </c>
      <c r="N142" s="5" t="str">
        <f t="shared" si="5"/>
        <v>Female</v>
      </c>
      <c r="O142" s="5" t="s">
        <v>105</v>
      </c>
      <c r="P142" s="5" t="s">
        <v>364</v>
      </c>
      <c r="Q142" s="5" t="s">
        <v>470</v>
      </c>
      <c r="R142" s="5" t="s">
        <v>179</v>
      </c>
      <c r="S142" s="5" t="s">
        <v>222</v>
      </c>
      <c r="T142" s="6">
        <v>2483.0</v>
      </c>
      <c r="U142" s="5">
        <f t="shared" si="6"/>
        <v>2483</v>
      </c>
      <c r="V142" s="5">
        <v>2483.0</v>
      </c>
    </row>
    <row r="143" ht="22.5" customHeight="1">
      <c r="A143" s="5" t="s">
        <v>889</v>
      </c>
      <c r="B143" s="5" t="s">
        <v>764</v>
      </c>
      <c r="C143" s="5" t="str">
        <f t="shared" si="1"/>
        <v>Nancy</v>
      </c>
      <c r="D143" s="5" t="s">
        <v>764</v>
      </c>
      <c r="E143" s="5" t="s">
        <v>316</v>
      </c>
      <c r="F143" s="5" t="str">
        <f t="shared" si="2"/>
        <v>Baker</v>
      </c>
      <c r="G143" s="5" t="s">
        <v>316</v>
      </c>
      <c r="H143" s="6">
        <v>57.0</v>
      </c>
      <c r="I143" s="6">
        <f t="shared" si="3"/>
        <v>57</v>
      </c>
      <c r="J143" s="6">
        <v>57.0</v>
      </c>
      <c r="K143" s="6" t="str">
        <f t="shared" si="4"/>
        <v>Middle Age</v>
      </c>
      <c r="L143" s="6" t="s">
        <v>591</v>
      </c>
      <c r="M143" s="5" t="s">
        <v>28</v>
      </c>
      <c r="N143" s="5" t="str">
        <f t="shared" si="5"/>
        <v>Female</v>
      </c>
      <c r="O143" s="5" t="s">
        <v>105</v>
      </c>
      <c r="P143" s="5" t="s">
        <v>393</v>
      </c>
      <c r="Q143" s="5" t="s">
        <v>238</v>
      </c>
      <c r="R143" s="5" t="s">
        <v>533</v>
      </c>
      <c r="S143" s="5" t="s">
        <v>559</v>
      </c>
      <c r="T143" s="6">
        <v>1554.0</v>
      </c>
      <c r="U143" s="5">
        <f t="shared" si="6"/>
        <v>1554</v>
      </c>
      <c r="V143" s="5">
        <v>1554.0</v>
      </c>
    </row>
    <row r="144" ht="22.5" customHeight="1">
      <c r="A144" s="5" t="s">
        <v>892</v>
      </c>
      <c r="B144" s="5" t="s">
        <v>536</v>
      </c>
      <c r="C144" s="5" t="str">
        <f t="shared" si="1"/>
        <v>Christopher</v>
      </c>
      <c r="D144" s="5" t="s">
        <v>536</v>
      </c>
      <c r="E144" s="5" t="s">
        <v>894</v>
      </c>
      <c r="F144" s="5" t="str">
        <f t="shared" si="2"/>
        <v>Garcia</v>
      </c>
      <c r="G144" s="5" t="s">
        <v>25</v>
      </c>
      <c r="H144" s="6">
        <v>19.0</v>
      </c>
      <c r="I144" s="6">
        <f t="shared" si="3"/>
        <v>19</v>
      </c>
      <c r="J144" s="6">
        <v>19.0</v>
      </c>
      <c r="K144" s="6" t="str">
        <f t="shared" si="4"/>
        <v>Young Adult</v>
      </c>
      <c r="L144" s="6" t="s">
        <v>528</v>
      </c>
      <c r="M144" s="5" t="s">
        <v>80</v>
      </c>
      <c r="N144" s="5" t="str">
        <f t="shared" si="5"/>
        <v>Male</v>
      </c>
      <c r="O144" s="5" t="s">
        <v>152</v>
      </c>
      <c r="P144" s="5" t="s">
        <v>309</v>
      </c>
      <c r="Q144" s="5" t="s">
        <v>238</v>
      </c>
      <c r="R144" s="5" t="s">
        <v>533</v>
      </c>
      <c r="S144" s="5" t="s">
        <v>52</v>
      </c>
      <c r="T144" s="6">
        <v>982.0</v>
      </c>
      <c r="U144" s="5">
        <f t="shared" si="6"/>
        <v>982</v>
      </c>
      <c r="V144" s="5">
        <v>982.0</v>
      </c>
    </row>
    <row r="145" ht="22.5" customHeight="1">
      <c r="A145" s="5" t="s">
        <v>897</v>
      </c>
      <c r="B145" s="5" t="s">
        <v>898</v>
      </c>
      <c r="C145" s="5" t="str">
        <f t="shared" si="1"/>
        <v>Tina</v>
      </c>
      <c r="D145" s="5" t="s">
        <v>898</v>
      </c>
      <c r="E145" s="5" t="s">
        <v>128</v>
      </c>
      <c r="F145" s="5" t="str">
        <f t="shared" si="2"/>
        <v>Rodriguez</v>
      </c>
      <c r="G145" s="5" t="s">
        <v>128</v>
      </c>
      <c r="H145" s="6">
        <v>52.0</v>
      </c>
      <c r="I145" s="6">
        <f t="shared" si="3"/>
        <v>52</v>
      </c>
      <c r="J145" s="6">
        <v>52.0</v>
      </c>
      <c r="K145" s="6" t="str">
        <f t="shared" si="4"/>
        <v>Middle Age</v>
      </c>
      <c r="L145" s="6" t="s">
        <v>591</v>
      </c>
      <c r="M145" s="5" t="s">
        <v>105</v>
      </c>
      <c r="N145" s="5" t="str">
        <f t="shared" si="5"/>
        <v>Female</v>
      </c>
      <c r="O145" s="5" t="s">
        <v>105</v>
      </c>
      <c r="P145" s="5" t="s">
        <v>107</v>
      </c>
      <c r="Q145" s="5" t="s">
        <v>551</v>
      </c>
      <c r="R145" s="5" t="s">
        <v>83</v>
      </c>
      <c r="S145" s="5" t="s">
        <v>211</v>
      </c>
      <c r="T145" s="6">
        <v>1658.0</v>
      </c>
      <c r="U145" s="5">
        <f t="shared" si="6"/>
        <v>1658</v>
      </c>
      <c r="V145" s="5">
        <v>1658.0</v>
      </c>
    </row>
    <row r="146" ht="22.5" customHeight="1">
      <c r="A146" s="5" t="s">
        <v>901</v>
      </c>
      <c r="B146" s="5" t="s">
        <v>902</v>
      </c>
      <c r="C146" s="5" t="str">
        <f t="shared" si="1"/>
        <v>Chris</v>
      </c>
      <c r="D146" s="5" t="s">
        <v>902</v>
      </c>
      <c r="E146" s="5" t="s">
        <v>556</v>
      </c>
      <c r="F146" s="5" t="str">
        <f t="shared" si="2"/>
        <v>Jones</v>
      </c>
      <c r="G146" s="5" t="s">
        <v>556</v>
      </c>
      <c r="H146" s="6">
        <v>78.0</v>
      </c>
      <c r="I146" s="6">
        <f t="shared" si="3"/>
        <v>78</v>
      </c>
      <c r="J146" s="6">
        <v>78.0</v>
      </c>
      <c r="K146" s="6" t="str">
        <f t="shared" si="4"/>
        <v>Senior</v>
      </c>
      <c r="L146" s="6" t="s">
        <v>734</v>
      </c>
      <c r="M146" s="5" t="s">
        <v>152</v>
      </c>
      <c r="N146" s="5" t="str">
        <f t="shared" si="5"/>
        <v>Male</v>
      </c>
      <c r="O146" s="5" t="s">
        <v>152</v>
      </c>
      <c r="P146" s="5" t="s">
        <v>107</v>
      </c>
      <c r="Q146" s="5" t="s">
        <v>482</v>
      </c>
      <c r="R146" s="5" t="s">
        <v>179</v>
      </c>
      <c r="S146" s="5" t="s">
        <v>97</v>
      </c>
      <c r="T146" s="6">
        <v>3584.0</v>
      </c>
      <c r="U146" s="5">
        <f t="shared" si="6"/>
        <v>3584</v>
      </c>
      <c r="V146" s="5">
        <v>3584.0</v>
      </c>
    </row>
    <row r="147" ht="22.5" customHeight="1">
      <c r="A147" s="5" t="s">
        <v>906</v>
      </c>
      <c r="B147" s="5" t="s">
        <v>907</v>
      </c>
      <c r="C147" s="5" t="str">
        <f t="shared" si="1"/>
        <v>Louis</v>
      </c>
      <c r="D147" s="5" t="s">
        <v>1656</v>
      </c>
      <c r="E147" s="5" t="s">
        <v>128</v>
      </c>
      <c r="F147" s="5" t="str">
        <f t="shared" si="2"/>
        <v>Rodriguez</v>
      </c>
      <c r="G147" s="5" t="s">
        <v>128</v>
      </c>
      <c r="H147" s="6">
        <v>57.0</v>
      </c>
      <c r="I147" s="6">
        <f t="shared" si="3"/>
        <v>57</v>
      </c>
      <c r="J147" s="6">
        <v>57.0</v>
      </c>
      <c r="K147" s="6" t="str">
        <f t="shared" si="4"/>
        <v>Middle Age</v>
      </c>
      <c r="L147" s="6" t="s">
        <v>591</v>
      </c>
      <c r="M147" s="5" t="s">
        <v>80</v>
      </c>
      <c r="N147" s="5" t="str">
        <f t="shared" si="5"/>
        <v>Male</v>
      </c>
      <c r="O147" s="5" t="s">
        <v>152</v>
      </c>
      <c r="P147" s="5" t="s">
        <v>30</v>
      </c>
      <c r="Q147" s="5" t="s">
        <v>470</v>
      </c>
      <c r="R147" s="5" t="s">
        <v>179</v>
      </c>
      <c r="S147" s="5" t="s">
        <v>52</v>
      </c>
      <c r="T147" s="6">
        <v>4742.0</v>
      </c>
      <c r="U147" s="5">
        <f t="shared" si="6"/>
        <v>4742</v>
      </c>
      <c r="V147" s="5">
        <v>4742.0</v>
      </c>
    </row>
    <row r="148" ht="22.5" customHeight="1">
      <c r="A148" s="5" t="s">
        <v>910</v>
      </c>
      <c r="B148" s="5" t="s">
        <v>911</v>
      </c>
      <c r="C148" s="5" t="str">
        <f t="shared" si="1"/>
        <v>Fiona</v>
      </c>
      <c r="D148" s="5" t="s">
        <v>193</v>
      </c>
      <c r="E148" s="5" t="s">
        <v>216</v>
      </c>
      <c r="F148" s="5" t="str">
        <f t="shared" si="2"/>
        <v>Williams</v>
      </c>
      <c r="G148" s="5" t="s">
        <v>216</v>
      </c>
      <c r="H148" s="6">
        <v>51.0</v>
      </c>
      <c r="I148" s="6">
        <f t="shared" si="3"/>
        <v>51</v>
      </c>
      <c r="J148" s="6">
        <v>51.0</v>
      </c>
      <c r="K148" s="6" t="str">
        <f t="shared" si="4"/>
        <v>Middle Age</v>
      </c>
      <c r="L148" s="6" t="s">
        <v>591</v>
      </c>
      <c r="M148" s="5" t="s">
        <v>45</v>
      </c>
      <c r="N148" s="5" t="str">
        <f t="shared" si="5"/>
        <v>Female</v>
      </c>
      <c r="O148" s="5" t="s">
        <v>105</v>
      </c>
      <c r="P148" s="5" t="s">
        <v>30</v>
      </c>
      <c r="Q148" s="5" t="s">
        <v>418</v>
      </c>
      <c r="R148" s="5" t="s">
        <v>210</v>
      </c>
      <c r="S148" s="5" t="s">
        <v>52</v>
      </c>
      <c r="T148" s="6">
        <v>1012.0</v>
      </c>
      <c r="U148" s="5">
        <f t="shared" si="6"/>
        <v>1012</v>
      </c>
      <c r="V148" s="5">
        <v>1012.0</v>
      </c>
    </row>
    <row r="149" ht="22.5" customHeight="1">
      <c r="A149" s="5" t="s">
        <v>915</v>
      </c>
      <c r="B149" s="5" t="s">
        <v>696</v>
      </c>
      <c r="C149" s="5" t="str">
        <f t="shared" si="1"/>
        <v>Charlie</v>
      </c>
      <c r="D149" s="5" t="s">
        <v>696</v>
      </c>
      <c r="E149" s="5" t="s">
        <v>254</v>
      </c>
      <c r="F149" s="5" t="str">
        <f t="shared" si="2"/>
        <v>Doe</v>
      </c>
      <c r="G149" s="5" t="s">
        <v>254</v>
      </c>
      <c r="H149" s="6">
        <v>59.0</v>
      </c>
      <c r="I149" s="6">
        <f t="shared" si="3"/>
        <v>59</v>
      </c>
      <c r="J149" s="6">
        <v>59.0</v>
      </c>
      <c r="K149" s="6" t="str">
        <f t="shared" si="4"/>
        <v>Middle Age</v>
      </c>
      <c r="L149" s="6" t="s">
        <v>591</v>
      </c>
      <c r="M149" s="5" t="s">
        <v>130</v>
      </c>
      <c r="N149" s="5" t="str">
        <f t="shared" si="5"/>
        <v>Male</v>
      </c>
      <c r="O149" s="5" t="s">
        <v>152</v>
      </c>
      <c r="P149" s="5" t="s">
        <v>539</v>
      </c>
      <c r="Q149" s="5" t="s">
        <v>916</v>
      </c>
      <c r="R149" s="5" t="s">
        <v>402</v>
      </c>
      <c r="S149" s="5" t="s">
        <v>52</v>
      </c>
      <c r="T149" s="6">
        <v>999.0</v>
      </c>
      <c r="U149" s="5">
        <f t="shared" si="6"/>
        <v>999</v>
      </c>
      <c r="V149" s="5">
        <v>999.0</v>
      </c>
    </row>
    <row r="150" ht="22.5" customHeight="1">
      <c r="A150" s="5" t="s">
        <v>919</v>
      </c>
      <c r="B150" s="5" t="s">
        <v>368</v>
      </c>
      <c r="C150" s="5" t="str">
        <f t="shared" si="1"/>
        <v>Grace</v>
      </c>
      <c r="D150" s="5" t="s">
        <v>368</v>
      </c>
      <c r="E150" s="5" t="s">
        <v>128</v>
      </c>
      <c r="F150" s="5" t="str">
        <f t="shared" si="2"/>
        <v>Rodriguez</v>
      </c>
      <c r="G150" s="5" t="s">
        <v>128</v>
      </c>
      <c r="H150" s="6">
        <v>59.0</v>
      </c>
      <c r="I150" s="6">
        <f t="shared" si="3"/>
        <v>59</v>
      </c>
      <c r="J150" s="6">
        <v>59.0</v>
      </c>
      <c r="K150" s="6" t="str">
        <f t="shared" si="4"/>
        <v>Middle Age</v>
      </c>
      <c r="L150" s="6" t="s">
        <v>591</v>
      </c>
      <c r="M150" s="5" t="s">
        <v>45</v>
      </c>
      <c r="N150" s="5" t="str">
        <f t="shared" si="5"/>
        <v>Female</v>
      </c>
      <c r="O150" s="5" t="s">
        <v>105</v>
      </c>
      <c r="P150" s="5" t="s">
        <v>131</v>
      </c>
      <c r="Q150" s="5" t="s">
        <v>238</v>
      </c>
      <c r="R150" s="5" t="s">
        <v>533</v>
      </c>
      <c r="S150" s="5" t="s">
        <v>211</v>
      </c>
      <c r="T150" s="6">
        <v>1755.0</v>
      </c>
      <c r="U150" s="5">
        <f t="shared" si="6"/>
        <v>1755</v>
      </c>
      <c r="V150" s="5">
        <v>1755.0</v>
      </c>
    </row>
    <row r="151" ht="22.5" customHeight="1">
      <c r="A151" s="5" t="s">
        <v>922</v>
      </c>
      <c r="B151" s="5" t="s">
        <v>542</v>
      </c>
      <c r="C151" s="5" t="str">
        <f t="shared" si="1"/>
        <v>David</v>
      </c>
      <c r="D151" s="5" t="s">
        <v>542</v>
      </c>
      <c r="E151" s="5" t="s">
        <v>194</v>
      </c>
      <c r="F151" s="5" t="str">
        <f t="shared" si="2"/>
        <v>Chen</v>
      </c>
      <c r="G151" s="5" t="s">
        <v>194</v>
      </c>
      <c r="H151" s="6">
        <v>24.0</v>
      </c>
      <c r="I151" s="6">
        <f t="shared" si="3"/>
        <v>24</v>
      </c>
      <c r="J151" s="6">
        <v>24.0</v>
      </c>
      <c r="K151" s="6" t="str">
        <f t="shared" si="4"/>
        <v>Young Adult</v>
      </c>
      <c r="L151" s="6" t="s">
        <v>528</v>
      </c>
      <c r="M151" s="5" t="s">
        <v>80</v>
      </c>
      <c r="N151" s="5" t="str">
        <f t="shared" si="5"/>
        <v>Male</v>
      </c>
      <c r="O151" s="5" t="s">
        <v>152</v>
      </c>
      <c r="P151" s="5" t="s">
        <v>759</v>
      </c>
      <c r="Q151" s="5" t="s">
        <v>470</v>
      </c>
      <c r="R151" s="5" t="s">
        <v>96</v>
      </c>
      <c r="S151" s="5" t="s">
        <v>222</v>
      </c>
      <c r="T151" s="6">
        <v>690.0</v>
      </c>
      <c r="U151" s="5">
        <f t="shared" si="6"/>
        <v>690</v>
      </c>
      <c r="V151" s="5">
        <v>690.0</v>
      </c>
    </row>
    <row r="152" ht="22.5" customHeight="1">
      <c r="A152" s="5" t="s">
        <v>924</v>
      </c>
      <c r="B152" s="5" t="s">
        <v>925</v>
      </c>
      <c r="C152" s="5" t="str">
        <f t="shared" si="1"/>
        <v>James</v>
      </c>
      <c r="D152" s="5" t="s">
        <v>925</v>
      </c>
      <c r="E152" s="5" t="s">
        <v>61</v>
      </c>
      <c r="F152" s="5" t="str">
        <f t="shared" si="2"/>
        <v>Lee</v>
      </c>
      <c r="G152" s="5" t="s">
        <v>301</v>
      </c>
      <c r="H152" s="6">
        <v>60.0</v>
      </c>
      <c r="I152" s="6">
        <f t="shared" si="3"/>
        <v>60</v>
      </c>
      <c r="J152" s="6">
        <v>60.0</v>
      </c>
      <c r="K152" s="6" t="str">
        <f t="shared" si="4"/>
        <v>Middle Age</v>
      </c>
      <c r="L152" s="6" t="s">
        <v>591</v>
      </c>
      <c r="M152" s="5" t="s">
        <v>80</v>
      </c>
      <c r="N152" s="5" t="str">
        <f t="shared" si="5"/>
        <v>Male</v>
      </c>
      <c r="O152" s="5" t="s">
        <v>152</v>
      </c>
      <c r="P152" s="5" t="s">
        <v>237</v>
      </c>
      <c r="Q152" s="5" t="s">
        <v>358</v>
      </c>
      <c r="R152" s="5" t="s">
        <v>561</v>
      </c>
      <c r="S152" s="5" t="s">
        <v>211</v>
      </c>
      <c r="T152" s="6">
        <v>3293.0</v>
      </c>
      <c r="U152" s="5">
        <f t="shared" si="6"/>
        <v>3293</v>
      </c>
      <c r="V152" s="5">
        <v>3293.0</v>
      </c>
    </row>
    <row r="153" ht="22.5" customHeight="1">
      <c r="A153" s="5" t="s">
        <v>928</v>
      </c>
      <c r="B153" s="5" t="s">
        <v>763</v>
      </c>
      <c r="C153" s="5" t="str">
        <f t="shared" si="1"/>
        <v>Olivia</v>
      </c>
      <c r="D153" s="5" t="s">
        <v>820</v>
      </c>
      <c r="E153" s="5" t="s">
        <v>374</v>
      </c>
      <c r="F153" s="5" t="str">
        <f t="shared" si="2"/>
        <v>Miller</v>
      </c>
      <c r="G153" s="5" t="s">
        <v>374</v>
      </c>
      <c r="H153" s="8"/>
      <c r="I153" s="8">
        <f t="shared" si="3"/>
        <v>0</v>
      </c>
      <c r="J153" s="8"/>
      <c r="K153" s="8" t="str">
        <f t="shared" si="4"/>
        <v>Unknown</v>
      </c>
      <c r="L153" s="8" t="s">
        <v>1081</v>
      </c>
      <c r="M153" s="5" t="s">
        <v>28</v>
      </c>
      <c r="N153" s="5" t="str">
        <f t="shared" si="5"/>
        <v>Female</v>
      </c>
      <c r="O153" s="5" t="s">
        <v>105</v>
      </c>
      <c r="P153" s="5" t="s">
        <v>47</v>
      </c>
      <c r="Q153" s="5" t="s">
        <v>439</v>
      </c>
      <c r="R153" s="5" t="s">
        <v>210</v>
      </c>
      <c r="S153" s="5" t="s">
        <v>222</v>
      </c>
      <c r="T153" s="6">
        <v>262.0</v>
      </c>
      <c r="U153" s="5">
        <f t="shared" si="6"/>
        <v>262</v>
      </c>
      <c r="V153" s="5">
        <v>262.0</v>
      </c>
    </row>
    <row r="154" ht="22.5" customHeight="1">
      <c r="A154" s="5" t="s">
        <v>931</v>
      </c>
      <c r="B154" s="5" t="s">
        <v>422</v>
      </c>
      <c r="C154" s="5" t="str">
        <f t="shared" si="1"/>
        <v>Pauline</v>
      </c>
      <c r="D154" s="5" t="s">
        <v>1149</v>
      </c>
      <c r="E154" s="5" t="s">
        <v>629</v>
      </c>
      <c r="F154" s="5" t="str">
        <f t="shared" si="2"/>
        <v>Richardson</v>
      </c>
      <c r="G154" s="5" t="s">
        <v>629</v>
      </c>
      <c r="H154" s="6">
        <v>46.0</v>
      </c>
      <c r="I154" s="6">
        <f t="shared" si="3"/>
        <v>46</v>
      </c>
      <c r="J154" s="6">
        <v>46.0</v>
      </c>
      <c r="K154" s="6" t="str">
        <f t="shared" si="4"/>
        <v>Middle Age</v>
      </c>
      <c r="L154" s="6" t="s">
        <v>591</v>
      </c>
      <c r="M154" s="5" t="s">
        <v>45</v>
      </c>
      <c r="N154" s="5" t="str">
        <f t="shared" si="5"/>
        <v>Female</v>
      </c>
      <c r="O154" s="5" t="s">
        <v>105</v>
      </c>
      <c r="P154" s="5" t="s">
        <v>364</v>
      </c>
      <c r="Q154" s="5" t="s">
        <v>482</v>
      </c>
      <c r="R154" s="5" t="s">
        <v>179</v>
      </c>
      <c r="S154" s="5" t="s">
        <v>211</v>
      </c>
      <c r="T154" s="6">
        <v>3906.0</v>
      </c>
      <c r="U154" s="5">
        <f t="shared" si="6"/>
        <v>3906</v>
      </c>
      <c r="V154" s="5">
        <v>3906.0</v>
      </c>
    </row>
    <row r="155" ht="22.5" customHeight="1">
      <c r="A155" s="5" t="s">
        <v>934</v>
      </c>
      <c r="B155" s="5" t="s">
        <v>368</v>
      </c>
      <c r="C155" s="5" t="str">
        <f t="shared" si="1"/>
        <v>Grace</v>
      </c>
      <c r="D155" s="5" t="s">
        <v>368</v>
      </c>
      <c r="E155" s="5" t="s">
        <v>128</v>
      </c>
      <c r="F155" s="5" t="str">
        <f t="shared" si="2"/>
        <v>Rodriguez</v>
      </c>
      <c r="G155" s="5" t="s">
        <v>128</v>
      </c>
      <c r="H155" s="6">
        <v>36.0</v>
      </c>
      <c r="I155" s="6">
        <f t="shared" si="3"/>
        <v>36</v>
      </c>
      <c r="J155" s="6">
        <v>36.0</v>
      </c>
      <c r="K155" s="6" t="str">
        <f t="shared" si="4"/>
        <v>Young Adult</v>
      </c>
      <c r="L155" s="6" t="s">
        <v>528</v>
      </c>
      <c r="M155" s="5" t="s">
        <v>28</v>
      </c>
      <c r="N155" s="5" t="str">
        <f t="shared" si="5"/>
        <v>Female</v>
      </c>
      <c r="O155" s="5" t="s">
        <v>105</v>
      </c>
      <c r="P155" s="5" t="s">
        <v>81</v>
      </c>
      <c r="Q155" s="5" t="s">
        <v>439</v>
      </c>
      <c r="R155" s="5" t="s">
        <v>210</v>
      </c>
      <c r="S155" s="5" t="s">
        <v>222</v>
      </c>
      <c r="T155" s="6">
        <v>612.0</v>
      </c>
      <c r="U155" s="5">
        <f t="shared" si="6"/>
        <v>612</v>
      </c>
      <c r="V155" s="5">
        <v>612.0</v>
      </c>
    </row>
    <row r="156" ht="22.5" customHeight="1">
      <c r="A156" s="5" t="s">
        <v>936</v>
      </c>
      <c r="B156" s="5" t="s">
        <v>937</v>
      </c>
      <c r="C156" s="5" t="str">
        <f t="shared" si="1"/>
        <v>Sally</v>
      </c>
      <c r="D156" s="5" t="s">
        <v>831</v>
      </c>
      <c r="E156" s="5" t="s">
        <v>713</v>
      </c>
      <c r="F156" s="5" t="str">
        <f t="shared" si="2"/>
        <v>White</v>
      </c>
      <c r="G156" s="5" t="s">
        <v>713</v>
      </c>
      <c r="H156" s="6">
        <v>59.0</v>
      </c>
      <c r="I156" s="6">
        <f t="shared" si="3"/>
        <v>59</v>
      </c>
      <c r="J156" s="6">
        <v>59.0</v>
      </c>
      <c r="K156" s="6" t="str">
        <f t="shared" si="4"/>
        <v>Middle Age</v>
      </c>
      <c r="L156" s="6" t="s">
        <v>591</v>
      </c>
      <c r="M156" s="5" t="s">
        <v>28</v>
      </c>
      <c r="N156" s="5" t="str">
        <f t="shared" si="5"/>
        <v>Female</v>
      </c>
      <c r="O156" s="5" t="s">
        <v>105</v>
      </c>
      <c r="P156" s="5" t="s">
        <v>571</v>
      </c>
      <c r="Q156" s="5" t="s">
        <v>439</v>
      </c>
      <c r="R156" s="5" t="s">
        <v>210</v>
      </c>
      <c r="S156" s="5" t="s">
        <v>559</v>
      </c>
      <c r="T156" s="6">
        <v>852.0</v>
      </c>
      <c r="U156" s="5">
        <f t="shared" si="6"/>
        <v>852</v>
      </c>
      <c r="V156" s="5">
        <v>852.0</v>
      </c>
    </row>
    <row r="157" ht="22.5" customHeight="1">
      <c r="A157" s="5" t="s">
        <v>940</v>
      </c>
      <c r="B157" s="5" t="s">
        <v>941</v>
      </c>
      <c r="C157" s="5" t="str">
        <f t="shared" si="1"/>
        <v>Beatrice</v>
      </c>
      <c r="D157" s="5" t="s">
        <v>3105</v>
      </c>
      <c r="E157" s="5" t="s">
        <v>458</v>
      </c>
      <c r="F157" s="5" t="str">
        <f t="shared" si="2"/>
        <v>Smirnov</v>
      </c>
      <c r="G157" s="5" t="s">
        <v>458</v>
      </c>
      <c r="H157" s="6">
        <v>48.0</v>
      </c>
      <c r="I157" s="6">
        <f t="shared" si="3"/>
        <v>48</v>
      </c>
      <c r="J157" s="6">
        <v>48.0</v>
      </c>
      <c r="K157" s="6" t="str">
        <f t="shared" si="4"/>
        <v>Middle Age</v>
      </c>
      <c r="L157" s="6" t="s">
        <v>591</v>
      </c>
      <c r="M157" s="5" t="s">
        <v>28</v>
      </c>
      <c r="N157" s="5" t="str">
        <f t="shared" si="5"/>
        <v>Female</v>
      </c>
      <c r="O157" s="5" t="s">
        <v>105</v>
      </c>
      <c r="P157" s="5" t="s">
        <v>47</v>
      </c>
      <c r="Q157" s="5" t="s">
        <v>470</v>
      </c>
      <c r="R157" s="5" t="s">
        <v>179</v>
      </c>
      <c r="S157" s="5" t="s">
        <v>52</v>
      </c>
      <c r="T157" s="6">
        <v>2475.0</v>
      </c>
      <c r="U157" s="5">
        <f t="shared" si="6"/>
        <v>2475</v>
      </c>
      <c r="V157" s="5">
        <v>2475.0</v>
      </c>
    </row>
    <row r="158" ht="22.5" customHeight="1">
      <c r="A158" s="5" t="s">
        <v>943</v>
      </c>
      <c r="B158" s="5" t="s">
        <v>307</v>
      </c>
      <c r="C158" s="5" t="str">
        <f t="shared" si="1"/>
        <v>Hannah</v>
      </c>
      <c r="D158" s="5" t="s">
        <v>307</v>
      </c>
      <c r="E158" s="5" t="s">
        <v>316</v>
      </c>
      <c r="F158" s="5" t="str">
        <f t="shared" si="2"/>
        <v>Baker</v>
      </c>
      <c r="G158" s="5" t="s">
        <v>316</v>
      </c>
      <c r="H158" s="6">
        <v>37.0</v>
      </c>
      <c r="I158" s="6">
        <f t="shared" si="3"/>
        <v>37</v>
      </c>
      <c r="J158" s="6">
        <v>37.0</v>
      </c>
      <c r="K158" s="6" t="str">
        <f t="shared" si="4"/>
        <v>Young Adult</v>
      </c>
      <c r="L158" s="6" t="s">
        <v>528</v>
      </c>
      <c r="M158" s="5" t="s">
        <v>45</v>
      </c>
      <c r="N158" s="5" t="str">
        <f t="shared" si="5"/>
        <v>Female</v>
      </c>
      <c r="O158" s="5" t="s">
        <v>105</v>
      </c>
      <c r="P158" s="5" t="s">
        <v>393</v>
      </c>
      <c r="Q158" s="5" t="s">
        <v>358</v>
      </c>
      <c r="R158" s="5" t="s">
        <v>561</v>
      </c>
      <c r="S158" s="5" t="s">
        <v>559</v>
      </c>
      <c r="T158" s="6">
        <v>2484.0</v>
      </c>
      <c r="U158" s="5">
        <f t="shared" si="6"/>
        <v>2484</v>
      </c>
      <c r="V158" s="5">
        <v>2484.0</v>
      </c>
    </row>
    <row r="159" ht="22.5" customHeight="1">
      <c r="A159" s="5" t="s">
        <v>947</v>
      </c>
      <c r="B159" s="5" t="s">
        <v>620</v>
      </c>
      <c r="C159" s="5" t="str">
        <f t="shared" si="1"/>
        <v>Michelle</v>
      </c>
      <c r="D159" s="5" t="s">
        <v>620</v>
      </c>
      <c r="E159" s="5" t="s">
        <v>216</v>
      </c>
      <c r="F159" s="5" t="str">
        <f t="shared" si="2"/>
        <v>Williams</v>
      </c>
      <c r="G159" s="5" t="s">
        <v>216</v>
      </c>
      <c r="H159" s="6">
        <v>25.0</v>
      </c>
      <c r="I159" s="6">
        <f t="shared" si="3"/>
        <v>25</v>
      </c>
      <c r="J159" s="6">
        <v>25.0</v>
      </c>
      <c r="K159" s="6" t="str">
        <f t="shared" si="4"/>
        <v>Young Adult</v>
      </c>
      <c r="L159" s="6" t="s">
        <v>528</v>
      </c>
      <c r="M159" s="5" t="s">
        <v>28</v>
      </c>
      <c r="N159" s="5" t="str">
        <f t="shared" si="5"/>
        <v>Female</v>
      </c>
      <c r="O159" s="5" t="s">
        <v>105</v>
      </c>
      <c r="P159" s="5" t="s">
        <v>309</v>
      </c>
      <c r="Q159" s="5" t="s">
        <v>470</v>
      </c>
      <c r="R159" s="5" t="s">
        <v>179</v>
      </c>
      <c r="S159" s="5" t="s">
        <v>52</v>
      </c>
      <c r="T159" s="6">
        <v>3885.0</v>
      </c>
      <c r="U159" s="5">
        <f t="shared" si="6"/>
        <v>3885</v>
      </c>
      <c r="V159" s="5">
        <v>3885.0</v>
      </c>
    </row>
    <row r="160" ht="22.5" customHeight="1">
      <c r="A160" s="5" t="s">
        <v>950</v>
      </c>
      <c r="B160" s="5" t="s">
        <v>127</v>
      </c>
      <c r="C160" s="5" t="str">
        <f t="shared" si="1"/>
        <v>John</v>
      </c>
      <c r="D160" s="5" t="s">
        <v>127</v>
      </c>
      <c r="E160" s="5" t="s">
        <v>363</v>
      </c>
      <c r="F160" s="5" t="str">
        <f t="shared" si="2"/>
        <v>Smith</v>
      </c>
      <c r="G160" s="5" t="s">
        <v>363</v>
      </c>
      <c r="H160" s="6">
        <v>999.0</v>
      </c>
      <c r="I160" s="6">
        <f t="shared" si="3"/>
        <v>999</v>
      </c>
      <c r="J160" s="6"/>
      <c r="K160" s="6" t="str">
        <f t="shared" si="4"/>
        <v>Unknown</v>
      </c>
      <c r="L160" s="6" t="s">
        <v>1081</v>
      </c>
      <c r="M160" s="5" t="s">
        <v>152</v>
      </c>
      <c r="N160" s="5" t="str">
        <f t="shared" si="5"/>
        <v>Male</v>
      </c>
      <c r="O160" s="5" t="s">
        <v>152</v>
      </c>
      <c r="P160" s="5" t="s">
        <v>47</v>
      </c>
      <c r="Q160" s="5" t="s">
        <v>470</v>
      </c>
      <c r="R160" s="5" t="s">
        <v>96</v>
      </c>
      <c r="S160" s="5" t="s">
        <v>97</v>
      </c>
      <c r="T160" s="6">
        <v>662.0</v>
      </c>
      <c r="U160" s="5">
        <f t="shared" si="6"/>
        <v>662</v>
      </c>
      <c r="V160" s="5">
        <v>662.0</v>
      </c>
    </row>
    <row r="161" ht="22.5" customHeight="1">
      <c r="A161" s="5" t="s">
        <v>954</v>
      </c>
      <c r="B161" s="5" t="s">
        <v>696</v>
      </c>
      <c r="C161" s="5" t="str">
        <f t="shared" si="1"/>
        <v>Charlie</v>
      </c>
      <c r="D161" s="5" t="s">
        <v>696</v>
      </c>
      <c r="E161" s="5" t="s">
        <v>788</v>
      </c>
      <c r="F161" s="5" t="str">
        <f t="shared" si="2"/>
        <v>Davidson</v>
      </c>
      <c r="G161" s="5" t="s">
        <v>526</v>
      </c>
      <c r="H161" s="6">
        <v>59.0</v>
      </c>
      <c r="I161" s="6">
        <f t="shared" si="3"/>
        <v>59</v>
      </c>
      <c r="J161" s="6">
        <v>59.0</v>
      </c>
      <c r="K161" s="6" t="str">
        <f t="shared" si="4"/>
        <v>Middle Age</v>
      </c>
      <c r="L161" s="6" t="s">
        <v>591</v>
      </c>
      <c r="M161" s="5" t="s">
        <v>80</v>
      </c>
      <c r="N161" s="5" t="str">
        <f t="shared" si="5"/>
        <v>Male</v>
      </c>
      <c r="O161" s="5" t="s">
        <v>152</v>
      </c>
      <c r="P161" s="5" t="s">
        <v>268</v>
      </c>
      <c r="Q161" s="5" t="s">
        <v>32</v>
      </c>
      <c r="R161" s="5" t="s">
        <v>83</v>
      </c>
      <c r="S161" s="5" t="s">
        <v>52</v>
      </c>
      <c r="T161" s="6">
        <v>1424.0</v>
      </c>
      <c r="U161" s="5">
        <f t="shared" si="6"/>
        <v>1424</v>
      </c>
      <c r="V161" s="5">
        <v>1424.0</v>
      </c>
    </row>
    <row r="162" ht="22.5" customHeight="1">
      <c r="A162" s="5" t="s">
        <v>957</v>
      </c>
      <c r="B162" s="5" t="s">
        <v>958</v>
      </c>
      <c r="C162" s="5" t="str">
        <f t="shared" si="1"/>
        <v>Greg</v>
      </c>
      <c r="D162" s="5" t="s">
        <v>147</v>
      </c>
      <c r="E162" s="5" t="s">
        <v>959</v>
      </c>
      <c r="F162" s="5" t="str">
        <f t="shared" si="2"/>
        <v>Glover</v>
      </c>
      <c r="G162" s="5" t="s">
        <v>959</v>
      </c>
      <c r="H162" s="6">
        <v>76.0</v>
      </c>
      <c r="I162" s="6">
        <f t="shared" si="3"/>
        <v>76</v>
      </c>
      <c r="J162" s="6">
        <v>76.0</v>
      </c>
      <c r="K162" s="6" t="str">
        <f t="shared" si="4"/>
        <v>Senior</v>
      </c>
      <c r="L162" s="6" t="s">
        <v>734</v>
      </c>
      <c r="M162" s="5" t="s">
        <v>152</v>
      </c>
      <c r="N162" s="5" t="str">
        <f t="shared" si="5"/>
        <v>Male</v>
      </c>
      <c r="O162" s="5" t="s">
        <v>152</v>
      </c>
      <c r="P162" s="5" t="s">
        <v>376</v>
      </c>
      <c r="Q162" s="5" t="s">
        <v>311</v>
      </c>
      <c r="R162" s="5" t="s">
        <v>546</v>
      </c>
      <c r="S162" s="5" t="s">
        <v>97</v>
      </c>
      <c r="T162" s="6">
        <v>1222.0</v>
      </c>
      <c r="U162" s="5">
        <f t="shared" si="6"/>
        <v>1222</v>
      </c>
      <c r="V162" s="5">
        <v>1222.0</v>
      </c>
    </row>
    <row r="163" ht="22.5" customHeight="1">
      <c r="A163" s="5" t="s">
        <v>962</v>
      </c>
      <c r="B163" s="5" t="s">
        <v>963</v>
      </c>
      <c r="C163" s="5" t="str">
        <f t="shared" si="1"/>
        <v>Bob#</v>
      </c>
      <c r="D163" s="5" t="s">
        <v>963</v>
      </c>
      <c r="E163" s="5" t="s">
        <v>90</v>
      </c>
      <c r="F163" s="5" t="str">
        <f t="shared" si="2"/>
        <v>Davis</v>
      </c>
      <c r="G163" s="5" t="s">
        <v>90</v>
      </c>
      <c r="H163" s="6">
        <v>41.0</v>
      </c>
      <c r="I163" s="6">
        <f t="shared" si="3"/>
        <v>41</v>
      </c>
      <c r="J163" s="6">
        <v>41.0</v>
      </c>
      <c r="K163" s="6" t="str">
        <f t="shared" si="4"/>
        <v>Middle Age</v>
      </c>
      <c r="L163" s="6" t="s">
        <v>591</v>
      </c>
      <c r="M163" s="5" t="s">
        <v>80</v>
      </c>
      <c r="N163" s="5" t="str">
        <f t="shared" si="5"/>
        <v>Male</v>
      </c>
      <c r="O163" s="5" t="s">
        <v>152</v>
      </c>
      <c r="P163" s="5" t="s">
        <v>393</v>
      </c>
      <c r="Q163" s="5" t="s">
        <v>470</v>
      </c>
      <c r="R163" s="5" t="s">
        <v>96</v>
      </c>
      <c r="S163" s="5" t="s">
        <v>222</v>
      </c>
      <c r="T163" s="6">
        <v>694.0</v>
      </c>
      <c r="U163" s="5">
        <f t="shared" si="6"/>
        <v>694</v>
      </c>
      <c r="V163" s="5">
        <v>694.0</v>
      </c>
    </row>
    <row r="164" ht="22.5" customHeight="1">
      <c r="A164" s="5" t="s">
        <v>965</v>
      </c>
      <c r="B164" s="5" t="s">
        <v>171</v>
      </c>
      <c r="C164" s="5" t="str">
        <f t="shared" si="1"/>
        <v>Frank</v>
      </c>
      <c r="D164" s="5" t="s">
        <v>171</v>
      </c>
      <c r="E164" s="5" t="s">
        <v>148</v>
      </c>
      <c r="F164" s="5" t="str">
        <f t="shared" si="2"/>
        <v>Johnson</v>
      </c>
      <c r="G164" s="5" t="s">
        <v>148</v>
      </c>
      <c r="H164" s="6">
        <v>61.0</v>
      </c>
      <c r="I164" s="6">
        <f t="shared" si="3"/>
        <v>61</v>
      </c>
      <c r="J164" s="6">
        <v>61.0</v>
      </c>
      <c r="K164" s="6" t="str">
        <f t="shared" si="4"/>
        <v>Senior</v>
      </c>
      <c r="L164" s="6" t="s">
        <v>734</v>
      </c>
      <c r="M164" s="5" t="s">
        <v>152</v>
      </c>
      <c r="N164" s="5" t="str">
        <f t="shared" si="5"/>
        <v>Male</v>
      </c>
      <c r="O164" s="5" t="s">
        <v>152</v>
      </c>
      <c r="P164" s="5" t="s">
        <v>47</v>
      </c>
      <c r="Q164" s="5" t="s">
        <v>489</v>
      </c>
      <c r="R164" s="5" t="s">
        <v>179</v>
      </c>
      <c r="S164" s="5" t="s">
        <v>97</v>
      </c>
      <c r="T164" s="6">
        <v>3032.0</v>
      </c>
      <c r="U164" s="5">
        <f t="shared" si="6"/>
        <v>3032</v>
      </c>
      <c r="V164" s="5">
        <v>3032.0</v>
      </c>
    </row>
    <row r="165" ht="22.5" customHeight="1">
      <c r="A165" s="5" t="s">
        <v>969</v>
      </c>
      <c r="B165" s="5" t="s">
        <v>127</v>
      </c>
      <c r="C165" s="5" t="str">
        <f t="shared" si="1"/>
        <v>John</v>
      </c>
      <c r="D165" s="5" t="s">
        <v>127</v>
      </c>
      <c r="E165" s="5" t="s">
        <v>713</v>
      </c>
      <c r="F165" s="5" t="str">
        <f t="shared" si="2"/>
        <v>White</v>
      </c>
      <c r="G165" s="5" t="s">
        <v>713</v>
      </c>
      <c r="H165" s="6">
        <v>76.0</v>
      </c>
      <c r="I165" s="6">
        <f t="shared" si="3"/>
        <v>76</v>
      </c>
      <c r="J165" s="6">
        <v>76.0</v>
      </c>
      <c r="K165" s="6" t="str">
        <f t="shared" si="4"/>
        <v>Senior</v>
      </c>
      <c r="L165" s="6" t="s">
        <v>734</v>
      </c>
      <c r="M165" s="5" t="s">
        <v>152</v>
      </c>
      <c r="N165" s="5" t="str">
        <f t="shared" si="5"/>
        <v>Male</v>
      </c>
      <c r="O165" s="5" t="s">
        <v>152</v>
      </c>
      <c r="P165" s="5" t="s">
        <v>376</v>
      </c>
      <c r="Q165" s="5" t="s">
        <v>230</v>
      </c>
      <c r="R165" s="5" t="s">
        <v>452</v>
      </c>
      <c r="S165" s="5" t="s">
        <v>97</v>
      </c>
      <c r="T165" s="6">
        <v>4999.0</v>
      </c>
      <c r="U165" s="5">
        <f t="shared" si="6"/>
        <v>4999</v>
      </c>
      <c r="V165" s="5">
        <v>4999.0</v>
      </c>
    </row>
    <row r="166" ht="22.5" customHeight="1">
      <c r="A166" s="5" t="s">
        <v>975</v>
      </c>
      <c r="B166" s="5" t="s">
        <v>411</v>
      </c>
      <c r="C166" s="5" t="str">
        <f t="shared" si="1"/>
        <v>Jane</v>
      </c>
      <c r="D166" s="5" t="s">
        <v>411</v>
      </c>
      <c r="E166" s="5" t="s">
        <v>25</v>
      </c>
      <c r="F166" s="5" t="str">
        <f t="shared" si="2"/>
        <v>Garcia</v>
      </c>
      <c r="G166" s="5" t="s">
        <v>25</v>
      </c>
      <c r="H166" s="6">
        <v>76.0</v>
      </c>
      <c r="I166" s="6">
        <f t="shared" si="3"/>
        <v>76</v>
      </c>
      <c r="J166" s="6">
        <v>76.0</v>
      </c>
      <c r="K166" s="6" t="str">
        <f t="shared" si="4"/>
        <v>Senior</v>
      </c>
      <c r="L166" s="6" t="s">
        <v>734</v>
      </c>
      <c r="M166" s="5" t="s">
        <v>45</v>
      </c>
      <c r="N166" s="5" t="str">
        <f t="shared" si="5"/>
        <v>Female</v>
      </c>
      <c r="O166" s="5" t="s">
        <v>105</v>
      </c>
      <c r="P166" s="5" t="s">
        <v>256</v>
      </c>
      <c r="Q166" s="5" t="s">
        <v>418</v>
      </c>
      <c r="R166" s="5" t="s">
        <v>210</v>
      </c>
      <c r="S166" s="5" t="s">
        <v>97</v>
      </c>
      <c r="T166" s="6">
        <v>1559.0</v>
      </c>
      <c r="U166" s="5">
        <f t="shared" si="6"/>
        <v>1559</v>
      </c>
      <c r="V166" s="5">
        <v>1559.0</v>
      </c>
    </row>
    <row r="167" ht="22.5" customHeight="1">
      <c r="A167" s="5" t="s">
        <v>979</v>
      </c>
      <c r="B167" s="5" t="s">
        <v>307</v>
      </c>
      <c r="C167" s="5" t="str">
        <f t="shared" si="1"/>
        <v>Hannah</v>
      </c>
      <c r="D167" s="5" t="s">
        <v>307</v>
      </c>
      <c r="E167" s="5" t="s">
        <v>216</v>
      </c>
      <c r="F167" s="5" t="str">
        <f t="shared" si="2"/>
        <v>Williams</v>
      </c>
      <c r="G167" s="5" t="s">
        <v>216</v>
      </c>
      <c r="H167" s="6">
        <v>24.0</v>
      </c>
      <c r="I167" s="6">
        <f t="shared" si="3"/>
        <v>24</v>
      </c>
      <c r="J167" s="6">
        <v>24.0</v>
      </c>
      <c r="K167" s="6" t="str">
        <f t="shared" si="4"/>
        <v>Young Adult</v>
      </c>
      <c r="L167" s="6" t="s">
        <v>528</v>
      </c>
      <c r="M167" s="5" t="s">
        <v>28</v>
      </c>
      <c r="N167" s="5" t="str">
        <f t="shared" si="5"/>
        <v>Female</v>
      </c>
      <c r="O167" s="5" t="s">
        <v>105</v>
      </c>
      <c r="P167" s="5" t="s">
        <v>64</v>
      </c>
      <c r="Q167" s="5" t="s">
        <v>164</v>
      </c>
      <c r="R167" s="5" t="s">
        <v>607</v>
      </c>
      <c r="S167" s="5" t="s">
        <v>559</v>
      </c>
      <c r="T167" s="6">
        <v>2214.0</v>
      </c>
      <c r="U167" s="5">
        <f t="shared" si="6"/>
        <v>2214</v>
      </c>
      <c r="V167" s="5">
        <v>2214.0</v>
      </c>
    </row>
    <row r="168" ht="22.5" customHeight="1">
      <c r="A168" s="5" t="s">
        <v>982</v>
      </c>
      <c r="B168" s="5" t="s">
        <v>983</v>
      </c>
      <c r="C168" s="5" t="str">
        <f t="shared" si="1"/>
        <v>Thomas</v>
      </c>
      <c r="D168" s="5" t="s">
        <v>983</v>
      </c>
      <c r="E168" s="5" t="s">
        <v>264</v>
      </c>
      <c r="F168" s="5" t="str">
        <f t="shared" si="2"/>
        <v>Wu</v>
      </c>
      <c r="G168" s="5" t="s">
        <v>264</v>
      </c>
      <c r="H168" s="6">
        <v>77.0</v>
      </c>
      <c r="I168" s="6">
        <f t="shared" si="3"/>
        <v>77</v>
      </c>
      <c r="J168" s="6">
        <v>77.0</v>
      </c>
      <c r="K168" s="6" t="str">
        <f t="shared" si="4"/>
        <v>Senior</v>
      </c>
      <c r="L168" s="6" t="s">
        <v>734</v>
      </c>
      <c r="M168" s="5" t="s">
        <v>80</v>
      </c>
      <c r="N168" s="5" t="str">
        <f t="shared" si="5"/>
        <v>Male</v>
      </c>
      <c r="O168" s="5" t="s">
        <v>152</v>
      </c>
      <c r="P168" s="5" t="s">
        <v>107</v>
      </c>
      <c r="Q168" s="5" t="s">
        <v>637</v>
      </c>
      <c r="R168" s="5" t="s">
        <v>546</v>
      </c>
      <c r="S168" s="5" t="s">
        <v>97</v>
      </c>
      <c r="T168" s="6">
        <v>3104.0</v>
      </c>
      <c r="U168" s="5">
        <f t="shared" si="6"/>
        <v>3104</v>
      </c>
      <c r="V168" s="5">
        <v>3104.0</v>
      </c>
    </row>
    <row r="169" ht="22.5" customHeight="1">
      <c r="A169" s="5" t="s">
        <v>986</v>
      </c>
      <c r="B169" s="5" t="s">
        <v>411</v>
      </c>
      <c r="C169" s="5" t="str">
        <f t="shared" si="1"/>
        <v>Jane</v>
      </c>
      <c r="D169" s="5" t="s">
        <v>411</v>
      </c>
      <c r="E169" s="5" t="s">
        <v>128</v>
      </c>
      <c r="F169" s="5" t="str">
        <f t="shared" si="2"/>
        <v>Rodriguez</v>
      </c>
      <c r="G169" s="5" t="s">
        <v>128</v>
      </c>
      <c r="H169" s="6">
        <v>61.0</v>
      </c>
      <c r="I169" s="6">
        <f t="shared" si="3"/>
        <v>61</v>
      </c>
      <c r="J169" s="6">
        <v>61.0</v>
      </c>
      <c r="K169" s="6" t="str">
        <f t="shared" si="4"/>
        <v>Senior</v>
      </c>
      <c r="L169" s="6" t="s">
        <v>734</v>
      </c>
      <c r="M169" s="5" t="s">
        <v>28</v>
      </c>
      <c r="N169" s="5" t="str">
        <f t="shared" si="5"/>
        <v>Female</v>
      </c>
      <c r="O169" s="5" t="s">
        <v>105</v>
      </c>
      <c r="P169" s="5" t="s">
        <v>539</v>
      </c>
      <c r="Q169" s="5" t="s">
        <v>311</v>
      </c>
      <c r="R169" s="5" t="s">
        <v>546</v>
      </c>
      <c r="S169" s="5" t="s">
        <v>97</v>
      </c>
      <c r="T169" s="6">
        <v>1982.0</v>
      </c>
      <c r="U169" s="5">
        <f t="shared" si="6"/>
        <v>1982</v>
      </c>
      <c r="V169" s="5">
        <v>1982.0</v>
      </c>
    </row>
    <row r="170" ht="22.5" customHeight="1">
      <c r="A170" s="5" t="s">
        <v>989</v>
      </c>
      <c r="B170" s="5" t="s">
        <v>127</v>
      </c>
      <c r="C170" s="5" t="str">
        <f t="shared" si="1"/>
        <v>John</v>
      </c>
      <c r="D170" s="5" t="s">
        <v>127</v>
      </c>
      <c r="E170" s="5" t="s">
        <v>556</v>
      </c>
      <c r="F170" s="5" t="str">
        <f t="shared" si="2"/>
        <v>Jones</v>
      </c>
      <c r="G170" s="5" t="s">
        <v>556</v>
      </c>
      <c r="H170" s="6">
        <v>84.0</v>
      </c>
      <c r="I170" s="6">
        <f t="shared" si="3"/>
        <v>84</v>
      </c>
      <c r="J170" s="6">
        <v>84.0</v>
      </c>
      <c r="K170" s="6" t="str">
        <f t="shared" si="4"/>
        <v>Senior</v>
      </c>
      <c r="L170" s="6" t="s">
        <v>734</v>
      </c>
      <c r="M170" s="5" t="s">
        <v>105</v>
      </c>
      <c r="N170" s="5" t="str">
        <f t="shared" si="5"/>
        <v>Female</v>
      </c>
      <c r="O170" s="5" t="s">
        <v>105</v>
      </c>
      <c r="P170" s="5" t="s">
        <v>237</v>
      </c>
      <c r="Q170" s="5" t="s">
        <v>418</v>
      </c>
      <c r="R170" s="5" t="s">
        <v>210</v>
      </c>
      <c r="S170" s="5" t="s">
        <v>97</v>
      </c>
      <c r="T170" s="6">
        <v>1282.0</v>
      </c>
      <c r="U170" s="5">
        <f t="shared" si="6"/>
        <v>1282</v>
      </c>
      <c r="V170" s="5">
        <v>1282.0</v>
      </c>
    </row>
    <row r="171" ht="22.5" customHeight="1">
      <c r="A171" s="5" t="s">
        <v>992</v>
      </c>
      <c r="B171" s="5" t="s">
        <v>136</v>
      </c>
      <c r="C171" s="5" t="str">
        <f t="shared" si="1"/>
        <v>Alice</v>
      </c>
      <c r="D171" s="5" t="s">
        <v>136</v>
      </c>
      <c r="E171" s="5" t="s">
        <v>352</v>
      </c>
      <c r="F171" s="5" t="str">
        <f t="shared" si="2"/>
        <v>Kim</v>
      </c>
      <c r="G171" s="5" t="s">
        <v>352</v>
      </c>
      <c r="H171" s="6">
        <v>49.0</v>
      </c>
      <c r="I171" s="6">
        <f t="shared" si="3"/>
        <v>49</v>
      </c>
      <c r="J171" s="6">
        <v>49.0</v>
      </c>
      <c r="K171" s="6" t="str">
        <f t="shared" si="4"/>
        <v>Middle Age</v>
      </c>
      <c r="L171" s="6" t="s">
        <v>591</v>
      </c>
      <c r="M171" s="5" t="s">
        <v>80</v>
      </c>
      <c r="N171" s="5" t="str">
        <f t="shared" si="5"/>
        <v>Male</v>
      </c>
      <c r="O171" s="5" t="s">
        <v>152</v>
      </c>
      <c r="P171" s="5" t="s">
        <v>47</v>
      </c>
      <c r="Q171" s="5" t="s">
        <v>238</v>
      </c>
      <c r="R171" s="5" t="s">
        <v>533</v>
      </c>
      <c r="S171" s="5" t="s">
        <v>52</v>
      </c>
      <c r="T171" s="6">
        <v>1725.0</v>
      </c>
      <c r="U171" s="5">
        <f t="shared" si="6"/>
        <v>1725</v>
      </c>
      <c r="V171" s="5">
        <v>1725.0</v>
      </c>
    </row>
    <row r="172" ht="22.5" customHeight="1">
      <c r="A172" s="5" t="s">
        <v>995</v>
      </c>
      <c r="B172" s="5" t="s">
        <v>827</v>
      </c>
      <c r="C172" s="5" t="str">
        <f t="shared" si="1"/>
        <v>Ryan</v>
      </c>
      <c r="D172" s="5" t="s">
        <v>827</v>
      </c>
      <c r="E172" s="5" t="s">
        <v>428</v>
      </c>
      <c r="F172" s="5" t="str">
        <f t="shared" si="2"/>
        <v>Bush</v>
      </c>
      <c r="G172" s="5" t="s">
        <v>428</v>
      </c>
      <c r="H172" s="6">
        <v>84.0</v>
      </c>
      <c r="I172" s="6">
        <f t="shared" si="3"/>
        <v>84</v>
      </c>
      <c r="J172" s="6">
        <v>84.0</v>
      </c>
      <c r="K172" s="6" t="str">
        <f t="shared" si="4"/>
        <v>Senior</v>
      </c>
      <c r="L172" s="6" t="s">
        <v>734</v>
      </c>
      <c r="M172" s="5" t="s">
        <v>80</v>
      </c>
      <c r="N172" s="5" t="str">
        <f t="shared" si="5"/>
        <v>Male</v>
      </c>
      <c r="O172" s="5" t="s">
        <v>152</v>
      </c>
      <c r="P172" s="5" t="s">
        <v>208</v>
      </c>
      <c r="Q172" s="5" t="s">
        <v>439</v>
      </c>
      <c r="R172" s="5" t="s">
        <v>210</v>
      </c>
      <c r="S172" s="5" t="s">
        <v>97</v>
      </c>
      <c r="T172" s="6">
        <v>1270.0</v>
      </c>
      <c r="U172" s="5">
        <f t="shared" si="6"/>
        <v>1270</v>
      </c>
      <c r="V172" s="5">
        <v>1270.0</v>
      </c>
    </row>
    <row r="173" ht="22.5" customHeight="1">
      <c r="A173" s="5" t="s">
        <v>998</v>
      </c>
      <c r="B173" s="5" t="s">
        <v>999</v>
      </c>
      <c r="C173" s="5" t="str">
        <f t="shared" si="1"/>
        <v>Donald</v>
      </c>
      <c r="D173" s="5" t="s">
        <v>2350</v>
      </c>
      <c r="E173" s="5" t="s">
        <v>959</v>
      </c>
      <c r="F173" s="5" t="str">
        <f t="shared" si="2"/>
        <v>Glover</v>
      </c>
      <c r="G173" s="5" t="s">
        <v>959</v>
      </c>
      <c r="H173" s="6">
        <v>46.0</v>
      </c>
      <c r="I173" s="6">
        <f t="shared" si="3"/>
        <v>46</v>
      </c>
      <c r="J173" s="6">
        <v>46.0</v>
      </c>
      <c r="K173" s="6" t="str">
        <f t="shared" si="4"/>
        <v>Middle Age</v>
      </c>
      <c r="L173" s="6" t="s">
        <v>591</v>
      </c>
      <c r="M173" s="5" t="s">
        <v>152</v>
      </c>
      <c r="N173" s="5" t="str">
        <f t="shared" si="5"/>
        <v>Male</v>
      </c>
      <c r="O173" s="5" t="s">
        <v>152</v>
      </c>
      <c r="P173" s="5" t="s">
        <v>393</v>
      </c>
      <c r="Q173" s="5" t="s">
        <v>358</v>
      </c>
      <c r="R173" s="5" t="s">
        <v>561</v>
      </c>
      <c r="S173" s="5" t="s">
        <v>222</v>
      </c>
      <c r="T173" s="6">
        <v>2578.0</v>
      </c>
      <c r="U173" s="5">
        <f t="shared" si="6"/>
        <v>2578</v>
      </c>
      <c r="V173" s="5">
        <v>2578.0</v>
      </c>
    </row>
    <row r="174" ht="22.5" customHeight="1">
      <c r="A174" s="5" t="s">
        <v>1002</v>
      </c>
      <c r="B174" s="5" t="s">
        <v>158</v>
      </c>
      <c r="C174" s="5" t="str">
        <f t="shared" si="1"/>
        <v>Eva</v>
      </c>
      <c r="D174" s="5" t="s">
        <v>158</v>
      </c>
      <c r="E174" s="5" t="s">
        <v>90</v>
      </c>
      <c r="F174" s="5" t="str">
        <f t="shared" si="2"/>
        <v>Davis</v>
      </c>
      <c r="G174" s="5" t="s">
        <v>90</v>
      </c>
      <c r="H174" s="6">
        <v>27.0</v>
      </c>
      <c r="I174" s="6">
        <f t="shared" si="3"/>
        <v>27</v>
      </c>
      <c r="J174" s="6">
        <v>27.0</v>
      </c>
      <c r="K174" s="6" t="str">
        <f t="shared" si="4"/>
        <v>Young Adult</v>
      </c>
      <c r="L174" s="6" t="s">
        <v>528</v>
      </c>
      <c r="M174" s="5" t="s">
        <v>28</v>
      </c>
      <c r="N174" s="5" t="str">
        <f t="shared" si="5"/>
        <v>Female</v>
      </c>
      <c r="O174" s="5" t="s">
        <v>105</v>
      </c>
      <c r="P174" s="5" t="s">
        <v>309</v>
      </c>
      <c r="Q174" s="5" t="s">
        <v>164</v>
      </c>
      <c r="R174" s="5" t="s">
        <v>96</v>
      </c>
      <c r="S174" s="5" t="s">
        <v>222</v>
      </c>
      <c r="T174" s="6">
        <v>1282.0</v>
      </c>
      <c r="U174" s="5">
        <f t="shared" si="6"/>
        <v>1282</v>
      </c>
      <c r="V174" s="5">
        <v>1282.0</v>
      </c>
    </row>
    <row r="175" ht="22.5" customHeight="1">
      <c r="A175" s="5" t="s">
        <v>1003</v>
      </c>
      <c r="B175" s="5" t="s">
        <v>1004</v>
      </c>
      <c r="C175" s="5" t="str">
        <f t="shared" si="1"/>
        <v>Tom</v>
      </c>
      <c r="D175" s="5" t="s">
        <v>1004</v>
      </c>
      <c r="E175" s="5" t="s">
        <v>324</v>
      </c>
      <c r="F175" s="5" t="str">
        <f t="shared" si="2"/>
        <v>Cooper</v>
      </c>
      <c r="G175" s="5" t="s">
        <v>324</v>
      </c>
      <c r="H175" s="6">
        <v>53.0</v>
      </c>
      <c r="I175" s="6">
        <f t="shared" si="3"/>
        <v>53</v>
      </c>
      <c r="J175" s="6">
        <v>53.0</v>
      </c>
      <c r="K175" s="6" t="str">
        <f t="shared" si="4"/>
        <v>Middle Age</v>
      </c>
      <c r="L175" s="6" t="s">
        <v>591</v>
      </c>
      <c r="M175" s="5" t="s">
        <v>130</v>
      </c>
      <c r="N175" s="5" t="str">
        <f t="shared" si="5"/>
        <v>Male</v>
      </c>
      <c r="O175" s="5" t="s">
        <v>152</v>
      </c>
      <c r="P175" s="5" t="s">
        <v>131</v>
      </c>
      <c r="Q175" s="5" t="s">
        <v>576</v>
      </c>
      <c r="R175" s="5" t="s">
        <v>607</v>
      </c>
      <c r="S175" s="5" t="s">
        <v>52</v>
      </c>
      <c r="T175" s="6">
        <v>3892.0</v>
      </c>
      <c r="U175" s="5">
        <f t="shared" si="6"/>
        <v>3892</v>
      </c>
      <c r="V175" s="5">
        <v>3892.0</v>
      </c>
    </row>
    <row r="176" ht="22.5" customHeight="1">
      <c r="A176" s="5" t="s">
        <v>1006</v>
      </c>
      <c r="B176" s="5" t="s">
        <v>696</v>
      </c>
      <c r="C176" s="5" t="str">
        <f t="shared" si="1"/>
        <v>Charlie</v>
      </c>
      <c r="D176" s="5" t="s">
        <v>696</v>
      </c>
      <c r="E176" s="5" t="s">
        <v>172</v>
      </c>
      <c r="F176" s="5" t="str">
        <f t="shared" si="2"/>
        <v>Little</v>
      </c>
      <c r="G176" s="5" t="s">
        <v>172</v>
      </c>
      <c r="H176" s="6">
        <v>86.0</v>
      </c>
      <c r="I176" s="6">
        <f t="shared" si="3"/>
        <v>86</v>
      </c>
      <c r="J176" s="6">
        <v>86.0</v>
      </c>
      <c r="K176" s="6" t="str">
        <f t="shared" si="4"/>
        <v>Senior</v>
      </c>
      <c r="L176" s="6" t="s">
        <v>734</v>
      </c>
      <c r="M176" s="5" t="s">
        <v>152</v>
      </c>
      <c r="N176" s="5" t="str">
        <f t="shared" si="5"/>
        <v>Male</v>
      </c>
      <c r="O176" s="5" t="s">
        <v>152</v>
      </c>
      <c r="P176" s="5" t="s">
        <v>237</v>
      </c>
      <c r="Q176" s="5" t="s">
        <v>123</v>
      </c>
      <c r="R176" s="5" t="s">
        <v>83</v>
      </c>
      <c r="S176" s="5" t="s">
        <v>97</v>
      </c>
      <c r="T176" s="6">
        <v>3287.0</v>
      </c>
      <c r="U176" s="5">
        <f t="shared" si="6"/>
        <v>3287</v>
      </c>
      <c r="V176" s="5">
        <v>3287.0</v>
      </c>
    </row>
    <row r="177" ht="22.5" customHeight="1">
      <c r="A177" s="5" t="s">
        <v>1010</v>
      </c>
      <c r="B177" s="5" t="s">
        <v>127</v>
      </c>
      <c r="C177" s="5" t="str">
        <f t="shared" si="1"/>
        <v>John</v>
      </c>
      <c r="D177" s="5" t="s">
        <v>127</v>
      </c>
      <c r="E177" s="5" t="s">
        <v>76</v>
      </c>
      <c r="F177" s="5" t="str">
        <f t="shared" si="2"/>
        <v>Brown</v>
      </c>
      <c r="G177" s="5" t="s">
        <v>76</v>
      </c>
      <c r="H177" s="6">
        <v>86.0</v>
      </c>
      <c r="I177" s="6">
        <f t="shared" si="3"/>
        <v>86</v>
      </c>
      <c r="J177" s="6">
        <v>86.0</v>
      </c>
      <c r="K177" s="6" t="str">
        <f t="shared" si="4"/>
        <v>Senior</v>
      </c>
      <c r="L177" s="6" t="s">
        <v>734</v>
      </c>
      <c r="M177" s="5" t="s">
        <v>130</v>
      </c>
      <c r="N177" s="5" t="str">
        <f t="shared" si="5"/>
        <v>Male</v>
      </c>
      <c r="O177" s="5" t="s">
        <v>152</v>
      </c>
      <c r="P177" s="5" t="s">
        <v>47</v>
      </c>
      <c r="Q177" s="5" t="s">
        <v>123</v>
      </c>
      <c r="R177" s="5" t="s">
        <v>83</v>
      </c>
      <c r="S177" s="5" t="s">
        <v>97</v>
      </c>
      <c r="T177" s="6">
        <v>2223.0</v>
      </c>
      <c r="U177" s="5">
        <f t="shared" si="6"/>
        <v>2223</v>
      </c>
      <c r="V177" s="5">
        <v>2223.0</v>
      </c>
    </row>
    <row r="178" ht="22.5" customHeight="1">
      <c r="A178" s="5" t="s">
        <v>1012</v>
      </c>
      <c r="B178" s="5" t="s">
        <v>368</v>
      </c>
      <c r="C178" s="5" t="str">
        <f t="shared" si="1"/>
        <v>Grace</v>
      </c>
      <c r="D178" s="5" t="s">
        <v>368</v>
      </c>
      <c r="E178" s="5" t="s">
        <v>469</v>
      </c>
      <c r="F178" s="5" t="str">
        <f t="shared" si="2"/>
        <v>Perez</v>
      </c>
      <c r="G178" s="5" t="s">
        <v>469</v>
      </c>
      <c r="H178" s="6">
        <v>28.0</v>
      </c>
      <c r="I178" s="6">
        <f t="shared" si="3"/>
        <v>28</v>
      </c>
      <c r="J178" s="6">
        <v>28.0</v>
      </c>
      <c r="K178" s="6" t="str">
        <f t="shared" si="4"/>
        <v>Young Adult</v>
      </c>
      <c r="L178" s="6" t="s">
        <v>528</v>
      </c>
      <c r="M178" s="5" t="s">
        <v>105</v>
      </c>
      <c r="N178" s="5" t="str">
        <f t="shared" si="5"/>
        <v>Female</v>
      </c>
      <c r="O178" s="5" t="s">
        <v>105</v>
      </c>
      <c r="P178" s="5" t="s">
        <v>268</v>
      </c>
      <c r="Q178" s="5" t="s">
        <v>358</v>
      </c>
      <c r="R178" s="5" t="s">
        <v>561</v>
      </c>
      <c r="S178" s="5" t="s">
        <v>222</v>
      </c>
      <c r="T178" s="6">
        <v>2595.0</v>
      </c>
      <c r="U178" s="5">
        <f t="shared" si="6"/>
        <v>2595</v>
      </c>
      <c r="V178" s="5">
        <v>2595.0</v>
      </c>
    </row>
    <row r="179" ht="22.5" customHeight="1">
      <c r="A179" s="5" t="s">
        <v>1016</v>
      </c>
      <c r="B179" s="5" t="s">
        <v>411</v>
      </c>
      <c r="C179" s="5" t="str">
        <f t="shared" si="1"/>
        <v>Jane</v>
      </c>
      <c r="D179" s="5" t="s">
        <v>411</v>
      </c>
      <c r="E179" s="5" t="s">
        <v>1017</v>
      </c>
      <c r="F179" s="5" t="str">
        <f t="shared" si="2"/>
        <v>Young</v>
      </c>
      <c r="G179" s="5" t="s">
        <v>159</v>
      </c>
      <c r="H179" s="6">
        <v>78.0</v>
      </c>
      <c r="I179" s="6">
        <f t="shared" si="3"/>
        <v>78</v>
      </c>
      <c r="J179" s="6">
        <v>78.0</v>
      </c>
      <c r="K179" s="6" t="str">
        <f t="shared" si="4"/>
        <v>Senior</v>
      </c>
      <c r="L179" s="6" t="s">
        <v>734</v>
      </c>
      <c r="M179" s="5" t="s">
        <v>105</v>
      </c>
      <c r="N179" s="5" t="str">
        <f t="shared" si="5"/>
        <v>Female</v>
      </c>
      <c r="O179" s="5" t="s">
        <v>105</v>
      </c>
      <c r="P179" s="5" t="s">
        <v>47</v>
      </c>
      <c r="Q179" s="5" t="s">
        <v>238</v>
      </c>
      <c r="R179" s="5" t="s">
        <v>533</v>
      </c>
      <c r="S179" s="5" t="s">
        <v>97</v>
      </c>
      <c r="T179" s="6">
        <v>637.0</v>
      </c>
      <c r="U179" s="5">
        <f t="shared" si="6"/>
        <v>637</v>
      </c>
      <c r="V179" s="5">
        <v>637.0</v>
      </c>
    </row>
    <row r="180" ht="22.5" customHeight="1">
      <c r="A180" s="5" t="s">
        <v>1019</v>
      </c>
      <c r="B180" s="5" t="s">
        <v>1020</v>
      </c>
      <c r="C180" s="5" t="str">
        <f t="shared" si="1"/>
        <v>Miles</v>
      </c>
      <c r="D180" s="5" t="s">
        <v>1085</v>
      </c>
      <c r="E180" s="5" t="s">
        <v>1021</v>
      </c>
      <c r="F180" s="5" t="str">
        <f t="shared" si="2"/>
        <v>Wu</v>
      </c>
      <c r="G180" s="5" t="s">
        <v>264</v>
      </c>
      <c r="H180" s="6">
        <v>999.0</v>
      </c>
      <c r="I180" s="6">
        <f t="shared" si="3"/>
        <v>999</v>
      </c>
      <c r="J180" s="6"/>
      <c r="K180" s="6" t="str">
        <f t="shared" si="4"/>
        <v>Unknown</v>
      </c>
      <c r="L180" s="6" t="s">
        <v>1081</v>
      </c>
      <c r="M180" s="5" t="s">
        <v>152</v>
      </c>
      <c r="N180" s="5" t="str">
        <f t="shared" si="5"/>
        <v>Male</v>
      </c>
      <c r="O180" s="5" t="s">
        <v>152</v>
      </c>
      <c r="P180" s="5" t="s">
        <v>131</v>
      </c>
      <c r="Q180" s="5" t="s">
        <v>576</v>
      </c>
      <c r="R180" s="5" t="s">
        <v>607</v>
      </c>
      <c r="S180" s="5" t="s">
        <v>97</v>
      </c>
      <c r="T180" s="6">
        <v>1062.0</v>
      </c>
      <c r="U180" s="5">
        <f t="shared" si="6"/>
        <v>1062</v>
      </c>
      <c r="V180" s="5">
        <v>1062.0</v>
      </c>
    </row>
    <row r="181" ht="22.5" customHeight="1">
      <c r="A181" s="5" t="s">
        <v>1023</v>
      </c>
      <c r="B181" s="5" t="s">
        <v>536</v>
      </c>
      <c r="C181" s="5" t="str">
        <f t="shared" si="1"/>
        <v>Christopher</v>
      </c>
      <c r="D181" s="5" t="s">
        <v>536</v>
      </c>
      <c r="E181" s="5" t="s">
        <v>363</v>
      </c>
      <c r="F181" s="5" t="str">
        <f t="shared" si="2"/>
        <v>Smith</v>
      </c>
      <c r="G181" s="5" t="s">
        <v>363</v>
      </c>
      <c r="H181" s="6">
        <v>72.0</v>
      </c>
      <c r="I181" s="6">
        <f t="shared" si="3"/>
        <v>72</v>
      </c>
      <c r="J181" s="6">
        <v>72.0</v>
      </c>
      <c r="K181" s="6" t="str">
        <f t="shared" si="4"/>
        <v>Senior</v>
      </c>
      <c r="L181" s="6" t="s">
        <v>734</v>
      </c>
      <c r="M181" s="5" t="s">
        <v>152</v>
      </c>
      <c r="N181" s="5" t="str">
        <f t="shared" si="5"/>
        <v>Male</v>
      </c>
      <c r="O181" s="5" t="s">
        <v>152</v>
      </c>
      <c r="P181" s="5" t="s">
        <v>309</v>
      </c>
      <c r="Q181" s="5" t="s">
        <v>164</v>
      </c>
      <c r="R181" s="5" t="s">
        <v>607</v>
      </c>
      <c r="S181" s="5" t="s">
        <v>97</v>
      </c>
      <c r="T181" s="6">
        <v>2473.0</v>
      </c>
      <c r="U181" s="5">
        <f t="shared" si="6"/>
        <v>2473</v>
      </c>
      <c r="V181" s="5">
        <v>2473.0</v>
      </c>
    </row>
    <row r="182" ht="22.5" customHeight="1">
      <c r="A182" s="5" t="s">
        <v>1029</v>
      </c>
      <c r="B182" s="5" t="s">
        <v>542</v>
      </c>
      <c r="C182" s="5" t="str">
        <f t="shared" si="1"/>
        <v>David</v>
      </c>
      <c r="D182" s="5" t="s">
        <v>542</v>
      </c>
      <c r="E182" s="5" t="s">
        <v>254</v>
      </c>
      <c r="F182" s="5" t="str">
        <f t="shared" si="2"/>
        <v>Doe</v>
      </c>
      <c r="G182" s="5" t="s">
        <v>254</v>
      </c>
      <c r="H182" s="6">
        <v>78.0</v>
      </c>
      <c r="I182" s="6">
        <f t="shared" si="3"/>
        <v>78</v>
      </c>
      <c r="J182" s="6">
        <v>78.0</v>
      </c>
      <c r="K182" s="6" t="str">
        <f t="shared" si="4"/>
        <v>Senior</v>
      </c>
      <c r="L182" s="6" t="s">
        <v>734</v>
      </c>
      <c r="M182" s="5" t="s">
        <v>130</v>
      </c>
      <c r="N182" s="5" t="str">
        <f t="shared" si="5"/>
        <v>Male</v>
      </c>
      <c r="O182" s="5" t="s">
        <v>152</v>
      </c>
      <c r="P182" s="5" t="s">
        <v>539</v>
      </c>
      <c r="Q182" s="5" t="s">
        <v>311</v>
      </c>
      <c r="R182" s="5" t="s">
        <v>546</v>
      </c>
      <c r="S182" s="5" t="s">
        <v>97</v>
      </c>
      <c r="T182" s="6">
        <v>626.0</v>
      </c>
      <c r="U182" s="5">
        <f t="shared" si="6"/>
        <v>626</v>
      </c>
      <c r="V182" s="5">
        <v>626.0</v>
      </c>
    </row>
    <row r="183" ht="22.5" customHeight="1">
      <c r="A183" s="5" t="s">
        <v>1031</v>
      </c>
      <c r="B183" s="5" t="s">
        <v>983</v>
      </c>
      <c r="C183" s="5" t="str">
        <f t="shared" si="1"/>
        <v>Thomas</v>
      </c>
      <c r="D183" s="5" t="s">
        <v>983</v>
      </c>
      <c r="E183" s="5" t="s">
        <v>244</v>
      </c>
      <c r="F183" s="5" t="str">
        <f t="shared" si="2"/>
        <v>Jackson</v>
      </c>
      <c r="G183" s="5" t="s">
        <v>244</v>
      </c>
      <c r="H183" s="6">
        <v>75.0</v>
      </c>
      <c r="I183" s="6">
        <f t="shared" si="3"/>
        <v>75</v>
      </c>
      <c r="J183" s="6">
        <v>75.0</v>
      </c>
      <c r="K183" s="6" t="str">
        <f t="shared" si="4"/>
        <v>Senior</v>
      </c>
      <c r="L183" s="6" t="s">
        <v>734</v>
      </c>
      <c r="M183" s="5" t="s">
        <v>80</v>
      </c>
      <c r="N183" s="5" t="str">
        <f t="shared" si="5"/>
        <v>Male</v>
      </c>
      <c r="O183" s="5" t="s">
        <v>152</v>
      </c>
      <c r="P183" s="5" t="s">
        <v>401</v>
      </c>
      <c r="Q183" s="5" t="s">
        <v>164</v>
      </c>
      <c r="R183" s="5" t="s">
        <v>96</v>
      </c>
      <c r="S183" s="5" t="s">
        <v>97</v>
      </c>
      <c r="T183" s="6">
        <v>286.0</v>
      </c>
      <c r="U183" s="5">
        <f t="shared" si="6"/>
        <v>286</v>
      </c>
      <c r="V183" s="5">
        <v>286.0</v>
      </c>
    </row>
    <row r="184" ht="22.5" customHeight="1">
      <c r="A184" s="5" t="s">
        <v>1034</v>
      </c>
      <c r="B184" s="5" t="s">
        <v>171</v>
      </c>
      <c r="C184" s="5" t="str">
        <f t="shared" si="1"/>
        <v>Frank</v>
      </c>
      <c r="D184" s="5" t="s">
        <v>171</v>
      </c>
      <c r="E184" s="5" t="s">
        <v>1035</v>
      </c>
      <c r="F184" s="5" t="str">
        <f t="shared" si="2"/>
        <v>Wales</v>
      </c>
      <c r="G184" s="5" t="s">
        <v>1459</v>
      </c>
      <c r="H184" s="6">
        <v>42.0</v>
      </c>
      <c r="I184" s="6">
        <f t="shared" si="3"/>
        <v>42</v>
      </c>
      <c r="J184" s="6">
        <v>42.0</v>
      </c>
      <c r="K184" s="6" t="str">
        <f t="shared" si="4"/>
        <v>Middle Age</v>
      </c>
      <c r="L184" s="6" t="s">
        <v>591</v>
      </c>
      <c r="M184" s="5" t="s">
        <v>152</v>
      </c>
      <c r="N184" s="5" t="str">
        <f t="shared" si="5"/>
        <v>Male</v>
      </c>
      <c r="O184" s="5" t="s">
        <v>152</v>
      </c>
      <c r="P184" s="5" t="s">
        <v>30</v>
      </c>
      <c r="Q184" s="5" t="s">
        <v>669</v>
      </c>
      <c r="R184" s="5" t="s">
        <v>452</v>
      </c>
      <c r="S184" s="5" t="s">
        <v>222</v>
      </c>
      <c r="T184" s="6">
        <v>2988.0</v>
      </c>
      <c r="U184" s="5">
        <f t="shared" si="6"/>
        <v>2988</v>
      </c>
      <c r="V184" s="5">
        <v>2988.0</v>
      </c>
    </row>
    <row r="185" ht="22.5" customHeight="1">
      <c r="A185" s="5" t="s">
        <v>1038</v>
      </c>
      <c r="B185" s="5" t="s">
        <v>1040</v>
      </c>
      <c r="C185" s="5" t="str">
        <f t="shared" si="1"/>
        <v>Daniel</v>
      </c>
      <c r="D185" s="5" t="s">
        <v>1665</v>
      </c>
      <c r="E185" s="5" t="s">
        <v>959</v>
      </c>
      <c r="F185" s="5" t="str">
        <f t="shared" si="2"/>
        <v>Glover</v>
      </c>
      <c r="G185" s="5" t="s">
        <v>959</v>
      </c>
      <c r="H185" s="6">
        <v>35.0</v>
      </c>
      <c r="I185" s="6">
        <f t="shared" si="3"/>
        <v>35</v>
      </c>
      <c r="J185" s="6">
        <v>35.0</v>
      </c>
      <c r="K185" s="6" t="str">
        <f t="shared" si="4"/>
        <v>Young Adult</v>
      </c>
      <c r="L185" s="6" t="s">
        <v>528</v>
      </c>
      <c r="M185" s="5" t="s">
        <v>152</v>
      </c>
      <c r="N185" s="5" t="str">
        <f t="shared" si="5"/>
        <v>Male</v>
      </c>
      <c r="O185" s="5" t="s">
        <v>152</v>
      </c>
      <c r="P185" s="5" t="s">
        <v>30</v>
      </c>
      <c r="Q185" s="5" t="s">
        <v>311</v>
      </c>
      <c r="R185" s="5" t="s">
        <v>96</v>
      </c>
      <c r="S185" s="5" t="s">
        <v>52</v>
      </c>
      <c r="T185" s="6">
        <v>1092.0</v>
      </c>
      <c r="U185" s="5">
        <f t="shared" si="6"/>
        <v>1092</v>
      </c>
      <c r="V185" s="5">
        <v>1092.0</v>
      </c>
    </row>
    <row r="186" ht="22.5" customHeight="1">
      <c r="A186" s="5" t="s">
        <v>1043</v>
      </c>
      <c r="B186" s="5" t="s">
        <v>307</v>
      </c>
      <c r="C186" s="5" t="str">
        <f t="shared" si="1"/>
        <v>Hannah</v>
      </c>
      <c r="D186" s="5" t="s">
        <v>307</v>
      </c>
      <c r="E186" s="5" t="s">
        <v>556</v>
      </c>
      <c r="F186" s="5" t="str">
        <f t="shared" si="2"/>
        <v>Jones</v>
      </c>
      <c r="G186" s="5" t="s">
        <v>556</v>
      </c>
      <c r="H186" s="6">
        <v>62.0</v>
      </c>
      <c r="I186" s="6">
        <f t="shared" si="3"/>
        <v>62</v>
      </c>
      <c r="J186" s="6">
        <v>62.0</v>
      </c>
      <c r="K186" s="6" t="str">
        <f t="shared" si="4"/>
        <v>Senior</v>
      </c>
      <c r="L186" s="6" t="s">
        <v>734</v>
      </c>
      <c r="M186" s="5" t="s">
        <v>45</v>
      </c>
      <c r="N186" s="5" t="str">
        <f t="shared" si="5"/>
        <v>Female</v>
      </c>
      <c r="O186" s="5" t="s">
        <v>105</v>
      </c>
      <c r="P186" s="5" t="s">
        <v>759</v>
      </c>
      <c r="Q186" s="5" t="s">
        <v>277</v>
      </c>
      <c r="R186" s="5" t="s">
        <v>402</v>
      </c>
      <c r="S186" s="5" t="s">
        <v>97</v>
      </c>
      <c r="T186" s="6">
        <v>1797.0</v>
      </c>
      <c r="U186" s="5">
        <f t="shared" si="6"/>
        <v>1797</v>
      </c>
      <c r="V186" s="5">
        <v>1797.0</v>
      </c>
    </row>
    <row r="187" ht="22.5" customHeight="1">
      <c r="A187" s="5" t="s">
        <v>1047</v>
      </c>
      <c r="B187" s="5" t="s">
        <v>688</v>
      </c>
      <c r="C187" s="5" t="str">
        <f t="shared" si="1"/>
        <v>Robert</v>
      </c>
      <c r="D187" s="5" t="s">
        <v>2950</v>
      </c>
      <c r="E187" s="5" t="s">
        <v>428</v>
      </c>
      <c r="F187" s="5" t="str">
        <f t="shared" si="2"/>
        <v>Bush</v>
      </c>
      <c r="G187" s="5" t="s">
        <v>428</v>
      </c>
      <c r="H187" s="6">
        <v>80.0</v>
      </c>
      <c r="I187" s="6">
        <f t="shared" si="3"/>
        <v>80</v>
      </c>
      <c r="J187" s="6">
        <v>80.0</v>
      </c>
      <c r="K187" s="6" t="str">
        <f t="shared" si="4"/>
        <v>Senior</v>
      </c>
      <c r="L187" s="6" t="s">
        <v>734</v>
      </c>
      <c r="M187" s="5" t="s">
        <v>80</v>
      </c>
      <c r="N187" s="5" t="str">
        <f t="shared" si="5"/>
        <v>Male</v>
      </c>
      <c r="O187" s="5" t="s">
        <v>152</v>
      </c>
      <c r="P187" s="5" t="s">
        <v>393</v>
      </c>
      <c r="Q187" s="5" t="s">
        <v>436</v>
      </c>
      <c r="R187" s="5" t="s">
        <v>561</v>
      </c>
      <c r="S187" s="5" t="s">
        <v>97</v>
      </c>
      <c r="T187" s="6">
        <v>4383.0</v>
      </c>
      <c r="U187" s="5">
        <f t="shared" si="6"/>
        <v>4383</v>
      </c>
      <c r="V187" s="5">
        <v>4383.0</v>
      </c>
    </row>
    <row r="188" ht="22.5" customHeight="1">
      <c r="A188" s="5" t="s">
        <v>1051</v>
      </c>
      <c r="B188" s="5" t="s">
        <v>764</v>
      </c>
      <c r="C188" s="5" t="str">
        <f t="shared" si="1"/>
        <v>Nancy</v>
      </c>
      <c r="D188" s="5" t="s">
        <v>764</v>
      </c>
      <c r="E188" s="5" t="s">
        <v>469</v>
      </c>
      <c r="F188" s="5" t="str">
        <f t="shared" si="2"/>
        <v>Perez</v>
      </c>
      <c r="G188" s="5" t="s">
        <v>469</v>
      </c>
      <c r="H188" s="6">
        <v>76.0</v>
      </c>
      <c r="I188" s="6">
        <f t="shared" si="3"/>
        <v>76</v>
      </c>
      <c r="J188" s="6">
        <v>76.0</v>
      </c>
      <c r="K188" s="6" t="str">
        <f t="shared" si="4"/>
        <v>Senior</v>
      </c>
      <c r="L188" s="6" t="s">
        <v>734</v>
      </c>
      <c r="M188" s="5" t="s">
        <v>28</v>
      </c>
      <c r="N188" s="5" t="str">
        <f t="shared" si="5"/>
        <v>Female</v>
      </c>
      <c r="O188" s="5" t="s">
        <v>105</v>
      </c>
      <c r="P188" s="5" t="s">
        <v>401</v>
      </c>
      <c r="Q188" s="5" t="s">
        <v>311</v>
      </c>
      <c r="R188" s="5" t="s">
        <v>546</v>
      </c>
      <c r="S188" s="5" t="s">
        <v>97</v>
      </c>
      <c r="T188" s="6">
        <v>1589.0</v>
      </c>
      <c r="U188" s="5">
        <f t="shared" si="6"/>
        <v>1589</v>
      </c>
      <c r="V188" s="5">
        <v>1589.0</v>
      </c>
    </row>
    <row r="189" ht="22.5" customHeight="1">
      <c r="A189" s="5" t="s">
        <v>1054</v>
      </c>
      <c r="B189" s="5" t="s">
        <v>411</v>
      </c>
      <c r="C189" s="5" t="str">
        <f t="shared" si="1"/>
        <v>Jane</v>
      </c>
      <c r="D189" s="5" t="s">
        <v>411</v>
      </c>
      <c r="E189" s="5" t="s">
        <v>959</v>
      </c>
      <c r="F189" s="5" t="str">
        <f t="shared" si="2"/>
        <v>Glover</v>
      </c>
      <c r="G189" s="5" t="s">
        <v>959</v>
      </c>
      <c r="H189" s="6">
        <v>77.0</v>
      </c>
      <c r="I189" s="6">
        <f t="shared" si="3"/>
        <v>77</v>
      </c>
      <c r="J189" s="6">
        <v>77.0</v>
      </c>
      <c r="K189" s="6" t="str">
        <f t="shared" si="4"/>
        <v>Senior</v>
      </c>
      <c r="L189" s="6" t="s">
        <v>734</v>
      </c>
      <c r="M189" s="5" t="s">
        <v>45</v>
      </c>
      <c r="N189" s="5" t="str">
        <f t="shared" si="5"/>
        <v>Female</v>
      </c>
      <c r="O189" s="5" t="s">
        <v>105</v>
      </c>
      <c r="P189" s="5" t="s">
        <v>30</v>
      </c>
      <c r="Q189" s="5" t="s">
        <v>482</v>
      </c>
      <c r="R189" s="5" t="s">
        <v>179</v>
      </c>
      <c r="S189" s="5" t="s">
        <v>97</v>
      </c>
      <c r="T189" s="6">
        <v>4742.0</v>
      </c>
      <c r="U189" s="5">
        <f t="shared" si="6"/>
        <v>4742</v>
      </c>
      <c r="V189" s="5">
        <v>4742.0</v>
      </c>
    </row>
    <row r="190" ht="22.5" customHeight="1">
      <c r="A190" s="5" t="s">
        <v>1056</v>
      </c>
      <c r="B190" s="5" t="s">
        <v>343</v>
      </c>
      <c r="C190" s="5" t="str">
        <f t="shared" si="1"/>
        <v>Bob</v>
      </c>
      <c r="D190" s="5" t="s">
        <v>343</v>
      </c>
      <c r="E190" s="5" t="s">
        <v>629</v>
      </c>
      <c r="F190" s="5" t="str">
        <f t="shared" si="2"/>
        <v>Richardson</v>
      </c>
      <c r="G190" s="5" t="s">
        <v>629</v>
      </c>
      <c r="H190" s="6">
        <v>86.0</v>
      </c>
      <c r="I190" s="6">
        <f t="shared" si="3"/>
        <v>86</v>
      </c>
      <c r="J190" s="6">
        <v>86.0</v>
      </c>
      <c r="K190" s="6" t="str">
        <f t="shared" si="4"/>
        <v>Senior</v>
      </c>
      <c r="L190" s="6" t="s">
        <v>734</v>
      </c>
      <c r="M190" s="5" t="s">
        <v>152</v>
      </c>
      <c r="N190" s="5" t="str">
        <f t="shared" si="5"/>
        <v>Male</v>
      </c>
      <c r="O190" s="5" t="s">
        <v>152</v>
      </c>
      <c r="P190" s="5" t="s">
        <v>393</v>
      </c>
      <c r="Q190" s="5" t="s">
        <v>418</v>
      </c>
      <c r="R190" s="5" t="s">
        <v>210</v>
      </c>
      <c r="S190" s="5" t="s">
        <v>97</v>
      </c>
      <c r="T190" s="6">
        <v>1043.0</v>
      </c>
      <c r="U190" s="5">
        <f t="shared" si="6"/>
        <v>1043</v>
      </c>
      <c r="V190" s="5">
        <v>1043.0</v>
      </c>
    </row>
    <row r="191" ht="22.5" customHeight="1">
      <c r="A191" s="5" t="s">
        <v>1059</v>
      </c>
      <c r="B191" s="5" t="s">
        <v>1060</v>
      </c>
      <c r="C191" s="5" t="str">
        <f t="shared" si="1"/>
        <v>Tom</v>
      </c>
      <c r="D191" s="5" t="s">
        <v>1004</v>
      </c>
      <c r="E191" s="5" t="s">
        <v>515</v>
      </c>
      <c r="F191" s="5" t="str">
        <f t="shared" si="2"/>
        <v>Ng</v>
      </c>
      <c r="G191" s="5" t="s">
        <v>515</v>
      </c>
      <c r="H191" s="6">
        <v>34.0</v>
      </c>
      <c r="I191" s="6">
        <f t="shared" si="3"/>
        <v>34</v>
      </c>
      <c r="J191" s="6">
        <v>34.0</v>
      </c>
      <c r="K191" s="6" t="str">
        <f t="shared" si="4"/>
        <v>Young Adult</v>
      </c>
      <c r="L191" s="6" t="s">
        <v>528</v>
      </c>
      <c r="M191" s="5" t="s">
        <v>152</v>
      </c>
      <c r="N191" s="5" t="str">
        <f t="shared" si="5"/>
        <v>Male</v>
      </c>
      <c r="O191" s="5" t="s">
        <v>152</v>
      </c>
      <c r="P191" s="5" t="s">
        <v>309</v>
      </c>
      <c r="Q191" s="5" t="s">
        <v>418</v>
      </c>
      <c r="R191" s="5" t="s">
        <v>210</v>
      </c>
      <c r="S191" s="5" t="s">
        <v>222</v>
      </c>
      <c r="T191" s="6">
        <v>283.0</v>
      </c>
      <c r="U191" s="5">
        <f t="shared" si="6"/>
        <v>283</v>
      </c>
      <c r="V191" s="5">
        <v>283.0</v>
      </c>
    </row>
    <row r="192" ht="22.5" customHeight="1">
      <c r="A192" s="5" t="s">
        <v>1063</v>
      </c>
      <c r="B192" s="5" t="s">
        <v>569</v>
      </c>
      <c r="C192" s="5" t="str">
        <f t="shared" si="1"/>
        <v>Daniella</v>
      </c>
      <c r="D192" s="5" t="s">
        <v>2589</v>
      </c>
      <c r="E192" s="5" t="s">
        <v>128</v>
      </c>
      <c r="F192" s="5" t="str">
        <f t="shared" si="2"/>
        <v>Rodriguez</v>
      </c>
      <c r="G192" s="5" t="s">
        <v>128</v>
      </c>
      <c r="H192" s="6">
        <v>44.0</v>
      </c>
      <c r="I192" s="6">
        <f t="shared" si="3"/>
        <v>44</v>
      </c>
      <c r="J192" s="6">
        <v>44.0</v>
      </c>
      <c r="K192" s="6" t="str">
        <f t="shared" si="4"/>
        <v>Middle Age</v>
      </c>
      <c r="L192" s="6" t="s">
        <v>591</v>
      </c>
      <c r="M192" s="5" t="s">
        <v>28</v>
      </c>
      <c r="N192" s="5" t="str">
        <f t="shared" si="5"/>
        <v>Female</v>
      </c>
      <c r="O192" s="5" t="s">
        <v>105</v>
      </c>
      <c r="P192" s="5" t="s">
        <v>393</v>
      </c>
      <c r="Q192" s="5" t="s">
        <v>669</v>
      </c>
      <c r="R192" s="5" t="s">
        <v>452</v>
      </c>
      <c r="S192" s="5" t="s">
        <v>222</v>
      </c>
      <c r="T192" s="6">
        <v>4922.0</v>
      </c>
      <c r="U192" s="5">
        <f t="shared" si="6"/>
        <v>4922</v>
      </c>
      <c r="V192" s="5">
        <v>4922.0</v>
      </c>
    </row>
    <row r="193" ht="22.5" customHeight="1">
      <c r="A193" s="5" t="s">
        <v>1066</v>
      </c>
      <c r="B193" s="5" t="s">
        <v>158</v>
      </c>
      <c r="C193" s="5" t="str">
        <f t="shared" si="1"/>
        <v>Eva</v>
      </c>
      <c r="D193" s="5" t="s">
        <v>158</v>
      </c>
      <c r="E193" s="5" t="s">
        <v>828</v>
      </c>
      <c r="F193" s="5" t="str">
        <f t="shared" si="2"/>
        <v>Chang</v>
      </c>
      <c r="G193" s="5" t="s">
        <v>828</v>
      </c>
      <c r="H193" s="6">
        <v>19.0</v>
      </c>
      <c r="I193" s="6">
        <f t="shared" si="3"/>
        <v>19</v>
      </c>
      <c r="J193" s="6">
        <v>19.0</v>
      </c>
      <c r="K193" s="6" t="str">
        <f t="shared" si="4"/>
        <v>Young Adult</v>
      </c>
      <c r="L193" s="6" t="s">
        <v>528</v>
      </c>
      <c r="M193" s="5" t="s">
        <v>45</v>
      </c>
      <c r="N193" s="5" t="str">
        <f t="shared" si="5"/>
        <v>Female</v>
      </c>
      <c r="O193" s="5" t="s">
        <v>105</v>
      </c>
      <c r="P193" s="5" t="s">
        <v>81</v>
      </c>
      <c r="Q193" s="5" t="s">
        <v>164</v>
      </c>
      <c r="R193" s="5" t="s">
        <v>96</v>
      </c>
      <c r="S193" s="5" t="s">
        <v>211</v>
      </c>
      <c r="T193" s="6">
        <v>69.0</v>
      </c>
      <c r="U193" s="5">
        <f t="shared" si="6"/>
        <v>69</v>
      </c>
      <c r="V193" s="5">
        <v>69.0</v>
      </c>
    </row>
    <row r="194" ht="22.5" customHeight="1">
      <c r="A194" s="5" t="s">
        <v>1068</v>
      </c>
      <c r="B194" s="5" t="s">
        <v>1069</v>
      </c>
      <c r="C194" s="5" t="str">
        <f t="shared" si="1"/>
        <v>Bob_</v>
      </c>
      <c r="D194" s="5" t="s">
        <v>1069</v>
      </c>
      <c r="E194" s="5" t="s">
        <v>1070</v>
      </c>
      <c r="F194" s="5" t="str">
        <f t="shared" si="2"/>
        <v>Jiang</v>
      </c>
      <c r="G194" s="5" t="s">
        <v>1322</v>
      </c>
      <c r="H194" s="6">
        <v>79.0</v>
      </c>
      <c r="I194" s="6">
        <f t="shared" si="3"/>
        <v>79</v>
      </c>
      <c r="J194" s="6">
        <v>79.0</v>
      </c>
      <c r="K194" s="6" t="str">
        <f t="shared" si="4"/>
        <v>Senior</v>
      </c>
      <c r="L194" s="6" t="s">
        <v>734</v>
      </c>
      <c r="M194" s="5" t="s">
        <v>152</v>
      </c>
      <c r="N194" s="5" t="str">
        <f t="shared" si="5"/>
        <v>Male</v>
      </c>
      <c r="O194" s="5" t="s">
        <v>152</v>
      </c>
      <c r="P194" s="5" t="s">
        <v>176</v>
      </c>
      <c r="Q194" s="5" t="s">
        <v>637</v>
      </c>
      <c r="R194" s="5" t="s">
        <v>546</v>
      </c>
      <c r="S194" s="5" t="s">
        <v>97</v>
      </c>
      <c r="T194" s="6">
        <v>3042.0</v>
      </c>
      <c r="U194" s="5">
        <f t="shared" si="6"/>
        <v>3042</v>
      </c>
      <c r="V194" s="5">
        <v>3042.0</v>
      </c>
    </row>
    <row r="195" ht="22.5" customHeight="1">
      <c r="A195" s="5" t="s">
        <v>1072</v>
      </c>
      <c r="B195" s="5" t="s">
        <v>1073</v>
      </c>
      <c r="C195" s="5" t="str">
        <f t="shared" si="1"/>
        <v>Xavier</v>
      </c>
      <c r="D195" s="5" t="s">
        <v>3106</v>
      </c>
      <c r="E195" s="5" t="s">
        <v>254</v>
      </c>
      <c r="F195" s="5" t="str">
        <f t="shared" si="2"/>
        <v>Doe</v>
      </c>
      <c r="G195" s="5" t="s">
        <v>254</v>
      </c>
      <c r="H195" s="6">
        <v>41.0</v>
      </c>
      <c r="I195" s="6">
        <f t="shared" si="3"/>
        <v>41</v>
      </c>
      <c r="J195" s="6">
        <v>41.0</v>
      </c>
      <c r="K195" s="6" t="str">
        <f t="shared" si="4"/>
        <v>Middle Age</v>
      </c>
      <c r="L195" s="6" t="s">
        <v>591</v>
      </c>
      <c r="M195" s="5" t="s">
        <v>130</v>
      </c>
      <c r="N195" s="5" t="str">
        <f t="shared" si="5"/>
        <v>Male</v>
      </c>
      <c r="O195" s="5" t="s">
        <v>152</v>
      </c>
      <c r="P195" s="5" t="s">
        <v>237</v>
      </c>
      <c r="Q195" s="5" t="s">
        <v>358</v>
      </c>
      <c r="R195" s="5" t="s">
        <v>561</v>
      </c>
      <c r="S195" s="5" t="s">
        <v>211</v>
      </c>
      <c r="T195" s="6">
        <v>3296.0</v>
      </c>
      <c r="U195" s="5">
        <f t="shared" si="6"/>
        <v>3296</v>
      </c>
      <c r="V195" s="5">
        <v>3296.0</v>
      </c>
    </row>
    <row r="196" ht="22.5" customHeight="1">
      <c r="A196" s="5" t="s">
        <v>1076</v>
      </c>
      <c r="B196" s="5" t="s">
        <v>1077</v>
      </c>
      <c r="C196" s="5" t="str">
        <f t="shared" si="1"/>
        <v>Daniel</v>
      </c>
      <c r="D196" s="5" t="s">
        <v>1665</v>
      </c>
      <c r="E196" s="5" t="s">
        <v>1035</v>
      </c>
      <c r="F196" s="5" t="str">
        <f t="shared" si="2"/>
        <v>Wales</v>
      </c>
      <c r="G196" s="5" t="s">
        <v>1459</v>
      </c>
      <c r="H196" s="6">
        <v>87.0</v>
      </c>
      <c r="I196" s="6">
        <f t="shared" si="3"/>
        <v>87</v>
      </c>
      <c r="J196" s="6">
        <v>87.0</v>
      </c>
      <c r="K196" s="6" t="str">
        <f t="shared" si="4"/>
        <v>Senior</v>
      </c>
      <c r="L196" s="6" t="s">
        <v>734</v>
      </c>
      <c r="M196" s="5" t="s">
        <v>80</v>
      </c>
      <c r="N196" s="5" t="str">
        <f t="shared" si="5"/>
        <v>Male</v>
      </c>
      <c r="O196" s="5" t="s">
        <v>152</v>
      </c>
      <c r="P196" s="5" t="s">
        <v>393</v>
      </c>
      <c r="Q196" s="5" t="s">
        <v>123</v>
      </c>
      <c r="R196" s="5" t="s">
        <v>83</v>
      </c>
      <c r="S196" s="5" t="s">
        <v>97</v>
      </c>
      <c r="T196" s="6">
        <v>2222.0</v>
      </c>
      <c r="U196" s="5">
        <f t="shared" si="6"/>
        <v>2222</v>
      </c>
      <c r="V196" s="5">
        <v>2222.0</v>
      </c>
    </row>
    <row r="197" ht="22.5" customHeight="1">
      <c r="A197" s="5" t="s">
        <v>1080</v>
      </c>
      <c r="B197" s="5" t="s">
        <v>368</v>
      </c>
      <c r="C197" s="5" t="str">
        <f t="shared" si="1"/>
        <v>Grace</v>
      </c>
      <c r="D197" s="5" t="s">
        <v>368</v>
      </c>
      <c r="E197" s="5" t="s">
        <v>101</v>
      </c>
      <c r="F197" s="5" t="str">
        <f t="shared" si="2"/>
        <v>Ferguson</v>
      </c>
      <c r="G197" s="5" t="s">
        <v>101</v>
      </c>
      <c r="H197" s="6">
        <v>47.0</v>
      </c>
      <c r="I197" s="6">
        <f t="shared" si="3"/>
        <v>47</v>
      </c>
      <c r="J197" s="6">
        <v>47.0</v>
      </c>
      <c r="K197" s="6" t="str">
        <f t="shared" si="4"/>
        <v>Middle Age</v>
      </c>
      <c r="L197" s="6" t="s">
        <v>591</v>
      </c>
      <c r="M197" s="5" t="s">
        <v>105</v>
      </c>
      <c r="N197" s="5" t="str">
        <f t="shared" si="5"/>
        <v>Female</v>
      </c>
      <c r="O197" s="5" t="s">
        <v>105</v>
      </c>
      <c r="P197" s="5" t="s">
        <v>47</v>
      </c>
      <c r="Q197" s="5" t="s">
        <v>482</v>
      </c>
      <c r="R197" s="5" t="s">
        <v>179</v>
      </c>
      <c r="S197" s="5" t="s">
        <v>222</v>
      </c>
      <c r="T197" s="6">
        <v>2726.0</v>
      </c>
      <c r="U197" s="5">
        <f t="shared" si="6"/>
        <v>2726</v>
      </c>
      <c r="V197" s="5">
        <v>2726.0</v>
      </c>
    </row>
    <row r="198" ht="22.5" customHeight="1">
      <c r="A198" s="5" t="s">
        <v>1084</v>
      </c>
      <c r="B198" s="5" t="s">
        <v>1085</v>
      </c>
      <c r="C198" s="5" t="str">
        <f t="shared" si="1"/>
        <v>Miles</v>
      </c>
      <c r="D198" s="5" t="s">
        <v>1085</v>
      </c>
      <c r="E198" s="5" t="s">
        <v>216</v>
      </c>
      <c r="F198" s="5" t="str">
        <f t="shared" si="2"/>
        <v>Williams</v>
      </c>
      <c r="G198" s="5" t="s">
        <v>216</v>
      </c>
      <c r="H198" s="6">
        <v>47.0</v>
      </c>
      <c r="I198" s="6">
        <f t="shared" si="3"/>
        <v>47</v>
      </c>
      <c r="J198" s="6">
        <v>47.0</v>
      </c>
      <c r="K198" s="6" t="str">
        <f t="shared" si="4"/>
        <v>Middle Age</v>
      </c>
      <c r="L198" s="6" t="s">
        <v>591</v>
      </c>
      <c r="M198" s="5" t="s">
        <v>130</v>
      </c>
      <c r="N198" s="5" t="str">
        <f t="shared" si="5"/>
        <v>Male</v>
      </c>
      <c r="O198" s="5" t="s">
        <v>152</v>
      </c>
      <c r="P198" s="5" t="s">
        <v>64</v>
      </c>
      <c r="Q198" s="5" t="s">
        <v>277</v>
      </c>
      <c r="R198" s="5" t="s">
        <v>402</v>
      </c>
      <c r="S198" s="5" t="s">
        <v>52</v>
      </c>
      <c r="T198" s="6">
        <v>2360.0</v>
      </c>
      <c r="U198" s="5">
        <f t="shared" si="6"/>
        <v>2360</v>
      </c>
      <c r="V198" s="5">
        <v>2360.0</v>
      </c>
    </row>
    <row r="199" ht="22.5" customHeight="1">
      <c r="A199" s="5" t="s">
        <v>1087</v>
      </c>
      <c r="B199" s="5" t="s">
        <v>536</v>
      </c>
      <c r="C199" s="5" t="str">
        <f t="shared" si="1"/>
        <v>Christopher</v>
      </c>
      <c r="D199" s="5" t="s">
        <v>536</v>
      </c>
      <c r="E199" s="5" t="s">
        <v>324</v>
      </c>
      <c r="F199" s="5" t="str">
        <f t="shared" si="2"/>
        <v>Cooper</v>
      </c>
      <c r="G199" s="5" t="s">
        <v>324</v>
      </c>
      <c r="H199" s="6">
        <v>28.0</v>
      </c>
      <c r="I199" s="6">
        <f t="shared" si="3"/>
        <v>28</v>
      </c>
      <c r="J199" s="6">
        <v>28.0</v>
      </c>
      <c r="K199" s="6" t="str">
        <f t="shared" si="4"/>
        <v>Young Adult</v>
      </c>
      <c r="L199" s="6" t="s">
        <v>528</v>
      </c>
      <c r="M199" s="5" t="s">
        <v>152</v>
      </c>
      <c r="N199" s="5" t="str">
        <f t="shared" si="5"/>
        <v>Male</v>
      </c>
      <c r="O199" s="5" t="s">
        <v>152</v>
      </c>
      <c r="P199" s="5" t="s">
        <v>47</v>
      </c>
      <c r="Q199" s="5" t="s">
        <v>311</v>
      </c>
      <c r="R199" s="5" t="s">
        <v>96</v>
      </c>
      <c r="S199" s="5" t="s">
        <v>52</v>
      </c>
      <c r="T199" s="6">
        <v>545.0</v>
      </c>
      <c r="U199" s="5">
        <f t="shared" si="6"/>
        <v>545</v>
      </c>
      <c r="V199" s="5">
        <v>545.0</v>
      </c>
    </row>
    <row r="200" ht="22.5" customHeight="1">
      <c r="A200" s="5" t="s">
        <v>1090</v>
      </c>
      <c r="B200" s="5" t="s">
        <v>1092</v>
      </c>
      <c r="C200" s="5" t="str">
        <f t="shared" si="1"/>
        <v>David/</v>
      </c>
      <c r="D200" s="5" t="s">
        <v>1092</v>
      </c>
      <c r="E200" s="5" t="s">
        <v>264</v>
      </c>
      <c r="F200" s="5" t="str">
        <f t="shared" si="2"/>
        <v>Wu</v>
      </c>
      <c r="G200" s="5" t="s">
        <v>264</v>
      </c>
      <c r="H200" s="6">
        <v>24.0</v>
      </c>
      <c r="I200" s="6">
        <f t="shared" si="3"/>
        <v>24</v>
      </c>
      <c r="J200" s="6">
        <v>24.0</v>
      </c>
      <c r="K200" s="6" t="str">
        <f t="shared" si="4"/>
        <v>Young Adult</v>
      </c>
      <c r="L200" s="6" t="s">
        <v>528</v>
      </c>
      <c r="M200" s="5" t="s">
        <v>130</v>
      </c>
      <c r="N200" s="5" t="str">
        <f t="shared" si="5"/>
        <v>Male</v>
      </c>
      <c r="O200" s="5" t="s">
        <v>152</v>
      </c>
      <c r="P200" s="5" t="s">
        <v>364</v>
      </c>
      <c r="Q200" s="5" t="s">
        <v>637</v>
      </c>
      <c r="R200" s="5" t="s">
        <v>546</v>
      </c>
      <c r="S200" s="5" t="s">
        <v>222</v>
      </c>
      <c r="T200" s="6">
        <v>2617.0</v>
      </c>
      <c r="U200" s="5">
        <f t="shared" si="6"/>
        <v>2617</v>
      </c>
      <c r="V200" s="5">
        <v>2617.0</v>
      </c>
    </row>
    <row r="201" ht="22.5" customHeight="1">
      <c r="A201" s="5" t="s">
        <v>1095</v>
      </c>
      <c r="B201" s="5" t="s">
        <v>983</v>
      </c>
      <c r="C201" s="5" t="str">
        <f t="shared" si="1"/>
        <v>Thomas</v>
      </c>
      <c r="D201" s="5" t="s">
        <v>983</v>
      </c>
      <c r="E201" s="5" t="s">
        <v>148</v>
      </c>
      <c r="F201" s="5" t="str">
        <f t="shared" si="2"/>
        <v>Johnson</v>
      </c>
      <c r="G201" s="5" t="s">
        <v>148</v>
      </c>
      <c r="H201" s="6">
        <v>999.0</v>
      </c>
      <c r="I201" s="6">
        <f t="shared" si="3"/>
        <v>999</v>
      </c>
      <c r="J201" s="6"/>
      <c r="K201" s="6" t="str">
        <f t="shared" si="4"/>
        <v>Unknown</v>
      </c>
      <c r="L201" s="6" t="s">
        <v>1081</v>
      </c>
      <c r="M201" s="5" t="s">
        <v>152</v>
      </c>
      <c r="N201" s="5" t="str">
        <f t="shared" si="5"/>
        <v>Male</v>
      </c>
      <c r="O201" s="5" t="s">
        <v>152</v>
      </c>
      <c r="P201" s="5" t="s">
        <v>309</v>
      </c>
      <c r="Q201" s="5" t="s">
        <v>1290</v>
      </c>
      <c r="R201" s="5" t="s">
        <v>533</v>
      </c>
      <c r="S201" s="5" t="s">
        <v>97</v>
      </c>
      <c r="T201" s="6">
        <v>2243.0</v>
      </c>
      <c r="U201" s="5">
        <f t="shared" si="6"/>
        <v>2243</v>
      </c>
      <c r="V201" s="5">
        <v>2243.0</v>
      </c>
    </row>
    <row r="202" ht="22.5" customHeight="1">
      <c r="A202" s="5" t="s">
        <v>1099</v>
      </c>
      <c r="B202" s="5" t="s">
        <v>171</v>
      </c>
      <c r="C202" s="5" t="str">
        <f t="shared" si="1"/>
        <v>Frank</v>
      </c>
      <c r="D202" s="5" t="s">
        <v>171</v>
      </c>
      <c r="E202" s="5" t="s">
        <v>363</v>
      </c>
      <c r="F202" s="5" t="str">
        <f t="shared" si="2"/>
        <v>Smith</v>
      </c>
      <c r="G202" s="5" t="s">
        <v>363</v>
      </c>
      <c r="H202" s="6">
        <v>57.0</v>
      </c>
      <c r="I202" s="6">
        <f t="shared" si="3"/>
        <v>57</v>
      </c>
      <c r="J202" s="6">
        <v>57.0</v>
      </c>
      <c r="K202" s="6" t="str">
        <f t="shared" si="4"/>
        <v>Middle Age</v>
      </c>
      <c r="L202" s="6" t="s">
        <v>591</v>
      </c>
      <c r="M202" s="5" t="s">
        <v>28</v>
      </c>
      <c r="N202" s="5" t="str">
        <f t="shared" si="5"/>
        <v>Female</v>
      </c>
      <c r="O202" s="5" t="s">
        <v>105</v>
      </c>
      <c r="P202" s="5" t="s">
        <v>364</v>
      </c>
      <c r="Q202" s="5" t="s">
        <v>669</v>
      </c>
      <c r="R202" s="5" t="s">
        <v>452</v>
      </c>
      <c r="S202" s="5" t="s">
        <v>52</v>
      </c>
      <c r="T202" s="6">
        <v>2446.0</v>
      </c>
      <c r="U202" s="5">
        <f t="shared" si="6"/>
        <v>2446</v>
      </c>
      <c r="V202" s="5">
        <v>2446.0</v>
      </c>
    </row>
    <row r="203" ht="22.5" customHeight="1">
      <c r="A203" s="5" t="s">
        <v>1102</v>
      </c>
      <c r="B203" s="5" t="s">
        <v>772</v>
      </c>
      <c r="C203" s="5" t="str">
        <f t="shared" si="1"/>
        <v>Ian</v>
      </c>
      <c r="D203" s="5" t="s">
        <v>877</v>
      </c>
      <c r="E203" s="5" t="s">
        <v>629</v>
      </c>
      <c r="F203" s="5" t="str">
        <f t="shared" si="2"/>
        <v>Richardson</v>
      </c>
      <c r="G203" s="5" t="s">
        <v>629</v>
      </c>
      <c r="H203" s="6">
        <v>41.0</v>
      </c>
      <c r="I203" s="6">
        <f t="shared" si="3"/>
        <v>41</v>
      </c>
      <c r="J203" s="6">
        <v>41.0</v>
      </c>
      <c r="K203" s="6" t="str">
        <f t="shared" si="4"/>
        <v>Middle Age</v>
      </c>
      <c r="L203" s="6" t="s">
        <v>591</v>
      </c>
      <c r="M203" s="5" t="s">
        <v>152</v>
      </c>
      <c r="N203" s="5" t="str">
        <f t="shared" si="5"/>
        <v>Male</v>
      </c>
      <c r="O203" s="5" t="s">
        <v>152</v>
      </c>
      <c r="P203" s="5" t="s">
        <v>208</v>
      </c>
      <c r="Q203" s="5" t="s">
        <v>439</v>
      </c>
      <c r="R203" s="5" t="s">
        <v>210</v>
      </c>
      <c r="S203" s="5" t="s">
        <v>559</v>
      </c>
      <c r="T203" s="6">
        <v>757.0</v>
      </c>
      <c r="U203" s="5">
        <f t="shared" si="6"/>
        <v>757</v>
      </c>
      <c r="V203" s="5">
        <v>757.0</v>
      </c>
    </row>
    <row r="204" ht="22.5" customHeight="1">
      <c r="A204" s="5" t="s">
        <v>1104</v>
      </c>
      <c r="B204" s="5" t="s">
        <v>696</v>
      </c>
      <c r="C204" s="5" t="str">
        <f t="shared" si="1"/>
        <v>Charlie</v>
      </c>
      <c r="D204" s="5" t="s">
        <v>696</v>
      </c>
      <c r="E204" s="5" t="s">
        <v>1105</v>
      </c>
      <c r="F204" s="5" t="str">
        <f t="shared" si="2"/>
        <v>Liang</v>
      </c>
      <c r="G204" s="5" t="s">
        <v>1252</v>
      </c>
      <c r="H204" s="6">
        <v>49.0</v>
      </c>
      <c r="I204" s="6">
        <f t="shared" si="3"/>
        <v>49</v>
      </c>
      <c r="J204" s="6">
        <v>49.0</v>
      </c>
      <c r="K204" s="6" t="str">
        <f t="shared" si="4"/>
        <v>Middle Age</v>
      </c>
      <c r="L204" s="6" t="s">
        <v>591</v>
      </c>
      <c r="M204" s="5" t="s">
        <v>130</v>
      </c>
      <c r="N204" s="5" t="str">
        <f t="shared" si="5"/>
        <v>Male</v>
      </c>
      <c r="O204" s="5" t="s">
        <v>152</v>
      </c>
      <c r="P204" s="5" t="s">
        <v>208</v>
      </c>
      <c r="Q204" s="5" t="s">
        <v>489</v>
      </c>
      <c r="R204" s="5" t="s">
        <v>179</v>
      </c>
      <c r="S204" s="5" t="s">
        <v>52</v>
      </c>
      <c r="T204" s="6">
        <v>2586.0</v>
      </c>
      <c r="U204" s="5">
        <f t="shared" si="6"/>
        <v>2586</v>
      </c>
      <c r="V204" s="5">
        <v>2586.0</v>
      </c>
    </row>
    <row r="205" ht="22.5" customHeight="1">
      <c r="A205" s="5" t="s">
        <v>1108</v>
      </c>
      <c r="B205" s="5" t="s">
        <v>432</v>
      </c>
      <c r="C205" s="5" t="str">
        <f t="shared" si="1"/>
        <v>Keith</v>
      </c>
      <c r="D205" s="5" t="s">
        <v>1525</v>
      </c>
      <c r="E205" s="5" t="s">
        <v>76</v>
      </c>
      <c r="F205" s="5" t="str">
        <f t="shared" si="2"/>
        <v>Brown</v>
      </c>
      <c r="G205" s="5" t="s">
        <v>76</v>
      </c>
      <c r="H205" s="6">
        <v>28.0</v>
      </c>
      <c r="I205" s="6">
        <f t="shared" si="3"/>
        <v>28</v>
      </c>
      <c r="J205" s="6">
        <v>28.0</v>
      </c>
      <c r="K205" s="6" t="str">
        <f t="shared" si="4"/>
        <v>Young Adult</v>
      </c>
      <c r="L205" s="6" t="s">
        <v>528</v>
      </c>
      <c r="M205" s="5" t="s">
        <v>130</v>
      </c>
      <c r="N205" s="5" t="str">
        <f t="shared" si="5"/>
        <v>Male</v>
      </c>
      <c r="O205" s="5" t="s">
        <v>152</v>
      </c>
      <c r="P205" s="5" t="s">
        <v>176</v>
      </c>
      <c r="Q205" s="5" t="s">
        <v>470</v>
      </c>
      <c r="R205" s="5" t="s">
        <v>179</v>
      </c>
      <c r="S205" s="5" t="s">
        <v>222</v>
      </c>
      <c r="T205" s="6">
        <v>3558.0</v>
      </c>
      <c r="U205" s="5">
        <f t="shared" si="6"/>
        <v>3558</v>
      </c>
      <c r="V205" s="5">
        <v>3558.0</v>
      </c>
    </row>
    <row r="206" ht="22.5" customHeight="1">
      <c r="A206" s="5" t="s">
        <v>1111</v>
      </c>
      <c r="B206" s="5" t="s">
        <v>171</v>
      </c>
      <c r="C206" s="5" t="str">
        <f t="shared" si="1"/>
        <v>Frank</v>
      </c>
      <c r="D206" s="5" t="s">
        <v>171</v>
      </c>
      <c r="E206" s="5" t="s">
        <v>806</v>
      </c>
      <c r="F206" s="5" t="str">
        <f t="shared" si="2"/>
        <v>Chan</v>
      </c>
      <c r="G206" s="5" t="s">
        <v>806</v>
      </c>
      <c r="H206" s="6">
        <v>999.0</v>
      </c>
      <c r="I206" s="6">
        <f t="shared" si="3"/>
        <v>999</v>
      </c>
      <c r="J206" s="6"/>
      <c r="K206" s="6" t="str">
        <f t="shared" si="4"/>
        <v>Unknown</v>
      </c>
      <c r="L206" s="6" t="s">
        <v>1081</v>
      </c>
      <c r="M206" s="5" t="s">
        <v>80</v>
      </c>
      <c r="N206" s="5" t="str">
        <f t="shared" si="5"/>
        <v>Male</v>
      </c>
      <c r="O206" s="5" t="s">
        <v>152</v>
      </c>
      <c r="P206" s="5" t="s">
        <v>364</v>
      </c>
      <c r="Q206" s="5" t="s">
        <v>551</v>
      </c>
      <c r="R206" s="5" t="s">
        <v>96</v>
      </c>
      <c r="S206" s="5" t="s">
        <v>97</v>
      </c>
      <c r="T206" s="6">
        <v>712.0</v>
      </c>
      <c r="U206" s="5">
        <f t="shared" si="6"/>
        <v>712</v>
      </c>
      <c r="V206" s="5">
        <v>712.0</v>
      </c>
    </row>
    <row r="207" ht="22.5" customHeight="1">
      <c r="A207" s="5" t="s">
        <v>1114</v>
      </c>
      <c r="B207" s="5" t="s">
        <v>1115</v>
      </c>
      <c r="C207" s="5" t="str">
        <f t="shared" si="1"/>
        <v>Olvia</v>
      </c>
      <c r="D207" s="5" t="s">
        <v>3107</v>
      </c>
      <c r="E207" s="5" t="s">
        <v>194</v>
      </c>
      <c r="F207" s="5" t="str">
        <f t="shared" si="2"/>
        <v>Chen</v>
      </c>
      <c r="G207" s="5" t="s">
        <v>194</v>
      </c>
      <c r="H207" s="6">
        <v>61.0</v>
      </c>
      <c r="I207" s="6">
        <f t="shared" si="3"/>
        <v>61</v>
      </c>
      <c r="J207" s="6">
        <v>61.0</v>
      </c>
      <c r="K207" s="6" t="str">
        <f t="shared" si="4"/>
        <v>Senior</v>
      </c>
      <c r="L207" s="6" t="s">
        <v>734</v>
      </c>
      <c r="M207" s="5" t="s">
        <v>45</v>
      </c>
      <c r="N207" s="5" t="str">
        <f t="shared" si="5"/>
        <v>Female</v>
      </c>
      <c r="O207" s="5" t="s">
        <v>105</v>
      </c>
      <c r="P207" s="5" t="s">
        <v>141</v>
      </c>
      <c r="Q207" s="5" t="s">
        <v>1290</v>
      </c>
      <c r="R207" s="5" t="s">
        <v>533</v>
      </c>
      <c r="S207" s="5" t="s">
        <v>97</v>
      </c>
      <c r="T207" s="6">
        <v>-500.0</v>
      </c>
      <c r="U207" s="5">
        <f t="shared" si="6"/>
        <v>500</v>
      </c>
      <c r="V207" s="5">
        <v>500.0</v>
      </c>
    </row>
    <row r="208" ht="22.5" customHeight="1">
      <c r="A208" s="5" t="s">
        <v>1118</v>
      </c>
      <c r="B208" s="5" t="s">
        <v>343</v>
      </c>
      <c r="C208" s="5" t="str">
        <f t="shared" si="1"/>
        <v>Bob</v>
      </c>
      <c r="D208" s="5" t="s">
        <v>343</v>
      </c>
      <c r="E208" s="5" t="s">
        <v>90</v>
      </c>
      <c r="F208" s="5" t="str">
        <f t="shared" si="2"/>
        <v>Davis</v>
      </c>
      <c r="G208" s="5" t="s">
        <v>90</v>
      </c>
      <c r="H208" s="6">
        <v>49.0</v>
      </c>
      <c r="I208" s="6">
        <f t="shared" si="3"/>
        <v>49</v>
      </c>
      <c r="J208" s="6">
        <v>49.0</v>
      </c>
      <c r="K208" s="6" t="str">
        <f t="shared" si="4"/>
        <v>Middle Age</v>
      </c>
      <c r="L208" s="6" t="s">
        <v>591</v>
      </c>
      <c r="M208" s="5" t="s">
        <v>130</v>
      </c>
      <c r="N208" s="5" t="str">
        <f t="shared" si="5"/>
        <v>Male</v>
      </c>
      <c r="O208" s="5" t="s">
        <v>152</v>
      </c>
      <c r="P208" s="5" t="s">
        <v>237</v>
      </c>
      <c r="Q208" s="5" t="s">
        <v>551</v>
      </c>
      <c r="R208" s="5" t="s">
        <v>96</v>
      </c>
      <c r="S208" s="5" t="s">
        <v>211</v>
      </c>
      <c r="T208" s="6">
        <v>641.0</v>
      </c>
      <c r="U208" s="5">
        <f t="shared" si="6"/>
        <v>641</v>
      </c>
      <c r="V208" s="5">
        <v>641.0</v>
      </c>
    </row>
    <row r="209" ht="22.5" customHeight="1">
      <c r="A209" s="5" t="s">
        <v>1121</v>
      </c>
      <c r="B209" s="5" t="s">
        <v>158</v>
      </c>
      <c r="C209" s="5" t="str">
        <f t="shared" si="1"/>
        <v>Eva</v>
      </c>
      <c r="D209" s="5" t="s">
        <v>158</v>
      </c>
      <c r="E209" s="5" t="s">
        <v>128</v>
      </c>
      <c r="F209" s="5" t="str">
        <f t="shared" si="2"/>
        <v>Rodriguez</v>
      </c>
      <c r="G209" s="5" t="s">
        <v>128</v>
      </c>
      <c r="H209" s="6">
        <v>51.0</v>
      </c>
      <c r="I209" s="6">
        <f t="shared" si="3"/>
        <v>51</v>
      </c>
      <c r="J209" s="6">
        <v>51.0</v>
      </c>
      <c r="K209" s="6" t="str">
        <f t="shared" si="4"/>
        <v>Middle Age</v>
      </c>
      <c r="L209" s="6" t="s">
        <v>591</v>
      </c>
      <c r="M209" s="5" t="s">
        <v>28</v>
      </c>
      <c r="N209" s="5" t="str">
        <f t="shared" si="5"/>
        <v>Female</v>
      </c>
      <c r="O209" s="5" t="s">
        <v>105</v>
      </c>
      <c r="P209" s="5" t="s">
        <v>30</v>
      </c>
      <c r="Q209" s="5" t="s">
        <v>551</v>
      </c>
      <c r="R209" s="5" t="s">
        <v>83</v>
      </c>
      <c r="S209" s="5" t="s">
        <v>52</v>
      </c>
      <c r="T209" s="6">
        <v>2397.0</v>
      </c>
      <c r="U209" s="5">
        <f t="shared" si="6"/>
        <v>2397</v>
      </c>
      <c r="V209" s="5">
        <v>2397.0</v>
      </c>
    </row>
    <row r="210" ht="22.5" customHeight="1">
      <c r="A210" s="5" t="s">
        <v>1123</v>
      </c>
      <c r="B210" s="5" t="s">
        <v>624</v>
      </c>
      <c r="C210" s="5" t="str">
        <f t="shared" si="1"/>
        <v>Jasmine</v>
      </c>
      <c r="D210" s="5" t="s">
        <v>624</v>
      </c>
      <c r="E210" s="5" t="s">
        <v>1124</v>
      </c>
      <c r="F210" s="5" t="str">
        <f t="shared" si="2"/>
        <v>Chan</v>
      </c>
      <c r="G210" s="5" t="s">
        <v>806</v>
      </c>
      <c r="H210" s="6">
        <v>51.0</v>
      </c>
      <c r="I210" s="6">
        <f t="shared" si="3"/>
        <v>51</v>
      </c>
      <c r="J210" s="6">
        <v>51.0</v>
      </c>
      <c r="K210" s="6" t="str">
        <f t="shared" si="4"/>
        <v>Middle Age</v>
      </c>
      <c r="L210" s="6" t="s">
        <v>591</v>
      </c>
      <c r="M210" s="5" t="s">
        <v>45</v>
      </c>
      <c r="N210" s="5" t="str">
        <f t="shared" si="5"/>
        <v>Female</v>
      </c>
      <c r="O210" s="5" t="s">
        <v>105</v>
      </c>
      <c r="P210" s="5" t="s">
        <v>30</v>
      </c>
      <c r="Q210" s="5" t="s">
        <v>551</v>
      </c>
      <c r="R210" s="5" t="s">
        <v>96</v>
      </c>
      <c r="S210" s="5" t="s">
        <v>559</v>
      </c>
      <c r="T210" s="6">
        <v>173.0</v>
      </c>
      <c r="U210" s="5">
        <f t="shared" si="6"/>
        <v>173</v>
      </c>
      <c r="V210" s="5">
        <v>173.0</v>
      </c>
    </row>
    <row r="211" ht="22.5" customHeight="1">
      <c r="A211" s="5" t="s">
        <v>1127</v>
      </c>
      <c r="B211" s="5" t="s">
        <v>831</v>
      </c>
      <c r="C211" s="5" t="str">
        <f t="shared" si="1"/>
        <v>Sally</v>
      </c>
      <c r="D211" s="5" t="s">
        <v>831</v>
      </c>
      <c r="E211" s="5" t="s">
        <v>713</v>
      </c>
      <c r="F211" s="5" t="str">
        <f t="shared" si="2"/>
        <v>White</v>
      </c>
      <c r="G211" s="5" t="s">
        <v>713</v>
      </c>
      <c r="H211" s="6">
        <v>63.0</v>
      </c>
      <c r="I211" s="6">
        <f t="shared" si="3"/>
        <v>63</v>
      </c>
      <c r="J211" s="6">
        <v>63.0</v>
      </c>
      <c r="K211" s="6" t="str">
        <f t="shared" si="4"/>
        <v>Senior</v>
      </c>
      <c r="L211" s="6" t="s">
        <v>734</v>
      </c>
      <c r="M211" s="5" t="s">
        <v>28</v>
      </c>
      <c r="N211" s="5" t="str">
        <f t="shared" si="5"/>
        <v>Female</v>
      </c>
      <c r="O211" s="5" t="s">
        <v>105</v>
      </c>
      <c r="P211" s="5" t="s">
        <v>401</v>
      </c>
      <c r="Q211" s="5" t="s">
        <v>489</v>
      </c>
      <c r="R211" s="5" t="s">
        <v>179</v>
      </c>
      <c r="S211" s="5" t="s">
        <v>97</v>
      </c>
      <c r="T211" s="6">
        <v>4999.0</v>
      </c>
      <c r="U211" s="5">
        <f t="shared" si="6"/>
        <v>4999</v>
      </c>
      <c r="V211" s="5">
        <v>4999.0</v>
      </c>
    </row>
    <row r="212" ht="22.5" customHeight="1">
      <c r="A212" s="5" t="s">
        <v>1129</v>
      </c>
      <c r="B212" s="5" t="s">
        <v>136</v>
      </c>
      <c r="C212" s="5" t="str">
        <f t="shared" si="1"/>
        <v>Alice</v>
      </c>
      <c r="D212" s="5" t="s">
        <v>136</v>
      </c>
      <c r="E212" s="5" t="s">
        <v>254</v>
      </c>
      <c r="F212" s="5" t="str">
        <f t="shared" si="2"/>
        <v>Doe</v>
      </c>
      <c r="G212" s="5" t="s">
        <v>254</v>
      </c>
      <c r="H212" s="6">
        <v>77.0</v>
      </c>
      <c r="I212" s="6">
        <f t="shared" si="3"/>
        <v>77</v>
      </c>
      <c r="J212" s="6">
        <v>77.0</v>
      </c>
      <c r="K212" s="6" t="str">
        <f t="shared" si="4"/>
        <v>Senior</v>
      </c>
      <c r="L212" s="6" t="s">
        <v>734</v>
      </c>
      <c r="M212" s="5" t="s">
        <v>105</v>
      </c>
      <c r="N212" s="5" t="str">
        <f t="shared" si="5"/>
        <v>Female</v>
      </c>
      <c r="O212" s="5" t="s">
        <v>105</v>
      </c>
      <c r="P212" s="5" t="s">
        <v>393</v>
      </c>
      <c r="Q212" s="5" t="s">
        <v>637</v>
      </c>
      <c r="R212" s="5" t="s">
        <v>546</v>
      </c>
      <c r="S212" s="5" t="s">
        <v>97</v>
      </c>
      <c r="T212" s="6">
        <v>2037.0</v>
      </c>
      <c r="U212" s="5">
        <f t="shared" si="6"/>
        <v>2037</v>
      </c>
      <c r="V212" s="5">
        <v>2037.0</v>
      </c>
    </row>
    <row r="213" ht="22.5" customHeight="1">
      <c r="A213" s="5" t="s">
        <v>1132</v>
      </c>
      <c r="B213" s="5" t="s">
        <v>136</v>
      </c>
      <c r="C213" s="5" t="str">
        <f t="shared" si="1"/>
        <v>Alice</v>
      </c>
      <c r="D213" s="5" t="s">
        <v>136</v>
      </c>
      <c r="E213" s="5" t="s">
        <v>352</v>
      </c>
      <c r="F213" s="5" t="str">
        <f t="shared" si="2"/>
        <v>Kim</v>
      </c>
      <c r="G213" s="5" t="s">
        <v>352</v>
      </c>
      <c r="H213" s="6">
        <v>999.0</v>
      </c>
      <c r="I213" s="6">
        <f t="shared" si="3"/>
        <v>999</v>
      </c>
      <c r="J213" s="6"/>
      <c r="K213" s="6" t="str">
        <f t="shared" si="4"/>
        <v>Unknown</v>
      </c>
      <c r="L213" s="6" t="s">
        <v>1081</v>
      </c>
      <c r="M213" s="5" t="s">
        <v>28</v>
      </c>
      <c r="N213" s="5" t="str">
        <f t="shared" si="5"/>
        <v>Female</v>
      </c>
      <c r="O213" s="5" t="s">
        <v>105</v>
      </c>
      <c r="P213" s="5" t="s">
        <v>256</v>
      </c>
      <c r="Q213" s="5" t="s">
        <v>377</v>
      </c>
      <c r="R213" s="5" t="s">
        <v>402</v>
      </c>
      <c r="S213" s="5" t="s">
        <v>97</v>
      </c>
      <c r="T213" s="6">
        <v>1309.0</v>
      </c>
      <c r="U213" s="5">
        <f t="shared" si="6"/>
        <v>1309</v>
      </c>
      <c r="V213" s="5">
        <v>1309.0</v>
      </c>
    </row>
    <row r="214" ht="22.5" customHeight="1">
      <c r="A214" s="5" t="s">
        <v>1135</v>
      </c>
      <c r="B214" s="5" t="s">
        <v>542</v>
      </c>
      <c r="C214" s="5" t="str">
        <f t="shared" si="1"/>
        <v>David</v>
      </c>
      <c r="D214" s="5" t="s">
        <v>542</v>
      </c>
      <c r="E214" s="5" t="s">
        <v>526</v>
      </c>
      <c r="F214" s="5" t="str">
        <f t="shared" si="2"/>
        <v>Davidson</v>
      </c>
      <c r="G214" s="5" t="s">
        <v>526</v>
      </c>
      <c r="H214" s="6">
        <v>39.0</v>
      </c>
      <c r="I214" s="6">
        <f t="shared" si="3"/>
        <v>39</v>
      </c>
      <c r="J214" s="6">
        <v>39.0</v>
      </c>
      <c r="K214" s="6" t="str">
        <f t="shared" si="4"/>
        <v>Young Adult</v>
      </c>
      <c r="L214" s="6" t="s">
        <v>528</v>
      </c>
      <c r="M214" s="5" t="s">
        <v>130</v>
      </c>
      <c r="N214" s="5" t="str">
        <f t="shared" si="5"/>
        <v>Male</v>
      </c>
      <c r="O214" s="5" t="s">
        <v>152</v>
      </c>
      <c r="P214" s="5" t="s">
        <v>176</v>
      </c>
      <c r="Q214" s="5" t="s">
        <v>164</v>
      </c>
      <c r="R214" s="5" t="s">
        <v>452</v>
      </c>
      <c r="S214" s="5" t="s">
        <v>559</v>
      </c>
      <c r="T214" s="6">
        <v>3873.0</v>
      </c>
      <c r="U214" s="5">
        <f t="shared" si="6"/>
        <v>3873</v>
      </c>
      <c r="V214" s="5">
        <v>3873.0</v>
      </c>
    </row>
    <row r="215" ht="22.5" customHeight="1">
      <c r="A215" s="5" t="s">
        <v>1138</v>
      </c>
      <c r="B215" s="5" t="s">
        <v>368</v>
      </c>
      <c r="C215" s="5" t="str">
        <f t="shared" si="1"/>
        <v>Grace</v>
      </c>
      <c r="D215" s="5" t="s">
        <v>368</v>
      </c>
      <c r="E215" s="5" t="s">
        <v>1139</v>
      </c>
      <c r="F215" s="5" t="str">
        <f t="shared" si="2"/>
        <v>Rodriguez</v>
      </c>
      <c r="G215" s="5" t="s">
        <v>128</v>
      </c>
      <c r="H215" s="6">
        <v>47.0</v>
      </c>
      <c r="I215" s="6">
        <f t="shared" si="3"/>
        <v>47</v>
      </c>
      <c r="J215" s="6">
        <v>47.0</v>
      </c>
      <c r="K215" s="6" t="str">
        <f t="shared" si="4"/>
        <v>Middle Age</v>
      </c>
      <c r="L215" s="6" t="s">
        <v>591</v>
      </c>
      <c r="M215" s="5" t="s">
        <v>105</v>
      </c>
      <c r="N215" s="5" t="str">
        <f t="shared" si="5"/>
        <v>Female</v>
      </c>
      <c r="O215" s="5" t="s">
        <v>105</v>
      </c>
      <c r="P215" s="5" t="s">
        <v>364</v>
      </c>
      <c r="Q215" s="5" t="s">
        <v>311</v>
      </c>
      <c r="R215" s="5" t="s">
        <v>96</v>
      </c>
      <c r="S215" s="5" t="s">
        <v>52</v>
      </c>
      <c r="T215" s="6">
        <v>797.0</v>
      </c>
      <c r="U215" s="5">
        <f t="shared" si="6"/>
        <v>797</v>
      </c>
      <c r="V215" s="5">
        <v>797.0</v>
      </c>
    </row>
    <row r="216" ht="22.5" customHeight="1">
      <c r="A216" s="5" t="s">
        <v>1142</v>
      </c>
      <c r="B216" s="5" t="s">
        <v>1143</v>
      </c>
      <c r="C216" s="5" t="str">
        <f t="shared" si="1"/>
        <v>Joshua</v>
      </c>
      <c r="D216" s="5" t="s">
        <v>1143</v>
      </c>
      <c r="E216" s="5" t="s">
        <v>76</v>
      </c>
      <c r="F216" s="5" t="str">
        <f t="shared" si="2"/>
        <v>Brown</v>
      </c>
      <c r="G216" s="5" t="s">
        <v>76</v>
      </c>
      <c r="H216" s="6">
        <v>37.0</v>
      </c>
      <c r="I216" s="6">
        <f t="shared" si="3"/>
        <v>37</v>
      </c>
      <c r="J216" s="6">
        <v>37.0</v>
      </c>
      <c r="K216" s="6" t="str">
        <f t="shared" si="4"/>
        <v>Young Adult</v>
      </c>
      <c r="L216" s="6" t="s">
        <v>528</v>
      </c>
      <c r="M216" s="5" t="s">
        <v>130</v>
      </c>
      <c r="N216" s="5" t="str">
        <f t="shared" si="5"/>
        <v>Male</v>
      </c>
      <c r="O216" s="5" t="s">
        <v>152</v>
      </c>
      <c r="P216" s="5" t="s">
        <v>30</v>
      </c>
      <c r="Q216" s="5" t="s">
        <v>164</v>
      </c>
      <c r="R216" s="5" t="s">
        <v>607</v>
      </c>
      <c r="S216" s="5" t="s">
        <v>211</v>
      </c>
      <c r="T216" s="6">
        <v>3125.0</v>
      </c>
      <c r="U216" s="5">
        <f t="shared" si="6"/>
        <v>3125</v>
      </c>
      <c r="V216" s="5">
        <v>3125.0</v>
      </c>
    </row>
    <row r="217" ht="22.5" customHeight="1">
      <c r="A217" s="5" t="s">
        <v>1145</v>
      </c>
      <c r="B217" s="5" t="s">
        <v>136</v>
      </c>
      <c r="C217" s="5" t="str">
        <f t="shared" si="1"/>
        <v>Alice</v>
      </c>
      <c r="D217" s="5" t="s">
        <v>136</v>
      </c>
      <c r="E217" s="5" t="s">
        <v>90</v>
      </c>
      <c r="F217" s="5" t="str">
        <f t="shared" si="2"/>
        <v>Davis</v>
      </c>
      <c r="G217" s="5" t="s">
        <v>90</v>
      </c>
      <c r="H217" s="6">
        <v>43.0</v>
      </c>
      <c r="I217" s="6">
        <f t="shared" si="3"/>
        <v>43</v>
      </c>
      <c r="J217" s="6">
        <v>43.0</v>
      </c>
      <c r="K217" s="6" t="str">
        <f t="shared" si="4"/>
        <v>Middle Age</v>
      </c>
      <c r="L217" s="6" t="s">
        <v>591</v>
      </c>
      <c r="M217" s="5" t="s">
        <v>105</v>
      </c>
      <c r="N217" s="5" t="str">
        <f t="shared" si="5"/>
        <v>Female</v>
      </c>
      <c r="O217" s="5" t="s">
        <v>105</v>
      </c>
      <c r="P217" s="5" t="s">
        <v>208</v>
      </c>
      <c r="Q217" s="5" t="s">
        <v>311</v>
      </c>
      <c r="R217" s="5" t="s">
        <v>546</v>
      </c>
      <c r="S217" s="5" t="s">
        <v>52</v>
      </c>
      <c r="T217" s="6">
        <v>1340.0</v>
      </c>
      <c r="U217" s="5">
        <f t="shared" si="6"/>
        <v>1340</v>
      </c>
      <c r="V217" s="5">
        <v>1340.0</v>
      </c>
    </row>
    <row r="218" ht="22.5" customHeight="1">
      <c r="A218" s="5" t="s">
        <v>1148</v>
      </c>
      <c r="B218" s="5" t="s">
        <v>1149</v>
      </c>
      <c r="C218" s="5" t="str">
        <f t="shared" si="1"/>
        <v>Pauline</v>
      </c>
      <c r="D218" s="5" t="s">
        <v>1149</v>
      </c>
      <c r="E218" s="5" t="s">
        <v>128</v>
      </c>
      <c r="F218" s="5" t="str">
        <f t="shared" si="2"/>
        <v>Rodriguez</v>
      </c>
      <c r="G218" s="5" t="s">
        <v>128</v>
      </c>
      <c r="H218" s="6">
        <v>29.0</v>
      </c>
      <c r="I218" s="6">
        <f t="shared" si="3"/>
        <v>29</v>
      </c>
      <c r="J218" s="6">
        <v>29.0</v>
      </c>
      <c r="K218" s="6" t="str">
        <f t="shared" si="4"/>
        <v>Young Adult</v>
      </c>
      <c r="L218" s="6" t="s">
        <v>528</v>
      </c>
      <c r="M218" s="5" t="s">
        <v>45</v>
      </c>
      <c r="N218" s="5" t="str">
        <f t="shared" si="5"/>
        <v>Female</v>
      </c>
      <c r="O218" s="5" t="s">
        <v>105</v>
      </c>
      <c r="P218" s="5" t="s">
        <v>237</v>
      </c>
      <c r="Q218" s="5" t="s">
        <v>669</v>
      </c>
      <c r="R218" s="5" t="s">
        <v>452</v>
      </c>
      <c r="S218" s="5" t="s">
        <v>222</v>
      </c>
      <c r="T218" s="6">
        <v>2384.0</v>
      </c>
      <c r="U218" s="5">
        <f t="shared" si="6"/>
        <v>2384</v>
      </c>
      <c r="V218" s="5">
        <v>2384.0</v>
      </c>
    </row>
    <row r="219" ht="22.5" customHeight="1">
      <c r="A219" s="5" t="s">
        <v>1152</v>
      </c>
      <c r="B219" s="5" t="s">
        <v>620</v>
      </c>
      <c r="C219" s="5" t="str">
        <f t="shared" si="1"/>
        <v>Michelle</v>
      </c>
      <c r="D219" s="5" t="s">
        <v>620</v>
      </c>
      <c r="E219" s="5" t="s">
        <v>25</v>
      </c>
      <c r="F219" s="5" t="str">
        <f t="shared" si="2"/>
        <v>Garcia</v>
      </c>
      <c r="G219" s="5" t="s">
        <v>25</v>
      </c>
      <c r="H219" s="6">
        <v>85.0</v>
      </c>
      <c r="I219" s="6">
        <f t="shared" si="3"/>
        <v>85</v>
      </c>
      <c r="J219" s="6">
        <v>85.0</v>
      </c>
      <c r="K219" s="6" t="str">
        <f t="shared" si="4"/>
        <v>Senior</v>
      </c>
      <c r="L219" s="6" t="s">
        <v>734</v>
      </c>
      <c r="M219" s="5" t="s">
        <v>105</v>
      </c>
      <c r="N219" s="5" t="str">
        <f t="shared" si="5"/>
        <v>Female</v>
      </c>
      <c r="O219" s="5" t="s">
        <v>105</v>
      </c>
      <c r="P219" s="5" t="s">
        <v>539</v>
      </c>
      <c r="Q219" s="5" t="s">
        <v>277</v>
      </c>
      <c r="R219" s="5" t="s">
        <v>402</v>
      </c>
      <c r="S219" s="5" t="s">
        <v>97</v>
      </c>
      <c r="T219" s="6">
        <v>1475.0</v>
      </c>
      <c r="U219" s="5">
        <f t="shared" si="6"/>
        <v>1475</v>
      </c>
      <c r="V219" s="5">
        <v>1475.0</v>
      </c>
    </row>
    <row r="220" ht="22.5" customHeight="1">
      <c r="A220" s="5" t="s">
        <v>1155</v>
      </c>
      <c r="B220" s="5" t="s">
        <v>411</v>
      </c>
      <c r="C220" s="5" t="str">
        <f t="shared" si="1"/>
        <v>Jane</v>
      </c>
      <c r="D220" s="5" t="s">
        <v>411</v>
      </c>
      <c r="E220" s="5" t="s">
        <v>363</v>
      </c>
      <c r="F220" s="5" t="str">
        <f t="shared" si="2"/>
        <v>Smith</v>
      </c>
      <c r="G220" s="5" t="s">
        <v>363</v>
      </c>
      <c r="H220" s="6">
        <v>65.0</v>
      </c>
      <c r="I220" s="6">
        <f t="shared" si="3"/>
        <v>65</v>
      </c>
      <c r="J220" s="6">
        <v>65.0</v>
      </c>
      <c r="K220" s="6" t="str">
        <f t="shared" si="4"/>
        <v>Senior</v>
      </c>
      <c r="L220" s="6" t="s">
        <v>734</v>
      </c>
      <c r="M220" s="5" t="s">
        <v>28</v>
      </c>
      <c r="N220" s="5" t="str">
        <f t="shared" si="5"/>
        <v>Female</v>
      </c>
      <c r="O220" s="5" t="s">
        <v>105</v>
      </c>
      <c r="P220" s="5" t="s">
        <v>30</v>
      </c>
      <c r="Q220" s="5" t="s">
        <v>418</v>
      </c>
      <c r="R220" s="5" t="s">
        <v>210</v>
      </c>
      <c r="S220" s="5" t="s">
        <v>97</v>
      </c>
      <c r="T220" s="6">
        <v>1261.0</v>
      </c>
      <c r="U220" s="5">
        <f t="shared" si="6"/>
        <v>1261</v>
      </c>
      <c r="V220" s="5">
        <v>1261.0</v>
      </c>
    </row>
    <row r="221" ht="22.5" customHeight="1">
      <c r="A221" s="5" t="s">
        <v>1158</v>
      </c>
      <c r="B221" s="5" t="s">
        <v>1160</v>
      </c>
      <c r="C221" s="5" t="str">
        <f t="shared" si="1"/>
        <v>Craig</v>
      </c>
      <c r="D221" s="5" t="s">
        <v>1160</v>
      </c>
      <c r="E221" s="5" t="s">
        <v>316</v>
      </c>
      <c r="F221" s="5" t="str">
        <f t="shared" si="2"/>
        <v>Baker</v>
      </c>
      <c r="G221" s="5" t="s">
        <v>316</v>
      </c>
      <c r="H221" s="6">
        <v>38.0</v>
      </c>
      <c r="I221" s="6">
        <f t="shared" si="3"/>
        <v>38</v>
      </c>
      <c r="J221" s="6">
        <v>38.0</v>
      </c>
      <c r="K221" s="6" t="str">
        <f t="shared" si="4"/>
        <v>Young Adult</v>
      </c>
      <c r="L221" s="6" t="s">
        <v>528</v>
      </c>
      <c r="M221" s="5" t="s">
        <v>152</v>
      </c>
      <c r="N221" s="5" t="str">
        <f t="shared" si="5"/>
        <v>Male</v>
      </c>
      <c r="O221" s="5" t="s">
        <v>152</v>
      </c>
      <c r="P221" s="5" t="s">
        <v>393</v>
      </c>
      <c r="Q221" s="5" t="s">
        <v>311</v>
      </c>
      <c r="R221" s="5" t="s">
        <v>546</v>
      </c>
      <c r="S221" s="5" t="s">
        <v>52</v>
      </c>
      <c r="T221" s="6">
        <v>1836.0</v>
      </c>
      <c r="U221" s="5">
        <f t="shared" si="6"/>
        <v>1836</v>
      </c>
      <c r="V221" s="5">
        <v>1836.0</v>
      </c>
    </row>
    <row r="222" ht="22.5" customHeight="1">
      <c r="A222" s="5" t="s">
        <v>1163</v>
      </c>
      <c r="B222" s="5" t="s">
        <v>171</v>
      </c>
      <c r="C222" s="5" t="str">
        <f t="shared" si="1"/>
        <v>Frank</v>
      </c>
      <c r="D222" s="5" t="s">
        <v>171</v>
      </c>
      <c r="E222" s="5" t="s">
        <v>128</v>
      </c>
      <c r="F222" s="5" t="str">
        <f t="shared" si="2"/>
        <v>Rodriguez</v>
      </c>
      <c r="G222" s="5" t="s">
        <v>128</v>
      </c>
      <c r="H222" s="6">
        <v>71.0</v>
      </c>
      <c r="I222" s="6">
        <f t="shared" si="3"/>
        <v>71</v>
      </c>
      <c r="J222" s="6">
        <v>71.0</v>
      </c>
      <c r="K222" s="6" t="str">
        <f t="shared" si="4"/>
        <v>Senior</v>
      </c>
      <c r="L222" s="6" t="s">
        <v>734</v>
      </c>
      <c r="M222" s="5" t="s">
        <v>130</v>
      </c>
      <c r="N222" s="5" t="str">
        <f t="shared" si="5"/>
        <v>Male</v>
      </c>
      <c r="O222" s="5" t="s">
        <v>152</v>
      </c>
      <c r="P222" s="5" t="s">
        <v>107</v>
      </c>
      <c r="Q222" s="5" t="s">
        <v>436</v>
      </c>
      <c r="R222" s="5" t="s">
        <v>561</v>
      </c>
      <c r="S222" s="5" t="s">
        <v>97</v>
      </c>
      <c r="T222" s="6">
        <v>2771.0</v>
      </c>
      <c r="U222" s="5">
        <f t="shared" si="6"/>
        <v>2771</v>
      </c>
      <c r="V222" s="5">
        <v>2771.0</v>
      </c>
    </row>
    <row r="223" ht="22.5" customHeight="1">
      <c r="A223" s="5" t="s">
        <v>1165</v>
      </c>
      <c r="B223" s="5" t="s">
        <v>1166</v>
      </c>
      <c r="C223" s="5" t="str">
        <f t="shared" si="1"/>
        <v>Jasmine</v>
      </c>
      <c r="D223" s="5" t="s">
        <v>624</v>
      </c>
      <c r="E223" s="5" t="s">
        <v>713</v>
      </c>
      <c r="F223" s="5" t="str">
        <f t="shared" si="2"/>
        <v>White</v>
      </c>
      <c r="G223" s="5" t="s">
        <v>713</v>
      </c>
      <c r="H223" s="6">
        <v>22.0</v>
      </c>
      <c r="I223" s="6">
        <f t="shared" si="3"/>
        <v>22</v>
      </c>
      <c r="J223" s="6">
        <v>22.0</v>
      </c>
      <c r="K223" s="6" t="str">
        <f t="shared" si="4"/>
        <v>Young Adult</v>
      </c>
      <c r="L223" s="6" t="s">
        <v>528</v>
      </c>
      <c r="M223" s="5" t="s">
        <v>45</v>
      </c>
      <c r="N223" s="5" t="str">
        <f t="shared" si="5"/>
        <v>Female</v>
      </c>
      <c r="O223" s="5" t="s">
        <v>105</v>
      </c>
      <c r="P223" s="5" t="s">
        <v>30</v>
      </c>
      <c r="Q223" s="5" t="s">
        <v>482</v>
      </c>
      <c r="R223" s="5" t="s">
        <v>179</v>
      </c>
      <c r="S223" s="5" t="s">
        <v>559</v>
      </c>
      <c r="T223" s="6">
        <v>3261.0</v>
      </c>
      <c r="U223" s="5">
        <f t="shared" si="6"/>
        <v>3261</v>
      </c>
      <c r="V223" s="5">
        <v>3261.0</v>
      </c>
    </row>
    <row r="224" ht="22.5" customHeight="1">
      <c r="A224" s="5" t="s">
        <v>1169</v>
      </c>
      <c r="B224" s="5" t="s">
        <v>136</v>
      </c>
      <c r="C224" s="5" t="str">
        <f t="shared" si="1"/>
        <v>Alice</v>
      </c>
      <c r="D224" s="5" t="s">
        <v>136</v>
      </c>
      <c r="E224" s="5" t="s">
        <v>495</v>
      </c>
      <c r="F224" s="5" t="str">
        <f t="shared" si="2"/>
        <v>Sharp</v>
      </c>
      <c r="G224" s="5" t="s">
        <v>495</v>
      </c>
      <c r="H224" s="6">
        <v>80.0</v>
      </c>
      <c r="I224" s="6">
        <f t="shared" si="3"/>
        <v>80</v>
      </c>
      <c r="J224" s="6">
        <v>80.0</v>
      </c>
      <c r="K224" s="6" t="str">
        <f t="shared" si="4"/>
        <v>Senior</v>
      </c>
      <c r="L224" s="6" t="s">
        <v>734</v>
      </c>
      <c r="M224" s="5" t="s">
        <v>28</v>
      </c>
      <c r="N224" s="5" t="str">
        <f t="shared" si="5"/>
        <v>Female</v>
      </c>
      <c r="O224" s="5" t="s">
        <v>105</v>
      </c>
      <c r="P224" s="5" t="s">
        <v>237</v>
      </c>
      <c r="Q224" s="5" t="s">
        <v>32</v>
      </c>
      <c r="R224" s="5" t="s">
        <v>83</v>
      </c>
      <c r="S224" s="5" t="s">
        <v>97</v>
      </c>
      <c r="T224" s="6">
        <v>1551.0</v>
      </c>
      <c r="U224" s="5">
        <f t="shared" si="6"/>
        <v>1551</v>
      </c>
      <c r="V224" s="5">
        <v>1551.0</v>
      </c>
    </row>
    <row r="225" ht="22.5" customHeight="1">
      <c r="A225" s="5" t="s">
        <v>1173</v>
      </c>
      <c r="B225" s="5" t="s">
        <v>307</v>
      </c>
      <c r="C225" s="5" t="str">
        <f t="shared" si="1"/>
        <v>Hannah</v>
      </c>
      <c r="D225" s="5" t="s">
        <v>307</v>
      </c>
      <c r="E225" s="5" t="s">
        <v>128</v>
      </c>
      <c r="F225" s="5" t="str">
        <f t="shared" si="2"/>
        <v>Rodriguez</v>
      </c>
      <c r="G225" s="5" t="s">
        <v>128</v>
      </c>
      <c r="H225" s="6">
        <v>90.0</v>
      </c>
      <c r="I225" s="6">
        <f t="shared" si="3"/>
        <v>90</v>
      </c>
      <c r="J225" s="6">
        <v>90.0</v>
      </c>
      <c r="K225" s="6" t="str">
        <f t="shared" si="4"/>
        <v>Senior</v>
      </c>
      <c r="L225" s="6" t="s">
        <v>734</v>
      </c>
      <c r="M225" s="5" t="s">
        <v>45</v>
      </c>
      <c r="N225" s="5" t="str">
        <f t="shared" si="5"/>
        <v>Female</v>
      </c>
      <c r="O225" s="5" t="s">
        <v>105</v>
      </c>
      <c r="P225" s="5" t="s">
        <v>571</v>
      </c>
      <c r="Q225" s="5" t="s">
        <v>576</v>
      </c>
      <c r="R225" s="5" t="s">
        <v>607</v>
      </c>
      <c r="S225" s="5" t="s">
        <v>97</v>
      </c>
      <c r="T225" s="6">
        <v>2523.0</v>
      </c>
      <c r="U225" s="5">
        <f t="shared" si="6"/>
        <v>2523</v>
      </c>
      <c r="V225" s="5">
        <v>2523.0</v>
      </c>
    </row>
    <row r="226" ht="22.5" customHeight="1">
      <c r="A226" s="5" t="s">
        <v>1175</v>
      </c>
      <c r="B226" s="5" t="s">
        <v>658</v>
      </c>
      <c r="C226" s="5" t="str">
        <f t="shared" si="1"/>
        <v>Timothy</v>
      </c>
      <c r="D226" s="5" t="s">
        <v>1329</v>
      </c>
      <c r="E226" s="5" t="s">
        <v>254</v>
      </c>
      <c r="F226" s="5" t="str">
        <f t="shared" si="2"/>
        <v>Doe</v>
      </c>
      <c r="G226" s="5" t="s">
        <v>254</v>
      </c>
      <c r="H226" s="6">
        <v>86.0</v>
      </c>
      <c r="I226" s="6">
        <f t="shared" si="3"/>
        <v>86</v>
      </c>
      <c r="J226" s="6">
        <v>86.0</v>
      </c>
      <c r="K226" s="6" t="str">
        <f t="shared" si="4"/>
        <v>Senior</v>
      </c>
      <c r="L226" s="6" t="s">
        <v>734</v>
      </c>
      <c r="M226" s="5" t="s">
        <v>130</v>
      </c>
      <c r="N226" s="5" t="str">
        <f t="shared" si="5"/>
        <v>Male</v>
      </c>
      <c r="O226" s="5" t="s">
        <v>152</v>
      </c>
      <c r="P226" s="5" t="s">
        <v>107</v>
      </c>
      <c r="Q226" s="5" t="s">
        <v>470</v>
      </c>
      <c r="R226" s="5" t="s">
        <v>96</v>
      </c>
      <c r="S226" s="5" t="s">
        <v>97</v>
      </c>
      <c r="T226" s="6">
        <v>182.0</v>
      </c>
      <c r="U226" s="5">
        <f t="shared" si="6"/>
        <v>182</v>
      </c>
      <c r="V226" s="5">
        <v>182.0</v>
      </c>
    </row>
    <row r="227" ht="22.5" customHeight="1">
      <c r="A227" s="5" t="s">
        <v>1179</v>
      </c>
      <c r="B227" s="5" t="s">
        <v>136</v>
      </c>
      <c r="C227" s="5" t="str">
        <f t="shared" si="1"/>
        <v>Alice</v>
      </c>
      <c r="D227" s="5" t="s">
        <v>136</v>
      </c>
      <c r="E227" s="5" t="s">
        <v>1017</v>
      </c>
      <c r="F227" s="5" t="str">
        <f t="shared" si="2"/>
        <v>Young</v>
      </c>
      <c r="G227" s="5" t="s">
        <v>159</v>
      </c>
      <c r="H227" s="6">
        <v>58.0</v>
      </c>
      <c r="I227" s="6">
        <f t="shared" si="3"/>
        <v>58</v>
      </c>
      <c r="J227" s="6">
        <v>58.0</v>
      </c>
      <c r="K227" s="6" t="str">
        <f t="shared" si="4"/>
        <v>Middle Age</v>
      </c>
      <c r="L227" s="6" t="s">
        <v>591</v>
      </c>
      <c r="M227" s="5" t="s">
        <v>105</v>
      </c>
      <c r="N227" s="5" t="str">
        <f t="shared" si="5"/>
        <v>Female</v>
      </c>
      <c r="O227" s="5" t="s">
        <v>105</v>
      </c>
      <c r="P227" s="5" t="s">
        <v>47</v>
      </c>
      <c r="Q227" s="5" t="s">
        <v>551</v>
      </c>
      <c r="R227" s="5" t="s">
        <v>96</v>
      </c>
      <c r="S227" s="5" t="s">
        <v>52</v>
      </c>
      <c r="T227" s="6">
        <v>571.0</v>
      </c>
      <c r="U227" s="5">
        <f t="shared" si="6"/>
        <v>571</v>
      </c>
      <c r="V227" s="5">
        <v>571.0</v>
      </c>
    </row>
    <row r="228" ht="22.5" customHeight="1">
      <c r="A228" s="5" t="s">
        <v>1182</v>
      </c>
      <c r="B228" s="5" t="s">
        <v>865</v>
      </c>
      <c r="C228" s="5" t="str">
        <f t="shared" si="1"/>
        <v>Ava</v>
      </c>
      <c r="D228" s="5" t="s">
        <v>865</v>
      </c>
      <c r="E228" s="5" t="s">
        <v>76</v>
      </c>
      <c r="F228" s="5" t="str">
        <f t="shared" si="2"/>
        <v>Brown</v>
      </c>
      <c r="G228" s="5" t="s">
        <v>76</v>
      </c>
      <c r="H228" s="6">
        <v>51.0</v>
      </c>
      <c r="I228" s="6">
        <f t="shared" si="3"/>
        <v>51</v>
      </c>
      <c r="J228" s="6">
        <v>51.0</v>
      </c>
      <c r="K228" s="6" t="str">
        <f t="shared" si="4"/>
        <v>Middle Age</v>
      </c>
      <c r="L228" s="6" t="s">
        <v>591</v>
      </c>
      <c r="M228" s="5" t="s">
        <v>45</v>
      </c>
      <c r="N228" s="5" t="str">
        <f t="shared" si="5"/>
        <v>Female</v>
      </c>
      <c r="O228" s="5" t="s">
        <v>105</v>
      </c>
      <c r="P228" s="5" t="s">
        <v>64</v>
      </c>
      <c r="Q228" s="5" t="s">
        <v>277</v>
      </c>
      <c r="R228" s="5" t="s">
        <v>402</v>
      </c>
      <c r="S228" s="5" t="s">
        <v>52</v>
      </c>
      <c r="T228" s="6">
        <v>2183.0</v>
      </c>
      <c r="U228" s="5">
        <f t="shared" si="6"/>
        <v>2183</v>
      </c>
      <c r="V228" s="5">
        <v>2183.0</v>
      </c>
    </row>
    <row r="229" ht="22.5" customHeight="1">
      <c r="A229" s="5" t="s">
        <v>1185</v>
      </c>
      <c r="B229" s="5" t="s">
        <v>1186</v>
      </c>
      <c r="C229" s="5" t="str">
        <f t="shared" si="1"/>
        <v>Jack</v>
      </c>
      <c r="D229" s="5" t="s">
        <v>1186</v>
      </c>
      <c r="E229" s="5" t="s">
        <v>1187</v>
      </c>
      <c r="F229" s="5" t="str">
        <f t="shared" si="2"/>
        <v>Martinez</v>
      </c>
      <c r="G229" s="5" t="s">
        <v>1187</v>
      </c>
      <c r="H229" s="6">
        <v>90.0</v>
      </c>
      <c r="I229" s="6">
        <f t="shared" si="3"/>
        <v>90</v>
      </c>
      <c r="J229" s="6">
        <v>90.0</v>
      </c>
      <c r="K229" s="6" t="str">
        <f t="shared" si="4"/>
        <v>Senior</v>
      </c>
      <c r="L229" s="6" t="s">
        <v>734</v>
      </c>
      <c r="M229" s="5" t="s">
        <v>80</v>
      </c>
      <c r="N229" s="5" t="str">
        <f t="shared" si="5"/>
        <v>Male</v>
      </c>
      <c r="O229" s="5" t="s">
        <v>152</v>
      </c>
      <c r="P229" s="5" t="s">
        <v>64</v>
      </c>
      <c r="Q229" s="5" t="s">
        <v>1290</v>
      </c>
      <c r="R229" s="5" t="s">
        <v>533</v>
      </c>
      <c r="S229" s="5" t="s">
        <v>97</v>
      </c>
      <c r="T229" s="6">
        <v>1330.0</v>
      </c>
      <c r="U229" s="5">
        <f t="shared" si="6"/>
        <v>1330</v>
      </c>
      <c r="V229" s="5">
        <v>1330.0</v>
      </c>
    </row>
    <row r="230" ht="22.5" customHeight="1">
      <c r="A230" s="5" t="s">
        <v>1191</v>
      </c>
      <c r="B230" s="5" t="s">
        <v>158</v>
      </c>
      <c r="C230" s="5" t="str">
        <f t="shared" si="1"/>
        <v>Eva</v>
      </c>
      <c r="D230" s="5" t="s">
        <v>158</v>
      </c>
      <c r="E230" s="5" t="s">
        <v>244</v>
      </c>
      <c r="F230" s="5" t="str">
        <f t="shared" si="2"/>
        <v>Jackson</v>
      </c>
      <c r="G230" s="5" t="s">
        <v>244</v>
      </c>
      <c r="H230" s="6">
        <v>18.0</v>
      </c>
      <c r="I230" s="6">
        <f t="shared" si="3"/>
        <v>18</v>
      </c>
      <c r="J230" s="6">
        <v>18.0</v>
      </c>
      <c r="K230" s="6" t="str">
        <f t="shared" si="4"/>
        <v>Young Adult</v>
      </c>
      <c r="L230" s="6" t="s">
        <v>528</v>
      </c>
      <c r="M230" s="5" t="s">
        <v>45</v>
      </c>
      <c r="N230" s="5" t="str">
        <f t="shared" si="5"/>
        <v>Female</v>
      </c>
      <c r="O230" s="5" t="s">
        <v>105</v>
      </c>
      <c r="P230" s="5" t="s">
        <v>64</v>
      </c>
      <c r="Q230" s="5" t="s">
        <v>576</v>
      </c>
      <c r="R230" s="5" t="s">
        <v>607</v>
      </c>
      <c r="S230" s="5" t="s">
        <v>52</v>
      </c>
      <c r="T230" s="6">
        <v>1987.0</v>
      </c>
      <c r="U230" s="5">
        <f t="shared" si="6"/>
        <v>1987</v>
      </c>
      <c r="V230" s="5">
        <v>1987.0</v>
      </c>
    </row>
    <row r="231" ht="22.5" customHeight="1">
      <c r="A231" s="5" t="s">
        <v>1193</v>
      </c>
      <c r="B231" s="5" t="s">
        <v>171</v>
      </c>
      <c r="C231" s="5" t="str">
        <f t="shared" si="1"/>
        <v>Frank</v>
      </c>
      <c r="D231" s="5" t="s">
        <v>171</v>
      </c>
      <c r="E231" s="5" t="s">
        <v>254</v>
      </c>
      <c r="F231" s="5" t="str">
        <f t="shared" si="2"/>
        <v>Doe</v>
      </c>
      <c r="G231" s="5" t="s">
        <v>254</v>
      </c>
      <c r="H231" s="6">
        <v>73.0</v>
      </c>
      <c r="I231" s="6">
        <f t="shared" si="3"/>
        <v>73</v>
      </c>
      <c r="J231" s="6">
        <v>73.0</v>
      </c>
      <c r="K231" s="6" t="str">
        <f t="shared" si="4"/>
        <v>Senior</v>
      </c>
      <c r="L231" s="6" t="s">
        <v>734</v>
      </c>
      <c r="M231" s="5" t="s">
        <v>130</v>
      </c>
      <c r="N231" s="5" t="str">
        <f t="shared" si="5"/>
        <v>Male</v>
      </c>
      <c r="O231" s="5" t="s">
        <v>152</v>
      </c>
      <c r="P231" s="5" t="s">
        <v>47</v>
      </c>
      <c r="Q231" s="5" t="s">
        <v>637</v>
      </c>
      <c r="R231" s="5" t="s">
        <v>546</v>
      </c>
      <c r="S231" s="5" t="s">
        <v>97</v>
      </c>
      <c r="T231" s="6">
        <v>2200.0</v>
      </c>
      <c r="U231" s="5">
        <f t="shared" si="6"/>
        <v>2200</v>
      </c>
      <c r="V231" s="5">
        <v>2200.0</v>
      </c>
    </row>
    <row r="232" ht="22.5" customHeight="1">
      <c r="A232" s="5" t="s">
        <v>1196</v>
      </c>
      <c r="B232" s="5" t="s">
        <v>658</v>
      </c>
      <c r="C232" s="5" t="str">
        <f t="shared" si="1"/>
        <v>Timothy</v>
      </c>
      <c r="D232" s="5" t="s">
        <v>1329</v>
      </c>
      <c r="E232" s="5" t="s">
        <v>101</v>
      </c>
      <c r="F232" s="5" t="str">
        <f t="shared" si="2"/>
        <v>Ferguson</v>
      </c>
      <c r="G232" s="5" t="s">
        <v>101</v>
      </c>
      <c r="H232" s="8"/>
      <c r="I232" s="8">
        <f t="shared" si="3"/>
        <v>0</v>
      </c>
      <c r="J232" s="8"/>
      <c r="K232" s="8" t="str">
        <f t="shared" si="4"/>
        <v>Unknown</v>
      </c>
      <c r="L232" s="8" t="s">
        <v>1081</v>
      </c>
      <c r="M232" s="5" t="s">
        <v>130</v>
      </c>
      <c r="N232" s="5" t="str">
        <f t="shared" si="5"/>
        <v>Male</v>
      </c>
      <c r="O232" s="5" t="s">
        <v>152</v>
      </c>
      <c r="P232" s="5" t="s">
        <v>393</v>
      </c>
      <c r="Q232" s="5" t="s">
        <v>311</v>
      </c>
      <c r="R232" s="5" t="s">
        <v>96</v>
      </c>
      <c r="S232" s="5" t="s">
        <v>559</v>
      </c>
      <c r="T232" s="6">
        <v>739.0</v>
      </c>
      <c r="U232" s="5">
        <f t="shared" si="6"/>
        <v>739</v>
      </c>
      <c r="V232" s="5">
        <v>739.0</v>
      </c>
    </row>
    <row r="233" ht="22.5" customHeight="1">
      <c r="A233" s="5" t="s">
        <v>1198</v>
      </c>
      <c r="B233" s="5" t="s">
        <v>1199</v>
      </c>
      <c r="C233" s="5" t="str">
        <f t="shared" si="1"/>
        <v>Betty</v>
      </c>
      <c r="D233" s="5" t="s">
        <v>323</v>
      </c>
      <c r="E233" s="5" t="s">
        <v>959</v>
      </c>
      <c r="F233" s="5" t="str">
        <f t="shared" si="2"/>
        <v>Glover</v>
      </c>
      <c r="G233" s="5" t="s">
        <v>959</v>
      </c>
      <c r="H233" s="6">
        <v>55.0</v>
      </c>
      <c r="I233" s="6">
        <f t="shared" si="3"/>
        <v>55</v>
      </c>
      <c r="J233" s="6">
        <v>55.0</v>
      </c>
      <c r="K233" s="6" t="str">
        <f t="shared" si="4"/>
        <v>Middle Age</v>
      </c>
      <c r="L233" s="6" t="s">
        <v>591</v>
      </c>
      <c r="M233" s="5" t="s">
        <v>45</v>
      </c>
      <c r="N233" s="5" t="str">
        <f t="shared" si="5"/>
        <v>Female</v>
      </c>
      <c r="O233" s="5" t="s">
        <v>105</v>
      </c>
      <c r="P233" s="5" t="s">
        <v>131</v>
      </c>
      <c r="Q233" s="5" t="s">
        <v>230</v>
      </c>
      <c r="R233" s="5" t="s">
        <v>452</v>
      </c>
      <c r="S233" s="5" t="s">
        <v>559</v>
      </c>
      <c r="T233" s="6">
        <v>3106.0</v>
      </c>
      <c r="U233" s="5">
        <f t="shared" si="6"/>
        <v>3106</v>
      </c>
      <c r="V233" s="5">
        <v>3106.0</v>
      </c>
    </row>
    <row r="234" ht="22.5" customHeight="1">
      <c r="A234" s="5" t="s">
        <v>1201</v>
      </c>
      <c r="B234" s="5" t="s">
        <v>127</v>
      </c>
      <c r="C234" s="5" t="str">
        <f t="shared" si="1"/>
        <v>John</v>
      </c>
      <c r="D234" s="5" t="s">
        <v>127</v>
      </c>
      <c r="E234" s="5" t="s">
        <v>172</v>
      </c>
      <c r="F234" s="5" t="str">
        <f t="shared" si="2"/>
        <v>Little</v>
      </c>
      <c r="G234" s="5" t="s">
        <v>172</v>
      </c>
      <c r="H234" s="6">
        <v>35.0</v>
      </c>
      <c r="I234" s="6">
        <f t="shared" si="3"/>
        <v>35</v>
      </c>
      <c r="J234" s="6">
        <v>35.0</v>
      </c>
      <c r="K234" s="6" t="str">
        <f t="shared" si="4"/>
        <v>Young Adult</v>
      </c>
      <c r="L234" s="6" t="s">
        <v>528</v>
      </c>
      <c r="M234" s="5" t="s">
        <v>130</v>
      </c>
      <c r="N234" s="5" t="str">
        <f t="shared" si="5"/>
        <v>Male</v>
      </c>
      <c r="O234" s="5" t="s">
        <v>152</v>
      </c>
      <c r="P234" s="5" t="s">
        <v>176</v>
      </c>
      <c r="Q234" s="5" t="s">
        <v>277</v>
      </c>
      <c r="R234" s="5" t="s">
        <v>402</v>
      </c>
      <c r="S234" s="5" t="s">
        <v>211</v>
      </c>
      <c r="T234" s="6">
        <v>2361.0</v>
      </c>
      <c r="U234" s="5">
        <f t="shared" si="6"/>
        <v>2361</v>
      </c>
      <c r="V234" s="5">
        <v>2361.0</v>
      </c>
    </row>
    <row r="235" ht="22.5" customHeight="1">
      <c r="A235" s="5" t="s">
        <v>1204</v>
      </c>
      <c r="B235" s="5" t="s">
        <v>569</v>
      </c>
      <c r="C235" s="5" t="str">
        <f t="shared" si="1"/>
        <v>Daniella</v>
      </c>
      <c r="D235" s="5" t="s">
        <v>2589</v>
      </c>
      <c r="E235" s="5" t="s">
        <v>374</v>
      </c>
      <c r="F235" s="5" t="str">
        <f t="shared" si="2"/>
        <v>Miller</v>
      </c>
      <c r="G235" s="5" t="s">
        <v>374</v>
      </c>
      <c r="H235" s="6">
        <v>90.0</v>
      </c>
      <c r="I235" s="6">
        <f t="shared" si="3"/>
        <v>90</v>
      </c>
      <c r="J235" s="6">
        <v>90.0</v>
      </c>
      <c r="K235" s="6" t="str">
        <f t="shared" si="4"/>
        <v>Senior</v>
      </c>
      <c r="L235" s="6" t="s">
        <v>734</v>
      </c>
      <c r="M235" s="5" t="s">
        <v>105</v>
      </c>
      <c r="N235" s="5" t="str">
        <f t="shared" si="5"/>
        <v>Female</v>
      </c>
      <c r="O235" s="5" t="s">
        <v>105</v>
      </c>
      <c r="P235" s="5" t="s">
        <v>131</v>
      </c>
      <c r="Q235" s="5" t="s">
        <v>576</v>
      </c>
      <c r="R235" s="5" t="s">
        <v>607</v>
      </c>
      <c r="S235" s="5" t="s">
        <v>97</v>
      </c>
      <c r="T235" s="6">
        <v>2216.0</v>
      </c>
      <c r="U235" s="5">
        <f t="shared" si="6"/>
        <v>2216</v>
      </c>
      <c r="V235" s="5">
        <v>2216.0</v>
      </c>
    </row>
    <row r="236" ht="22.5" customHeight="1">
      <c r="A236" s="5" t="s">
        <v>1206</v>
      </c>
      <c r="B236" s="5" t="s">
        <v>1077</v>
      </c>
      <c r="C236" s="5" t="str">
        <f t="shared" si="1"/>
        <v>Daniel</v>
      </c>
      <c r="D236" s="5" t="s">
        <v>1665</v>
      </c>
      <c r="E236" s="5" t="s">
        <v>1207</v>
      </c>
      <c r="F236" s="5" t="str">
        <f t="shared" si="2"/>
        <v>Chen</v>
      </c>
      <c r="G236" s="5" t="s">
        <v>194</v>
      </c>
      <c r="H236" s="6">
        <v>76.0</v>
      </c>
      <c r="I236" s="6">
        <f t="shared" si="3"/>
        <v>76</v>
      </c>
      <c r="J236" s="6">
        <v>76.0</v>
      </c>
      <c r="K236" s="6" t="str">
        <f t="shared" si="4"/>
        <v>Senior</v>
      </c>
      <c r="L236" s="6" t="s">
        <v>734</v>
      </c>
      <c r="M236" s="5" t="s">
        <v>152</v>
      </c>
      <c r="N236" s="5" t="str">
        <f t="shared" si="5"/>
        <v>Male</v>
      </c>
      <c r="O236" s="5" t="s">
        <v>152</v>
      </c>
      <c r="P236" s="5" t="s">
        <v>256</v>
      </c>
      <c r="Q236" s="5" t="s">
        <v>238</v>
      </c>
      <c r="R236" s="5" t="s">
        <v>533</v>
      </c>
      <c r="S236" s="5" t="s">
        <v>97</v>
      </c>
      <c r="T236" s="6">
        <v>1312.0</v>
      </c>
      <c r="U236" s="5">
        <f t="shared" si="6"/>
        <v>1312</v>
      </c>
      <c r="V236" s="5">
        <v>1312.0</v>
      </c>
    </row>
    <row r="237" ht="22.5" customHeight="1">
      <c r="A237" s="5" t="s">
        <v>1210</v>
      </c>
      <c r="B237" s="5" t="s">
        <v>688</v>
      </c>
      <c r="C237" s="5" t="str">
        <f t="shared" si="1"/>
        <v>Robert</v>
      </c>
      <c r="D237" s="5" t="s">
        <v>2950</v>
      </c>
      <c r="E237" s="5" t="s">
        <v>713</v>
      </c>
      <c r="F237" s="5" t="str">
        <f t="shared" si="2"/>
        <v>White</v>
      </c>
      <c r="G237" s="5" t="s">
        <v>713</v>
      </c>
      <c r="H237" s="6">
        <v>26.0</v>
      </c>
      <c r="I237" s="6">
        <f t="shared" si="3"/>
        <v>26</v>
      </c>
      <c r="J237" s="6">
        <v>26.0</v>
      </c>
      <c r="K237" s="6" t="str">
        <f t="shared" si="4"/>
        <v>Young Adult</v>
      </c>
      <c r="L237" s="6" t="s">
        <v>528</v>
      </c>
      <c r="M237" s="5" t="s">
        <v>152</v>
      </c>
      <c r="N237" s="5" t="str">
        <f t="shared" si="5"/>
        <v>Male</v>
      </c>
      <c r="O237" s="5" t="s">
        <v>152</v>
      </c>
      <c r="P237" s="5" t="s">
        <v>64</v>
      </c>
      <c r="Q237" s="5" t="s">
        <v>164</v>
      </c>
      <c r="R237" s="5" t="s">
        <v>607</v>
      </c>
      <c r="S237" s="5" t="s">
        <v>211</v>
      </c>
      <c r="T237" s="6">
        <v>4184.0</v>
      </c>
      <c r="U237" s="5">
        <f t="shared" si="6"/>
        <v>4184</v>
      </c>
      <c r="V237" s="5">
        <v>4184.0</v>
      </c>
    </row>
    <row r="238" ht="22.5" customHeight="1">
      <c r="A238" s="5" t="s">
        <v>1213</v>
      </c>
      <c r="B238" s="5" t="s">
        <v>1060</v>
      </c>
      <c r="C238" s="5" t="str">
        <f t="shared" si="1"/>
        <v>Tom</v>
      </c>
      <c r="D238" s="5" t="s">
        <v>1004</v>
      </c>
      <c r="E238" s="5" t="s">
        <v>1035</v>
      </c>
      <c r="F238" s="5" t="str">
        <f t="shared" si="2"/>
        <v>Wales</v>
      </c>
      <c r="G238" s="5" t="s">
        <v>1459</v>
      </c>
      <c r="H238" s="6">
        <v>81.0</v>
      </c>
      <c r="I238" s="6">
        <f t="shared" si="3"/>
        <v>81</v>
      </c>
      <c r="J238" s="6">
        <v>81.0</v>
      </c>
      <c r="K238" s="6" t="str">
        <f t="shared" si="4"/>
        <v>Senior</v>
      </c>
      <c r="L238" s="6" t="s">
        <v>734</v>
      </c>
      <c r="M238" s="5" t="s">
        <v>130</v>
      </c>
      <c r="N238" s="5" t="str">
        <f t="shared" si="5"/>
        <v>Male</v>
      </c>
      <c r="O238" s="5" t="s">
        <v>152</v>
      </c>
      <c r="P238" s="5" t="s">
        <v>539</v>
      </c>
      <c r="Q238" s="5" t="s">
        <v>418</v>
      </c>
      <c r="R238" s="5" t="s">
        <v>210</v>
      </c>
      <c r="S238" s="5" t="s">
        <v>97</v>
      </c>
      <c r="T238" s="6">
        <v>662.0</v>
      </c>
      <c r="U238" s="5">
        <f t="shared" si="6"/>
        <v>662</v>
      </c>
      <c r="V238" s="5">
        <v>662.0</v>
      </c>
    </row>
    <row r="239" ht="22.5" customHeight="1">
      <c r="A239" s="5" t="s">
        <v>1215</v>
      </c>
      <c r="B239" s="5" t="s">
        <v>456</v>
      </c>
      <c r="C239" s="5" t="str">
        <f t="shared" si="1"/>
        <v>Tina</v>
      </c>
      <c r="D239" s="5" t="s">
        <v>898</v>
      </c>
      <c r="E239" s="5" t="s">
        <v>148</v>
      </c>
      <c r="F239" s="5" t="str">
        <f t="shared" si="2"/>
        <v>Johnson</v>
      </c>
      <c r="G239" s="5" t="s">
        <v>148</v>
      </c>
      <c r="H239" s="6">
        <v>57.0</v>
      </c>
      <c r="I239" s="6">
        <f t="shared" si="3"/>
        <v>57</v>
      </c>
      <c r="J239" s="6">
        <v>57.0</v>
      </c>
      <c r="K239" s="6" t="str">
        <f t="shared" si="4"/>
        <v>Middle Age</v>
      </c>
      <c r="L239" s="6" t="s">
        <v>591</v>
      </c>
      <c r="M239" s="5" t="s">
        <v>28</v>
      </c>
      <c r="N239" s="5" t="str">
        <f t="shared" si="5"/>
        <v>Female</v>
      </c>
      <c r="O239" s="5" t="s">
        <v>105</v>
      </c>
      <c r="P239" s="5" t="s">
        <v>393</v>
      </c>
      <c r="Q239" s="5" t="s">
        <v>164</v>
      </c>
      <c r="R239" s="5" t="s">
        <v>96</v>
      </c>
      <c r="S239" s="5" t="s">
        <v>222</v>
      </c>
      <c r="T239" s="6">
        <v>1074.0</v>
      </c>
      <c r="U239" s="5">
        <f t="shared" si="6"/>
        <v>1074</v>
      </c>
      <c r="V239" s="5">
        <v>1074.0</v>
      </c>
    </row>
    <row r="240" ht="22.5" customHeight="1">
      <c r="A240" s="5" t="s">
        <v>1218</v>
      </c>
      <c r="B240" s="5" t="s">
        <v>343</v>
      </c>
      <c r="C240" s="5" t="str">
        <f t="shared" si="1"/>
        <v>Bob</v>
      </c>
      <c r="D240" s="5" t="s">
        <v>343</v>
      </c>
      <c r="E240" s="5" t="s">
        <v>316</v>
      </c>
      <c r="F240" s="5" t="str">
        <f t="shared" si="2"/>
        <v>Baker</v>
      </c>
      <c r="G240" s="5" t="s">
        <v>316</v>
      </c>
      <c r="H240" s="8"/>
      <c r="I240" s="8">
        <f t="shared" si="3"/>
        <v>0</v>
      </c>
      <c r="J240" s="8"/>
      <c r="K240" s="8" t="str">
        <f t="shared" si="4"/>
        <v>Unknown</v>
      </c>
      <c r="L240" s="8" t="s">
        <v>1081</v>
      </c>
      <c r="M240" s="5" t="s">
        <v>80</v>
      </c>
      <c r="N240" s="5" t="str">
        <f t="shared" si="5"/>
        <v>Male</v>
      </c>
      <c r="O240" s="5" t="s">
        <v>152</v>
      </c>
      <c r="P240" s="5" t="s">
        <v>208</v>
      </c>
      <c r="Q240" s="5" t="s">
        <v>551</v>
      </c>
      <c r="R240" s="5" t="s">
        <v>83</v>
      </c>
      <c r="S240" s="5" t="s">
        <v>559</v>
      </c>
      <c r="T240" s="6">
        <v>2729.0</v>
      </c>
      <c r="U240" s="5">
        <f t="shared" si="6"/>
        <v>2729</v>
      </c>
      <c r="V240" s="5">
        <v>2729.0</v>
      </c>
    </row>
    <row r="241" ht="22.5" customHeight="1">
      <c r="A241" s="5" t="s">
        <v>1221</v>
      </c>
      <c r="B241" s="5" t="s">
        <v>127</v>
      </c>
      <c r="C241" s="5" t="str">
        <f t="shared" si="1"/>
        <v>John</v>
      </c>
      <c r="D241" s="5" t="s">
        <v>127</v>
      </c>
      <c r="E241" s="5" t="s">
        <v>254</v>
      </c>
      <c r="F241" s="5" t="str">
        <f t="shared" si="2"/>
        <v>Doe</v>
      </c>
      <c r="G241" s="5" t="s">
        <v>254</v>
      </c>
      <c r="H241" s="6">
        <v>28.0</v>
      </c>
      <c r="I241" s="6">
        <f t="shared" si="3"/>
        <v>28</v>
      </c>
      <c r="J241" s="6">
        <v>28.0</v>
      </c>
      <c r="K241" s="6" t="str">
        <f t="shared" si="4"/>
        <v>Young Adult</v>
      </c>
      <c r="L241" s="6" t="s">
        <v>528</v>
      </c>
      <c r="M241" s="5" t="s">
        <v>80</v>
      </c>
      <c r="N241" s="5" t="str">
        <f t="shared" si="5"/>
        <v>Male</v>
      </c>
      <c r="O241" s="5" t="s">
        <v>152</v>
      </c>
      <c r="P241" s="5" t="s">
        <v>208</v>
      </c>
      <c r="Q241" s="5" t="s">
        <v>164</v>
      </c>
      <c r="R241" s="5" t="s">
        <v>452</v>
      </c>
      <c r="S241" s="5" t="s">
        <v>559</v>
      </c>
      <c r="T241" s="6">
        <v>3228.0</v>
      </c>
      <c r="U241" s="5">
        <f t="shared" si="6"/>
        <v>3228</v>
      </c>
      <c r="V241" s="5">
        <v>3228.0</v>
      </c>
    </row>
    <row r="242" ht="22.5" customHeight="1">
      <c r="A242" s="5" t="s">
        <v>1224</v>
      </c>
      <c r="B242" s="5" t="s">
        <v>1225</v>
      </c>
      <c r="C242" s="5" t="str">
        <f t="shared" si="1"/>
        <v>Alice</v>
      </c>
      <c r="D242" s="5" t="s">
        <v>136</v>
      </c>
      <c r="E242" s="5" t="s">
        <v>713</v>
      </c>
      <c r="F242" s="5" t="str">
        <f t="shared" si="2"/>
        <v>White</v>
      </c>
      <c r="G242" s="5" t="s">
        <v>713</v>
      </c>
      <c r="H242" s="6">
        <v>47.0</v>
      </c>
      <c r="I242" s="6">
        <f t="shared" si="3"/>
        <v>47</v>
      </c>
      <c r="J242" s="6">
        <v>47.0</v>
      </c>
      <c r="K242" s="6" t="str">
        <f t="shared" si="4"/>
        <v>Middle Age</v>
      </c>
      <c r="L242" s="6" t="s">
        <v>591</v>
      </c>
      <c r="M242" s="5" t="s">
        <v>28</v>
      </c>
      <c r="N242" s="5" t="str">
        <f t="shared" si="5"/>
        <v>Female</v>
      </c>
      <c r="O242" s="5" t="s">
        <v>105</v>
      </c>
      <c r="P242" s="5" t="s">
        <v>64</v>
      </c>
      <c r="Q242" s="5" t="s">
        <v>1290</v>
      </c>
      <c r="R242" s="5" t="s">
        <v>533</v>
      </c>
      <c r="S242" s="5" t="s">
        <v>211</v>
      </c>
      <c r="T242" s="6">
        <v>1392.0</v>
      </c>
      <c r="U242" s="5">
        <f t="shared" si="6"/>
        <v>1392</v>
      </c>
      <c r="V242" s="5">
        <v>1392.0</v>
      </c>
    </row>
    <row r="243" ht="22.5" customHeight="1">
      <c r="A243" s="5" t="s">
        <v>1227</v>
      </c>
      <c r="B243" s="5" t="s">
        <v>158</v>
      </c>
      <c r="C243" s="5" t="str">
        <f t="shared" si="1"/>
        <v>Eva</v>
      </c>
      <c r="D243" s="5" t="s">
        <v>158</v>
      </c>
      <c r="E243" s="5" t="s">
        <v>42</v>
      </c>
      <c r="F243" s="5" t="str">
        <f t="shared" si="2"/>
        <v>Lopez</v>
      </c>
      <c r="G243" s="5" t="s">
        <v>42</v>
      </c>
      <c r="H243" s="6">
        <v>83.0</v>
      </c>
      <c r="I243" s="6">
        <f t="shared" si="3"/>
        <v>83</v>
      </c>
      <c r="J243" s="6">
        <v>83.0</v>
      </c>
      <c r="K243" s="6" t="str">
        <f t="shared" si="4"/>
        <v>Senior</v>
      </c>
      <c r="L243" s="6" t="s">
        <v>734</v>
      </c>
      <c r="M243" s="5" t="s">
        <v>28</v>
      </c>
      <c r="N243" s="5" t="str">
        <f t="shared" si="5"/>
        <v>Female</v>
      </c>
      <c r="O243" s="5" t="s">
        <v>105</v>
      </c>
      <c r="P243" s="5" t="s">
        <v>393</v>
      </c>
      <c r="Q243" s="5" t="s">
        <v>311</v>
      </c>
      <c r="R243" s="5" t="s">
        <v>96</v>
      </c>
      <c r="S243" s="5" t="s">
        <v>97</v>
      </c>
      <c r="T243" s="6">
        <v>370.0</v>
      </c>
      <c r="U243" s="5">
        <f t="shared" si="6"/>
        <v>370</v>
      </c>
      <c r="V243" s="5">
        <v>370.0</v>
      </c>
    </row>
    <row r="244" ht="22.5" customHeight="1">
      <c r="A244" s="5" t="s">
        <v>1229</v>
      </c>
      <c r="B244" s="5" t="s">
        <v>368</v>
      </c>
      <c r="C244" s="5" t="str">
        <f t="shared" si="1"/>
        <v>Grace</v>
      </c>
      <c r="D244" s="5" t="s">
        <v>368</v>
      </c>
      <c r="E244" s="5" t="s">
        <v>284</v>
      </c>
      <c r="F244" s="5" t="str">
        <f t="shared" si="2"/>
        <v>Lim</v>
      </c>
      <c r="G244" s="5" t="s">
        <v>284</v>
      </c>
      <c r="H244" s="6">
        <v>63.0</v>
      </c>
      <c r="I244" s="6">
        <f t="shared" si="3"/>
        <v>63</v>
      </c>
      <c r="J244" s="6">
        <v>63.0</v>
      </c>
      <c r="K244" s="6" t="str">
        <f t="shared" si="4"/>
        <v>Senior</v>
      </c>
      <c r="L244" s="6" t="s">
        <v>734</v>
      </c>
      <c r="M244" s="5" t="s">
        <v>105</v>
      </c>
      <c r="N244" s="5" t="str">
        <f t="shared" si="5"/>
        <v>Female</v>
      </c>
      <c r="O244" s="5" t="s">
        <v>105</v>
      </c>
      <c r="P244" s="5" t="s">
        <v>237</v>
      </c>
      <c r="Q244" s="5" t="s">
        <v>439</v>
      </c>
      <c r="R244" s="5" t="s">
        <v>210</v>
      </c>
      <c r="S244" s="5" t="s">
        <v>97</v>
      </c>
      <c r="T244" s="6">
        <v>962.0</v>
      </c>
      <c r="U244" s="5">
        <f t="shared" si="6"/>
        <v>962</v>
      </c>
      <c r="V244" s="5">
        <v>962.0</v>
      </c>
    </row>
    <row r="245" ht="22.5" customHeight="1">
      <c r="A245" s="5" t="s">
        <v>1230</v>
      </c>
      <c r="B245" s="5" t="s">
        <v>820</v>
      </c>
      <c r="C245" s="5" t="str">
        <f t="shared" si="1"/>
        <v>Olivia</v>
      </c>
      <c r="D245" s="5" t="s">
        <v>820</v>
      </c>
      <c r="E245" s="5" t="s">
        <v>301</v>
      </c>
      <c r="F245" s="5" t="str">
        <f t="shared" si="2"/>
        <v>Lee</v>
      </c>
      <c r="G245" s="5" t="s">
        <v>301</v>
      </c>
      <c r="H245" s="6">
        <v>67.0</v>
      </c>
      <c r="I245" s="6">
        <f t="shared" si="3"/>
        <v>67</v>
      </c>
      <c r="J245" s="6">
        <v>67.0</v>
      </c>
      <c r="K245" s="6" t="str">
        <f t="shared" si="4"/>
        <v>Senior</v>
      </c>
      <c r="L245" s="6" t="s">
        <v>734</v>
      </c>
      <c r="M245" s="5" t="s">
        <v>28</v>
      </c>
      <c r="N245" s="5" t="str">
        <f t="shared" si="5"/>
        <v>Female</v>
      </c>
      <c r="O245" s="5" t="s">
        <v>105</v>
      </c>
      <c r="P245" s="5" t="s">
        <v>571</v>
      </c>
      <c r="Q245" s="5" t="s">
        <v>164</v>
      </c>
      <c r="R245" s="5" t="s">
        <v>607</v>
      </c>
      <c r="S245" s="5" t="s">
        <v>97</v>
      </c>
      <c r="T245" s="6">
        <v>2121.0</v>
      </c>
      <c r="U245" s="5">
        <f t="shared" si="6"/>
        <v>2121</v>
      </c>
      <c r="V245" s="5">
        <v>2121.0</v>
      </c>
    </row>
    <row r="246" ht="22.5" customHeight="1">
      <c r="A246" s="5" t="s">
        <v>1234</v>
      </c>
      <c r="B246" s="5" t="s">
        <v>136</v>
      </c>
      <c r="C246" s="5" t="str">
        <f t="shared" si="1"/>
        <v>Alice</v>
      </c>
      <c r="D246" s="5" t="s">
        <v>136</v>
      </c>
      <c r="E246" s="5" t="s">
        <v>324</v>
      </c>
      <c r="F246" s="5" t="str">
        <f t="shared" si="2"/>
        <v>Cooper</v>
      </c>
      <c r="G246" s="5" t="s">
        <v>324</v>
      </c>
      <c r="H246" s="6">
        <v>19.0</v>
      </c>
      <c r="I246" s="6">
        <f t="shared" si="3"/>
        <v>19</v>
      </c>
      <c r="J246" s="6">
        <v>19.0</v>
      </c>
      <c r="K246" s="6" t="str">
        <f t="shared" si="4"/>
        <v>Young Adult</v>
      </c>
      <c r="L246" s="6" t="s">
        <v>528</v>
      </c>
      <c r="M246" s="5" t="s">
        <v>45</v>
      </c>
      <c r="N246" s="5" t="str">
        <f t="shared" si="5"/>
        <v>Female</v>
      </c>
      <c r="O246" s="5" t="s">
        <v>105</v>
      </c>
      <c r="P246" s="5" t="s">
        <v>393</v>
      </c>
      <c r="Q246" s="5" t="s">
        <v>418</v>
      </c>
      <c r="R246" s="5" t="s">
        <v>210</v>
      </c>
      <c r="S246" s="5" t="s">
        <v>222</v>
      </c>
      <c r="T246" s="6">
        <v>846.0</v>
      </c>
      <c r="U246" s="5">
        <f t="shared" si="6"/>
        <v>846</v>
      </c>
      <c r="V246" s="5">
        <v>846.0</v>
      </c>
    </row>
    <row r="247" ht="22.5" customHeight="1">
      <c r="A247" s="5" t="s">
        <v>1236</v>
      </c>
      <c r="B247" s="5" t="s">
        <v>1237</v>
      </c>
      <c r="C247" s="5" t="str">
        <f t="shared" si="1"/>
        <v>Charles</v>
      </c>
      <c r="D247" s="5" t="s">
        <v>1237</v>
      </c>
      <c r="E247" s="5" t="s">
        <v>1238</v>
      </c>
      <c r="F247" s="5" t="str">
        <f t="shared" si="2"/>
        <v>Wales</v>
      </c>
      <c r="G247" s="5" t="s">
        <v>1459</v>
      </c>
      <c r="H247" s="6">
        <v>28.0</v>
      </c>
      <c r="I247" s="6">
        <f t="shared" si="3"/>
        <v>28</v>
      </c>
      <c r="J247" s="6">
        <v>28.0</v>
      </c>
      <c r="K247" s="6" t="str">
        <f t="shared" si="4"/>
        <v>Young Adult</v>
      </c>
      <c r="L247" s="6" t="s">
        <v>528</v>
      </c>
      <c r="M247" s="5" t="s">
        <v>80</v>
      </c>
      <c r="N247" s="5" t="str">
        <f t="shared" si="5"/>
        <v>Male</v>
      </c>
      <c r="O247" s="5" t="s">
        <v>152</v>
      </c>
      <c r="P247" s="5" t="s">
        <v>237</v>
      </c>
      <c r="Q247" s="5" t="s">
        <v>436</v>
      </c>
      <c r="R247" s="5" t="s">
        <v>561</v>
      </c>
      <c r="S247" s="5" t="s">
        <v>211</v>
      </c>
      <c r="T247" s="6">
        <v>4009.0</v>
      </c>
      <c r="U247" s="5">
        <f t="shared" si="6"/>
        <v>4009</v>
      </c>
      <c r="V247" s="5">
        <v>4009.0</v>
      </c>
    </row>
    <row r="248" ht="22.5" customHeight="1">
      <c r="A248" s="5" t="s">
        <v>1241</v>
      </c>
      <c r="B248" s="5" t="s">
        <v>911</v>
      </c>
      <c r="C248" s="5" t="str">
        <f t="shared" si="1"/>
        <v>Fiona</v>
      </c>
      <c r="D248" s="5" t="s">
        <v>193</v>
      </c>
      <c r="E248" s="5" t="s">
        <v>1105</v>
      </c>
      <c r="F248" s="5" t="str">
        <f t="shared" si="2"/>
        <v>Liang</v>
      </c>
      <c r="G248" s="5" t="s">
        <v>1252</v>
      </c>
      <c r="H248" s="6">
        <v>66.0</v>
      </c>
      <c r="I248" s="6">
        <f t="shared" si="3"/>
        <v>66</v>
      </c>
      <c r="J248" s="6">
        <v>66.0</v>
      </c>
      <c r="K248" s="6" t="str">
        <f t="shared" si="4"/>
        <v>Senior</v>
      </c>
      <c r="L248" s="6" t="s">
        <v>734</v>
      </c>
      <c r="M248" s="5" t="s">
        <v>45</v>
      </c>
      <c r="N248" s="5" t="str">
        <f t="shared" si="5"/>
        <v>Female</v>
      </c>
      <c r="O248" s="5" t="s">
        <v>105</v>
      </c>
      <c r="P248" s="5" t="s">
        <v>237</v>
      </c>
      <c r="Q248" s="5" t="s">
        <v>164</v>
      </c>
      <c r="R248" s="5" t="s">
        <v>96</v>
      </c>
      <c r="S248" s="5" t="s">
        <v>97</v>
      </c>
      <c r="T248" s="6">
        <v>600.0</v>
      </c>
      <c r="U248" s="5">
        <f t="shared" si="6"/>
        <v>600</v>
      </c>
      <c r="V248" s="5">
        <v>600.0</v>
      </c>
    </row>
    <row r="249" ht="22.5" customHeight="1">
      <c r="A249" s="5" t="s">
        <v>1245</v>
      </c>
      <c r="B249" s="5" t="s">
        <v>542</v>
      </c>
      <c r="C249" s="5" t="str">
        <f t="shared" si="1"/>
        <v>David</v>
      </c>
      <c r="D249" s="5" t="s">
        <v>542</v>
      </c>
      <c r="E249" s="5" t="s">
        <v>556</v>
      </c>
      <c r="F249" s="5" t="str">
        <f t="shared" si="2"/>
        <v>Jones</v>
      </c>
      <c r="G249" s="5" t="s">
        <v>556</v>
      </c>
      <c r="H249" s="8"/>
      <c r="I249" s="8">
        <f t="shared" si="3"/>
        <v>0</v>
      </c>
      <c r="J249" s="8"/>
      <c r="K249" s="8" t="str">
        <f t="shared" si="4"/>
        <v>Unknown</v>
      </c>
      <c r="L249" s="8" t="s">
        <v>1081</v>
      </c>
      <c r="M249" s="5" t="s">
        <v>80</v>
      </c>
      <c r="N249" s="5" t="str">
        <f t="shared" si="5"/>
        <v>Male</v>
      </c>
      <c r="O249" s="5" t="s">
        <v>152</v>
      </c>
      <c r="P249" s="5" t="s">
        <v>237</v>
      </c>
      <c r="Q249" s="5" t="s">
        <v>551</v>
      </c>
      <c r="R249" s="5" t="s">
        <v>96</v>
      </c>
      <c r="S249" s="5" t="s">
        <v>52</v>
      </c>
      <c r="T249" s="6">
        <v>958.0</v>
      </c>
      <c r="U249" s="5">
        <f t="shared" si="6"/>
        <v>958</v>
      </c>
      <c r="V249" s="5">
        <v>958.0</v>
      </c>
    </row>
    <row r="250" ht="22.5" customHeight="1">
      <c r="A250" s="5" t="s">
        <v>1248</v>
      </c>
      <c r="B250" s="5" t="s">
        <v>542</v>
      </c>
      <c r="C250" s="5" t="str">
        <f t="shared" si="1"/>
        <v>David</v>
      </c>
      <c r="D250" s="5" t="s">
        <v>542</v>
      </c>
      <c r="E250" s="5" t="s">
        <v>254</v>
      </c>
      <c r="F250" s="5" t="str">
        <f t="shared" si="2"/>
        <v>Doe</v>
      </c>
      <c r="G250" s="5" t="s">
        <v>254</v>
      </c>
      <c r="H250" s="6">
        <v>27.0</v>
      </c>
      <c r="I250" s="6">
        <f t="shared" si="3"/>
        <v>27</v>
      </c>
      <c r="J250" s="6">
        <v>27.0</v>
      </c>
      <c r="K250" s="6" t="str">
        <f t="shared" si="4"/>
        <v>Young Adult</v>
      </c>
      <c r="L250" s="6" t="s">
        <v>528</v>
      </c>
      <c r="M250" s="5" t="s">
        <v>80</v>
      </c>
      <c r="N250" s="5" t="str">
        <f t="shared" si="5"/>
        <v>Male</v>
      </c>
      <c r="O250" s="5" t="s">
        <v>152</v>
      </c>
      <c r="P250" s="5" t="s">
        <v>268</v>
      </c>
      <c r="Q250" s="5" t="s">
        <v>576</v>
      </c>
      <c r="R250" s="5" t="s">
        <v>607</v>
      </c>
      <c r="S250" s="5" t="s">
        <v>52</v>
      </c>
      <c r="T250" s="6">
        <v>3705.0</v>
      </c>
      <c r="U250" s="5">
        <f t="shared" si="6"/>
        <v>3705</v>
      </c>
      <c r="V250" s="5">
        <v>3705.0</v>
      </c>
    </row>
    <row r="251" ht="22.5" customHeight="1">
      <c r="A251" s="5" t="s">
        <v>1251</v>
      </c>
      <c r="B251" s="5" t="s">
        <v>745</v>
      </c>
      <c r="C251" s="5" t="str">
        <f t="shared" si="1"/>
        <v>Evan</v>
      </c>
      <c r="D251" s="5" t="s">
        <v>299</v>
      </c>
      <c r="E251" s="5" t="s">
        <v>1252</v>
      </c>
      <c r="F251" s="5" t="str">
        <f t="shared" si="2"/>
        <v>Liang</v>
      </c>
      <c r="G251" s="5" t="s">
        <v>1252</v>
      </c>
      <c r="H251" s="6">
        <v>35.0</v>
      </c>
      <c r="I251" s="6">
        <f t="shared" si="3"/>
        <v>35</v>
      </c>
      <c r="J251" s="6">
        <v>35.0</v>
      </c>
      <c r="K251" s="6" t="str">
        <f t="shared" si="4"/>
        <v>Young Adult</v>
      </c>
      <c r="L251" s="6" t="s">
        <v>528</v>
      </c>
      <c r="M251" s="5" t="s">
        <v>80</v>
      </c>
      <c r="N251" s="5" t="str">
        <f t="shared" si="5"/>
        <v>Male</v>
      </c>
      <c r="O251" s="5" t="s">
        <v>152</v>
      </c>
      <c r="P251" s="5" t="s">
        <v>364</v>
      </c>
      <c r="Q251" s="5" t="s">
        <v>436</v>
      </c>
      <c r="R251" s="5" t="s">
        <v>561</v>
      </c>
      <c r="S251" s="5" t="s">
        <v>211</v>
      </c>
      <c r="T251" s="6">
        <v>3263.0</v>
      </c>
      <c r="U251" s="5">
        <f t="shared" si="6"/>
        <v>3263</v>
      </c>
      <c r="V251" s="5">
        <v>3263.0</v>
      </c>
    </row>
    <row r="252" ht="22.5" customHeight="1">
      <c r="A252" s="5" t="s">
        <v>1255</v>
      </c>
      <c r="B252" s="5" t="s">
        <v>368</v>
      </c>
      <c r="C252" s="5" t="str">
        <f t="shared" si="1"/>
        <v>Grace</v>
      </c>
      <c r="D252" s="5" t="s">
        <v>368</v>
      </c>
      <c r="E252" s="5" t="s">
        <v>1256</v>
      </c>
      <c r="F252" s="5" t="str">
        <f t="shared" si="2"/>
        <v>Cooper</v>
      </c>
      <c r="G252" s="5" t="s">
        <v>324</v>
      </c>
      <c r="H252" s="6">
        <v>37.0</v>
      </c>
      <c r="I252" s="6">
        <f t="shared" si="3"/>
        <v>37</v>
      </c>
      <c r="J252" s="6">
        <v>37.0</v>
      </c>
      <c r="K252" s="6" t="str">
        <f t="shared" si="4"/>
        <v>Young Adult</v>
      </c>
      <c r="L252" s="6" t="s">
        <v>528</v>
      </c>
      <c r="M252" s="5" t="s">
        <v>28</v>
      </c>
      <c r="N252" s="5" t="str">
        <f t="shared" si="5"/>
        <v>Female</v>
      </c>
      <c r="O252" s="5" t="s">
        <v>105</v>
      </c>
      <c r="P252" s="5" t="s">
        <v>47</v>
      </c>
      <c r="Q252" s="5" t="s">
        <v>418</v>
      </c>
      <c r="R252" s="5" t="s">
        <v>210</v>
      </c>
      <c r="S252" s="5" t="s">
        <v>222</v>
      </c>
      <c r="T252" s="6">
        <v>881.0</v>
      </c>
      <c r="U252" s="5">
        <f t="shared" si="6"/>
        <v>881</v>
      </c>
      <c r="V252" s="5">
        <v>881.0</v>
      </c>
    </row>
    <row r="253" ht="22.5" customHeight="1">
      <c r="A253" s="5" t="s">
        <v>1258</v>
      </c>
      <c r="B253" s="5" t="s">
        <v>688</v>
      </c>
      <c r="C253" s="5" t="str">
        <f t="shared" si="1"/>
        <v>Robert</v>
      </c>
      <c r="D253" s="5" t="s">
        <v>2950</v>
      </c>
      <c r="E253" s="5" t="s">
        <v>1187</v>
      </c>
      <c r="F253" s="5" t="str">
        <f t="shared" si="2"/>
        <v>Martinez</v>
      </c>
      <c r="G253" s="5" t="s">
        <v>1187</v>
      </c>
      <c r="H253" s="6">
        <v>80.0</v>
      </c>
      <c r="I253" s="6">
        <f t="shared" si="3"/>
        <v>80</v>
      </c>
      <c r="J253" s="6">
        <v>80.0</v>
      </c>
      <c r="K253" s="6" t="str">
        <f t="shared" si="4"/>
        <v>Senior</v>
      </c>
      <c r="L253" s="6" t="s">
        <v>734</v>
      </c>
      <c r="M253" s="5" t="s">
        <v>80</v>
      </c>
      <c r="N253" s="5" t="str">
        <f t="shared" si="5"/>
        <v>Male</v>
      </c>
      <c r="O253" s="5" t="s">
        <v>152</v>
      </c>
      <c r="P253" s="5" t="s">
        <v>81</v>
      </c>
      <c r="Q253" s="5" t="s">
        <v>551</v>
      </c>
      <c r="R253" s="5" t="s">
        <v>83</v>
      </c>
      <c r="S253" s="5" t="s">
        <v>97</v>
      </c>
      <c r="T253" s="6">
        <v>3177.0</v>
      </c>
      <c r="U253" s="5">
        <f t="shared" si="6"/>
        <v>3177</v>
      </c>
      <c r="V253" s="5">
        <v>3177.0</v>
      </c>
    </row>
    <row r="254" ht="22.5" customHeight="1">
      <c r="A254" s="5" t="s">
        <v>1261</v>
      </c>
      <c r="B254" s="5" t="s">
        <v>307</v>
      </c>
      <c r="C254" s="5" t="str">
        <f t="shared" si="1"/>
        <v>Hannah</v>
      </c>
      <c r="D254" s="5" t="s">
        <v>307</v>
      </c>
      <c r="E254" s="5" t="s">
        <v>1070</v>
      </c>
      <c r="F254" s="5" t="str">
        <f t="shared" si="2"/>
        <v>Jiang</v>
      </c>
      <c r="G254" s="5" t="s">
        <v>1322</v>
      </c>
      <c r="H254" s="6">
        <v>27.0</v>
      </c>
      <c r="I254" s="6">
        <f t="shared" si="3"/>
        <v>27</v>
      </c>
      <c r="J254" s="6">
        <v>27.0</v>
      </c>
      <c r="K254" s="6" t="str">
        <f t="shared" si="4"/>
        <v>Young Adult</v>
      </c>
      <c r="L254" s="6" t="s">
        <v>528</v>
      </c>
      <c r="M254" s="5" t="s">
        <v>28</v>
      </c>
      <c r="N254" s="5" t="str">
        <f t="shared" si="5"/>
        <v>Female</v>
      </c>
      <c r="O254" s="5" t="s">
        <v>105</v>
      </c>
      <c r="P254" s="5" t="s">
        <v>107</v>
      </c>
      <c r="Q254" s="5" t="s">
        <v>470</v>
      </c>
      <c r="R254" s="5" t="s">
        <v>179</v>
      </c>
      <c r="S254" s="5" t="s">
        <v>222</v>
      </c>
      <c r="T254" s="6">
        <v>4999.0</v>
      </c>
      <c r="U254" s="5">
        <f t="shared" si="6"/>
        <v>4999</v>
      </c>
      <c r="V254" s="5">
        <v>4999.0</v>
      </c>
    </row>
    <row r="255" ht="22.5" customHeight="1">
      <c r="A255" s="5" t="s">
        <v>1263</v>
      </c>
      <c r="B255" s="5" t="s">
        <v>368</v>
      </c>
      <c r="C255" s="5" t="str">
        <f t="shared" si="1"/>
        <v>Grace</v>
      </c>
      <c r="D255" s="5" t="s">
        <v>368</v>
      </c>
      <c r="E255" s="5" t="s">
        <v>128</v>
      </c>
      <c r="F255" s="5" t="str">
        <f t="shared" si="2"/>
        <v>Rodriguez</v>
      </c>
      <c r="G255" s="5" t="s">
        <v>128</v>
      </c>
      <c r="H255" s="6">
        <v>25.0</v>
      </c>
      <c r="I255" s="6">
        <f t="shared" si="3"/>
        <v>25</v>
      </c>
      <c r="J255" s="6">
        <v>25.0</v>
      </c>
      <c r="K255" s="6" t="str">
        <f t="shared" si="4"/>
        <v>Young Adult</v>
      </c>
      <c r="L255" s="6" t="s">
        <v>528</v>
      </c>
      <c r="M255" s="5" t="s">
        <v>105</v>
      </c>
      <c r="N255" s="5" t="str">
        <f t="shared" si="5"/>
        <v>Female</v>
      </c>
      <c r="O255" s="5" t="s">
        <v>105</v>
      </c>
      <c r="P255" s="5" t="s">
        <v>256</v>
      </c>
      <c r="Q255" s="5" t="s">
        <v>436</v>
      </c>
      <c r="R255" s="5" t="s">
        <v>561</v>
      </c>
      <c r="S255" s="5" t="s">
        <v>211</v>
      </c>
      <c r="T255" s="6">
        <v>3903.0</v>
      </c>
      <c r="U255" s="5">
        <f t="shared" si="6"/>
        <v>3903</v>
      </c>
      <c r="V255" s="5">
        <v>3903.0</v>
      </c>
    </row>
    <row r="256" ht="22.5" customHeight="1">
      <c r="A256" s="5" t="s">
        <v>1266</v>
      </c>
      <c r="B256" s="5" t="s">
        <v>1267</v>
      </c>
      <c r="C256" s="5" t="str">
        <f t="shared" si="1"/>
        <v>Thomas</v>
      </c>
      <c r="D256" s="5" t="s">
        <v>983</v>
      </c>
      <c r="E256" s="5" t="s">
        <v>433</v>
      </c>
      <c r="F256" s="5" t="str">
        <f t="shared" si="2"/>
        <v>Volkov</v>
      </c>
      <c r="G256" s="5" t="s">
        <v>433</v>
      </c>
      <c r="H256" s="6">
        <v>59.0</v>
      </c>
      <c r="I256" s="6">
        <f t="shared" si="3"/>
        <v>59</v>
      </c>
      <c r="J256" s="6">
        <v>59.0</v>
      </c>
      <c r="K256" s="6" t="str">
        <f t="shared" si="4"/>
        <v>Middle Age</v>
      </c>
      <c r="L256" s="6" t="s">
        <v>591</v>
      </c>
      <c r="M256" s="5" t="s">
        <v>152</v>
      </c>
      <c r="N256" s="5" t="str">
        <f t="shared" si="5"/>
        <v>Male</v>
      </c>
      <c r="O256" s="5" t="s">
        <v>152</v>
      </c>
      <c r="P256" s="5" t="s">
        <v>107</v>
      </c>
      <c r="Q256" s="5" t="s">
        <v>482</v>
      </c>
      <c r="R256" s="5" t="s">
        <v>179</v>
      </c>
      <c r="S256" s="5" t="s">
        <v>222</v>
      </c>
      <c r="T256" s="6">
        <v>4175.0</v>
      </c>
      <c r="U256" s="5">
        <f t="shared" si="6"/>
        <v>4175</v>
      </c>
      <c r="V256" s="5">
        <v>4175.0</v>
      </c>
    </row>
    <row r="257" ht="22.5" customHeight="1">
      <c r="A257" s="5" t="s">
        <v>1271</v>
      </c>
      <c r="B257" s="5" t="s">
        <v>158</v>
      </c>
      <c r="C257" s="5" t="str">
        <f t="shared" si="1"/>
        <v>Eva</v>
      </c>
      <c r="D257" s="5" t="s">
        <v>158</v>
      </c>
      <c r="E257" s="5" t="s">
        <v>526</v>
      </c>
      <c r="F257" s="5" t="str">
        <f t="shared" si="2"/>
        <v>Davidson</v>
      </c>
      <c r="G257" s="5" t="s">
        <v>526</v>
      </c>
      <c r="H257" s="6">
        <v>40.0</v>
      </c>
      <c r="I257" s="6">
        <f t="shared" si="3"/>
        <v>40</v>
      </c>
      <c r="J257" s="6">
        <v>40.0</v>
      </c>
      <c r="K257" s="6" t="str">
        <f t="shared" si="4"/>
        <v>Young Adult</v>
      </c>
      <c r="L257" s="6" t="s">
        <v>528</v>
      </c>
      <c r="M257" s="5" t="s">
        <v>28</v>
      </c>
      <c r="N257" s="5" t="str">
        <f t="shared" si="5"/>
        <v>Female</v>
      </c>
      <c r="O257" s="5" t="s">
        <v>105</v>
      </c>
      <c r="P257" s="5" t="s">
        <v>393</v>
      </c>
      <c r="Q257" s="5" t="s">
        <v>311</v>
      </c>
      <c r="R257" s="5" t="s">
        <v>96</v>
      </c>
      <c r="S257" s="5" t="s">
        <v>211</v>
      </c>
      <c r="T257" s="6">
        <v>628.0</v>
      </c>
      <c r="U257" s="5">
        <f t="shared" si="6"/>
        <v>628</v>
      </c>
      <c r="V257" s="5">
        <v>628.0</v>
      </c>
    </row>
    <row r="258" ht="22.5" customHeight="1">
      <c r="A258" s="5" t="s">
        <v>1274</v>
      </c>
      <c r="B258" s="5" t="s">
        <v>542</v>
      </c>
      <c r="C258" s="5" t="str">
        <f t="shared" si="1"/>
        <v>David</v>
      </c>
      <c r="D258" s="5" t="s">
        <v>542</v>
      </c>
      <c r="E258" s="5" t="s">
        <v>284</v>
      </c>
      <c r="F258" s="5" t="str">
        <f t="shared" si="2"/>
        <v>Lim</v>
      </c>
      <c r="G258" s="5" t="s">
        <v>284</v>
      </c>
      <c r="H258" s="6">
        <v>59.0</v>
      </c>
      <c r="I258" s="6">
        <f t="shared" si="3"/>
        <v>59</v>
      </c>
      <c r="J258" s="6">
        <v>59.0</v>
      </c>
      <c r="K258" s="6" t="str">
        <f t="shared" si="4"/>
        <v>Middle Age</v>
      </c>
      <c r="L258" s="6" t="s">
        <v>591</v>
      </c>
      <c r="M258" s="5" t="s">
        <v>152</v>
      </c>
      <c r="N258" s="5" t="str">
        <f t="shared" si="5"/>
        <v>Male</v>
      </c>
      <c r="O258" s="5" t="s">
        <v>152</v>
      </c>
      <c r="P258" s="5" t="s">
        <v>268</v>
      </c>
      <c r="Q258" s="5" t="s">
        <v>439</v>
      </c>
      <c r="R258" s="5" t="s">
        <v>210</v>
      </c>
      <c r="S258" s="5" t="s">
        <v>211</v>
      </c>
      <c r="T258" s="6">
        <v>1400.0</v>
      </c>
      <c r="U258" s="5">
        <f t="shared" si="6"/>
        <v>1400</v>
      </c>
      <c r="V258" s="5">
        <v>1400.0</v>
      </c>
    </row>
    <row r="259" ht="22.5" customHeight="1">
      <c r="A259" s="5" t="s">
        <v>1279</v>
      </c>
      <c r="B259" s="5" t="s">
        <v>542</v>
      </c>
      <c r="C259" s="5" t="str">
        <f t="shared" si="1"/>
        <v>David</v>
      </c>
      <c r="D259" s="5" t="s">
        <v>542</v>
      </c>
      <c r="E259" s="5" t="s">
        <v>216</v>
      </c>
      <c r="F259" s="5" t="str">
        <f t="shared" si="2"/>
        <v>Williams</v>
      </c>
      <c r="G259" s="5" t="s">
        <v>216</v>
      </c>
      <c r="H259" s="6">
        <v>47.0</v>
      </c>
      <c r="I259" s="6">
        <f t="shared" si="3"/>
        <v>47</v>
      </c>
      <c r="J259" s="6">
        <v>47.0</v>
      </c>
      <c r="K259" s="6" t="str">
        <f t="shared" si="4"/>
        <v>Middle Age</v>
      </c>
      <c r="L259" s="6" t="s">
        <v>591</v>
      </c>
      <c r="M259" s="5" t="s">
        <v>130</v>
      </c>
      <c r="N259" s="5" t="str">
        <f t="shared" si="5"/>
        <v>Male</v>
      </c>
      <c r="O259" s="5" t="s">
        <v>152</v>
      </c>
      <c r="P259" s="5" t="s">
        <v>30</v>
      </c>
      <c r="Q259" s="5" t="s">
        <v>576</v>
      </c>
      <c r="R259" s="5" t="s">
        <v>607</v>
      </c>
      <c r="S259" s="5" t="s">
        <v>211</v>
      </c>
      <c r="T259" s="6">
        <v>2537.0</v>
      </c>
      <c r="U259" s="5">
        <f t="shared" si="6"/>
        <v>2537</v>
      </c>
      <c r="V259" s="5">
        <v>2537.0</v>
      </c>
    </row>
    <row r="260" ht="22.5" customHeight="1">
      <c r="A260" s="5" t="s">
        <v>1282</v>
      </c>
      <c r="B260" s="5" t="s">
        <v>1283</v>
      </c>
      <c r="C260" s="5" t="str">
        <f t="shared" si="1"/>
        <v>Robert</v>
      </c>
      <c r="D260" s="5" t="s">
        <v>2950</v>
      </c>
      <c r="E260" s="5" t="s">
        <v>324</v>
      </c>
      <c r="F260" s="5" t="str">
        <f t="shared" si="2"/>
        <v>Cooper</v>
      </c>
      <c r="G260" s="5" t="s">
        <v>324</v>
      </c>
      <c r="H260" s="6">
        <v>23.0</v>
      </c>
      <c r="I260" s="6">
        <f t="shared" si="3"/>
        <v>23</v>
      </c>
      <c r="J260" s="6">
        <v>23.0</v>
      </c>
      <c r="K260" s="6" t="str">
        <f t="shared" si="4"/>
        <v>Young Adult</v>
      </c>
      <c r="L260" s="6" t="s">
        <v>528</v>
      </c>
      <c r="M260" s="5" t="s">
        <v>105</v>
      </c>
      <c r="N260" s="5" t="str">
        <f t="shared" si="5"/>
        <v>Female</v>
      </c>
      <c r="O260" s="5" t="s">
        <v>105</v>
      </c>
      <c r="P260" s="5" t="s">
        <v>393</v>
      </c>
      <c r="Q260" s="5" t="s">
        <v>238</v>
      </c>
      <c r="R260" s="5" t="s">
        <v>533</v>
      </c>
      <c r="S260" s="5" t="s">
        <v>52</v>
      </c>
      <c r="T260" s="6">
        <v>1241.0</v>
      </c>
      <c r="U260" s="5">
        <f t="shared" si="6"/>
        <v>1241</v>
      </c>
      <c r="V260" s="5">
        <v>1241.0</v>
      </c>
    </row>
    <row r="261" ht="22.5" customHeight="1">
      <c r="A261" s="5" t="s">
        <v>1286</v>
      </c>
      <c r="B261" s="5" t="s">
        <v>1267</v>
      </c>
      <c r="C261" s="5" t="str">
        <f t="shared" si="1"/>
        <v>Thomas</v>
      </c>
      <c r="D261" s="5" t="s">
        <v>983</v>
      </c>
      <c r="E261" s="5" t="s">
        <v>713</v>
      </c>
      <c r="F261" s="5" t="str">
        <f t="shared" si="2"/>
        <v>White</v>
      </c>
      <c r="G261" s="5" t="s">
        <v>713</v>
      </c>
      <c r="H261" s="6">
        <v>60.0</v>
      </c>
      <c r="I261" s="6">
        <f t="shared" si="3"/>
        <v>60</v>
      </c>
      <c r="J261" s="6">
        <v>60.0</v>
      </c>
      <c r="K261" s="6" t="str">
        <f t="shared" si="4"/>
        <v>Middle Age</v>
      </c>
      <c r="L261" s="6" t="s">
        <v>591</v>
      </c>
      <c r="M261" s="5" t="s">
        <v>80</v>
      </c>
      <c r="N261" s="5" t="str">
        <f t="shared" si="5"/>
        <v>Male</v>
      </c>
      <c r="O261" s="5" t="s">
        <v>152</v>
      </c>
      <c r="P261" s="5" t="s">
        <v>107</v>
      </c>
      <c r="Q261" s="5" t="s">
        <v>669</v>
      </c>
      <c r="R261" s="5" t="s">
        <v>452</v>
      </c>
      <c r="S261" s="5" t="s">
        <v>211</v>
      </c>
      <c r="T261" s="6">
        <v>2829.0</v>
      </c>
      <c r="U261" s="5">
        <f t="shared" si="6"/>
        <v>2829</v>
      </c>
      <c r="V261" s="5">
        <v>2829.0</v>
      </c>
    </row>
    <row r="262" ht="22.5" customHeight="1">
      <c r="A262" s="5" t="s">
        <v>1289</v>
      </c>
      <c r="B262" s="5" t="s">
        <v>803</v>
      </c>
      <c r="C262" s="5" t="str">
        <f t="shared" si="1"/>
        <v>Craig</v>
      </c>
      <c r="D262" s="5" t="s">
        <v>1160</v>
      </c>
      <c r="E262" s="5" t="s">
        <v>244</v>
      </c>
      <c r="F262" s="5" t="str">
        <f t="shared" si="2"/>
        <v>Jackson</v>
      </c>
      <c r="G262" s="5" t="s">
        <v>244</v>
      </c>
      <c r="H262" s="6">
        <v>52.0</v>
      </c>
      <c r="I262" s="6">
        <f t="shared" si="3"/>
        <v>52</v>
      </c>
      <c r="J262" s="6">
        <v>52.0</v>
      </c>
      <c r="K262" s="6" t="str">
        <f t="shared" si="4"/>
        <v>Middle Age</v>
      </c>
      <c r="L262" s="6" t="s">
        <v>591</v>
      </c>
      <c r="M262" s="5" t="s">
        <v>152</v>
      </c>
      <c r="N262" s="5" t="str">
        <f t="shared" si="5"/>
        <v>Male</v>
      </c>
      <c r="O262" s="5" t="s">
        <v>152</v>
      </c>
      <c r="P262" s="5" t="s">
        <v>141</v>
      </c>
      <c r="Q262" s="5" t="s">
        <v>1290</v>
      </c>
      <c r="R262" s="5" t="s">
        <v>533</v>
      </c>
      <c r="S262" s="5" t="s">
        <v>222</v>
      </c>
      <c r="T262" s="6">
        <v>871.0</v>
      </c>
      <c r="U262" s="5">
        <f t="shared" si="6"/>
        <v>871</v>
      </c>
      <c r="V262" s="5">
        <v>871.0</v>
      </c>
    </row>
    <row r="263" ht="22.5" customHeight="1">
      <c r="A263" s="5" t="s">
        <v>1293</v>
      </c>
      <c r="B263" s="5" t="s">
        <v>1294</v>
      </c>
      <c r="C263" s="5" t="str">
        <f t="shared" si="1"/>
        <v>Greg</v>
      </c>
      <c r="D263" s="5" t="s">
        <v>147</v>
      </c>
      <c r="E263" s="5" t="s">
        <v>753</v>
      </c>
      <c r="F263" s="5" t="str">
        <f t="shared" si="2"/>
        <v>Kim</v>
      </c>
      <c r="G263" s="5" t="s">
        <v>352</v>
      </c>
      <c r="H263" s="8"/>
      <c r="I263" s="8">
        <f t="shared" si="3"/>
        <v>0</v>
      </c>
      <c r="J263" s="8"/>
      <c r="K263" s="8" t="str">
        <f t="shared" si="4"/>
        <v>Unknown</v>
      </c>
      <c r="L263" s="8" t="s">
        <v>1081</v>
      </c>
      <c r="M263" s="5" t="s">
        <v>152</v>
      </c>
      <c r="N263" s="5" t="str">
        <f t="shared" si="5"/>
        <v>Male</v>
      </c>
      <c r="O263" s="5" t="s">
        <v>152</v>
      </c>
      <c r="P263" s="5" t="s">
        <v>47</v>
      </c>
      <c r="Q263" s="5" t="s">
        <v>164</v>
      </c>
      <c r="R263" s="5" t="s">
        <v>607</v>
      </c>
      <c r="S263" s="5" t="s">
        <v>222</v>
      </c>
      <c r="T263" s="6">
        <v>1374.0</v>
      </c>
      <c r="U263" s="5">
        <f t="shared" si="6"/>
        <v>1374</v>
      </c>
      <c r="V263" s="5">
        <v>1374.0</v>
      </c>
    </row>
    <row r="264" ht="22.5" customHeight="1">
      <c r="A264" s="5" t="s">
        <v>1296</v>
      </c>
      <c r="B264" s="5" t="s">
        <v>171</v>
      </c>
      <c r="C264" s="5" t="str">
        <f t="shared" si="1"/>
        <v>Frank</v>
      </c>
      <c r="D264" s="5" t="s">
        <v>171</v>
      </c>
      <c r="E264" s="5" t="s">
        <v>629</v>
      </c>
      <c r="F264" s="5" t="str">
        <f t="shared" si="2"/>
        <v>Richardson</v>
      </c>
      <c r="G264" s="5" t="s">
        <v>629</v>
      </c>
      <c r="H264" s="6">
        <v>53.0</v>
      </c>
      <c r="I264" s="6">
        <f t="shared" si="3"/>
        <v>53</v>
      </c>
      <c r="J264" s="6">
        <v>53.0</v>
      </c>
      <c r="K264" s="6" t="str">
        <f t="shared" si="4"/>
        <v>Middle Age</v>
      </c>
      <c r="L264" s="6" t="s">
        <v>591</v>
      </c>
      <c r="M264" s="5" t="s">
        <v>152</v>
      </c>
      <c r="N264" s="5" t="str">
        <f t="shared" si="5"/>
        <v>Male</v>
      </c>
      <c r="O264" s="5" t="s">
        <v>152</v>
      </c>
      <c r="P264" s="5" t="s">
        <v>237</v>
      </c>
      <c r="Q264" s="5" t="s">
        <v>551</v>
      </c>
      <c r="R264" s="5" t="s">
        <v>83</v>
      </c>
      <c r="S264" s="5" t="s">
        <v>559</v>
      </c>
      <c r="T264" s="6">
        <v>2327.0</v>
      </c>
      <c r="U264" s="5">
        <f t="shared" si="6"/>
        <v>2327</v>
      </c>
      <c r="V264" s="5">
        <v>2327.0</v>
      </c>
    </row>
    <row r="265" ht="22.5" customHeight="1">
      <c r="A265" s="5" t="s">
        <v>1299</v>
      </c>
      <c r="B265" s="5" t="s">
        <v>763</v>
      </c>
      <c r="C265" s="5" t="str">
        <f t="shared" si="1"/>
        <v>Olivia</v>
      </c>
      <c r="D265" s="5" t="s">
        <v>820</v>
      </c>
      <c r="E265" s="5" t="s">
        <v>363</v>
      </c>
      <c r="F265" s="5" t="str">
        <f t="shared" si="2"/>
        <v>Smith</v>
      </c>
      <c r="G265" s="5" t="s">
        <v>363</v>
      </c>
      <c r="H265" s="6">
        <v>62.0</v>
      </c>
      <c r="I265" s="6">
        <f t="shared" si="3"/>
        <v>62</v>
      </c>
      <c r="J265" s="6">
        <v>62.0</v>
      </c>
      <c r="K265" s="6" t="str">
        <f t="shared" si="4"/>
        <v>Senior</v>
      </c>
      <c r="L265" s="6" t="s">
        <v>734</v>
      </c>
      <c r="M265" s="5" t="s">
        <v>105</v>
      </c>
      <c r="N265" s="5" t="str">
        <f t="shared" si="5"/>
        <v>Female</v>
      </c>
      <c r="O265" s="5" t="s">
        <v>105</v>
      </c>
      <c r="P265" s="5" t="s">
        <v>364</v>
      </c>
      <c r="Q265" s="5" t="s">
        <v>439</v>
      </c>
      <c r="R265" s="5" t="s">
        <v>210</v>
      </c>
      <c r="S265" s="5" t="s">
        <v>97</v>
      </c>
      <c r="T265" s="6">
        <v>1113.0</v>
      </c>
      <c r="U265" s="5">
        <f t="shared" si="6"/>
        <v>1113</v>
      </c>
      <c r="V265" s="5">
        <v>1113.0</v>
      </c>
    </row>
    <row r="266" ht="22.5" customHeight="1">
      <c r="A266" s="5" t="s">
        <v>1302</v>
      </c>
      <c r="B266" s="5" t="s">
        <v>531</v>
      </c>
      <c r="C266" s="5" t="str">
        <f t="shared" si="1"/>
        <v>Vanessa</v>
      </c>
      <c r="D266" s="5" t="s">
        <v>1945</v>
      </c>
      <c r="E266" s="5" t="s">
        <v>433</v>
      </c>
      <c r="F266" s="5" t="str">
        <f t="shared" si="2"/>
        <v>Volkov</v>
      </c>
      <c r="G266" s="5" t="s">
        <v>433</v>
      </c>
      <c r="H266" s="6">
        <v>34.0</v>
      </c>
      <c r="I266" s="6">
        <f t="shared" si="3"/>
        <v>34</v>
      </c>
      <c r="J266" s="6">
        <v>34.0</v>
      </c>
      <c r="K266" s="6" t="str">
        <f t="shared" si="4"/>
        <v>Young Adult</v>
      </c>
      <c r="L266" s="6" t="s">
        <v>528</v>
      </c>
      <c r="M266" s="5" t="s">
        <v>105</v>
      </c>
      <c r="N266" s="5" t="str">
        <f t="shared" si="5"/>
        <v>Female</v>
      </c>
      <c r="O266" s="5" t="s">
        <v>105</v>
      </c>
      <c r="P266" s="5" t="s">
        <v>309</v>
      </c>
      <c r="Q266" s="5" t="s">
        <v>637</v>
      </c>
      <c r="R266" s="5" t="s">
        <v>546</v>
      </c>
      <c r="S266" s="5" t="s">
        <v>222</v>
      </c>
      <c r="T266" s="6">
        <v>2969.0</v>
      </c>
      <c r="U266" s="5">
        <f t="shared" si="6"/>
        <v>2969</v>
      </c>
      <c r="V266" s="5">
        <v>2969.0</v>
      </c>
    </row>
    <row r="267" ht="22.5" customHeight="1">
      <c r="A267" s="5" t="s">
        <v>1305</v>
      </c>
      <c r="B267" s="5" t="s">
        <v>1306</v>
      </c>
      <c r="C267" s="5" t="str">
        <f t="shared" si="1"/>
        <v>Rob</v>
      </c>
      <c r="D267" s="5" t="s">
        <v>1518</v>
      </c>
      <c r="E267" s="5" t="s">
        <v>128</v>
      </c>
      <c r="F267" s="5" t="str">
        <f t="shared" si="2"/>
        <v>Rodriguez</v>
      </c>
      <c r="G267" s="5" t="s">
        <v>128</v>
      </c>
      <c r="H267" s="6">
        <v>53.0</v>
      </c>
      <c r="I267" s="6">
        <f t="shared" si="3"/>
        <v>53</v>
      </c>
      <c r="J267" s="6">
        <v>53.0</v>
      </c>
      <c r="K267" s="6" t="str">
        <f t="shared" si="4"/>
        <v>Middle Age</v>
      </c>
      <c r="L267" s="6" t="s">
        <v>591</v>
      </c>
      <c r="M267" s="5" t="s">
        <v>130</v>
      </c>
      <c r="N267" s="5" t="str">
        <f t="shared" si="5"/>
        <v>Male</v>
      </c>
      <c r="O267" s="5" t="s">
        <v>152</v>
      </c>
      <c r="P267" s="5" t="s">
        <v>47</v>
      </c>
      <c r="Q267" s="5" t="s">
        <v>164</v>
      </c>
      <c r="R267" s="5" t="s">
        <v>96</v>
      </c>
      <c r="S267" s="5" t="s">
        <v>559</v>
      </c>
      <c r="T267" s="6">
        <v>777.0</v>
      </c>
      <c r="U267" s="5">
        <f t="shared" si="6"/>
        <v>777</v>
      </c>
      <c r="V267" s="5">
        <v>777.0</v>
      </c>
    </row>
    <row r="268" ht="22.5" customHeight="1">
      <c r="A268" s="5" t="s">
        <v>1309</v>
      </c>
      <c r="B268" s="5" t="s">
        <v>74</v>
      </c>
      <c r="C268" s="5" t="str">
        <f t="shared" si="1"/>
        <v>Harry</v>
      </c>
      <c r="D268" s="5" t="s">
        <v>689</v>
      </c>
      <c r="E268" s="5" t="s">
        <v>25</v>
      </c>
      <c r="F268" s="5" t="str">
        <f t="shared" si="2"/>
        <v>Garcia</v>
      </c>
      <c r="G268" s="5" t="s">
        <v>25</v>
      </c>
      <c r="H268" s="6">
        <v>66.0</v>
      </c>
      <c r="I268" s="6">
        <f t="shared" si="3"/>
        <v>66</v>
      </c>
      <c r="J268" s="6">
        <v>66.0</v>
      </c>
      <c r="K268" s="6" t="str">
        <f t="shared" si="4"/>
        <v>Senior</v>
      </c>
      <c r="L268" s="6" t="s">
        <v>734</v>
      </c>
      <c r="M268" s="5" t="s">
        <v>130</v>
      </c>
      <c r="N268" s="5" t="str">
        <f t="shared" si="5"/>
        <v>Male</v>
      </c>
      <c r="O268" s="5" t="s">
        <v>152</v>
      </c>
      <c r="P268" s="5" t="s">
        <v>256</v>
      </c>
      <c r="Q268" s="5" t="s">
        <v>439</v>
      </c>
      <c r="R268" s="5" t="s">
        <v>210</v>
      </c>
      <c r="S268" s="5" t="s">
        <v>97</v>
      </c>
      <c r="T268" s="6">
        <v>664.0</v>
      </c>
      <c r="U268" s="5">
        <f t="shared" si="6"/>
        <v>664</v>
      </c>
      <c r="V268" s="5">
        <v>664.0</v>
      </c>
    </row>
    <row r="269" ht="22.5" customHeight="1">
      <c r="A269" s="5" t="s">
        <v>1311</v>
      </c>
      <c r="B269" s="5" t="s">
        <v>171</v>
      </c>
      <c r="C269" s="5" t="str">
        <f t="shared" si="1"/>
        <v>Frank</v>
      </c>
      <c r="D269" s="5" t="s">
        <v>171</v>
      </c>
      <c r="E269" s="5" t="s">
        <v>1312</v>
      </c>
      <c r="F269" s="5" t="str">
        <f t="shared" si="2"/>
        <v>Miller</v>
      </c>
      <c r="G269" s="5" t="s">
        <v>374</v>
      </c>
      <c r="H269" s="6">
        <v>40.0</v>
      </c>
      <c r="I269" s="6">
        <f t="shared" si="3"/>
        <v>40</v>
      </c>
      <c r="J269" s="6">
        <v>40.0</v>
      </c>
      <c r="K269" s="6" t="str">
        <f t="shared" si="4"/>
        <v>Young Adult</v>
      </c>
      <c r="L269" s="6" t="s">
        <v>528</v>
      </c>
      <c r="M269" s="5" t="s">
        <v>130</v>
      </c>
      <c r="N269" s="5" t="str">
        <f t="shared" si="5"/>
        <v>Male</v>
      </c>
      <c r="O269" s="5" t="s">
        <v>152</v>
      </c>
      <c r="P269" s="5" t="s">
        <v>364</v>
      </c>
      <c r="Q269" s="5" t="s">
        <v>470</v>
      </c>
      <c r="R269" s="5" t="s">
        <v>96</v>
      </c>
      <c r="S269" s="5" t="s">
        <v>222</v>
      </c>
      <c r="T269" s="6">
        <v>640.0</v>
      </c>
      <c r="U269" s="5">
        <f t="shared" si="6"/>
        <v>640</v>
      </c>
      <c r="V269" s="5">
        <v>640.0</v>
      </c>
    </row>
    <row r="270" ht="22.5" customHeight="1">
      <c r="A270" s="5" t="s">
        <v>1314</v>
      </c>
      <c r="B270" s="5" t="s">
        <v>898</v>
      </c>
      <c r="C270" s="5" t="str">
        <f t="shared" si="1"/>
        <v>Tina</v>
      </c>
      <c r="D270" s="5" t="s">
        <v>898</v>
      </c>
      <c r="E270" s="5" t="s">
        <v>128</v>
      </c>
      <c r="F270" s="5" t="str">
        <f t="shared" si="2"/>
        <v>Rodriguez</v>
      </c>
      <c r="G270" s="5" t="s">
        <v>128</v>
      </c>
      <c r="H270" s="6">
        <v>999.0</v>
      </c>
      <c r="I270" s="6">
        <f t="shared" si="3"/>
        <v>999</v>
      </c>
      <c r="J270" s="6"/>
      <c r="K270" s="6" t="str">
        <f t="shared" si="4"/>
        <v>Unknown</v>
      </c>
      <c r="L270" s="6" t="s">
        <v>1081</v>
      </c>
      <c r="M270" s="5" t="s">
        <v>105</v>
      </c>
      <c r="N270" s="5" t="str">
        <f t="shared" si="5"/>
        <v>Female</v>
      </c>
      <c r="O270" s="5" t="s">
        <v>105</v>
      </c>
      <c r="P270" s="5" t="s">
        <v>107</v>
      </c>
      <c r="Q270" s="5" t="s">
        <v>576</v>
      </c>
      <c r="R270" s="5" t="s">
        <v>607</v>
      </c>
      <c r="S270" s="5" t="s">
        <v>97</v>
      </c>
      <c r="T270" s="6">
        <v>3050.0</v>
      </c>
      <c r="U270" s="5">
        <f t="shared" si="6"/>
        <v>3050</v>
      </c>
      <c r="V270" s="5">
        <v>3050.0</v>
      </c>
    </row>
    <row r="271" ht="22.5" customHeight="1">
      <c r="A271" s="5" t="s">
        <v>1317</v>
      </c>
      <c r="B271" s="5" t="s">
        <v>158</v>
      </c>
      <c r="C271" s="5" t="str">
        <f t="shared" si="1"/>
        <v>Eva</v>
      </c>
      <c r="D271" s="5" t="s">
        <v>158</v>
      </c>
      <c r="E271" s="5" t="s">
        <v>76</v>
      </c>
      <c r="F271" s="5" t="str">
        <f t="shared" si="2"/>
        <v>Brown</v>
      </c>
      <c r="G271" s="5" t="s">
        <v>76</v>
      </c>
      <c r="H271" s="6">
        <v>81.0</v>
      </c>
      <c r="I271" s="6">
        <f t="shared" si="3"/>
        <v>81</v>
      </c>
      <c r="J271" s="6">
        <v>81.0</v>
      </c>
      <c r="K271" s="6" t="str">
        <f t="shared" si="4"/>
        <v>Senior</v>
      </c>
      <c r="L271" s="6" t="s">
        <v>734</v>
      </c>
      <c r="M271" s="5" t="s">
        <v>28</v>
      </c>
      <c r="N271" s="5" t="str">
        <f t="shared" si="5"/>
        <v>Female</v>
      </c>
      <c r="O271" s="5" t="s">
        <v>105</v>
      </c>
      <c r="P271" s="5" t="s">
        <v>237</v>
      </c>
      <c r="Q271" s="5" t="s">
        <v>489</v>
      </c>
      <c r="R271" s="5" t="s">
        <v>179</v>
      </c>
      <c r="S271" s="5" t="s">
        <v>97</v>
      </c>
      <c r="T271" s="6">
        <v>4021.0</v>
      </c>
      <c r="U271" s="5">
        <f t="shared" si="6"/>
        <v>4021</v>
      </c>
      <c r="V271" s="5">
        <v>4021.0</v>
      </c>
    </row>
    <row r="272" ht="22.5" customHeight="1">
      <c r="A272" s="5" t="s">
        <v>1321</v>
      </c>
      <c r="B272" s="5" t="s">
        <v>368</v>
      </c>
      <c r="C272" s="5" t="str">
        <f t="shared" si="1"/>
        <v>Grace</v>
      </c>
      <c r="D272" s="5" t="s">
        <v>368</v>
      </c>
      <c r="E272" s="5" t="s">
        <v>1322</v>
      </c>
      <c r="F272" s="5" t="str">
        <f t="shared" si="2"/>
        <v>Jiang</v>
      </c>
      <c r="G272" s="5" t="s">
        <v>1322</v>
      </c>
      <c r="H272" s="6">
        <v>34.0</v>
      </c>
      <c r="I272" s="6">
        <f t="shared" si="3"/>
        <v>34</v>
      </c>
      <c r="J272" s="6">
        <v>34.0</v>
      </c>
      <c r="K272" s="6" t="str">
        <f t="shared" si="4"/>
        <v>Young Adult</v>
      </c>
      <c r="L272" s="6" t="s">
        <v>528</v>
      </c>
      <c r="M272" s="5" t="s">
        <v>45</v>
      </c>
      <c r="N272" s="5" t="str">
        <f t="shared" si="5"/>
        <v>Female</v>
      </c>
      <c r="O272" s="5" t="s">
        <v>105</v>
      </c>
      <c r="P272" s="5" t="s">
        <v>393</v>
      </c>
      <c r="Q272" s="5" t="s">
        <v>551</v>
      </c>
      <c r="R272" s="5" t="s">
        <v>96</v>
      </c>
      <c r="S272" s="5" t="s">
        <v>52</v>
      </c>
      <c r="T272" s="6">
        <v>527.0</v>
      </c>
      <c r="U272" s="5">
        <f t="shared" si="6"/>
        <v>527</v>
      </c>
      <c r="V272" s="5">
        <v>527.0</v>
      </c>
    </row>
    <row r="273" ht="22.5" customHeight="1">
      <c r="A273" s="5" t="s">
        <v>1324</v>
      </c>
      <c r="B273" s="5" t="s">
        <v>1326</v>
      </c>
      <c r="C273" s="5" t="str">
        <f t="shared" si="1"/>
        <v>Kevin</v>
      </c>
      <c r="D273" s="5" t="s">
        <v>1347</v>
      </c>
      <c r="E273" s="5" t="s">
        <v>324</v>
      </c>
      <c r="F273" s="5" t="str">
        <f t="shared" si="2"/>
        <v>Cooper</v>
      </c>
      <c r="G273" s="5" t="s">
        <v>324</v>
      </c>
      <c r="H273" s="6">
        <v>88.0</v>
      </c>
      <c r="I273" s="6">
        <f t="shared" si="3"/>
        <v>88</v>
      </c>
      <c r="J273" s="6">
        <v>88.0</v>
      </c>
      <c r="K273" s="6" t="str">
        <f t="shared" si="4"/>
        <v>Senior</v>
      </c>
      <c r="L273" s="6" t="s">
        <v>734</v>
      </c>
      <c r="M273" s="5" t="s">
        <v>80</v>
      </c>
      <c r="N273" s="5" t="str">
        <f t="shared" si="5"/>
        <v>Male</v>
      </c>
      <c r="O273" s="5" t="s">
        <v>152</v>
      </c>
      <c r="P273" s="5" t="s">
        <v>176</v>
      </c>
      <c r="Q273" s="5" t="s">
        <v>311</v>
      </c>
      <c r="R273" s="5" t="s">
        <v>546</v>
      </c>
      <c r="S273" s="5" t="s">
        <v>97</v>
      </c>
      <c r="T273" s="6">
        <v>1758.0</v>
      </c>
      <c r="U273" s="5">
        <f t="shared" si="6"/>
        <v>1758</v>
      </c>
      <c r="V273" s="5">
        <v>1758.0</v>
      </c>
    </row>
    <row r="274" ht="22.5" customHeight="1">
      <c r="A274" s="5" t="s">
        <v>1328</v>
      </c>
      <c r="B274" s="5" t="s">
        <v>1329</v>
      </c>
      <c r="C274" s="5" t="str">
        <f t="shared" si="1"/>
        <v>Timothy</v>
      </c>
      <c r="D274" s="5" t="s">
        <v>1329</v>
      </c>
      <c r="E274" s="5" t="s">
        <v>25</v>
      </c>
      <c r="F274" s="5" t="str">
        <f t="shared" si="2"/>
        <v>Garcia</v>
      </c>
      <c r="G274" s="5" t="s">
        <v>25</v>
      </c>
      <c r="H274" s="8"/>
      <c r="I274" s="8">
        <f t="shared" si="3"/>
        <v>0</v>
      </c>
      <c r="J274" s="8"/>
      <c r="K274" s="8" t="str">
        <f t="shared" si="4"/>
        <v>Unknown</v>
      </c>
      <c r="L274" s="8" t="s">
        <v>1081</v>
      </c>
      <c r="M274" s="5" t="s">
        <v>130</v>
      </c>
      <c r="N274" s="5" t="str">
        <f t="shared" si="5"/>
        <v>Male</v>
      </c>
      <c r="O274" s="5" t="s">
        <v>152</v>
      </c>
      <c r="P274" s="5" t="s">
        <v>376</v>
      </c>
      <c r="Q274" s="5" t="s">
        <v>311</v>
      </c>
      <c r="R274" s="5" t="s">
        <v>96</v>
      </c>
      <c r="S274" s="5" t="s">
        <v>211</v>
      </c>
      <c r="T274" s="6">
        <v>821.0</v>
      </c>
      <c r="U274" s="5">
        <f t="shared" si="6"/>
        <v>821</v>
      </c>
      <c r="V274" s="5">
        <v>821.0</v>
      </c>
    </row>
    <row r="275" ht="22.5" customHeight="1">
      <c r="A275" s="5" t="s">
        <v>1332</v>
      </c>
      <c r="B275" s="5" t="s">
        <v>127</v>
      </c>
      <c r="C275" s="5" t="str">
        <f t="shared" si="1"/>
        <v>John</v>
      </c>
      <c r="D275" s="5" t="s">
        <v>127</v>
      </c>
      <c r="E275" s="5" t="s">
        <v>959</v>
      </c>
      <c r="F275" s="5" t="str">
        <f t="shared" si="2"/>
        <v>Glover</v>
      </c>
      <c r="G275" s="5" t="s">
        <v>959</v>
      </c>
      <c r="H275" s="6">
        <v>85.0</v>
      </c>
      <c r="I275" s="6">
        <f t="shared" si="3"/>
        <v>85</v>
      </c>
      <c r="J275" s="6">
        <v>85.0</v>
      </c>
      <c r="K275" s="6" t="str">
        <f t="shared" si="4"/>
        <v>Senior</v>
      </c>
      <c r="L275" s="6" t="s">
        <v>734</v>
      </c>
      <c r="M275" s="5" t="s">
        <v>130</v>
      </c>
      <c r="N275" s="5" t="str">
        <f t="shared" si="5"/>
        <v>Male</v>
      </c>
      <c r="O275" s="5" t="s">
        <v>152</v>
      </c>
      <c r="P275" s="5" t="s">
        <v>30</v>
      </c>
      <c r="Q275" s="5" t="s">
        <v>311</v>
      </c>
      <c r="R275" s="5" t="s">
        <v>546</v>
      </c>
      <c r="S275" s="5" t="s">
        <v>97</v>
      </c>
      <c r="T275" s="6">
        <v>2294.0</v>
      </c>
      <c r="U275" s="5">
        <f t="shared" si="6"/>
        <v>2294</v>
      </c>
      <c r="V275" s="5">
        <v>2294.0</v>
      </c>
    </row>
    <row r="276" ht="22.5" customHeight="1">
      <c r="A276" s="5" t="s">
        <v>1336</v>
      </c>
      <c r="B276" s="5" t="s">
        <v>100</v>
      </c>
      <c r="C276" s="5" t="str">
        <f t="shared" si="1"/>
        <v>Nancy</v>
      </c>
      <c r="D276" s="5" t="s">
        <v>764</v>
      </c>
      <c r="E276" s="5" t="s">
        <v>363</v>
      </c>
      <c r="F276" s="5" t="str">
        <f t="shared" si="2"/>
        <v>Smith</v>
      </c>
      <c r="G276" s="5" t="s">
        <v>363</v>
      </c>
      <c r="H276" s="6">
        <v>76.0</v>
      </c>
      <c r="I276" s="6">
        <f t="shared" si="3"/>
        <v>76</v>
      </c>
      <c r="J276" s="6">
        <v>76.0</v>
      </c>
      <c r="K276" s="6" t="str">
        <f t="shared" si="4"/>
        <v>Senior</v>
      </c>
      <c r="L276" s="6" t="s">
        <v>734</v>
      </c>
      <c r="M276" s="5" t="s">
        <v>130</v>
      </c>
      <c r="N276" s="5" t="str">
        <f t="shared" si="5"/>
        <v>Male</v>
      </c>
      <c r="O276" s="5" t="s">
        <v>152</v>
      </c>
      <c r="P276" s="5" t="s">
        <v>30</v>
      </c>
      <c r="Q276" s="5" t="s">
        <v>377</v>
      </c>
      <c r="R276" s="5" t="s">
        <v>96</v>
      </c>
      <c r="S276" s="5" t="s">
        <v>97</v>
      </c>
      <c r="T276" s="6">
        <v>479.0</v>
      </c>
      <c r="U276" s="5">
        <f t="shared" si="6"/>
        <v>479</v>
      </c>
      <c r="V276" s="5">
        <v>479.0</v>
      </c>
    </row>
    <row r="277" ht="22.5" customHeight="1">
      <c r="A277" s="5" t="s">
        <v>1339</v>
      </c>
      <c r="B277" s="5" t="s">
        <v>542</v>
      </c>
      <c r="C277" s="5" t="str">
        <f t="shared" si="1"/>
        <v>David</v>
      </c>
      <c r="D277" s="5" t="s">
        <v>542</v>
      </c>
      <c r="E277" s="5" t="s">
        <v>428</v>
      </c>
      <c r="F277" s="5" t="str">
        <f t="shared" si="2"/>
        <v>Bush</v>
      </c>
      <c r="G277" s="5" t="s">
        <v>428</v>
      </c>
      <c r="H277" s="6">
        <v>38.0</v>
      </c>
      <c r="I277" s="6">
        <f t="shared" si="3"/>
        <v>38</v>
      </c>
      <c r="J277" s="6">
        <v>38.0</v>
      </c>
      <c r="K277" s="6" t="str">
        <f t="shared" si="4"/>
        <v>Young Adult</v>
      </c>
      <c r="L277" s="6" t="s">
        <v>528</v>
      </c>
      <c r="M277" s="5" t="s">
        <v>45</v>
      </c>
      <c r="N277" s="5" t="str">
        <f t="shared" si="5"/>
        <v>Female</v>
      </c>
      <c r="O277" s="5" t="s">
        <v>105</v>
      </c>
      <c r="P277" s="5" t="s">
        <v>571</v>
      </c>
      <c r="Q277" s="5" t="s">
        <v>32</v>
      </c>
      <c r="R277" s="5" t="s">
        <v>83</v>
      </c>
      <c r="S277" s="5" t="s">
        <v>52</v>
      </c>
      <c r="T277" s="6">
        <v>2061.0</v>
      </c>
      <c r="U277" s="5">
        <f t="shared" si="6"/>
        <v>2061</v>
      </c>
      <c r="V277" s="5">
        <v>2061.0</v>
      </c>
    </row>
    <row r="278" ht="22.5" customHeight="1">
      <c r="A278" s="5" t="s">
        <v>1341</v>
      </c>
      <c r="B278" s="5" t="s">
        <v>937</v>
      </c>
      <c r="C278" s="5" t="str">
        <f t="shared" si="1"/>
        <v>Sally</v>
      </c>
      <c r="D278" s="5" t="s">
        <v>831</v>
      </c>
      <c r="E278" s="5" t="s">
        <v>1017</v>
      </c>
      <c r="F278" s="5" t="str">
        <f t="shared" si="2"/>
        <v>Young</v>
      </c>
      <c r="G278" s="5" t="s">
        <v>159</v>
      </c>
      <c r="H278" s="6">
        <v>89.0</v>
      </c>
      <c r="I278" s="6">
        <f t="shared" si="3"/>
        <v>89</v>
      </c>
      <c r="J278" s="6">
        <v>89.0</v>
      </c>
      <c r="K278" s="6" t="str">
        <f t="shared" si="4"/>
        <v>Senior</v>
      </c>
      <c r="L278" s="6" t="s">
        <v>734</v>
      </c>
      <c r="M278" s="5" t="s">
        <v>28</v>
      </c>
      <c r="N278" s="5" t="str">
        <f t="shared" si="5"/>
        <v>Female</v>
      </c>
      <c r="O278" s="5" t="s">
        <v>105</v>
      </c>
      <c r="P278" s="5" t="s">
        <v>256</v>
      </c>
      <c r="Q278" s="5" t="s">
        <v>669</v>
      </c>
      <c r="R278" s="5" t="s">
        <v>452</v>
      </c>
      <c r="S278" s="5" t="s">
        <v>97</v>
      </c>
      <c r="T278" s="6">
        <v>2605.0</v>
      </c>
      <c r="U278" s="5">
        <f t="shared" si="6"/>
        <v>2605</v>
      </c>
      <c r="V278" s="5">
        <v>2605.0</v>
      </c>
    </row>
    <row r="279" ht="22.5" customHeight="1">
      <c r="A279" s="5" t="s">
        <v>1345</v>
      </c>
      <c r="B279" s="5" t="s">
        <v>1347</v>
      </c>
      <c r="C279" s="5" t="str">
        <f t="shared" si="1"/>
        <v>Kevin</v>
      </c>
      <c r="D279" s="5" t="s">
        <v>1347</v>
      </c>
      <c r="E279" s="5" t="s">
        <v>1124</v>
      </c>
      <c r="F279" s="5" t="str">
        <f t="shared" si="2"/>
        <v>Chan</v>
      </c>
      <c r="G279" s="5" t="s">
        <v>806</v>
      </c>
      <c r="H279" s="6">
        <v>48.0</v>
      </c>
      <c r="I279" s="6">
        <f t="shared" si="3"/>
        <v>48</v>
      </c>
      <c r="J279" s="6">
        <v>48.0</v>
      </c>
      <c r="K279" s="6" t="str">
        <f t="shared" si="4"/>
        <v>Middle Age</v>
      </c>
      <c r="L279" s="6" t="s">
        <v>591</v>
      </c>
      <c r="M279" s="5" t="s">
        <v>130</v>
      </c>
      <c r="N279" s="5" t="str">
        <f t="shared" si="5"/>
        <v>Male</v>
      </c>
      <c r="O279" s="5" t="s">
        <v>152</v>
      </c>
      <c r="P279" s="5" t="s">
        <v>268</v>
      </c>
      <c r="Q279" s="5" t="s">
        <v>123</v>
      </c>
      <c r="R279" s="5" t="s">
        <v>83</v>
      </c>
      <c r="S279" s="5" t="s">
        <v>559</v>
      </c>
      <c r="T279" s="6">
        <v>2959.0</v>
      </c>
      <c r="U279" s="5">
        <f t="shared" si="6"/>
        <v>2959</v>
      </c>
      <c r="V279" s="5">
        <v>2959.0</v>
      </c>
    </row>
    <row r="280" ht="22.5" customHeight="1">
      <c r="A280" s="5" t="s">
        <v>1350</v>
      </c>
      <c r="B280" s="5" t="s">
        <v>1115</v>
      </c>
      <c r="C280" s="5" t="str">
        <f t="shared" si="1"/>
        <v>Olvia</v>
      </c>
      <c r="D280" s="5" t="s">
        <v>3107</v>
      </c>
      <c r="E280" s="5" t="s">
        <v>128</v>
      </c>
      <c r="F280" s="5" t="str">
        <f t="shared" si="2"/>
        <v>Rodriguez</v>
      </c>
      <c r="G280" s="5" t="s">
        <v>128</v>
      </c>
      <c r="H280" s="6">
        <v>42.0</v>
      </c>
      <c r="I280" s="6">
        <f t="shared" si="3"/>
        <v>42</v>
      </c>
      <c r="J280" s="6">
        <v>42.0</v>
      </c>
      <c r="K280" s="6" t="str">
        <f t="shared" si="4"/>
        <v>Middle Age</v>
      </c>
      <c r="L280" s="6" t="s">
        <v>591</v>
      </c>
      <c r="M280" s="5" t="s">
        <v>105</v>
      </c>
      <c r="N280" s="5" t="str">
        <f t="shared" si="5"/>
        <v>Female</v>
      </c>
      <c r="O280" s="5" t="s">
        <v>105</v>
      </c>
      <c r="P280" s="5" t="s">
        <v>393</v>
      </c>
      <c r="Q280" s="5" t="s">
        <v>470</v>
      </c>
      <c r="R280" s="5" t="s">
        <v>179</v>
      </c>
      <c r="S280" s="5" t="s">
        <v>211</v>
      </c>
      <c r="T280" s="6">
        <v>4342.0</v>
      </c>
      <c r="U280" s="5">
        <f t="shared" si="6"/>
        <v>4342</v>
      </c>
      <c r="V280" s="5">
        <v>4342.0</v>
      </c>
    </row>
    <row r="281" ht="22.5" customHeight="1">
      <c r="A281" s="5" t="s">
        <v>1352</v>
      </c>
      <c r="B281" s="5" t="s">
        <v>569</v>
      </c>
      <c r="C281" s="5" t="str">
        <f t="shared" si="1"/>
        <v>Daniella</v>
      </c>
      <c r="D281" s="5" t="s">
        <v>2589</v>
      </c>
      <c r="E281" s="5" t="s">
        <v>42</v>
      </c>
      <c r="F281" s="5" t="str">
        <f t="shared" si="2"/>
        <v>Lopez</v>
      </c>
      <c r="G281" s="5" t="s">
        <v>42</v>
      </c>
      <c r="H281" s="6">
        <v>18.0</v>
      </c>
      <c r="I281" s="6">
        <f t="shared" si="3"/>
        <v>18</v>
      </c>
      <c r="J281" s="6">
        <v>18.0</v>
      </c>
      <c r="K281" s="6" t="str">
        <f t="shared" si="4"/>
        <v>Young Adult</v>
      </c>
      <c r="L281" s="6" t="s">
        <v>528</v>
      </c>
      <c r="M281" s="5" t="s">
        <v>105</v>
      </c>
      <c r="N281" s="5" t="str">
        <f t="shared" si="5"/>
        <v>Female</v>
      </c>
      <c r="O281" s="5" t="s">
        <v>105</v>
      </c>
      <c r="P281" s="5" t="s">
        <v>30</v>
      </c>
      <c r="Q281" s="5" t="s">
        <v>489</v>
      </c>
      <c r="R281" s="5" t="s">
        <v>179</v>
      </c>
      <c r="S281" s="5" t="s">
        <v>559</v>
      </c>
      <c r="T281" s="6">
        <v>4999.0</v>
      </c>
      <c r="U281" s="5">
        <f t="shared" si="6"/>
        <v>4999</v>
      </c>
      <c r="V281" s="5">
        <v>4999.0</v>
      </c>
    </row>
    <row r="282" ht="22.5" customHeight="1">
      <c r="A282" s="5" t="s">
        <v>1353</v>
      </c>
      <c r="B282" s="5" t="s">
        <v>127</v>
      </c>
      <c r="C282" s="5" t="str">
        <f t="shared" si="1"/>
        <v>John</v>
      </c>
      <c r="D282" s="5" t="s">
        <v>127</v>
      </c>
      <c r="E282" s="5" t="s">
        <v>244</v>
      </c>
      <c r="F282" s="5" t="str">
        <f t="shared" si="2"/>
        <v>Jackson</v>
      </c>
      <c r="G282" s="5" t="s">
        <v>244</v>
      </c>
      <c r="H282" s="6">
        <v>67.0</v>
      </c>
      <c r="I282" s="6">
        <f t="shared" si="3"/>
        <v>67</v>
      </c>
      <c r="J282" s="6">
        <v>67.0</v>
      </c>
      <c r="K282" s="6" t="str">
        <f t="shared" si="4"/>
        <v>Senior</v>
      </c>
      <c r="L282" s="6" t="s">
        <v>734</v>
      </c>
      <c r="M282" s="5" t="s">
        <v>130</v>
      </c>
      <c r="N282" s="5" t="str">
        <f t="shared" si="5"/>
        <v>Male</v>
      </c>
      <c r="O282" s="5" t="s">
        <v>152</v>
      </c>
      <c r="P282" s="5" t="s">
        <v>47</v>
      </c>
      <c r="Q282" s="5" t="s">
        <v>470</v>
      </c>
      <c r="R282" s="5" t="s">
        <v>179</v>
      </c>
      <c r="S282" s="5" t="s">
        <v>97</v>
      </c>
      <c r="T282" s="6">
        <v>4308.0</v>
      </c>
      <c r="U282" s="5">
        <f t="shared" si="6"/>
        <v>4308</v>
      </c>
      <c r="V282" s="5">
        <v>4308.0</v>
      </c>
    </row>
    <row r="283" ht="22.5" customHeight="1">
      <c r="A283" s="5" t="s">
        <v>1356</v>
      </c>
      <c r="B283" s="5" t="s">
        <v>307</v>
      </c>
      <c r="C283" s="5" t="str">
        <f t="shared" si="1"/>
        <v>Hannah</v>
      </c>
      <c r="D283" s="5" t="s">
        <v>307</v>
      </c>
      <c r="E283" s="5" t="s">
        <v>495</v>
      </c>
      <c r="F283" s="5" t="str">
        <f t="shared" si="2"/>
        <v>Sharp</v>
      </c>
      <c r="G283" s="5" t="s">
        <v>495</v>
      </c>
      <c r="H283" s="6">
        <v>25.0</v>
      </c>
      <c r="I283" s="6">
        <f t="shared" si="3"/>
        <v>25</v>
      </c>
      <c r="J283" s="6">
        <v>25.0</v>
      </c>
      <c r="K283" s="6" t="str">
        <f t="shared" si="4"/>
        <v>Young Adult</v>
      </c>
      <c r="L283" s="6" t="s">
        <v>528</v>
      </c>
      <c r="M283" s="5" t="s">
        <v>105</v>
      </c>
      <c r="N283" s="5" t="str">
        <f t="shared" si="5"/>
        <v>Female</v>
      </c>
      <c r="O283" s="5" t="s">
        <v>105</v>
      </c>
      <c r="P283" s="5" t="s">
        <v>237</v>
      </c>
      <c r="Q283" s="5" t="s">
        <v>164</v>
      </c>
      <c r="R283" s="5" t="s">
        <v>452</v>
      </c>
      <c r="S283" s="5" t="s">
        <v>211</v>
      </c>
      <c r="T283" s="6">
        <v>4999.0</v>
      </c>
      <c r="U283" s="5">
        <f t="shared" si="6"/>
        <v>4999</v>
      </c>
      <c r="V283" s="5">
        <v>4999.0</v>
      </c>
    </row>
    <row r="284" ht="22.5" customHeight="1">
      <c r="A284" s="5" t="s">
        <v>1357</v>
      </c>
      <c r="B284" s="5" t="s">
        <v>136</v>
      </c>
      <c r="C284" s="5" t="str">
        <f t="shared" si="1"/>
        <v>Alice</v>
      </c>
      <c r="D284" s="5" t="s">
        <v>136</v>
      </c>
      <c r="E284" s="5" t="s">
        <v>301</v>
      </c>
      <c r="F284" s="5" t="str">
        <f t="shared" si="2"/>
        <v>Lee</v>
      </c>
      <c r="G284" s="5" t="s">
        <v>301</v>
      </c>
      <c r="H284" s="6">
        <v>33.0</v>
      </c>
      <c r="I284" s="6">
        <f t="shared" si="3"/>
        <v>33</v>
      </c>
      <c r="J284" s="6">
        <v>33.0</v>
      </c>
      <c r="K284" s="6" t="str">
        <f t="shared" si="4"/>
        <v>Young Adult</v>
      </c>
      <c r="L284" s="6" t="s">
        <v>528</v>
      </c>
      <c r="M284" s="5" t="s">
        <v>28</v>
      </c>
      <c r="N284" s="5" t="str">
        <f t="shared" si="5"/>
        <v>Female</v>
      </c>
      <c r="O284" s="5" t="s">
        <v>105</v>
      </c>
      <c r="P284" s="5" t="s">
        <v>364</v>
      </c>
      <c r="Q284" s="5" t="s">
        <v>418</v>
      </c>
      <c r="R284" s="5" t="s">
        <v>210</v>
      </c>
      <c r="S284" s="5" t="s">
        <v>52</v>
      </c>
      <c r="T284" s="6">
        <v>612.0</v>
      </c>
      <c r="U284" s="5">
        <f t="shared" si="6"/>
        <v>612</v>
      </c>
      <c r="V284" s="5">
        <v>612.0</v>
      </c>
    </row>
    <row r="285" ht="22.5" customHeight="1">
      <c r="A285" s="5" t="s">
        <v>1358</v>
      </c>
      <c r="B285" s="5" t="s">
        <v>723</v>
      </c>
      <c r="C285" s="5" t="str">
        <f t="shared" si="1"/>
        <v>Jasmine</v>
      </c>
      <c r="D285" s="5" t="s">
        <v>624</v>
      </c>
      <c r="E285" s="5" t="s">
        <v>128</v>
      </c>
      <c r="F285" s="5" t="str">
        <f t="shared" si="2"/>
        <v>Rodriguez</v>
      </c>
      <c r="G285" s="5" t="s">
        <v>128</v>
      </c>
      <c r="H285" s="6">
        <v>80.0</v>
      </c>
      <c r="I285" s="6">
        <f t="shared" si="3"/>
        <v>80</v>
      </c>
      <c r="J285" s="6">
        <v>80.0</v>
      </c>
      <c r="K285" s="6" t="str">
        <f t="shared" si="4"/>
        <v>Senior</v>
      </c>
      <c r="L285" s="6" t="s">
        <v>734</v>
      </c>
      <c r="M285" s="5" t="s">
        <v>45</v>
      </c>
      <c r="N285" s="5" t="str">
        <f t="shared" si="5"/>
        <v>Female</v>
      </c>
      <c r="O285" s="5" t="s">
        <v>105</v>
      </c>
      <c r="P285" s="5" t="s">
        <v>141</v>
      </c>
      <c r="Q285" s="5" t="s">
        <v>1290</v>
      </c>
      <c r="R285" s="5" t="s">
        <v>533</v>
      </c>
      <c r="S285" s="5" t="s">
        <v>97</v>
      </c>
      <c r="T285" s="6">
        <v>1728.0</v>
      </c>
      <c r="U285" s="5">
        <f t="shared" si="6"/>
        <v>1728</v>
      </c>
      <c r="V285" s="5">
        <v>1728.0</v>
      </c>
    </row>
    <row r="286" ht="22.5" customHeight="1">
      <c r="A286" s="5" t="s">
        <v>1360</v>
      </c>
      <c r="B286" s="5" t="s">
        <v>486</v>
      </c>
      <c r="C286" s="5" t="str">
        <f t="shared" si="1"/>
        <v>Michelle</v>
      </c>
      <c r="D286" s="5" t="s">
        <v>620</v>
      </c>
      <c r="E286" s="5" t="s">
        <v>1361</v>
      </c>
      <c r="F286" s="5" t="str">
        <f t="shared" si="2"/>
        <v>Richardson</v>
      </c>
      <c r="G286" s="5" t="s">
        <v>629</v>
      </c>
      <c r="H286" s="6">
        <v>73.0</v>
      </c>
      <c r="I286" s="6">
        <f t="shared" si="3"/>
        <v>73</v>
      </c>
      <c r="J286" s="6">
        <v>73.0</v>
      </c>
      <c r="K286" s="6" t="str">
        <f t="shared" si="4"/>
        <v>Senior</v>
      </c>
      <c r="L286" s="6" t="s">
        <v>734</v>
      </c>
      <c r="M286" s="5" t="s">
        <v>45</v>
      </c>
      <c r="N286" s="5" t="str">
        <f t="shared" si="5"/>
        <v>Female</v>
      </c>
      <c r="O286" s="5" t="s">
        <v>105</v>
      </c>
      <c r="P286" s="5" t="s">
        <v>47</v>
      </c>
      <c r="Q286" s="5" t="s">
        <v>470</v>
      </c>
      <c r="R286" s="5" t="s">
        <v>179</v>
      </c>
      <c r="S286" s="5" t="s">
        <v>97</v>
      </c>
      <c r="T286" s="6">
        <v>3988.0</v>
      </c>
      <c r="U286" s="5">
        <f t="shared" si="6"/>
        <v>3988</v>
      </c>
      <c r="V286" s="5">
        <v>3988.0</v>
      </c>
    </row>
    <row r="287" ht="22.5" customHeight="1">
      <c r="A287" s="5" t="s">
        <v>1364</v>
      </c>
      <c r="B287" s="5" t="s">
        <v>307</v>
      </c>
      <c r="C287" s="5" t="str">
        <f t="shared" si="1"/>
        <v>Hannah</v>
      </c>
      <c r="D287" s="5" t="s">
        <v>307</v>
      </c>
      <c r="E287" s="5" t="s">
        <v>90</v>
      </c>
      <c r="F287" s="5" t="str">
        <f t="shared" si="2"/>
        <v>Davis</v>
      </c>
      <c r="G287" s="5" t="s">
        <v>90</v>
      </c>
      <c r="H287" s="6">
        <v>68.0</v>
      </c>
      <c r="I287" s="6">
        <f t="shared" si="3"/>
        <v>68</v>
      </c>
      <c r="J287" s="6">
        <v>68.0</v>
      </c>
      <c r="K287" s="6" t="str">
        <f t="shared" si="4"/>
        <v>Senior</v>
      </c>
      <c r="L287" s="6" t="s">
        <v>734</v>
      </c>
      <c r="M287" s="5" t="s">
        <v>105</v>
      </c>
      <c r="N287" s="5" t="str">
        <f t="shared" si="5"/>
        <v>Female</v>
      </c>
      <c r="O287" s="5" t="s">
        <v>105</v>
      </c>
      <c r="P287" s="5" t="s">
        <v>47</v>
      </c>
      <c r="Q287" s="5" t="s">
        <v>377</v>
      </c>
      <c r="R287" s="5" t="s">
        <v>96</v>
      </c>
      <c r="S287" s="5" t="s">
        <v>97</v>
      </c>
      <c r="T287" s="6">
        <v>617.0</v>
      </c>
      <c r="U287" s="5">
        <f t="shared" si="6"/>
        <v>617</v>
      </c>
      <c r="V287" s="5">
        <v>617.0</v>
      </c>
    </row>
    <row r="288" ht="22.5" customHeight="1">
      <c r="A288" s="5" t="s">
        <v>1367</v>
      </c>
      <c r="B288" s="5" t="s">
        <v>696</v>
      </c>
      <c r="C288" s="5" t="str">
        <f t="shared" si="1"/>
        <v>Charlie</v>
      </c>
      <c r="D288" s="5" t="s">
        <v>696</v>
      </c>
      <c r="E288" s="5" t="s">
        <v>128</v>
      </c>
      <c r="F288" s="5" t="str">
        <f t="shared" si="2"/>
        <v>Rodriguez</v>
      </c>
      <c r="G288" s="5" t="s">
        <v>128</v>
      </c>
      <c r="H288" s="6">
        <v>32.0</v>
      </c>
      <c r="I288" s="6">
        <f t="shared" si="3"/>
        <v>32</v>
      </c>
      <c r="J288" s="6">
        <v>32.0</v>
      </c>
      <c r="K288" s="6" t="str">
        <f t="shared" si="4"/>
        <v>Young Adult</v>
      </c>
      <c r="L288" s="6" t="s">
        <v>528</v>
      </c>
      <c r="M288" s="5" t="s">
        <v>130</v>
      </c>
      <c r="N288" s="5" t="str">
        <f t="shared" si="5"/>
        <v>Male</v>
      </c>
      <c r="O288" s="5" t="s">
        <v>152</v>
      </c>
      <c r="P288" s="5" t="s">
        <v>571</v>
      </c>
      <c r="Q288" s="5" t="s">
        <v>470</v>
      </c>
      <c r="R288" s="5" t="s">
        <v>96</v>
      </c>
      <c r="S288" s="5" t="s">
        <v>222</v>
      </c>
      <c r="T288" s="6">
        <v>798.0</v>
      </c>
      <c r="U288" s="5">
        <f t="shared" si="6"/>
        <v>798</v>
      </c>
      <c r="V288" s="5">
        <v>798.0</v>
      </c>
    </row>
    <row r="289" ht="22.5" customHeight="1">
      <c r="A289" s="5" t="s">
        <v>1369</v>
      </c>
      <c r="B289" s="5" t="s">
        <v>645</v>
      </c>
      <c r="C289" s="5" t="str">
        <f t="shared" si="1"/>
        <v>Josephine</v>
      </c>
      <c r="D289" s="5" t="s">
        <v>1939</v>
      </c>
      <c r="E289" s="5" t="s">
        <v>148</v>
      </c>
      <c r="F289" s="5" t="str">
        <f t="shared" si="2"/>
        <v>Johnson</v>
      </c>
      <c r="G289" s="5" t="s">
        <v>148</v>
      </c>
      <c r="H289" s="6">
        <v>30.0</v>
      </c>
      <c r="I289" s="6">
        <f t="shared" si="3"/>
        <v>30</v>
      </c>
      <c r="J289" s="6">
        <v>30.0</v>
      </c>
      <c r="K289" s="6" t="str">
        <f t="shared" si="4"/>
        <v>Young Adult</v>
      </c>
      <c r="L289" s="6" t="s">
        <v>528</v>
      </c>
      <c r="M289" s="5" t="s">
        <v>28</v>
      </c>
      <c r="N289" s="5" t="str">
        <f t="shared" si="5"/>
        <v>Female</v>
      </c>
      <c r="O289" s="5" t="s">
        <v>105</v>
      </c>
      <c r="P289" s="5" t="s">
        <v>571</v>
      </c>
      <c r="Q289" s="5" t="s">
        <v>164</v>
      </c>
      <c r="R289" s="5" t="s">
        <v>607</v>
      </c>
      <c r="S289" s="5" t="s">
        <v>559</v>
      </c>
      <c r="T289" s="6">
        <v>1891.0</v>
      </c>
      <c r="U289" s="5">
        <f t="shared" si="6"/>
        <v>1891</v>
      </c>
      <c r="V289" s="5">
        <v>1891.0</v>
      </c>
    </row>
    <row r="290" ht="22.5" customHeight="1">
      <c r="A290" s="5" t="s">
        <v>1372</v>
      </c>
      <c r="B290" s="5" t="s">
        <v>343</v>
      </c>
      <c r="C290" s="5" t="str">
        <f t="shared" si="1"/>
        <v>Bob</v>
      </c>
      <c r="D290" s="5" t="s">
        <v>343</v>
      </c>
      <c r="E290" s="5" t="s">
        <v>363</v>
      </c>
      <c r="F290" s="5" t="str">
        <f t="shared" si="2"/>
        <v>Smith</v>
      </c>
      <c r="G290" s="5" t="s">
        <v>363</v>
      </c>
      <c r="H290" s="6">
        <v>63.0</v>
      </c>
      <c r="I290" s="6">
        <f t="shared" si="3"/>
        <v>63</v>
      </c>
      <c r="J290" s="6">
        <v>63.0</v>
      </c>
      <c r="K290" s="6" t="str">
        <f t="shared" si="4"/>
        <v>Senior</v>
      </c>
      <c r="L290" s="6" t="s">
        <v>734</v>
      </c>
      <c r="M290" s="5" t="s">
        <v>130</v>
      </c>
      <c r="N290" s="5" t="str">
        <f t="shared" si="5"/>
        <v>Male</v>
      </c>
      <c r="O290" s="5" t="s">
        <v>152</v>
      </c>
      <c r="P290" s="5" t="s">
        <v>30</v>
      </c>
      <c r="Q290" s="5" t="s">
        <v>164</v>
      </c>
      <c r="R290" s="5" t="s">
        <v>607</v>
      </c>
      <c r="S290" s="5" t="s">
        <v>97</v>
      </c>
      <c r="T290" s="6">
        <v>1577.0</v>
      </c>
      <c r="U290" s="5">
        <f t="shared" si="6"/>
        <v>1577</v>
      </c>
      <c r="V290" s="5">
        <v>1577.0</v>
      </c>
    </row>
    <row r="291" ht="22.5" customHeight="1">
      <c r="A291" s="5" t="s">
        <v>1374</v>
      </c>
      <c r="B291" s="5" t="s">
        <v>784</v>
      </c>
      <c r="C291" s="5" t="str">
        <f t="shared" si="1"/>
        <v>Louis</v>
      </c>
      <c r="D291" s="5" t="s">
        <v>1656</v>
      </c>
      <c r="E291" s="5" t="s">
        <v>428</v>
      </c>
      <c r="F291" s="5" t="str">
        <f t="shared" si="2"/>
        <v>Bush</v>
      </c>
      <c r="G291" s="5" t="s">
        <v>428</v>
      </c>
      <c r="H291" s="6">
        <v>40.0</v>
      </c>
      <c r="I291" s="6">
        <f t="shared" si="3"/>
        <v>40</v>
      </c>
      <c r="J291" s="6">
        <v>40.0</v>
      </c>
      <c r="K291" s="6" t="str">
        <f t="shared" si="4"/>
        <v>Young Adult</v>
      </c>
      <c r="L291" s="6" t="s">
        <v>528</v>
      </c>
      <c r="M291" s="5" t="s">
        <v>80</v>
      </c>
      <c r="N291" s="5" t="str">
        <f t="shared" si="5"/>
        <v>Male</v>
      </c>
      <c r="O291" s="5" t="s">
        <v>152</v>
      </c>
      <c r="P291" s="5" t="s">
        <v>47</v>
      </c>
      <c r="Q291" s="5" t="s">
        <v>377</v>
      </c>
      <c r="R291" s="5" t="s">
        <v>96</v>
      </c>
      <c r="S291" s="5" t="s">
        <v>211</v>
      </c>
      <c r="T291" s="6">
        <v>430.0</v>
      </c>
      <c r="U291" s="5">
        <f t="shared" si="6"/>
        <v>430</v>
      </c>
      <c r="V291" s="5">
        <v>430.0</v>
      </c>
    </row>
    <row r="292" ht="22.5" customHeight="1">
      <c r="A292" s="5" t="s">
        <v>1377</v>
      </c>
      <c r="B292" s="5" t="s">
        <v>171</v>
      </c>
      <c r="C292" s="5" t="str">
        <f t="shared" si="1"/>
        <v>Frank</v>
      </c>
      <c r="D292" s="5" t="s">
        <v>171</v>
      </c>
      <c r="E292" s="5" t="s">
        <v>324</v>
      </c>
      <c r="F292" s="5" t="str">
        <f t="shared" si="2"/>
        <v>Cooper</v>
      </c>
      <c r="G292" s="5" t="s">
        <v>324</v>
      </c>
      <c r="H292" s="6">
        <v>68.0</v>
      </c>
      <c r="I292" s="6">
        <f t="shared" si="3"/>
        <v>68</v>
      </c>
      <c r="J292" s="6">
        <v>68.0</v>
      </c>
      <c r="K292" s="6" t="str">
        <f t="shared" si="4"/>
        <v>Senior</v>
      </c>
      <c r="L292" s="6" t="s">
        <v>734</v>
      </c>
      <c r="M292" s="5" t="s">
        <v>80</v>
      </c>
      <c r="N292" s="5" t="str">
        <f t="shared" si="5"/>
        <v>Male</v>
      </c>
      <c r="O292" s="5" t="s">
        <v>152</v>
      </c>
      <c r="P292" s="5" t="s">
        <v>47</v>
      </c>
      <c r="Q292" s="5" t="s">
        <v>164</v>
      </c>
      <c r="R292" s="5" t="s">
        <v>607</v>
      </c>
      <c r="S292" s="5" t="s">
        <v>97</v>
      </c>
      <c r="T292" s="6">
        <v>2014.0</v>
      </c>
      <c r="U292" s="5">
        <f t="shared" si="6"/>
        <v>2014</v>
      </c>
      <c r="V292" s="5">
        <v>2014.0</v>
      </c>
    </row>
    <row r="293" ht="22.5" customHeight="1">
      <c r="A293" s="5" t="s">
        <v>1380</v>
      </c>
      <c r="B293" s="5" t="s">
        <v>542</v>
      </c>
      <c r="C293" s="5" t="str">
        <f t="shared" si="1"/>
        <v>David</v>
      </c>
      <c r="D293" s="5" t="s">
        <v>542</v>
      </c>
      <c r="E293" s="5" t="s">
        <v>526</v>
      </c>
      <c r="F293" s="5" t="str">
        <f t="shared" si="2"/>
        <v>Davidson</v>
      </c>
      <c r="G293" s="5" t="s">
        <v>526</v>
      </c>
      <c r="H293" s="6">
        <v>54.0</v>
      </c>
      <c r="I293" s="6">
        <f t="shared" si="3"/>
        <v>54</v>
      </c>
      <c r="J293" s="6">
        <v>54.0</v>
      </c>
      <c r="K293" s="6" t="str">
        <f t="shared" si="4"/>
        <v>Middle Age</v>
      </c>
      <c r="L293" s="6" t="s">
        <v>591</v>
      </c>
      <c r="M293" s="5" t="s">
        <v>80</v>
      </c>
      <c r="N293" s="5" t="str">
        <f t="shared" si="5"/>
        <v>Male</v>
      </c>
      <c r="O293" s="5" t="s">
        <v>152</v>
      </c>
      <c r="P293" s="5" t="s">
        <v>571</v>
      </c>
      <c r="Q293" s="5" t="s">
        <v>164</v>
      </c>
      <c r="R293" s="5" t="s">
        <v>452</v>
      </c>
      <c r="S293" s="5" t="s">
        <v>222</v>
      </c>
      <c r="T293" s="6">
        <v>3439.0</v>
      </c>
      <c r="U293" s="5">
        <f t="shared" si="6"/>
        <v>3439</v>
      </c>
      <c r="V293" s="5">
        <v>3439.0</v>
      </c>
    </row>
    <row r="294" ht="22.5" customHeight="1">
      <c r="A294" s="5" t="s">
        <v>1384</v>
      </c>
      <c r="B294" s="5" t="s">
        <v>292</v>
      </c>
      <c r="C294" s="5" t="str">
        <f t="shared" si="1"/>
        <v>Ava</v>
      </c>
      <c r="D294" s="5" t="s">
        <v>865</v>
      </c>
      <c r="E294" s="5" t="s">
        <v>216</v>
      </c>
      <c r="F294" s="5" t="str">
        <f t="shared" si="2"/>
        <v>Williams</v>
      </c>
      <c r="G294" s="5" t="s">
        <v>216</v>
      </c>
      <c r="H294" s="6">
        <v>74.0</v>
      </c>
      <c r="I294" s="6">
        <f t="shared" si="3"/>
        <v>74</v>
      </c>
      <c r="J294" s="6">
        <v>74.0</v>
      </c>
      <c r="K294" s="6" t="str">
        <f t="shared" si="4"/>
        <v>Senior</v>
      </c>
      <c r="L294" s="6" t="s">
        <v>734</v>
      </c>
      <c r="M294" s="5" t="s">
        <v>105</v>
      </c>
      <c r="N294" s="5" t="str">
        <f t="shared" si="5"/>
        <v>Female</v>
      </c>
      <c r="O294" s="5" t="s">
        <v>105</v>
      </c>
      <c r="P294" s="5" t="s">
        <v>393</v>
      </c>
      <c r="Q294" s="5" t="s">
        <v>669</v>
      </c>
      <c r="R294" s="5" t="s">
        <v>452</v>
      </c>
      <c r="S294" s="5" t="s">
        <v>97</v>
      </c>
      <c r="T294" s="6">
        <v>3190.0</v>
      </c>
      <c r="U294" s="5">
        <f t="shared" si="6"/>
        <v>3190</v>
      </c>
      <c r="V294" s="5">
        <v>3190.0</v>
      </c>
    </row>
    <row r="295" ht="22.5" customHeight="1">
      <c r="A295" s="5" t="s">
        <v>1387</v>
      </c>
      <c r="B295" s="5" t="s">
        <v>772</v>
      </c>
      <c r="C295" s="5" t="str">
        <f t="shared" si="1"/>
        <v>Ian</v>
      </c>
      <c r="D295" s="5" t="s">
        <v>877</v>
      </c>
      <c r="E295" s="5" t="s">
        <v>159</v>
      </c>
      <c r="F295" s="5" t="str">
        <f t="shared" si="2"/>
        <v>Young</v>
      </c>
      <c r="G295" s="5" t="s">
        <v>159</v>
      </c>
      <c r="H295" s="6">
        <v>20.0</v>
      </c>
      <c r="I295" s="6">
        <f t="shared" si="3"/>
        <v>20</v>
      </c>
      <c r="J295" s="6">
        <v>20.0</v>
      </c>
      <c r="K295" s="6" t="str">
        <f t="shared" si="4"/>
        <v>Young Adult</v>
      </c>
      <c r="L295" s="6" t="s">
        <v>528</v>
      </c>
      <c r="M295" s="5" t="s">
        <v>80</v>
      </c>
      <c r="N295" s="5" t="str">
        <f t="shared" si="5"/>
        <v>Male</v>
      </c>
      <c r="O295" s="5" t="s">
        <v>152</v>
      </c>
      <c r="P295" s="5" t="s">
        <v>393</v>
      </c>
      <c r="Q295" s="5" t="s">
        <v>123</v>
      </c>
      <c r="R295" s="5" t="s">
        <v>83</v>
      </c>
      <c r="S295" s="5" t="s">
        <v>559</v>
      </c>
      <c r="T295" s="6">
        <v>1324.0</v>
      </c>
      <c r="U295" s="5">
        <f t="shared" si="6"/>
        <v>1324</v>
      </c>
      <c r="V295" s="5">
        <v>1324.0</v>
      </c>
    </row>
    <row r="296" ht="22.5" customHeight="1">
      <c r="A296" s="5" t="s">
        <v>1389</v>
      </c>
      <c r="B296" s="5" t="s">
        <v>1391</v>
      </c>
      <c r="C296" s="5" t="str">
        <f t="shared" si="1"/>
        <v>Aidan</v>
      </c>
      <c r="D296" s="5" t="s">
        <v>1809</v>
      </c>
      <c r="E296" s="5" t="s">
        <v>128</v>
      </c>
      <c r="F296" s="5" t="str">
        <f t="shared" si="2"/>
        <v>Rodriguez</v>
      </c>
      <c r="G296" s="5" t="s">
        <v>128</v>
      </c>
      <c r="H296" s="6">
        <v>19.0</v>
      </c>
      <c r="I296" s="6">
        <f t="shared" si="3"/>
        <v>19</v>
      </c>
      <c r="J296" s="6">
        <v>19.0</v>
      </c>
      <c r="K296" s="6" t="str">
        <f t="shared" si="4"/>
        <v>Young Adult</v>
      </c>
      <c r="L296" s="6" t="s">
        <v>528</v>
      </c>
      <c r="M296" s="5" t="s">
        <v>80</v>
      </c>
      <c r="N296" s="5" t="str">
        <f t="shared" si="5"/>
        <v>Male</v>
      </c>
      <c r="O296" s="5" t="s">
        <v>152</v>
      </c>
      <c r="P296" s="5" t="s">
        <v>571</v>
      </c>
      <c r="Q296" s="5" t="s">
        <v>164</v>
      </c>
      <c r="R296" s="5" t="s">
        <v>607</v>
      </c>
      <c r="S296" s="5" t="s">
        <v>559</v>
      </c>
      <c r="T296" s="6">
        <v>1872.0</v>
      </c>
      <c r="U296" s="5">
        <f t="shared" si="6"/>
        <v>1872</v>
      </c>
      <c r="V296" s="5">
        <v>1872.0</v>
      </c>
    </row>
    <row r="297" ht="22.5" customHeight="1">
      <c r="A297" s="5" t="s">
        <v>1394</v>
      </c>
      <c r="B297" s="5" t="s">
        <v>1060</v>
      </c>
      <c r="C297" s="5" t="str">
        <f t="shared" si="1"/>
        <v>Tom</v>
      </c>
      <c r="D297" s="5" t="s">
        <v>1004</v>
      </c>
      <c r="E297" s="5" t="s">
        <v>515</v>
      </c>
      <c r="F297" s="5" t="str">
        <f t="shared" si="2"/>
        <v>Ng</v>
      </c>
      <c r="G297" s="5" t="s">
        <v>515</v>
      </c>
      <c r="H297" s="6">
        <v>86.0</v>
      </c>
      <c r="I297" s="6">
        <f t="shared" si="3"/>
        <v>86</v>
      </c>
      <c r="J297" s="6">
        <v>86.0</v>
      </c>
      <c r="K297" s="6" t="str">
        <f t="shared" si="4"/>
        <v>Senior</v>
      </c>
      <c r="L297" s="6" t="s">
        <v>734</v>
      </c>
      <c r="M297" s="5" t="s">
        <v>130</v>
      </c>
      <c r="N297" s="5" t="str">
        <f t="shared" si="5"/>
        <v>Male</v>
      </c>
      <c r="O297" s="5" t="s">
        <v>152</v>
      </c>
      <c r="P297" s="5" t="s">
        <v>47</v>
      </c>
      <c r="Q297" s="5" t="s">
        <v>311</v>
      </c>
      <c r="R297" s="5" t="s">
        <v>546</v>
      </c>
      <c r="S297" s="5" t="s">
        <v>97</v>
      </c>
      <c r="T297" s="6">
        <v>2437.0</v>
      </c>
      <c r="U297" s="5">
        <f t="shared" si="6"/>
        <v>2437</v>
      </c>
      <c r="V297" s="5">
        <v>2437.0</v>
      </c>
    </row>
    <row r="298" ht="22.5" customHeight="1">
      <c r="A298" s="5" t="s">
        <v>1397</v>
      </c>
      <c r="B298" s="5" t="s">
        <v>422</v>
      </c>
      <c r="C298" s="5" t="str">
        <f t="shared" si="1"/>
        <v>Pauline</v>
      </c>
      <c r="D298" s="5" t="s">
        <v>1149</v>
      </c>
      <c r="E298" s="5" t="s">
        <v>713</v>
      </c>
      <c r="F298" s="5" t="str">
        <f t="shared" si="2"/>
        <v>White</v>
      </c>
      <c r="G298" s="5" t="s">
        <v>713</v>
      </c>
      <c r="H298" s="6">
        <v>35.0</v>
      </c>
      <c r="I298" s="6">
        <f t="shared" si="3"/>
        <v>35</v>
      </c>
      <c r="J298" s="6">
        <v>35.0</v>
      </c>
      <c r="K298" s="6" t="str">
        <f t="shared" si="4"/>
        <v>Young Adult</v>
      </c>
      <c r="L298" s="6" t="s">
        <v>528</v>
      </c>
      <c r="M298" s="5" t="s">
        <v>105</v>
      </c>
      <c r="N298" s="5" t="str">
        <f t="shared" si="5"/>
        <v>Female</v>
      </c>
      <c r="O298" s="5" t="s">
        <v>105</v>
      </c>
      <c r="P298" s="5" t="s">
        <v>364</v>
      </c>
      <c r="Q298" s="5" t="s">
        <v>669</v>
      </c>
      <c r="R298" s="5" t="s">
        <v>452</v>
      </c>
      <c r="S298" s="5" t="s">
        <v>559</v>
      </c>
      <c r="T298" s="6">
        <v>4255.0</v>
      </c>
      <c r="U298" s="5">
        <f t="shared" si="6"/>
        <v>4255</v>
      </c>
      <c r="V298" s="5">
        <v>4255.0</v>
      </c>
    </row>
    <row r="299" ht="22.5" customHeight="1">
      <c r="A299" s="5" t="s">
        <v>1400</v>
      </c>
      <c r="B299" s="5" t="s">
        <v>696</v>
      </c>
      <c r="C299" s="5" t="str">
        <f t="shared" si="1"/>
        <v>Charlie</v>
      </c>
      <c r="D299" s="5" t="s">
        <v>696</v>
      </c>
      <c r="E299" s="5" t="s">
        <v>159</v>
      </c>
      <c r="F299" s="5" t="str">
        <f t="shared" si="2"/>
        <v>Young</v>
      </c>
      <c r="G299" s="5" t="s">
        <v>159</v>
      </c>
      <c r="H299" s="6">
        <v>81.0</v>
      </c>
      <c r="I299" s="6">
        <f t="shared" si="3"/>
        <v>81</v>
      </c>
      <c r="J299" s="6">
        <v>81.0</v>
      </c>
      <c r="K299" s="6" t="str">
        <f t="shared" si="4"/>
        <v>Senior</v>
      </c>
      <c r="L299" s="6" t="s">
        <v>734</v>
      </c>
      <c r="M299" s="5" t="s">
        <v>152</v>
      </c>
      <c r="N299" s="5" t="str">
        <f t="shared" si="5"/>
        <v>Male</v>
      </c>
      <c r="O299" s="5" t="s">
        <v>152</v>
      </c>
      <c r="P299" s="5" t="s">
        <v>47</v>
      </c>
      <c r="Q299" s="5" t="s">
        <v>576</v>
      </c>
      <c r="R299" s="5" t="s">
        <v>607</v>
      </c>
      <c r="S299" s="5" t="s">
        <v>97</v>
      </c>
      <c r="T299" s="6">
        <v>2387.0</v>
      </c>
      <c r="U299" s="5">
        <f t="shared" si="6"/>
        <v>2387</v>
      </c>
      <c r="V299" s="5">
        <v>2387.0</v>
      </c>
    </row>
    <row r="300" ht="22.5" customHeight="1">
      <c r="A300" s="5" t="s">
        <v>1404</v>
      </c>
      <c r="B300" s="5" t="s">
        <v>127</v>
      </c>
      <c r="C300" s="5" t="str">
        <f t="shared" si="1"/>
        <v>John</v>
      </c>
      <c r="D300" s="5" t="s">
        <v>127</v>
      </c>
      <c r="E300" s="5" t="s">
        <v>1187</v>
      </c>
      <c r="F300" s="5" t="str">
        <f t="shared" si="2"/>
        <v>Martinez</v>
      </c>
      <c r="G300" s="5" t="s">
        <v>1187</v>
      </c>
      <c r="H300" s="6">
        <v>80.0</v>
      </c>
      <c r="I300" s="6">
        <f t="shared" si="3"/>
        <v>80</v>
      </c>
      <c r="J300" s="6">
        <v>80.0</v>
      </c>
      <c r="K300" s="6" t="str">
        <f t="shared" si="4"/>
        <v>Senior</v>
      </c>
      <c r="L300" s="6" t="s">
        <v>734</v>
      </c>
      <c r="M300" s="5" t="s">
        <v>80</v>
      </c>
      <c r="N300" s="5" t="str">
        <f t="shared" si="5"/>
        <v>Male</v>
      </c>
      <c r="O300" s="5" t="s">
        <v>152</v>
      </c>
      <c r="P300" s="5" t="s">
        <v>571</v>
      </c>
      <c r="Q300" s="5" t="s">
        <v>637</v>
      </c>
      <c r="R300" s="5" t="s">
        <v>546</v>
      </c>
      <c r="S300" s="5" t="s">
        <v>97</v>
      </c>
      <c r="T300" s="6">
        <v>50.0</v>
      </c>
      <c r="U300" s="5">
        <f t="shared" si="6"/>
        <v>50</v>
      </c>
      <c r="V300" s="5">
        <v>50.0</v>
      </c>
    </row>
    <row r="301" ht="22.5" customHeight="1">
      <c r="A301" s="5" t="s">
        <v>1406</v>
      </c>
      <c r="B301" s="5" t="s">
        <v>307</v>
      </c>
      <c r="C301" s="5" t="str">
        <f t="shared" si="1"/>
        <v>Hannah</v>
      </c>
      <c r="D301" s="5" t="s">
        <v>307</v>
      </c>
      <c r="E301" s="5" t="s">
        <v>374</v>
      </c>
      <c r="F301" s="5" t="str">
        <f t="shared" si="2"/>
        <v>Miller</v>
      </c>
      <c r="G301" s="5" t="s">
        <v>374</v>
      </c>
      <c r="H301" s="6">
        <v>29.0</v>
      </c>
      <c r="I301" s="6">
        <f t="shared" si="3"/>
        <v>29</v>
      </c>
      <c r="J301" s="6">
        <v>29.0</v>
      </c>
      <c r="K301" s="6" t="str">
        <f t="shared" si="4"/>
        <v>Young Adult</v>
      </c>
      <c r="L301" s="6" t="s">
        <v>528</v>
      </c>
      <c r="M301" s="5" t="s">
        <v>28</v>
      </c>
      <c r="N301" s="5" t="str">
        <f t="shared" si="5"/>
        <v>Female</v>
      </c>
      <c r="O301" s="5" t="s">
        <v>105</v>
      </c>
      <c r="P301" s="5" t="s">
        <v>401</v>
      </c>
      <c r="Q301" s="5" t="s">
        <v>489</v>
      </c>
      <c r="R301" s="5" t="s">
        <v>179</v>
      </c>
      <c r="S301" s="5" t="s">
        <v>559</v>
      </c>
      <c r="T301" s="6">
        <v>1737.0</v>
      </c>
      <c r="U301" s="5">
        <f t="shared" si="6"/>
        <v>1737</v>
      </c>
      <c r="V301" s="5">
        <v>1737.0</v>
      </c>
    </row>
    <row r="302" ht="22.5" customHeight="1">
      <c r="A302" s="5" t="s">
        <v>1408</v>
      </c>
      <c r="B302" s="5" t="s">
        <v>696</v>
      </c>
      <c r="C302" s="5" t="str">
        <f t="shared" si="1"/>
        <v>Charlie</v>
      </c>
      <c r="D302" s="5" t="s">
        <v>696</v>
      </c>
      <c r="E302" s="5" t="s">
        <v>172</v>
      </c>
      <c r="F302" s="5" t="str">
        <f t="shared" si="2"/>
        <v>Little</v>
      </c>
      <c r="G302" s="5" t="s">
        <v>172</v>
      </c>
      <c r="H302" s="6">
        <v>48.0</v>
      </c>
      <c r="I302" s="6">
        <f t="shared" si="3"/>
        <v>48</v>
      </c>
      <c r="J302" s="6">
        <v>48.0</v>
      </c>
      <c r="K302" s="6" t="str">
        <f t="shared" si="4"/>
        <v>Middle Age</v>
      </c>
      <c r="L302" s="6" t="s">
        <v>591</v>
      </c>
      <c r="M302" s="5" t="s">
        <v>105</v>
      </c>
      <c r="N302" s="5" t="str">
        <f t="shared" si="5"/>
        <v>Female</v>
      </c>
      <c r="O302" s="5" t="s">
        <v>105</v>
      </c>
      <c r="P302" s="5" t="s">
        <v>64</v>
      </c>
      <c r="Q302" s="5" t="s">
        <v>238</v>
      </c>
      <c r="R302" s="5" t="s">
        <v>533</v>
      </c>
      <c r="S302" s="5" t="s">
        <v>211</v>
      </c>
      <c r="T302" s="6">
        <v>771.0</v>
      </c>
      <c r="U302" s="5">
        <f t="shared" si="6"/>
        <v>771</v>
      </c>
      <c r="V302" s="5">
        <v>771.0</v>
      </c>
    </row>
    <row r="303" ht="22.5" customHeight="1">
      <c r="A303" s="5" t="s">
        <v>1411</v>
      </c>
      <c r="B303" s="5" t="s">
        <v>136</v>
      </c>
      <c r="C303" s="5" t="str">
        <f t="shared" si="1"/>
        <v>Alice</v>
      </c>
      <c r="D303" s="5" t="s">
        <v>136</v>
      </c>
      <c r="E303" s="5" t="s">
        <v>469</v>
      </c>
      <c r="F303" s="5" t="str">
        <f t="shared" si="2"/>
        <v>Perez</v>
      </c>
      <c r="G303" s="5" t="s">
        <v>469</v>
      </c>
      <c r="H303" s="6">
        <v>46.0</v>
      </c>
      <c r="I303" s="6">
        <f t="shared" si="3"/>
        <v>46</v>
      </c>
      <c r="J303" s="6">
        <v>46.0</v>
      </c>
      <c r="K303" s="6" t="str">
        <f t="shared" si="4"/>
        <v>Middle Age</v>
      </c>
      <c r="L303" s="6" t="s">
        <v>591</v>
      </c>
      <c r="M303" s="5" t="s">
        <v>45</v>
      </c>
      <c r="N303" s="5" t="str">
        <f t="shared" si="5"/>
        <v>Female</v>
      </c>
      <c r="O303" s="5" t="s">
        <v>105</v>
      </c>
      <c r="P303" s="5" t="s">
        <v>64</v>
      </c>
      <c r="Q303" s="5" t="s">
        <v>32</v>
      </c>
      <c r="R303" s="5" t="s">
        <v>83</v>
      </c>
      <c r="S303" s="5" t="s">
        <v>222</v>
      </c>
      <c r="T303" s="6">
        <v>1614.0</v>
      </c>
      <c r="U303" s="5">
        <f t="shared" si="6"/>
        <v>1614</v>
      </c>
      <c r="V303" s="5">
        <v>1614.0</v>
      </c>
    </row>
    <row r="304" ht="22.5" customHeight="1">
      <c r="A304" s="5" t="s">
        <v>1414</v>
      </c>
      <c r="B304" s="5" t="s">
        <v>1415</v>
      </c>
      <c r="C304" s="5" t="str">
        <f t="shared" si="1"/>
        <v>Ryan</v>
      </c>
      <c r="D304" s="5" t="s">
        <v>827</v>
      </c>
      <c r="E304" s="5" t="s">
        <v>244</v>
      </c>
      <c r="F304" s="5" t="str">
        <f t="shared" si="2"/>
        <v>Jackson</v>
      </c>
      <c r="G304" s="5" t="s">
        <v>244</v>
      </c>
      <c r="H304" s="6">
        <v>30.0</v>
      </c>
      <c r="I304" s="6">
        <f t="shared" si="3"/>
        <v>30</v>
      </c>
      <c r="J304" s="6">
        <v>30.0</v>
      </c>
      <c r="K304" s="6" t="str">
        <f t="shared" si="4"/>
        <v>Young Adult</v>
      </c>
      <c r="L304" s="6" t="s">
        <v>528</v>
      </c>
      <c r="M304" s="5" t="s">
        <v>80</v>
      </c>
      <c r="N304" s="5" t="str">
        <f t="shared" si="5"/>
        <v>Male</v>
      </c>
      <c r="O304" s="5" t="s">
        <v>152</v>
      </c>
      <c r="P304" s="5" t="s">
        <v>309</v>
      </c>
      <c r="Q304" s="5" t="s">
        <v>358</v>
      </c>
      <c r="R304" s="5" t="s">
        <v>561</v>
      </c>
      <c r="S304" s="5" t="s">
        <v>559</v>
      </c>
      <c r="T304" s="6">
        <v>1739.0</v>
      </c>
      <c r="U304" s="5">
        <f t="shared" si="6"/>
        <v>1739</v>
      </c>
      <c r="V304" s="5">
        <v>1739.0</v>
      </c>
    </row>
    <row r="305" ht="22.5" customHeight="1">
      <c r="A305" s="5" t="s">
        <v>1418</v>
      </c>
      <c r="B305" s="5" t="s">
        <v>1419</v>
      </c>
      <c r="C305" s="5" t="str">
        <f t="shared" si="1"/>
        <v>Nicholas</v>
      </c>
      <c r="D305" s="5" t="s">
        <v>2206</v>
      </c>
      <c r="E305" s="5" t="s">
        <v>254</v>
      </c>
      <c r="F305" s="5" t="str">
        <f t="shared" si="2"/>
        <v>Doe</v>
      </c>
      <c r="G305" s="5" t="s">
        <v>254</v>
      </c>
      <c r="H305" s="6">
        <v>68.0</v>
      </c>
      <c r="I305" s="6">
        <f t="shared" si="3"/>
        <v>68</v>
      </c>
      <c r="J305" s="6">
        <v>68.0</v>
      </c>
      <c r="K305" s="6" t="str">
        <f t="shared" si="4"/>
        <v>Senior</v>
      </c>
      <c r="L305" s="6" t="s">
        <v>734</v>
      </c>
      <c r="M305" s="5" t="s">
        <v>80</v>
      </c>
      <c r="N305" s="5" t="str">
        <f t="shared" si="5"/>
        <v>Male</v>
      </c>
      <c r="O305" s="5" t="s">
        <v>152</v>
      </c>
      <c r="P305" s="5" t="s">
        <v>47</v>
      </c>
      <c r="Q305" s="5" t="s">
        <v>377</v>
      </c>
      <c r="R305" s="5" t="s">
        <v>96</v>
      </c>
      <c r="S305" s="5" t="s">
        <v>97</v>
      </c>
      <c r="T305" s="6">
        <v>1139.0</v>
      </c>
      <c r="U305" s="5">
        <f t="shared" si="6"/>
        <v>1139</v>
      </c>
      <c r="V305" s="5">
        <v>1139.0</v>
      </c>
    </row>
    <row r="306" ht="22.5" customHeight="1">
      <c r="A306" s="5" t="s">
        <v>1421</v>
      </c>
      <c r="B306" s="5" t="s">
        <v>1422</v>
      </c>
      <c r="C306" s="5" t="str">
        <f t="shared" si="1"/>
        <v>Theresa</v>
      </c>
      <c r="D306" s="5" t="s">
        <v>3108</v>
      </c>
      <c r="E306" s="5" t="s">
        <v>244</v>
      </c>
      <c r="F306" s="5" t="str">
        <f t="shared" si="2"/>
        <v>Jackson</v>
      </c>
      <c r="G306" s="5" t="s">
        <v>244</v>
      </c>
      <c r="H306" s="6">
        <v>38.0</v>
      </c>
      <c r="I306" s="6">
        <f t="shared" si="3"/>
        <v>38</v>
      </c>
      <c r="J306" s="6">
        <v>38.0</v>
      </c>
      <c r="K306" s="6" t="str">
        <f t="shared" si="4"/>
        <v>Young Adult</v>
      </c>
      <c r="L306" s="6" t="s">
        <v>528</v>
      </c>
      <c r="M306" s="5" t="s">
        <v>45</v>
      </c>
      <c r="N306" s="5" t="str">
        <f t="shared" si="5"/>
        <v>Female</v>
      </c>
      <c r="O306" s="5" t="s">
        <v>105</v>
      </c>
      <c r="P306" s="5" t="s">
        <v>393</v>
      </c>
      <c r="Q306" s="5" t="s">
        <v>358</v>
      </c>
      <c r="R306" s="5" t="s">
        <v>561</v>
      </c>
      <c r="S306" s="5" t="s">
        <v>559</v>
      </c>
      <c r="T306" s="6">
        <v>3631.0</v>
      </c>
      <c r="U306" s="5">
        <f t="shared" si="6"/>
        <v>3631</v>
      </c>
      <c r="V306" s="5">
        <v>3631.0</v>
      </c>
    </row>
    <row r="307" ht="22.5" customHeight="1">
      <c r="A307" s="5" t="s">
        <v>1425</v>
      </c>
      <c r="B307" s="5" t="s">
        <v>171</v>
      </c>
      <c r="C307" s="5" t="str">
        <f t="shared" si="1"/>
        <v>Frank</v>
      </c>
      <c r="D307" s="5" t="s">
        <v>171</v>
      </c>
      <c r="E307" s="5" t="s">
        <v>148</v>
      </c>
      <c r="F307" s="5" t="str">
        <f t="shared" si="2"/>
        <v>Johnson</v>
      </c>
      <c r="G307" s="5" t="s">
        <v>148</v>
      </c>
      <c r="H307" s="8"/>
      <c r="I307" s="8">
        <f t="shared" si="3"/>
        <v>0</v>
      </c>
      <c r="J307" s="8"/>
      <c r="K307" s="8" t="str">
        <f t="shared" si="4"/>
        <v>Unknown</v>
      </c>
      <c r="L307" s="8" t="s">
        <v>1081</v>
      </c>
      <c r="M307" s="5" t="s">
        <v>80</v>
      </c>
      <c r="N307" s="5" t="str">
        <f t="shared" si="5"/>
        <v>Male</v>
      </c>
      <c r="O307" s="5" t="s">
        <v>152</v>
      </c>
      <c r="P307" s="5" t="s">
        <v>176</v>
      </c>
      <c r="Q307" s="5" t="s">
        <v>916</v>
      </c>
      <c r="R307" s="5" t="s">
        <v>402</v>
      </c>
      <c r="S307" s="5" t="s">
        <v>222</v>
      </c>
      <c r="T307" s="6">
        <v>2762.0</v>
      </c>
      <c r="U307" s="5">
        <f t="shared" si="6"/>
        <v>2762</v>
      </c>
      <c r="V307" s="5">
        <v>2762.0</v>
      </c>
    </row>
    <row r="308" ht="22.5" customHeight="1">
      <c r="A308" s="5" t="s">
        <v>1427</v>
      </c>
      <c r="B308" s="5" t="s">
        <v>689</v>
      </c>
      <c r="C308" s="5" t="str">
        <f t="shared" si="1"/>
        <v>Harry</v>
      </c>
      <c r="D308" s="5" t="s">
        <v>689</v>
      </c>
      <c r="E308" s="5" t="s">
        <v>363</v>
      </c>
      <c r="F308" s="5" t="str">
        <f t="shared" si="2"/>
        <v>Smith</v>
      </c>
      <c r="G308" s="5" t="s">
        <v>363</v>
      </c>
      <c r="H308" s="6">
        <v>83.0</v>
      </c>
      <c r="I308" s="6">
        <f t="shared" si="3"/>
        <v>83</v>
      </c>
      <c r="J308" s="6">
        <v>83.0</v>
      </c>
      <c r="K308" s="6" t="str">
        <f t="shared" si="4"/>
        <v>Senior</v>
      </c>
      <c r="L308" s="6" t="s">
        <v>734</v>
      </c>
      <c r="M308" s="5" t="s">
        <v>130</v>
      </c>
      <c r="N308" s="5" t="str">
        <f t="shared" si="5"/>
        <v>Male</v>
      </c>
      <c r="O308" s="5" t="s">
        <v>152</v>
      </c>
      <c r="P308" s="5" t="s">
        <v>131</v>
      </c>
      <c r="Q308" s="5" t="s">
        <v>482</v>
      </c>
      <c r="R308" s="5" t="s">
        <v>179</v>
      </c>
      <c r="S308" s="5" t="s">
        <v>97</v>
      </c>
      <c r="T308" s="6">
        <v>4104.0</v>
      </c>
      <c r="U308" s="5">
        <f t="shared" si="6"/>
        <v>4104</v>
      </c>
      <c r="V308" s="5">
        <v>4104.0</v>
      </c>
    </row>
    <row r="309" ht="22.5" customHeight="1">
      <c r="A309" s="5" t="s">
        <v>1430</v>
      </c>
      <c r="B309" s="5" t="s">
        <v>158</v>
      </c>
      <c r="C309" s="5" t="str">
        <f t="shared" si="1"/>
        <v>Eva</v>
      </c>
      <c r="D309" s="5" t="s">
        <v>158</v>
      </c>
      <c r="E309" s="5" t="s">
        <v>42</v>
      </c>
      <c r="F309" s="5" t="str">
        <f t="shared" si="2"/>
        <v>Lopez</v>
      </c>
      <c r="G309" s="5" t="s">
        <v>42</v>
      </c>
      <c r="H309" s="6">
        <v>27.0</v>
      </c>
      <c r="I309" s="6">
        <f t="shared" si="3"/>
        <v>27</v>
      </c>
      <c r="J309" s="6">
        <v>27.0</v>
      </c>
      <c r="K309" s="6" t="str">
        <f t="shared" si="4"/>
        <v>Young Adult</v>
      </c>
      <c r="L309" s="6" t="s">
        <v>528</v>
      </c>
      <c r="M309" s="5" t="s">
        <v>28</v>
      </c>
      <c r="N309" s="5" t="str">
        <f t="shared" si="5"/>
        <v>Female</v>
      </c>
      <c r="O309" s="5" t="s">
        <v>105</v>
      </c>
      <c r="P309" s="5" t="s">
        <v>47</v>
      </c>
      <c r="Q309" s="5" t="s">
        <v>439</v>
      </c>
      <c r="R309" s="5" t="s">
        <v>210</v>
      </c>
      <c r="S309" s="5" t="s">
        <v>52</v>
      </c>
      <c r="T309" s="6">
        <v>50.0</v>
      </c>
      <c r="U309" s="5">
        <f t="shared" si="6"/>
        <v>50</v>
      </c>
      <c r="V309" s="5">
        <v>50.0</v>
      </c>
    </row>
    <row r="310" ht="22.5" customHeight="1">
      <c r="A310" s="5" t="s">
        <v>1432</v>
      </c>
      <c r="B310" s="5" t="s">
        <v>763</v>
      </c>
      <c r="C310" s="5" t="str">
        <f t="shared" si="1"/>
        <v>Olivia</v>
      </c>
      <c r="D310" s="5" t="s">
        <v>820</v>
      </c>
      <c r="E310" s="5" t="s">
        <v>959</v>
      </c>
      <c r="F310" s="5" t="str">
        <f t="shared" si="2"/>
        <v>Glover</v>
      </c>
      <c r="G310" s="5" t="s">
        <v>959</v>
      </c>
      <c r="H310" s="6">
        <v>32.0</v>
      </c>
      <c r="I310" s="6">
        <f t="shared" si="3"/>
        <v>32</v>
      </c>
      <c r="J310" s="6">
        <v>32.0</v>
      </c>
      <c r="K310" s="6" t="str">
        <f t="shared" si="4"/>
        <v>Young Adult</v>
      </c>
      <c r="L310" s="6" t="s">
        <v>528</v>
      </c>
      <c r="M310" s="5" t="s">
        <v>28</v>
      </c>
      <c r="N310" s="5" t="str">
        <f t="shared" si="5"/>
        <v>Female</v>
      </c>
      <c r="O310" s="5" t="s">
        <v>105</v>
      </c>
      <c r="P310" s="5" t="s">
        <v>47</v>
      </c>
      <c r="Q310" s="5" t="s">
        <v>418</v>
      </c>
      <c r="R310" s="5" t="s">
        <v>210</v>
      </c>
      <c r="S310" s="5" t="s">
        <v>559</v>
      </c>
      <c r="T310" s="6">
        <v>1229.0</v>
      </c>
      <c r="U310" s="5">
        <f t="shared" si="6"/>
        <v>1229</v>
      </c>
      <c r="V310" s="5">
        <v>1229.0</v>
      </c>
    </row>
    <row r="311" ht="22.5" customHeight="1">
      <c r="A311" s="5" t="s">
        <v>1435</v>
      </c>
      <c r="B311" s="5" t="s">
        <v>368</v>
      </c>
      <c r="C311" s="5" t="str">
        <f t="shared" si="1"/>
        <v>Grace</v>
      </c>
      <c r="D311" s="5" t="s">
        <v>368</v>
      </c>
      <c r="E311" s="5" t="s">
        <v>254</v>
      </c>
      <c r="F311" s="5" t="str">
        <f t="shared" si="2"/>
        <v>Doe</v>
      </c>
      <c r="G311" s="5" t="s">
        <v>254</v>
      </c>
      <c r="H311" s="6">
        <v>56.0</v>
      </c>
      <c r="I311" s="6">
        <f t="shared" si="3"/>
        <v>56</v>
      </c>
      <c r="J311" s="6">
        <v>56.0</v>
      </c>
      <c r="K311" s="6" t="str">
        <f t="shared" si="4"/>
        <v>Middle Age</v>
      </c>
      <c r="L311" s="6" t="s">
        <v>591</v>
      </c>
      <c r="M311" s="5" t="s">
        <v>45</v>
      </c>
      <c r="N311" s="5" t="str">
        <f t="shared" si="5"/>
        <v>Female</v>
      </c>
      <c r="O311" s="5" t="s">
        <v>105</v>
      </c>
      <c r="P311" s="5" t="s">
        <v>256</v>
      </c>
      <c r="Q311" s="5" t="s">
        <v>238</v>
      </c>
      <c r="R311" s="5" t="s">
        <v>533</v>
      </c>
      <c r="S311" s="5" t="s">
        <v>52</v>
      </c>
      <c r="T311" s="6">
        <v>682.0</v>
      </c>
      <c r="U311" s="5">
        <f t="shared" si="6"/>
        <v>682</v>
      </c>
      <c r="V311" s="5">
        <v>682.0</v>
      </c>
    </row>
    <row r="312" ht="22.5" customHeight="1">
      <c r="A312" s="5" t="s">
        <v>1438</v>
      </c>
      <c r="B312" s="5" t="s">
        <v>1329</v>
      </c>
      <c r="C312" s="5" t="str">
        <f t="shared" si="1"/>
        <v>Timothy</v>
      </c>
      <c r="D312" s="5" t="s">
        <v>1329</v>
      </c>
      <c r="E312" s="5" t="s">
        <v>301</v>
      </c>
      <c r="F312" s="5" t="str">
        <f t="shared" si="2"/>
        <v>Lee</v>
      </c>
      <c r="G312" s="5" t="s">
        <v>301</v>
      </c>
      <c r="H312" s="6">
        <v>46.0</v>
      </c>
      <c r="I312" s="6">
        <f t="shared" si="3"/>
        <v>46</v>
      </c>
      <c r="J312" s="6">
        <v>46.0</v>
      </c>
      <c r="K312" s="6" t="str">
        <f t="shared" si="4"/>
        <v>Middle Age</v>
      </c>
      <c r="L312" s="6" t="s">
        <v>591</v>
      </c>
      <c r="M312" s="5" t="s">
        <v>80</v>
      </c>
      <c r="N312" s="5" t="str">
        <f t="shared" si="5"/>
        <v>Male</v>
      </c>
      <c r="O312" s="5" t="s">
        <v>152</v>
      </c>
      <c r="P312" s="5" t="s">
        <v>64</v>
      </c>
      <c r="Q312" s="5" t="s">
        <v>230</v>
      </c>
      <c r="R312" s="5" t="s">
        <v>452</v>
      </c>
      <c r="S312" s="5" t="s">
        <v>559</v>
      </c>
      <c r="T312" s="6">
        <v>4141.0</v>
      </c>
      <c r="U312" s="5">
        <f t="shared" si="6"/>
        <v>4141</v>
      </c>
      <c r="V312" s="5">
        <v>4141.0</v>
      </c>
    </row>
    <row r="313" ht="22.5" customHeight="1">
      <c r="A313" s="5" t="s">
        <v>1441</v>
      </c>
      <c r="B313" s="5" t="s">
        <v>343</v>
      </c>
      <c r="C313" s="5" t="str">
        <f t="shared" si="1"/>
        <v>Bob</v>
      </c>
      <c r="D313" s="5" t="s">
        <v>343</v>
      </c>
      <c r="E313" s="5" t="s">
        <v>713</v>
      </c>
      <c r="F313" s="5" t="str">
        <f t="shared" si="2"/>
        <v>White</v>
      </c>
      <c r="G313" s="5" t="s">
        <v>713</v>
      </c>
      <c r="H313" s="6">
        <v>70.0</v>
      </c>
      <c r="I313" s="6">
        <f t="shared" si="3"/>
        <v>70</v>
      </c>
      <c r="J313" s="6">
        <v>70.0</v>
      </c>
      <c r="K313" s="6" t="str">
        <f t="shared" si="4"/>
        <v>Senior</v>
      </c>
      <c r="L313" s="6" t="s">
        <v>734</v>
      </c>
      <c r="M313" s="5" t="s">
        <v>80</v>
      </c>
      <c r="N313" s="5" t="str">
        <f t="shared" si="5"/>
        <v>Male</v>
      </c>
      <c r="O313" s="5" t="s">
        <v>152</v>
      </c>
      <c r="P313" s="5" t="s">
        <v>256</v>
      </c>
      <c r="Q313" s="5" t="s">
        <v>551</v>
      </c>
      <c r="R313" s="5" t="s">
        <v>83</v>
      </c>
      <c r="S313" s="5" t="s">
        <v>97</v>
      </c>
      <c r="T313" s="6">
        <v>997.0</v>
      </c>
      <c r="U313" s="5">
        <f t="shared" si="6"/>
        <v>997</v>
      </c>
      <c r="V313" s="5">
        <v>997.0</v>
      </c>
    </row>
    <row r="314" ht="22.5" customHeight="1">
      <c r="A314" s="5" t="s">
        <v>1444</v>
      </c>
      <c r="B314" s="5" t="s">
        <v>620</v>
      </c>
      <c r="C314" s="5" t="str">
        <f t="shared" si="1"/>
        <v>Michelle</v>
      </c>
      <c r="D314" s="5" t="s">
        <v>620</v>
      </c>
      <c r="E314" s="5" t="s">
        <v>148</v>
      </c>
      <c r="F314" s="5" t="str">
        <f t="shared" si="2"/>
        <v>Johnson</v>
      </c>
      <c r="G314" s="5" t="s">
        <v>148</v>
      </c>
      <c r="H314" s="6">
        <v>20.0</v>
      </c>
      <c r="I314" s="6">
        <f t="shared" si="3"/>
        <v>20</v>
      </c>
      <c r="J314" s="6">
        <v>20.0</v>
      </c>
      <c r="K314" s="6" t="str">
        <f t="shared" si="4"/>
        <v>Young Adult</v>
      </c>
      <c r="L314" s="6" t="s">
        <v>528</v>
      </c>
      <c r="M314" s="5" t="s">
        <v>45</v>
      </c>
      <c r="N314" s="5" t="str">
        <f t="shared" si="5"/>
        <v>Female</v>
      </c>
      <c r="O314" s="5" t="s">
        <v>105</v>
      </c>
      <c r="P314" s="5" t="s">
        <v>571</v>
      </c>
      <c r="Q314" s="5" t="s">
        <v>164</v>
      </c>
      <c r="R314" s="5" t="s">
        <v>607</v>
      </c>
      <c r="S314" s="5" t="s">
        <v>52</v>
      </c>
      <c r="T314" s="6">
        <v>1740.0</v>
      </c>
      <c r="U314" s="5">
        <f t="shared" si="6"/>
        <v>1740</v>
      </c>
      <c r="V314" s="5">
        <v>1740.0</v>
      </c>
    </row>
    <row r="315" ht="22.5" customHeight="1">
      <c r="A315" s="5" t="s">
        <v>1447</v>
      </c>
      <c r="B315" s="5" t="s">
        <v>1294</v>
      </c>
      <c r="C315" s="5" t="str">
        <f t="shared" si="1"/>
        <v>Greg</v>
      </c>
      <c r="D315" s="5" t="s">
        <v>147</v>
      </c>
      <c r="E315" s="5" t="s">
        <v>61</v>
      </c>
      <c r="F315" s="5" t="str">
        <f t="shared" si="2"/>
        <v>Lee</v>
      </c>
      <c r="G315" s="5" t="s">
        <v>301</v>
      </c>
      <c r="H315" s="6">
        <v>26.0</v>
      </c>
      <c r="I315" s="6">
        <f t="shared" si="3"/>
        <v>26</v>
      </c>
      <c r="J315" s="6">
        <v>26.0</v>
      </c>
      <c r="K315" s="6" t="str">
        <f t="shared" si="4"/>
        <v>Young Adult</v>
      </c>
      <c r="L315" s="6" t="s">
        <v>528</v>
      </c>
      <c r="M315" s="5" t="s">
        <v>130</v>
      </c>
      <c r="N315" s="5" t="str">
        <f t="shared" si="5"/>
        <v>Male</v>
      </c>
      <c r="O315" s="5" t="s">
        <v>152</v>
      </c>
      <c r="P315" s="5" t="s">
        <v>64</v>
      </c>
      <c r="Q315" s="5" t="s">
        <v>470</v>
      </c>
      <c r="R315" s="5" t="s">
        <v>96</v>
      </c>
      <c r="S315" s="5" t="s">
        <v>211</v>
      </c>
      <c r="T315" s="6">
        <v>141.0</v>
      </c>
      <c r="U315" s="5">
        <f t="shared" si="6"/>
        <v>141</v>
      </c>
      <c r="V315" s="5">
        <v>141.0</v>
      </c>
    </row>
    <row r="316" ht="22.5" customHeight="1">
      <c r="A316" s="5" t="s">
        <v>1450</v>
      </c>
      <c r="B316" s="5" t="s">
        <v>127</v>
      </c>
      <c r="C316" s="5" t="str">
        <f t="shared" si="1"/>
        <v>John</v>
      </c>
      <c r="D316" s="5" t="s">
        <v>127</v>
      </c>
      <c r="E316" s="5" t="s">
        <v>1451</v>
      </c>
      <c r="F316" s="5" t="str">
        <f t="shared" si="2"/>
        <v>Baker</v>
      </c>
      <c r="G316" s="5" t="s">
        <v>316</v>
      </c>
      <c r="H316" s="6">
        <v>23.0</v>
      </c>
      <c r="I316" s="6">
        <f t="shared" si="3"/>
        <v>23</v>
      </c>
      <c r="J316" s="6">
        <v>23.0</v>
      </c>
      <c r="K316" s="6" t="str">
        <f t="shared" si="4"/>
        <v>Young Adult</v>
      </c>
      <c r="L316" s="6" t="s">
        <v>528</v>
      </c>
      <c r="M316" s="5" t="s">
        <v>80</v>
      </c>
      <c r="N316" s="5" t="str">
        <f t="shared" si="5"/>
        <v>Male</v>
      </c>
      <c r="O316" s="5" t="s">
        <v>152</v>
      </c>
      <c r="P316" s="5" t="s">
        <v>309</v>
      </c>
      <c r="Q316" s="5" t="s">
        <v>1290</v>
      </c>
      <c r="R316" s="5" t="s">
        <v>533</v>
      </c>
      <c r="S316" s="5" t="s">
        <v>52</v>
      </c>
      <c r="T316" s="6">
        <v>2073.0</v>
      </c>
      <c r="U316" s="5">
        <f t="shared" si="6"/>
        <v>2073</v>
      </c>
      <c r="V316" s="5">
        <v>2073.0</v>
      </c>
    </row>
    <row r="317" ht="22.5" customHeight="1">
      <c r="A317" s="5" t="s">
        <v>1454</v>
      </c>
      <c r="B317" s="5" t="s">
        <v>1455</v>
      </c>
      <c r="C317" s="5" t="str">
        <f t="shared" si="1"/>
        <v>Dale</v>
      </c>
      <c r="D317" s="5" t="s">
        <v>1875</v>
      </c>
      <c r="E317" s="5" t="s">
        <v>1322</v>
      </c>
      <c r="F317" s="5" t="str">
        <f t="shared" si="2"/>
        <v>Jiang</v>
      </c>
      <c r="G317" s="5" t="s">
        <v>1322</v>
      </c>
      <c r="H317" s="6">
        <v>35.0</v>
      </c>
      <c r="I317" s="6">
        <f t="shared" si="3"/>
        <v>35</v>
      </c>
      <c r="J317" s="6">
        <v>35.0</v>
      </c>
      <c r="K317" s="6" t="str">
        <f t="shared" si="4"/>
        <v>Young Adult</v>
      </c>
      <c r="L317" s="6" t="s">
        <v>528</v>
      </c>
      <c r="M317" s="5" t="s">
        <v>152</v>
      </c>
      <c r="N317" s="5" t="str">
        <f t="shared" si="5"/>
        <v>Male</v>
      </c>
      <c r="O317" s="5" t="s">
        <v>152</v>
      </c>
      <c r="P317" s="5" t="s">
        <v>208</v>
      </c>
      <c r="Q317" s="5" t="s">
        <v>470</v>
      </c>
      <c r="R317" s="5" t="s">
        <v>96</v>
      </c>
      <c r="S317" s="5" t="s">
        <v>559</v>
      </c>
      <c r="T317" s="6">
        <v>494.0</v>
      </c>
      <c r="U317" s="5">
        <f t="shared" si="6"/>
        <v>494</v>
      </c>
      <c r="V317" s="5">
        <v>494.0</v>
      </c>
    </row>
    <row r="318" ht="22.5" customHeight="1">
      <c r="A318" s="5" t="s">
        <v>1458</v>
      </c>
      <c r="B318" s="5" t="s">
        <v>803</v>
      </c>
      <c r="C318" s="5" t="str">
        <f t="shared" si="1"/>
        <v>Craig</v>
      </c>
      <c r="D318" s="5" t="s">
        <v>1160</v>
      </c>
      <c r="E318" s="5" t="s">
        <v>1459</v>
      </c>
      <c r="F318" s="5" t="str">
        <f t="shared" si="2"/>
        <v>Wales</v>
      </c>
      <c r="G318" s="5" t="s">
        <v>1459</v>
      </c>
      <c r="H318" s="6">
        <v>24.0</v>
      </c>
      <c r="I318" s="6">
        <f t="shared" si="3"/>
        <v>24</v>
      </c>
      <c r="J318" s="6">
        <v>24.0</v>
      </c>
      <c r="K318" s="6" t="str">
        <f t="shared" si="4"/>
        <v>Young Adult</v>
      </c>
      <c r="L318" s="6" t="s">
        <v>528</v>
      </c>
      <c r="M318" s="5" t="s">
        <v>130</v>
      </c>
      <c r="N318" s="5" t="str">
        <f t="shared" si="5"/>
        <v>Male</v>
      </c>
      <c r="O318" s="5" t="s">
        <v>152</v>
      </c>
      <c r="P318" s="5" t="s">
        <v>47</v>
      </c>
      <c r="Q318" s="5" t="s">
        <v>470</v>
      </c>
      <c r="R318" s="5" t="s">
        <v>96</v>
      </c>
      <c r="S318" s="5" t="s">
        <v>559</v>
      </c>
      <c r="T318" s="6">
        <v>630.0</v>
      </c>
      <c r="U318" s="5">
        <f t="shared" si="6"/>
        <v>630</v>
      </c>
      <c r="V318" s="5">
        <v>630.0</v>
      </c>
    </row>
    <row r="319" ht="22.5" customHeight="1">
      <c r="A319" s="5" t="s">
        <v>1463</v>
      </c>
      <c r="B319" s="5" t="s">
        <v>368</v>
      </c>
      <c r="C319" s="5" t="str">
        <f t="shared" si="1"/>
        <v>Grace</v>
      </c>
      <c r="D319" s="5" t="s">
        <v>368</v>
      </c>
      <c r="E319" s="5" t="s">
        <v>301</v>
      </c>
      <c r="F319" s="5" t="str">
        <f t="shared" si="2"/>
        <v>Lee</v>
      </c>
      <c r="G319" s="5" t="s">
        <v>301</v>
      </c>
      <c r="H319" s="8"/>
      <c r="I319" s="8">
        <f t="shared" si="3"/>
        <v>0</v>
      </c>
      <c r="J319" s="8"/>
      <c r="K319" s="8" t="str">
        <f t="shared" si="4"/>
        <v>Unknown</v>
      </c>
      <c r="L319" s="8" t="s">
        <v>1081</v>
      </c>
      <c r="M319" s="5" t="s">
        <v>105</v>
      </c>
      <c r="N319" s="5" t="str">
        <f t="shared" si="5"/>
        <v>Female</v>
      </c>
      <c r="O319" s="5" t="s">
        <v>105</v>
      </c>
      <c r="P319" s="5" t="s">
        <v>64</v>
      </c>
      <c r="Q319" s="5" t="s">
        <v>482</v>
      </c>
      <c r="R319" s="5" t="s">
        <v>179</v>
      </c>
      <c r="S319" s="5" t="s">
        <v>52</v>
      </c>
      <c r="T319" s="6">
        <v>3928.0</v>
      </c>
      <c r="U319" s="5">
        <f t="shared" si="6"/>
        <v>3928</v>
      </c>
      <c r="V319" s="5">
        <v>3928.0</v>
      </c>
    </row>
    <row r="320" ht="22.5" customHeight="1">
      <c r="A320" s="5" t="s">
        <v>1465</v>
      </c>
      <c r="B320" s="5" t="s">
        <v>542</v>
      </c>
      <c r="C320" s="5" t="str">
        <f t="shared" si="1"/>
        <v>David</v>
      </c>
      <c r="D320" s="5" t="s">
        <v>542</v>
      </c>
      <c r="E320" s="5" t="s">
        <v>458</v>
      </c>
      <c r="F320" s="5" t="str">
        <f t="shared" si="2"/>
        <v>Smirnov</v>
      </c>
      <c r="G320" s="5" t="s">
        <v>458</v>
      </c>
      <c r="H320" s="6">
        <v>85.0</v>
      </c>
      <c r="I320" s="6">
        <f t="shared" si="3"/>
        <v>85</v>
      </c>
      <c r="J320" s="6">
        <v>85.0</v>
      </c>
      <c r="K320" s="6" t="str">
        <f t="shared" si="4"/>
        <v>Senior</v>
      </c>
      <c r="L320" s="6" t="s">
        <v>734</v>
      </c>
      <c r="M320" s="5" t="s">
        <v>130</v>
      </c>
      <c r="N320" s="5" t="str">
        <f t="shared" si="5"/>
        <v>Male</v>
      </c>
      <c r="O320" s="5" t="s">
        <v>152</v>
      </c>
      <c r="P320" s="5" t="s">
        <v>176</v>
      </c>
      <c r="Q320" s="5" t="s">
        <v>576</v>
      </c>
      <c r="R320" s="5" t="s">
        <v>607</v>
      </c>
      <c r="S320" s="5" t="s">
        <v>97</v>
      </c>
      <c r="T320" s="6">
        <v>2480.0</v>
      </c>
      <c r="U320" s="5">
        <f t="shared" si="6"/>
        <v>2480</v>
      </c>
      <c r="V320" s="5">
        <v>2480.0</v>
      </c>
    </row>
    <row r="321" ht="22.5" customHeight="1">
      <c r="A321" s="5" t="s">
        <v>1467</v>
      </c>
      <c r="B321" s="5" t="s">
        <v>158</v>
      </c>
      <c r="C321" s="5" t="str">
        <f t="shared" si="1"/>
        <v>Eva</v>
      </c>
      <c r="D321" s="5" t="s">
        <v>158</v>
      </c>
      <c r="E321" s="5" t="s">
        <v>244</v>
      </c>
      <c r="F321" s="5" t="str">
        <f t="shared" si="2"/>
        <v>Jackson</v>
      </c>
      <c r="G321" s="5" t="s">
        <v>244</v>
      </c>
      <c r="H321" s="6">
        <v>72.0</v>
      </c>
      <c r="I321" s="6">
        <f t="shared" si="3"/>
        <v>72</v>
      </c>
      <c r="J321" s="6">
        <v>72.0</v>
      </c>
      <c r="K321" s="6" t="str">
        <f t="shared" si="4"/>
        <v>Senior</v>
      </c>
      <c r="L321" s="6" t="s">
        <v>734</v>
      </c>
      <c r="M321" s="5" t="s">
        <v>105</v>
      </c>
      <c r="N321" s="5" t="str">
        <f t="shared" si="5"/>
        <v>Female</v>
      </c>
      <c r="O321" s="5" t="s">
        <v>105</v>
      </c>
      <c r="P321" s="5" t="s">
        <v>256</v>
      </c>
      <c r="Q321" s="5" t="s">
        <v>551</v>
      </c>
      <c r="R321" s="5" t="s">
        <v>83</v>
      </c>
      <c r="S321" s="5" t="s">
        <v>97</v>
      </c>
      <c r="T321" s="6">
        <v>1574.0</v>
      </c>
      <c r="U321" s="5">
        <f t="shared" si="6"/>
        <v>1574</v>
      </c>
      <c r="V321" s="5">
        <v>1574.0</v>
      </c>
    </row>
    <row r="322" ht="22.5" customHeight="1">
      <c r="A322" s="5" t="s">
        <v>1469</v>
      </c>
      <c r="B322" s="5" t="s">
        <v>1422</v>
      </c>
      <c r="C322" s="5" t="str">
        <f t="shared" si="1"/>
        <v>Theresa</v>
      </c>
      <c r="D322" s="5" t="s">
        <v>3108</v>
      </c>
      <c r="E322" s="5" t="s">
        <v>495</v>
      </c>
      <c r="F322" s="5" t="str">
        <f t="shared" si="2"/>
        <v>Sharp</v>
      </c>
      <c r="G322" s="5" t="s">
        <v>495</v>
      </c>
      <c r="H322" s="6">
        <v>56.0</v>
      </c>
      <c r="I322" s="6">
        <f t="shared" si="3"/>
        <v>56</v>
      </c>
      <c r="J322" s="6">
        <v>56.0</v>
      </c>
      <c r="K322" s="6" t="str">
        <f t="shared" si="4"/>
        <v>Middle Age</v>
      </c>
      <c r="L322" s="6" t="s">
        <v>591</v>
      </c>
      <c r="M322" s="5" t="s">
        <v>45</v>
      </c>
      <c r="N322" s="5" t="str">
        <f t="shared" si="5"/>
        <v>Female</v>
      </c>
      <c r="O322" s="5" t="s">
        <v>105</v>
      </c>
      <c r="P322" s="5" t="s">
        <v>571</v>
      </c>
      <c r="Q322" s="5" t="s">
        <v>439</v>
      </c>
      <c r="R322" s="5" t="s">
        <v>210</v>
      </c>
      <c r="S322" s="5" t="s">
        <v>52</v>
      </c>
      <c r="T322" s="6">
        <v>1118.0</v>
      </c>
      <c r="U322" s="5">
        <f t="shared" si="6"/>
        <v>1118</v>
      </c>
      <c r="V322" s="5">
        <v>1118.0</v>
      </c>
    </row>
    <row r="323" ht="22.5" customHeight="1">
      <c r="A323" s="5" t="s">
        <v>1472</v>
      </c>
      <c r="B323" s="5" t="s">
        <v>136</v>
      </c>
      <c r="C323" s="5" t="str">
        <f t="shared" si="1"/>
        <v>Alice</v>
      </c>
      <c r="D323" s="5" t="s">
        <v>136</v>
      </c>
      <c r="E323" s="5" t="s">
        <v>556</v>
      </c>
      <c r="F323" s="5" t="str">
        <f t="shared" si="2"/>
        <v>Jones</v>
      </c>
      <c r="G323" s="5" t="s">
        <v>556</v>
      </c>
      <c r="H323" s="6">
        <v>44.0</v>
      </c>
      <c r="I323" s="6">
        <f t="shared" si="3"/>
        <v>44</v>
      </c>
      <c r="J323" s="6">
        <v>44.0</v>
      </c>
      <c r="K323" s="6" t="str">
        <f t="shared" si="4"/>
        <v>Middle Age</v>
      </c>
      <c r="L323" s="6" t="s">
        <v>591</v>
      </c>
      <c r="M323" s="5" t="s">
        <v>105</v>
      </c>
      <c r="N323" s="5" t="str">
        <f t="shared" si="5"/>
        <v>Female</v>
      </c>
      <c r="O323" s="5" t="s">
        <v>105</v>
      </c>
      <c r="P323" s="5" t="s">
        <v>208</v>
      </c>
      <c r="Q323" s="5" t="s">
        <v>1290</v>
      </c>
      <c r="R323" s="5" t="s">
        <v>533</v>
      </c>
      <c r="S323" s="5" t="s">
        <v>559</v>
      </c>
      <c r="T323" s="6">
        <v>1119.0</v>
      </c>
      <c r="U323" s="5">
        <f t="shared" si="6"/>
        <v>1119</v>
      </c>
      <c r="V323" s="5">
        <v>1119.0</v>
      </c>
    </row>
    <row r="324" ht="22.5" customHeight="1">
      <c r="A324" s="5" t="s">
        <v>1474</v>
      </c>
      <c r="B324" s="5" t="s">
        <v>411</v>
      </c>
      <c r="C324" s="5" t="str">
        <f t="shared" si="1"/>
        <v>Jane</v>
      </c>
      <c r="D324" s="5" t="s">
        <v>411</v>
      </c>
      <c r="E324" s="5" t="s">
        <v>374</v>
      </c>
      <c r="F324" s="5" t="str">
        <f t="shared" si="2"/>
        <v>Miller</v>
      </c>
      <c r="G324" s="5" t="s">
        <v>374</v>
      </c>
      <c r="H324" s="6">
        <v>22.0</v>
      </c>
      <c r="I324" s="6">
        <f t="shared" si="3"/>
        <v>22</v>
      </c>
      <c r="J324" s="6">
        <v>22.0</v>
      </c>
      <c r="K324" s="6" t="str">
        <f t="shared" si="4"/>
        <v>Young Adult</v>
      </c>
      <c r="L324" s="6" t="s">
        <v>528</v>
      </c>
      <c r="M324" s="5" t="s">
        <v>105</v>
      </c>
      <c r="N324" s="5" t="str">
        <f t="shared" si="5"/>
        <v>Female</v>
      </c>
      <c r="O324" s="5" t="s">
        <v>105</v>
      </c>
      <c r="P324" s="5" t="s">
        <v>268</v>
      </c>
      <c r="Q324" s="5" t="s">
        <v>489</v>
      </c>
      <c r="R324" s="5" t="s">
        <v>179</v>
      </c>
      <c r="S324" s="5" t="s">
        <v>52</v>
      </c>
      <c r="T324" s="6">
        <v>1151.0</v>
      </c>
      <c r="U324" s="5">
        <f t="shared" si="6"/>
        <v>1151</v>
      </c>
      <c r="V324" s="5">
        <v>1151.0</v>
      </c>
    </row>
    <row r="325" ht="22.5" customHeight="1">
      <c r="A325" s="5" t="s">
        <v>1477</v>
      </c>
      <c r="B325" s="5" t="s">
        <v>100</v>
      </c>
      <c r="C325" s="5" t="str">
        <f t="shared" si="1"/>
        <v>Nancy</v>
      </c>
      <c r="D325" s="5" t="s">
        <v>764</v>
      </c>
      <c r="E325" s="5" t="s">
        <v>254</v>
      </c>
      <c r="F325" s="5" t="str">
        <f t="shared" si="2"/>
        <v>Doe</v>
      </c>
      <c r="G325" s="5" t="s">
        <v>254</v>
      </c>
      <c r="H325" s="6">
        <v>48.0</v>
      </c>
      <c r="I325" s="6">
        <f t="shared" si="3"/>
        <v>48</v>
      </c>
      <c r="J325" s="6">
        <v>48.0</v>
      </c>
      <c r="K325" s="6" t="str">
        <f t="shared" si="4"/>
        <v>Middle Age</v>
      </c>
      <c r="L325" s="6" t="s">
        <v>591</v>
      </c>
      <c r="M325" s="5" t="s">
        <v>105</v>
      </c>
      <c r="N325" s="5" t="str">
        <f t="shared" si="5"/>
        <v>Female</v>
      </c>
      <c r="O325" s="5" t="s">
        <v>105</v>
      </c>
      <c r="P325" s="5" t="s">
        <v>393</v>
      </c>
      <c r="Q325" s="5" t="s">
        <v>489</v>
      </c>
      <c r="R325" s="5" t="s">
        <v>179</v>
      </c>
      <c r="S325" s="5" t="s">
        <v>222</v>
      </c>
      <c r="T325" s="6">
        <v>3770.0</v>
      </c>
      <c r="U325" s="5">
        <f t="shared" si="6"/>
        <v>3770</v>
      </c>
      <c r="V325" s="5">
        <v>3770.0</v>
      </c>
    </row>
    <row r="326" ht="22.5" customHeight="1">
      <c r="A326" s="5" t="s">
        <v>1480</v>
      </c>
      <c r="B326" s="5" t="s">
        <v>158</v>
      </c>
      <c r="C326" s="5" t="str">
        <f t="shared" si="1"/>
        <v>Eva</v>
      </c>
      <c r="D326" s="5" t="s">
        <v>158</v>
      </c>
      <c r="E326" s="5" t="s">
        <v>90</v>
      </c>
      <c r="F326" s="5" t="str">
        <f t="shared" si="2"/>
        <v>Davis</v>
      </c>
      <c r="G326" s="5" t="s">
        <v>90</v>
      </c>
      <c r="H326" s="6">
        <v>42.0</v>
      </c>
      <c r="I326" s="6">
        <f t="shared" si="3"/>
        <v>42</v>
      </c>
      <c r="J326" s="6">
        <v>42.0</v>
      </c>
      <c r="K326" s="6" t="str">
        <f t="shared" si="4"/>
        <v>Middle Age</v>
      </c>
      <c r="L326" s="6" t="s">
        <v>591</v>
      </c>
      <c r="M326" s="5" t="s">
        <v>28</v>
      </c>
      <c r="N326" s="5" t="str">
        <f t="shared" si="5"/>
        <v>Female</v>
      </c>
      <c r="O326" s="5" t="s">
        <v>105</v>
      </c>
      <c r="P326" s="5" t="s">
        <v>237</v>
      </c>
      <c r="Q326" s="5" t="s">
        <v>482</v>
      </c>
      <c r="R326" s="5" t="s">
        <v>179</v>
      </c>
      <c r="S326" s="5" t="s">
        <v>211</v>
      </c>
      <c r="T326" s="6">
        <v>3870.0</v>
      </c>
      <c r="U326" s="5">
        <f t="shared" si="6"/>
        <v>3870</v>
      </c>
      <c r="V326" s="5">
        <v>3870.0</v>
      </c>
    </row>
    <row r="327" ht="22.5" customHeight="1">
      <c r="A327" s="5" t="s">
        <v>1482</v>
      </c>
      <c r="B327" s="5" t="s">
        <v>696</v>
      </c>
      <c r="C327" s="5" t="str">
        <f t="shared" si="1"/>
        <v>Charlie</v>
      </c>
      <c r="D327" s="5" t="s">
        <v>696</v>
      </c>
      <c r="E327" s="5" t="s">
        <v>428</v>
      </c>
      <c r="F327" s="5" t="str">
        <f t="shared" si="2"/>
        <v>Bush</v>
      </c>
      <c r="G327" s="5" t="s">
        <v>428</v>
      </c>
      <c r="H327" s="6">
        <v>56.0</v>
      </c>
      <c r="I327" s="6">
        <f t="shared" si="3"/>
        <v>56</v>
      </c>
      <c r="J327" s="6">
        <v>56.0</v>
      </c>
      <c r="K327" s="6" t="str">
        <f t="shared" si="4"/>
        <v>Middle Age</v>
      </c>
      <c r="L327" s="6" t="s">
        <v>591</v>
      </c>
      <c r="M327" s="5" t="s">
        <v>130</v>
      </c>
      <c r="N327" s="5" t="str">
        <f t="shared" si="5"/>
        <v>Male</v>
      </c>
      <c r="O327" s="5" t="s">
        <v>152</v>
      </c>
      <c r="P327" s="5" t="s">
        <v>208</v>
      </c>
      <c r="Q327" s="5" t="s">
        <v>377</v>
      </c>
      <c r="R327" s="5" t="s">
        <v>96</v>
      </c>
      <c r="S327" s="5" t="s">
        <v>222</v>
      </c>
      <c r="T327" s="6">
        <v>1410.0</v>
      </c>
      <c r="U327" s="5">
        <f t="shared" si="6"/>
        <v>1410</v>
      </c>
      <c r="V327" s="5">
        <v>1410.0</v>
      </c>
    </row>
    <row r="328" ht="22.5" customHeight="1">
      <c r="A328" s="5" t="s">
        <v>1484</v>
      </c>
      <c r="B328" s="5" t="s">
        <v>542</v>
      </c>
      <c r="C328" s="5" t="str">
        <f t="shared" si="1"/>
        <v>David</v>
      </c>
      <c r="D328" s="5" t="s">
        <v>542</v>
      </c>
      <c r="E328" s="5" t="s">
        <v>1486</v>
      </c>
      <c r="F328" s="5" t="str">
        <f t="shared" si="2"/>
        <v>Sun</v>
      </c>
      <c r="G328" s="5" t="s">
        <v>1486</v>
      </c>
      <c r="H328" s="6">
        <v>31.0</v>
      </c>
      <c r="I328" s="6">
        <f t="shared" si="3"/>
        <v>31</v>
      </c>
      <c r="J328" s="6">
        <v>31.0</v>
      </c>
      <c r="K328" s="6" t="str">
        <f t="shared" si="4"/>
        <v>Young Adult</v>
      </c>
      <c r="L328" s="6" t="s">
        <v>528</v>
      </c>
      <c r="M328" s="5" t="s">
        <v>130</v>
      </c>
      <c r="N328" s="5" t="str">
        <f t="shared" si="5"/>
        <v>Male</v>
      </c>
      <c r="O328" s="5" t="s">
        <v>152</v>
      </c>
      <c r="P328" s="5" t="s">
        <v>268</v>
      </c>
      <c r="Q328" s="5" t="s">
        <v>439</v>
      </c>
      <c r="R328" s="5" t="s">
        <v>210</v>
      </c>
      <c r="S328" s="5" t="s">
        <v>222</v>
      </c>
      <c r="T328" s="6">
        <v>871.0</v>
      </c>
      <c r="U328" s="5">
        <f t="shared" si="6"/>
        <v>871</v>
      </c>
      <c r="V328" s="5">
        <v>871.0</v>
      </c>
    </row>
    <row r="329" ht="22.5" customHeight="1">
      <c r="A329" s="5" t="s">
        <v>1488</v>
      </c>
      <c r="B329" s="5" t="s">
        <v>307</v>
      </c>
      <c r="C329" s="5" t="str">
        <f t="shared" si="1"/>
        <v>Hannah</v>
      </c>
      <c r="D329" s="5" t="s">
        <v>307</v>
      </c>
      <c r="E329" s="5" t="s">
        <v>264</v>
      </c>
      <c r="F329" s="5" t="str">
        <f t="shared" si="2"/>
        <v>Wu</v>
      </c>
      <c r="G329" s="5" t="s">
        <v>264</v>
      </c>
      <c r="H329" s="6">
        <v>74.0</v>
      </c>
      <c r="I329" s="6">
        <f t="shared" si="3"/>
        <v>74</v>
      </c>
      <c r="J329" s="6">
        <v>74.0</v>
      </c>
      <c r="K329" s="6" t="str">
        <f t="shared" si="4"/>
        <v>Senior</v>
      </c>
      <c r="L329" s="6" t="s">
        <v>734</v>
      </c>
      <c r="M329" s="5" t="s">
        <v>45</v>
      </c>
      <c r="N329" s="5" t="str">
        <f t="shared" si="5"/>
        <v>Female</v>
      </c>
      <c r="O329" s="5" t="s">
        <v>105</v>
      </c>
      <c r="P329" s="5" t="s">
        <v>237</v>
      </c>
      <c r="Q329" s="5" t="s">
        <v>277</v>
      </c>
      <c r="R329" s="5" t="s">
        <v>402</v>
      </c>
      <c r="S329" s="5" t="s">
        <v>97</v>
      </c>
      <c r="T329" s="6">
        <v>2938.0</v>
      </c>
      <c r="U329" s="5">
        <f t="shared" si="6"/>
        <v>2938</v>
      </c>
      <c r="V329" s="5">
        <v>2938.0</v>
      </c>
    </row>
    <row r="330" ht="22.5" customHeight="1">
      <c r="A330" s="5" t="s">
        <v>1490</v>
      </c>
      <c r="B330" s="5" t="s">
        <v>127</v>
      </c>
      <c r="C330" s="5" t="str">
        <f t="shared" si="1"/>
        <v>John</v>
      </c>
      <c r="D330" s="5" t="s">
        <v>127</v>
      </c>
      <c r="E330" s="5" t="s">
        <v>495</v>
      </c>
      <c r="F330" s="5" t="str">
        <f t="shared" si="2"/>
        <v>Sharp</v>
      </c>
      <c r="G330" s="5" t="s">
        <v>495</v>
      </c>
      <c r="H330" s="6">
        <v>22.0</v>
      </c>
      <c r="I330" s="6">
        <f t="shared" si="3"/>
        <v>22</v>
      </c>
      <c r="J330" s="6">
        <v>22.0</v>
      </c>
      <c r="K330" s="6" t="str">
        <f t="shared" si="4"/>
        <v>Young Adult</v>
      </c>
      <c r="L330" s="6" t="s">
        <v>528</v>
      </c>
      <c r="M330" s="5" t="s">
        <v>80</v>
      </c>
      <c r="N330" s="5" t="str">
        <f t="shared" si="5"/>
        <v>Male</v>
      </c>
      <c r="O330" s="5" t="s">
        <v>152</v>
      </c>
      <c r="P330" s="5" t="s">
        <v>30</v>
      </c>
      <c r="Q330" s="5" t="s">
        <v>576</v>
      </c>
      <c r="R330" s="5" t="s">
        <v>607</v>
      </c>
      <c r="S330" s="5" t="s">
        <v>52</v>
      </c>
      <c r="T330" s="6">
        <v>1916.0</v>
      </c>
      <c r="U330" s="5">
        <f t="shared" si="6"/>
        <v>1916</v>
      </c>
      <c r="V330" s="5">
        <v>1916.0</v>
      </c>
    </row>
    <row r="331" ht="22.5" customHeight="1">
      <c r="A331" s="5" t="s">
        <v>1494</v>
      </c>
      <c r="B331" s="5" t="s">
        <v>1495</v>
      </c>
      <c r="C331" s="5" t="str">
        <f t="shared" si="1"/>
        <v>Felix</v>
      </c>
      <c r="D331" s="5" t="s">
        <v>1531</v>
      </c>
      <c r="E331" s="5" t="s">
        <v>1187</v>
      </c>
      <c r="F331" s="5" t="str">
        <f t="shared" si="2"/>
        <v>Martinez</v>
      </c>
      <c r="G331" s="5" t="s">
        <v>1187</v>
      </c>
      <c r="H331" s="6">
        <v>64.0</v>
      </c>
      <c r="I331" s="6">
        <f t="shared" si="3"/>
        <v>64</v>
      </c>
      <c r="J331" s="6">
        <v>64.0</v>
      </c>
      <c r="K331" s="6" t="str">
        <f t="shared" si="4"/>
        <v>Senior</v>
      </c>
      <c r="L331" s="6" t="s">
        <v>734</v>
      </c>
      <c r="M331" s="5" t="s">
        <v>152</v>
      </c>
      <c r="N331" s="5" t="str">
        <f t="shared" si="5"/>
        <v>Male</v>
      </c>
      <c r="O331" s="5" t="s">
        <v>152</v>
      </c>
      <c r="P331" s="5" t="s">
        <v>393</v>
      </c>
      <c r="Q331" s="5" t="s">
        <v>551</v>
      </c>
      <c r="R331" s="5" t="s">
        <v>83</v>
      </c>
      <c r="S331" s="5" t="s">
        <v>97</v>
      </c>
      <c r="T331" s="6">
        <v>1769.0</v>
      </c>
      <c r="U331" s="5">
        <f t="shared" si="6"/>
        <v>1769</v>
      </c>
      <c r="V331" s="5">
        <v>1769.0</v>
      </c>
    </row>
    <row r="332" ht="22.5" customHeight="1">
      <c r="A332" s="5" t="s">
        <v>1498</v>
      </c>
      <c r="B332" s="5" t="s">
        <v>1422</v>
      </c>
      <c r="C332" s="5" t="str">
        <f t="shared" si="1"/>
        <v>Theresa</v>
      </c>
      <c r="D332" s="5" t="s">
        <v>3108</v>
      </c>
      <c r="E332" s="5" t="s">
        <v>1322</v>
      </c>
      <c r="F332" s="5" t="str">
        <f t="shared" si="2"/>
        <v>Jiang</v>
      </c>
      <c r="G332" s="5" t="s">
        <v>1322</v>
      </c>
      <c r="H332" s="6">
        <v>61.0</v>
      </c>
      <c r="I332" s="6">
        <f t="shared" si="3"/>
        <v>61</v>
      </c>
      <c r="J332" s="6">
        <v>61.0</v>
      </c>
      <c r="K332" s="6" t="str">
        <f t="shared" si="4"/>
        <v>Senior</v>
      </c>
      <c r="L332" s="6" t="s">
        <v>734</v>
      </c>
      <c r="M332" s="5" t="s">
        <v>28</v>
      </c>
      <c r="N332" s="5" t="str">
        <f t="shared" si="5"/>
        <v>Female</v>
      </c>
      <c r="O332" s="5" t="s">
        <v>105</v>
      </c>
      <c r="P332" s="5" t="s">
        <v>64</v>
      </c>
      <c r="Q332" s="5" t="s">
        <v>576</v>
      </c>
      <c r="R332" s="5" t="s">
        <v>607</v>
      </c>
      <c r="S332" s="5" t="s">
        <v>97</v>
      </c>
      <c r="T332" s="6">
        <v>1899.0</v>
      </c>
      <c r="U332" s="5">
        <f t="shared" si="6"/>
        <v>1899</v>
      </c>
      <c r="V332" s="5">
        <v>1899.0</v>
      </c>
    </row>
    <row r="333" ht="22.5" customHeight="1">
      <c r="A333" s="5" t="s">
        <v>1501</v>
      </c>
      <c r="B333" s="5" t="s">
        <v>158</v>
      </c>
      <c r="C333" s="5" t="str">
        <f t="shared" si="1"/>
        <v>Eva</v>
      </c>
      <c r="D333" s="5" t="s">
        <v>158</v>
      </c>
      <c r="E333" s="5" t="s">
        <v>128</v>
      </c>
      <c r="F333" s="5" t="str">
        <f t="shared" si="2"/>
        <v>Rodriguez</v>
      </c>
      <c r="G333" s="5" t="s">
        <v>128</v>
      </c>
      <c r="H333" s="6">
        <v>50.0</v>
      </c>
      <c r="I333" s="6">
        <f t="shared" si="3"/>
        <v>50</v>
      </c>
      <c r="J333" s="6">
        <v>50.0</v>
      </c>
      <c r="K333" s="6" t="str">
        <f t="shared" si="4"/>
        <v>Middle Age</v>
      </c>
      <c r="L333" s="6" t="s">
        <v>591</v>
      </c>
      <c r="M333" s="5" t="s">
        <v>105</v>
      </c>
      <c r="N333" s="5" t="str">
        <f t="shared" si="5"/>
        <v>Female</v>
      </c>
      <c r="O333" s="5" t="s">
        <v>105</v>
      </c>
      <c r="P333" s="5" t="s">
        <v>47</v>
      </c>
      <c r="Q333" s="5" t="s">
        <v>311</v>
      </c>
      <c r="R333" s="5" t="s">
        <v>546</v>
      </c>
      <c r="S333" s="5" t="s">
        <v>211</v>
      </c>
      <c r="T333" s="6">
        <v>1546.0</v>
      </c>
      <c r="U333" s="5">
        <f t="shared" si="6"/>
        <v>1546</v>
      </c>
      <c r="V333" s="5">
        <v>1546.0</v>
      </c>
    </row>
    <row r="334" ht="22.5" customHeight="1">
      <c r="A334" s="5" t="s">
        <v>1504</v>
      </c>
      <c r="B334" s="5" t="s">
        <v>368</v>
      </c>
      <c r="C334" s="5" t="str">
        <f t="shared" si="1"/>
        <v>Grace</v>
      </c>
      <c r="D334" s="5" t="s">
        <v>368</v>
      </c>
      <c r="E334" s="5" t="s">
        <v>959</v>
      </c>
      <c r="F334" s="5" t="str">
        <f t="shared" si="2"/>
        <v>Glover</v>
      </c>
      <c r="G334" s="5" t="s">
        <v>959</v>
      </c>
      <c r="H334" s="6">
        <v>85.0</v>
      </c>
      <c r="I334" s="6">
        <f t="shared" si="3"/>
        <v>85</v>
      </c>
      <c r="J334" s="6">
        <v>85.0</v>
      </c>
      <c r="K334" s="6" t="str">
        <f t="shared" si="4"/>
        <v>Senior</v>
      </c>
      <c r="L334" s="6" t="s">
        <v>734</v>
      </c>
      <c r="M334" s="5" t="s">
        <v>45</v>
      </c>
      <c r="N334" s="5" t="str">
        <f t="shared" si="5"/>
        <v>Female</v>
      </c>
      <c r="O334" s="5" t="s">
        <v>105</v>
      </c>
      <c r="P334" s="5" t="s">
        <v>208</v>
      </c>
      <c r="Q334" s="5" t="s">
        <v>418</v>
      </c>
      <c r="R334" s="5" t="s">
        <v>210</v>
      </c>
      <c r="S334" s="5" t="s">
        <v>97</v>
      </c>
      <c r="T334" s="6">
        <v>1148.0</v>
      </c>
      <c r="U334" s="5">
        <f t="shared" si="6"/>
        <v>1148</v>
      </c>
      <c r="V334" s="5">
        <v>1148.0</v>
      </c>
    </row>
    <row r="335" ht="22.5" customHeight="1">
      <c r="A335" s="5" t="s">
        <v>1507</v>
      </c>
      <c r="B335" s="5" t="s">
        <v>620</v>
      </c>
      <c r="C335" s="5" t="str">
        <f t="shared" si="1"/>
        <v>Michelle</v>
      </c>
      <c r="D335" s="5" t="s">
        <v>620</v>
      </c>
      <c r="E335" s="5" t="s">
        <v>788</v>
      </c>
      <c r="F335" s="5" t="str">
        <f t="shared" si="2"/>
        <v>Davidson</v>
      </c>
      <c r="G335" s="5" t="s">
        <v>526</v>
      </c>
      <c r="H335" s="6">
        <v>34.0</v>
      </c>
      <c r="I335" s="6">
        <f t="shared" si="3"/>
        <v>34</v>
      </c>
      <c r="J335" s="6">
        <v>34.0</v>
      </c>
      <c r="K335" s="6" t="str">
        <f t="shared" si="4"/>
        <v>Young Adult</v>
      </c>
      <c r="L335" s="6" t="s">
        <v>528</v>
      </c>
      <c r="M335" s="5" t="s">
        <v>28</v>
      </c>
      <c r="N335" s="5" t="str">
        <f t="shared" si="5"/>
        <v>Female</v>
      </c>
      <c r="O335" s="5" t="s">
        <v>105</v>
      </c>
      <c r="P335" s="5" t="s">
        <v>176</v>
      </c>
      <c r="Q335" s="5" t="s">
        <v>123</v>
      </c>
      <c r="R335" s="5" t="s">
        <v>83</v>
      </c>
      <c r="S335" s="5" t="s">
        <v>52</v>
      </c>
      <c r="T335" s="6">
        <v>1924.0</v>
      </c>
      <c r="U335" s="5">
        <f t="shared" si="6"/>
        <v>1924</v>
      </c>
      <c r="V335" s="5">
        <v>1924.0</v>
      </c>
    </row>
    <row r="336" ht="22.5" customHeight="1">
      <c r="A336" s="5" t="s">
        <v>1510</v>
      </c>
      <c r="B336" s="5" t="s">
        <v>368</v>
      </c>
      <c r="C336" s="5" t="str">
        <f t="shared" si="1"/>
        <v>Grace</v>
      </c>
      <c r="D336" s="5" t="s">
        <v>368</v>
      </c>
      <c r="E336" s="5" t="s">
        <v>495</v>
      </c>
      <c r="F336" s="5" t="str">
        <f t="shared" si="2"/>
        <v>Sharp</v>
      </c>
      <c r="G336" s="5" t="s">
        <v>495</v>
      </c>
      <c r="H336" s="6">
        <v>77.0</v>
      </c>
      <c r="I336" s="6">
        <f t="shared" si="3"/>
        <v>77</v>
      </c>
      <c r="J336" s="6">
        <v>77.0</v>
      </c>
      <c r="K336" s="6" t="str">
        <f t="shared" si="4"/>
        <v>Senior</v>
      </c>
      <c r="L336" s="6" t="s">
        <v>734</v>
      </c>
      <c r="M336" s="5" t="s">
        <v>45</v>
      </c>
      <c r="N336" s="5" t="str">
        <f t="shared" si="5"/>
        <v>Female</v>
      </c>
      <c r="O336" s="5" t="s">
        <v>105</v>
      </c>
      <c r="P336" s="5" t="s">
        <v>237</v>
      </c>
      <c r="Q336" s="5" t="s">
        <v>377</v>
      </c>
      <c r="R336" s="5" t="s">
        <v>96</v>
      </c>
      <c r="S336" s="5" t="s">
        <v>97</v>
      </c>
      <c r="T336" s="6">
        <v>1025.0</v>
      </c>
      <c r="U336" s="5">
        <f t="shared" si="6"/>
        <v>1025</v>
      </c>
      <c r="V336" s="5">
        <v>1025.0</v>
      </c>
    </row>
    <row r="337" ht="22.5" customHeight="1">
      <c r="A337" s="5" t="s">
        <v>1513</v>
      </c>
      <c r="B337" s="5" t="s">
        <v>820</v>
      </c>
      <c r="C337" s="5" t="str">
        <f t="shared" si="1"/>
        <v>Olivia</v>
      </c>
      <c r="D337" s="5" t="s">
        <v>820</v>
      </c>
      <c r="E337" s="5" t="s">
        <v>556</v>
      </c>
      <c r="F337" s="5" t="str">
        <f t="shared" si="2"/>
        <v>Jones</v>
      </c>
      <c r="G337" s="5" t="s">
        <v>556</v>
      </c>
      <c r="H337" s="6">
        <v>25.0</v>
      </c>
      <c r="I337" s="6">
        <f t="shared" si="3"/>
        <v>25</v>
      </c>
      <c r="J337" s="6">
        <v>25.0</v>
      </c>
      <c r="K337" s="6" t="str">
        <f t="shared" si="4"/>
        <v>Young Adult</v>
      </c>
      <c r="L337" s="6" t="s">
        <v>528</v>
      </c>
      <c r="M337" s="5" t="s">
        <v>105</v>
      </c>
      <c r="N337" s="5" t="str">
        <f t="shared" si="5"/>
        <v>Female</v>
      </c>
      <c r="O337" s="5" t="s">
        <v>105</v>
      </c>
      <c r="P337" s="5" t="s">
        <v>64</v>
      </c>
      <c r="Q337" s="5" t="s">
        <v>470</v>
      </c>
      <c r="R337" s="5" t="s">
        <v>96</v>
      </c>
      <c r="S337" s="5" t="s">
        <v>52</v>
      </c>
      <c r="T337" s="6">
        <v>711.0</v>
      </c>
      <c r="U337" s="5">
        <f t="shared" si="6"/>
        <v>711</v>
      </c>
      <c r="V337" s="5">
        <v>711.0</v>
      </c>
    </row>
    <row r="338" ht="22.5" customHeight="1">
      <c r="A338" s="5" t="s">
        <v>1515</v>
      </c>
      <c r="B338" s="5" t="s">
        <v>89</v>
      </c>
      <c r="C338" s="5" t="str">
        <f t="shared" si="1"/>
        <v>Wendy</v>
      </c>
      <c r="D338" s="5" t="s">
        <v>89</v>
      </c>
      <c r="E338" s="5" t="s">
        <v>1252</v>
      </c>
      <c r="F338" s="5" t="str">
        <f t="shared" si="2"/>
        <v>Liang</v>
      </c>
      <c r="G338" s="5" t="s">
        <v>1252</v>
      </c>
      <c r="H338" s="6">
        <v>58.0</v>
      </c>
      <c r="I338" s="6">
        <f t="shared" si="3"/>
        <v>58</v>
      </c>
      <c r="J338" s="6">
        <v>58.0</v>
      </c>
      <c r="K338" s="6" t="str">
        <f t="shared" si="4"/>
        <v>Middle Age</v>
      </c>
      <c r="L338" s="6" t="s">
        <v>591</v>
      </c>
      <c r="M338" s="5" t="s">
        <v>45</v>
      </c>
      <c r="N338" s="5" t="str">
        <f t="shared" si="5"/>
        <v>Female</v>
      </c>
      <c r="O338" s="5" t="s">
        <v>105</v>
      </c>
      <c r="P338" s="5" t="s">
        <v>364</v>
      </c>
      <c r="Q338" s="5" t="s">
        <v>418</v>
      </c>
      <c r="R338" s="5" t="s">
        <v>210</v>
      </c>
      <c r="S338" s="5" t="s">
        <v>559</v>
      </c>
      <c r="T338" s="6">
        <v>370.0</v>
      </c>
      <c r="U338" s="5">
        <f t="shared" si="6"/>
        <v>370</v>
      </c>
      <c r="V338" s="5">
        <v>370.0</v>
      </c>
    </row>
    <row r="339" ht="22.5" customHeight="1">
      <c r="A339" s="5" t="s">
        <v>1516</v>
      </c>
      <c r="B339" s="5" t="s">
        <v>689</v>
      </c>
      <c r="C339" s="5" t="str">
        <f t="shared" si="1"/>
        <v>Harry</v>
      </c>
      <c r="D339" s="5" t="s">
        <v>689</v>
      </c>
      <c r="E339" s="5" t="s">
        <v>159</v>
      </c>
      <c r="F339" s="5" t="str">
        <f t="shared" si="2"/>
        <v>Young</v>
      </c>
      <c r="G339" s="5" t="s">
        <v>159</v>
      </c>
      <c r="H339" s="6">
        <v>75.0</v>
      </c>
      <c r="I339" s="6">
        <f t="shared" si="3"/>
        <v>75</v>
      </c>
      <c r="J339" s="6">
        <v>75.0</v>
      </c>
      <c r="K339" s="6" t="str">
        <f t="shared" si="4"/>
        <v>Senior</v>
      </c>
      <c r="L339" s="6" t="s">
        <v>734</v>
      </c>
      <c r="M339" s="5" t="s">
        <v>130</v>
      </c>
      <c r="N339" s="5" t="str">
        <f t="shared" si="5"/>
        <v>Male</v>
      </c>
      <c r="O339" s="5" t="s">
        <v>152</v>
      </c>
      <c r="P339" s="5" t="s">
        <v>759</v>
      </c>
      <c r="Q339" s="5" t="s">
        <v>439</v>
      </c>
      <c r="R339" s="5" t="s">
        <v>210</v>
      </c>
      <c r="S339" s="5" t="s">
        <v>97</v>
      </c>
      <c r="T339" s="6">
        <v>715.0</v>
      </c>
      <c r="U339" s="5">
        <f t="shared" si="6"/>
        <v>715</v>
      </c>
      <c r="V339" s="5">
        <v>715.0</v>
      </c>
    </row>
    <row r="340" ht="22.5" customHeight="1">
      <c r="A340" s="5" t="s">
        <v>1517</v>
      </c>
      <c r="B340" s="5" t="s">
        <v>1518</v>
      </c>
      <c r="C340" s="5" t="str">
        <f t="shared" si="1"/>
        <v>Rob</v>
      </c>
      <c r="D340" s="5" t="s">
        <v>1518</v>
      </c>
      <c r="E340" s="5" t="s">
        <v>101</v>
      </c>
      <c r="F340" s="5" t="str">
        <f t="shared" si="2"/>
        <v>Ferguson</v>
      </c>
      <c r="G340" s="5" t="s">
        <v>101</v>
      </c>
      <c r="H340" s="6">
        <v>46.0</v>
      </c>
      <c r="I340" s="6">
        <f t="shared" si="3"/>
        <v>46</v>
      </c>
      <c r="J340" s="6">
        <v>46.0</v>
      </c>
      <c r="K340" s="6" t="str">
        <f t="shared" si="4"/>
        <v>Middle Age</v>
      </c>
      <c r="L340" s="6" t="s">
        <v>591</v>
      </c>
      <c r="M340" s="5" t="s">
        <v>130</v>
      </c>
      <c r="N340" s="5" t="str">
        <f t="shared" si="5"/>
        <v>Male</v>
      </c>
      <c r="O340" s="5" t="s">
        <v>152</v>
      </c>
      <c r="P340" s="5" t="s">
        <v>309</v>
      </c>
      <c r="Q340" s="5" t="s">
        <v>637</v>
      </c>
      <c r="R340" s="5" t="s">
        <v>546</v>
      </c>
      <c r="S340" s="5" t="s">
        <v>222</v>
      </c>
      <c r="T340" s="6">
        <v>1541.0</v>
      </c>
      <c r="U340" s="5">
        <f t="shared" si="6"/>
        <v>1541</v>
      </c>
      <c r="V340" s="5">
        <v>1541.0</v>
      </c>
    </row>
    <row r="341" ht="22.5" customHeight="1">
      <c r="A341" s="5" t="s">
        <v>1522</v>
      </c>
      <c r="B341" s="5" t="s">
        <v>193</v>
      </c>
      <c r="C341" s="5" t="str">
        <f t="shared" si="1"/>
        <v>Fiona</v>
      </c>
      <c r="D341" s="5" t="s">
        <v>193</v>
      </c>
      <c r="E341" s="5" t="s">
        <v>42</v>
      </c>
      <c r="F341" s="5" t="str">
        <f t="shared" si="2"/>
        <v>Lopez</v>
      </c>
      <c r="G341" s="5" t="s">
        <v>42</v>
      </c>
      <c r="H341" s="6">
        <v>73.0</v>
      </c>
      <c r="I341" s="6">
        <f t="shared" si="3"/>
        <v>73</v>
      </c>
      <c r="J341" s="6">
        <v>73.0</v>
      </c>
      <c r="K341" s="6" t="str">
        <f t="shared" si="4"/>
        <v>Senior</v>
      </c>
      <c r="L341" s="6" t="s">
        <v>734</v>
      </c>
      <c r="M341" s="5" t="s">
        <v>45</v>
      </c>
      <c r="N341" s="5" t="str">
        <f t="shared" si="5"/>
        <v>Female</v>
      </c>
      <c r="O341" s="5" t="s">
        <v>105</v>
      </c>
      <c r="P341" s="5" t="s">
        <v>107</v>
      </c>
      <c r="Q341" s="5" t="s">
        <v>470</v>
      </c>
      <c r="R341" s="5" t="s">
        <v>179</v>
      </c>
      <c r="S341" s="5" t="s">
        <v>97</v>
      </c>
      <c r="T341" s="6">
        <v>2863.0</v>
      </c>
      <c r="U341" s="5">
        <f t="shared" si="6"/>
        <v>2863</v>
      </c>
      <c r="V341" s="5">
        <v>2863.0</v>
      </c>
    </row>
    <row r="342" ht="22.5" customHeight="1">
      <c r="A342" s="5" t="s">
        <v>1524</v>
      </c>
      <c r="B342" s="5" t="s">
        <v>1525</v>
      </c>
      <c r="C342" s="5" t="str">
        <f t="shared" si="1"/>
        <v>Keith</v>
      </c>
      <c r="D342" s="5" t="s">
        <v>1525</v>
      </c>
      <c r="E342" s="5" t="s">
        <v>629</v>
      </c>
      <c r="F342" s="5" t="str">
        <f t="shared" si="2"/>
        <v>Richardson</v>
      </c>
      <c r="G342" s="5" t="s">
        <v>629</v>
      </c>
      <c r="H342" s="6">
        <v>60.0</v>
      </c>
      <c r="I342" s="6">
        <f t="shared" si="3"/>
        <v>60</v>
      </c>
      <c r="J342" s="6">
        <v>60.0</v>
      </c>
      <c r="K342" s="6" t="str">
        <f t="shared" si="4"/>
        <v>Middle Age</v>
      </c>
      <c r="L342" s="6" t="s">
        <v>591</v>
      </c>
      <c r="M342" s="5" t="s">
        <v>152</v>
      </c>
      <c r="N342" s="5" t="str">
        <f t="shared" si="5"/>
        <v>Male</v>
      </c>
      <c r="O342" s="5" t="s">
        <v>152</v>
      </c>
      <c r="P342" s="5" t="s">
        <v>81</v>
      </c>
      <c r="Q342" s="5" t="s">
        <v>669</v>
      </c>
      <c r="R342" s="5" t="s">
        <v>452</v>
      </c>
      <c r="S342" s="5" t="s">
        <v>559</v>
      </c>
      <c r="T342" s="6">
        <v>4115.0</v>
      </c>
      <c r="U342" s="5">
        <f t="shared" si="6"/>
        <v>4115</v>
      </c>
      <c r="V342" s="5">
        <v>4115.0</v>
      </c>
    </row>
    <row r="343" ht="22.5" customHeight="1">
      <c r="A343" s="5" t="s">
        <v>1528</v>
      </c>
      <c r="B343" s="5" t="s">
        <v>827</v>
      </c>
      <c r="C343" s="5" t="str">
        <f t="shared" si="1"/>
        <v>Ryan</v>
      </c>
      <c r="D343" s="5" t="s">
        <v>827</v>
      </c>
      <c r="E343" s="5" t="s">
        <v>1529</v>
      </c>
      <c r="F343" s="5" t="str">
        <f t="shared" si="2"/>
        <v>Sun</v>
      </c>
      <c r="G343" s="5" t="s">
        <v>1486</v>
      </c>
      <c r="H343" s="6">
        <v>69.0</v>
      </c>
      <c r="I343" s="6">
        <f t="shared" si="3"/>
        <v>69</v>
      </c>
      <c r="J343" s="6">
        <v>69.0</v>
      </c>
      <c r="K343" s="6" t="str">
        <f t="shared" si="4"/>
        <v>Senior</v>
      </c>
      <c r="L343" s="6" t="s">
        <v>734</v>
      </c>
      <c r="M343" s="5" t="s">
        <v>152</v>
      </c>
      <c r="N343" s="5" t="str">
        <f t="shared" si="5"/>
        <v>Male</v>
      </c>
      <c r="O343" s="5" t="s">
        <v>152</v>
      </c>
      <c r="P343" s="5" t="s">
        <v>107</v>
      </c>
      <c r="Q343" s="5" t="s">
        <v>311</v>
      </c>
      <c r="R343" s="5" t="s">
        <v>96</v>
      </c>
      <c r="S343" s="5" t="s">
        <v>97</v>
      </c>
      <c r="T343" s="6">
        <v>852.0</v>
      </c>
      <c r="U343" s="5">
        <f t="shared" si="6"/>
        <v>852</v>
      </c>
      <c r="V343" s="5">
        <v>852.0</v>
      </c>
    </row>
    <row r="344" ht="22.5" customHeight="1">
      <c r="A344" s="5" t="s">
        <v>1530</v>
      </c>
      <c r="B344" s="5" t="s">
        <v>1531</v>
      </c>
      <c r="C344" s="5" t="str">
        <f t="shared" si="1"/>
        <v>Felix</v>
      </c>
      <c r="D344" s="5" t="s">
        <v>1531</v>
      </c>
      <c r="E344" s="5" t="s">
        <v>148</v>
      </c>
      <c r="F344" s="5" t="str">
        <f t="shared" si="2"/>
        <v>Johnson</v>
      </c>
      <c r="G344" s="5" t="s">
        <v>148</v>
      </c>
      <c r="H344" s="6">
        <v>27.0</v>
      </c>
      <c r="I344" s="6">
        <f t="shared" si="3"/>
        <v>27</v>
      </c>
      <c r="J344" s="6">
        <v>27.0</v>
      </c>
      <c r="K344" s="6" t="str">
        <f t="shared" si="4"/>
        <v>Young Adult</v>
      </c>
      <c r="L344" s="6" t="s">
        <v>528</v>
      </c>
      <c r="M344" s="5" t="s">
        <v>130</v>
      </c>
      <c r="N344" s="5" t="str">
        <f t="shared" si="5"/>
        <v>Male</v>
      </c>
      <c r="O344" s="5" t="s">
        <v>152</v>
      </c>
      <c r="P344" s="5" t="s">
        <v>81</v>
      </c>
      <c r="Q344" s="5" t="s">
        <v>277</v>
      </c>
      <c r="R344" s="5" t="s">
        <v>402</v>
      </c>
      <c r="S344" s="5" t="s">
        <v>211</v>
      </c>
      <c r="T344" s="6">
        <v>1105.0</v>
      </c>
      <c r="U344" s="5">
        <f t="shared" si="6"/>
        <v>1105</v>
      </c>
      <c r="V344" s="5">
        <v>1105.0</v>
      </c>
    </row>
    <row r="345" ht="22.5" customHeight="1">
      <c r="A345" s="5" t="s">
        <v>1534</v>
      </c>
      <c r="B345" s="5" t="s">
        <v>147</v>
      </c>
      <c r="C345" s="5" t="str">
        <f t="shared" si="1"/>
        <v>Greg</v>
      </c>
      <c r="D345" s="5" t="s">
        <v>147</v>
      </c>
      <c r="E345" s="5" t="s">
        <v>806</v>
      </c>
      <c r="F345" s="5" t="str">
        <f t="shared" si="2"/>
        <v>Chan</v>
      </c>
      <c r="G345" s="5" t="s">
        <v>806</v>
      </c>
      <c r="H345" s="6">
        <v>62.0</v>
      </c>
      <c r="I345" s="6">
        <f t="shared" si="3"/>
        <v>62</v>
      </c>
      <c r="J345" s="6">
        <v>62.0</v>
      </c>
      <c r="K345" s="6" t="str">
        <f t="shared" si="4"/>
        <v>Senior</v>
      </c>
      <c r="L345" s="6" t="s">
        <v>734</v>
      </c>
      <c r="M345" s="5" t="s">
        <v>80</v>
      </c>
      <c r="N345" s="5" t="str">
        <f t="shared" si="5"/>
        <v>Male</v>
      </c>
      <c r="O345" s="5" t="s">
        <v>152</v>
      </c>
      <c r="P345" s="5" t="s">
        <v>30</v>
      </c>
      <c r="Q345" s="5" t="s">
        <v>470</v>
      </c>
      <c r="R345" s="5" t="s">
        <v>96</v>
      </c>
      <c r="S345" s="5" t="s">
        <v>97</v>
      </c>
      <c r="T345" s="6">
        <v>812.0</v>
      </c>
      <c r="U345" s="5">
        <f t="shared" si="6"/>
        <v>812</v>
      </c>
      <c r="V345" s="5">
        <v>812.0</v>
      </c>
    </row>
    <row r="346" ht="22.5" customHeight="1">
      <c r="A346" s="5" t="s">
        <v>1536</v>
      </c>
      <c r="B346" s="5" t="s">
        <v>620</v>
      </c>
      <c r="C346" s="5" t="str">
        <f t="shared" si="1"/>
        <v>Michelle</v>
      </c>
      <c r="D346" s="5" t="s">
        <v>620</v>
      </c>
      <c r="E346" s="5" t="s">
        <v>101</v>
      </c>
      <c r="F346" s="5" t="str">
        <f t="shared" si="2"/>
        <v>Ferguson</v>
      </c>
      <c r="G346" s="5" t="s">
        <v>101</v>
      </c>
      <c r="H346" s="6">
        <v>57.0</v>
      </c>
      <c r="I346" s="6">
        <f t="shared" si="3"/>
        <v>57</v>
      </c>
      <c r="J346" s="6">
        <v>57.0</v>
      </c>
      <c r="K346" s="6" t="str">
        <f t="shared" si="4"/>
        <v>Middle Age</v>
      </c>
      <c r="L346" s="6" t="s">
        <v>591</v>
      </c>
      <c r="M346" s="5" t="s">
        <v>28</v>
      </c>
      <c r="N346" s="5" t="str">
        <f t="shared" si="5"/>
        <v>Female</v>
      </c>
      <c r="O346" s="5" t="s">
        <v>105</v>
      </c>
      <c r="P346" s="5" t="s">
        <v>47</v>
      </c>
      <c r="Q346" s="5" t="s">
        <v>32</v>
      </c>
      <c r="R346" s="5" t="s">
        <v>83</v>
      </c>
      <c r="S346" s="5" t="s">
        <v>52</v>
      </c>
      <c r="T346" s="6">
        <v>2438.0</v>
      </c>
      <c r="U346" s="5">
        <f t="shared" si="6"/>
        <v>2438</v>
      </c>
      <c r="V346" s="5">
        <v>2438.0</v>
      </c>
    </row>
    <row r="347" ht="22.5" customHeight="1">
      <c r="A347" s="5" t="s">
        <v>1539</v>
      </c>
      <c r="B347" s="5" t="s">
        <v>368</v>
      </c>
      <c r="C347" s="5" t="str">
        <f t="shared" si="1"/>
        <v>Grace</v>
      </c>
      <c r="D347" s="5" t="s">
        <v>368</v>
      </c>
      <c r="E347" s="5" t="s">
        <v>1540</v>
      </c>
      <c r="F347" s="5" t="str">
        <f t="shared" si="2"/>
        <v>Lopez</v>
      </c>
      <c r="G347" s="5" t="s">
        <v>42</v>
      </c>
      <c r="H347" s="6">
        <v>84.0</v>
      </c>
      <c r="I347" s="6">
        <f t="shared" si="3"/>
        <v>84</v>
      </c>
      <c r="J347" s="6">
        <v>84.0</v>
      </c>
      <c r="K347" s="6" t="str">
        <f t="shared" si="4"/>
        <v>Senior</v>
      </c>
      <c r="L347" s="6" t="s">
        <v>734</v>
      </c>
      <c r="M347" s="5" t="s">
        <v>28</v>
      </c>
      <c r="N347" s="5" t="str">
        <f t="shared" si="5"/>
        <v>Female</v>
      </c>
      <c r="O347" s="5" t="s">
        <v>105</v>
      </c>
      <c r="P347" s="5" t="s">
        <v>208</v>
      </c>
      <c r="Q347" s="5" t="s">
        <v>576</v>
      </c>
      <c r="R347" s="5" t="s">
        <v>607</v>
      </c>
      <c r="S347" s="5" t="s">
        <v>97</v>
      </c>
      <c r="T347" s="6">
        <v>2949.0</v>
      </c>
      <c r="U347" s="5">
        <f t="shared" si="6"/>
        <v>2949</v>
      </c>
      <c r="V347" s="5">
        <v>2949.0</v>
      </c>
    </row>
    <row r="348" ht="22.5" customHeight="1">
      <c r="A348" s="5" t="s">
        <v>1542</v>
      </c>
      <c r="B348" s="5" t="s">
        <v>820</v>
      </c>
      <c r="C348" s="5" t="str">
        <f t="shared" si="1"/>
        <v>Olivia</v>
      </c>
      <c r="D348" s="5" t="s">
        <v>820</v>
      </c>
      <c r="E348" s="5" t="s">
        <v>324</v>
      </c>
      <c r="F348" s="5" t="str">
        <f t="shared" si="2"/>
        <v>Cooper</v>
      </c>
      <c r="G348" s="5" t="s">
        <v>324</v>
      </c>
      <c r="H348" s="6">
        <v>27.0</v>
      </c>
      <c r="I348" s="6">
        <f t="shared" si="3"/>
        <v>27</v>
      </c>
      <c r="J348" s="6">
        <v>27.0</v>
      </c>
      <c r="K348" s="6" t="str">
        <f t="shared" si="4"/>
        <v>Young Adult</v>
      </c>
      <c r="L348" s="6" t="s">
        <v>528</v>
      </c>
      <c r="M348" s="5" t="s">
        <v>105</v>
      </c>
      <c r="N348" s="5" t="str">
        <f t="shared" si="5"/>
        <v>Female</v>
      </c>
      <c r="O348" s="5" t="s">
        <v>105</v>
      </c>
      <c r="P348" s="5" t="s">
        <v>107</v>
      </c>
      <c r="Q348" s="5" t="s">
        <v>916</v>
      </c>
      <c r="R348" s="5" t="s">
        <v>402</v>
      </c>
      <c r="S348" s="5" t="s">
        <v>211</v>
      </c>
      <c r="T348" s="6">
        <v>2223.0</v>
      </c>
      <c r="U348" s="5">
        <f t="shared" si="6"/>
        <v>2223</v>
      </c>
      <c r="V348" s="5">
        <v>2223.0</v>
      </c>
    </row>
    <row r="349" ht="22.5" customHeight="1">
      <c r="A349" s="5" t="s">
        <v>1544</v>
      </c>
      <c r="B349" s="5" t="s">
        <v>1004</v>
      </c>
      <c r="C349" s="5" t="str">
        <f t="shared" si="1"/>
        <v>Tom</v>
      </c>
      <c r="D349" s="5" t="s">
        <v>1004</v>
      </c>
      <c r="E349" s="5" t="s">
        <v>1545</v>
      </c>
      <c r="F349" s="5" t="str">
        <f t="shared" si="2"/>
        <v>Lopez</v>
      </c>
      <c r="G349" s="5" t="s">
        <v>42</v>
      </c>
      <c r="H349" s="6">
        <v>55.0</v>
      </c>
      <c r="I349" s="6">
        <f t="shared" si="3"/>
        <v>55</v>
      </c>
      <c r="J349" s="6">
        <v>55.0</v>
      </c>
      <c r="K349" s="6" t="str">
        <f t="shared" si="4"/>
        <v>Middle Age</v>
      </c>
      <c r="L349" s="6" t="s">
        <v>591</v>
      </c>
      <c r="M349" s="5" t="s">
        <v>130</v>
      </c>
      <c r="N349" s="5" t="str">
        <f t="shared" si="5"/>
        <v>Male</v>
      </c>
      <c r="O349" s="5" t="s">
        <v>152</v>
      </c>
      <c r="P349" s="5" t="s">
        <v>64</v>
      </c>
      <c r="Q349" s="5" t="s">
        <v>418</v>
      </c>
      <c r="R349" s="5" t="s">
        <v>210</v>
      </c>
      <c r="S349" s="5" t="s">
        <v>222</v>
      </c>
      <c r="T349" s="6">
        <v>-75.0</v>
      </c>
      <c r="U349" s="5">
        <f t="shared" si="6"/>
        <v>75</v>
      </c>
      <c r="V349" s="5">
        <v>75.0</v>
      </c>
    </row>
    <row r="350" ht="22.5" customHeight="1">
      <c r="A350" s="5" t="s">
        <v>1548</v>
      </c>
      <c r="B350" s="5" t="s">
        <v>411</v>
      </c>
      <c r="C350" s="5" t="str">
        <f t="shared" si="1"/>
        <v>Jane</v>
      </c>
      <c r="D350" s="5" t="s">
        <v>411</v>
      </c>
      <c r="E350" s="5" t="s">
        <v>301</v>
      </c>
      <c r="F350" s="5" t="str">
        <f t="shared" si="2"/>
        <v>Lee</v>
      </c>
      <c r="G350" s="5" t="s">
        <v>301</v>
      </c>
      <c r="H350" s="6">
        <v>30.0</v>
      </c>
      <c r="I350" s="6">
        <f t="shared" si="3"/>
        <v>30</v>
      </c>
      <c r="J350" s="6">
        <v>30.0</v>
      </c>
      <c r="K350" s="6" t="str">
        <f t="shared" si="4"/>
        <v>Young Adult</v>
      </c>
      <c r="L350" s="6" t="s">
        <v>528</v>
      </c>
      <c r="M350" s="5" t="s">
        <v>28</v>
      </c>
      <c r="N350" s="5" t="str">
        <f t="shared" si="5"/>
        <v>Female</v>
      </c>
      <c r="O350" s="5" t="s">
        <v>105</v>
      </c>
      <c r="P350" s="5" t="s">
        <v>47</v>
      </c>
      <c r="Q350" s="5" t="s">
        <v>418</v>
      </c>
      <c r="R350" s="5" t="s">
        <v>210</v>
      </c>
      <c r="S350" s="5" t="s">
        <v>559</v>
      </c>
      <c r="T350" s="6">
        <v>1168.0</v>
      </c>
      <c r="U350" s="5">
        <f t="shared" si="6"/>
        <v>1168</v>
      </c>
      <c r="V350" s="5">
        <v>1168.0</v>
      </c>
    </row>
    <row r="351" ht="22.5" customHeight="1">
      <c r="A351" s="5" t="s">
        <v>1550</v>
      </c>
      <c r="B351" s="5" t="s">
        <v>542</v>
      </c>
      <c r="C351" s="5" t="str">
        <f t="shared" si="1"/>
        <v>David</v>
      </c>
      <c r="D351" s="5" t="s">
        <v>542</v>
      </c>
      <c r="E351" s="5" t="s">
        <v>828</v>
      </c>
      <c r="F351" s="5" t="str">
        <f t="shared" si="2"/>
        <v>Chang</v>
      </c>
      <c r="G351" s="5" t="s">
        <v>828</v>
      </c>
      <c r="H351" s="6">
        <v>21.0</v>
      </c>
      <c r="I351" s="6">
        <f t="shared" si="3"/>
        <v>21</v>
      </c>
      <c r="J351" s="6">
        <v>21.0</v>
      </c>
      <c r="K351" s="6" t="str">
        <f t="shared" si="4"/>
        <v>Young Adult</v>
      </c>
      <c r="L351" s="6" t="s">
        <v>528</v>
      </c>
      <c r="M351" s="5" t="s">
        <v>80</v>
      </c>
      <c r="N351" s="5" t="str">
        <f t="shared" si="5"/>
        <v>Male</v>
      </c>
      <c r="O351" s="5" t="s">
        <v>152</v>
      </c>
      <c r="P351" s="5" t="s">
        <v>539</v>
      </c>
      <c r="Q351" s="5" t="s">
        <v>123</v>
      </c>
      <c r="R351" s="5" t="s">
        <v>83</v>
      </c>
      <c r="S351" s="5" t="s">
        <v>559</v>
      </c>
      <c r="T351" s="6">
        <v>2168.0</v>
      </c>
      <c r="U351" s="5">
        <f t="shared" si="6"/>
        <v>2168</v>
      </c>
      <c r="V351" s="5">
        <v>2168.0</v>
      </c>
    </row>
    <row r="352" ht="22.5" customHeight="1">
      <c r="A352" s="5" t="s">
        <v>1553</v>
      </c>
      <c r="B352" s="5" t="s">
        <v>343</v>
      </c>
      <c r="C352" s="5" t="str">
        <f t="shared" si="1"/>
        <v>Bob</v>
      </c>
      <c r="D352" s="5" t="s">
        <v>343</v>
      </c>
      <c r="E352" s="5" t="s">
        <v>264</v>
      </c>
      <c r="F352" s="5" t="str">
        <f t="shared" si="2"/>
        <v>Wu</v>
      </c>
      <c r="G352" s="5" t="s">
        <v>264</v>
      </c>
      <c r="H352" s="6">
        <v>66.0</v>
      </c>
      <c r="I352" s="6">
        <f t="shared" si="3"/>
        <v>66</v>
      </c>
      <c r="J352" s="6">
        <v>66.0</v>
      </c>
      <c r="K352" s="6" t="str">
        <f t="shared" si="4"/>
        <v>Senior</v>
      </c>
      <c r="L352" s="6" t="s">
        <v>734</v>
      </c>
      <c r="M352" s="5" t="s">
        <v>152</v>
      </c>
      <c r="N352" s="5" t="str">
        <f t="shared" si="5"/>
        <v>Male</v>
      </c>
      <c r="O352" s="5" t="s">
        <v>152</v>
      </c>
      <c r="P352" s="5" t="s">
        <v>47</v>
      </c>
      <c r="Q352" s="5" t="s">
        <v>418</v>
      </c>
      <c r="R352" s="5" t="s">
        <v>210</v>
      </c>
      <c r="S352" s="5" t="s">
        <v>97</v>
      </c>
      <c r="T352" s="6">
        <v>1008.0</v>
      </c>
      <c r="U352" s="5">
        <f t="shared" si="6"/>
        <v>1008</v>
      </c>
      <c r="V352" s="5">
        <v>1008.0</v>
      </c>
    </row>
    <row r="353" ht="22.5" customHeight="1">
      <c r="A353" s="5" t="s">
        <v>1556</v>
      </c>
      <c r="B353" s="5" t="s">
        <v>171</v>
      </c>
      <c r="C353" s="5" t="str">
        <f t="shared" si="1"/>
        <v>Frank</v>
      </c>
      <c r="D353" s="5" t="s">
        <v>171</v>
      </c>
      <c r="E353" s="5" t="s">
        <v>469</v>
      </c>
      <c r="F353" s="5" t="str">
        <f t="shared" si="2"/>
        <v>Perez</v>
      </c>
      <c r="G353" s="5" t="s">
        <v>469</v>
      </c>
      <c r="H353" s="6">
        <v>70.0</v>
      </c>
      <c r="I353" s="6">
        <f t="shared" si="3"/>
        <v>70</v>
      </c>
      <c r="J353" s="6">
        <v>70.0</v>
      </c>
      <c r="K353" s="6" t="str">
        <f t="shared" si="4"/>
        <v>Senior</v>
      </c>
      <c r="L353" s="6" t="s">
        <v>734</v>
      </c>
      <c r="M353" s="5" t="s">
        <v>152</v>
      </c>
      <c r="N353" s="5" t="str">
        <f t="shared" si="5"/>
        <v>Male</v>
      </c>
      <c r="O353" s="5" t="s">
        <v>152</v>
      </c>
      <c r="P353" s="5" t="s">
        <v>759</v>
      </c>
      <c r="Q353" s="5" t="s">
        <v>439</v>
      </c>
      <c r="R353" s="5" t="s">
        <v>210</v>
      </c>
      <c r="S353" s="5" t="s">
        <v>97</v>
      </c>
      <c r="T353" s="6">
        <v>456.0</v>
      </c>
      <c r="U353" s="5">
        <f t="shared" si="6"/>
        <v>456</v>
      </c>
      <c r="V353" s="5">
        <v>456.0</v>
      </c>
    </row>
    <row r="354" ht="22.5" customHeight="1">
      <c r="A354" s="5" t="s">
        <v>1558</v>
      </c>
      <c r="B354" s="5" t="s">
        <v>411</v>
      </c>
      <c r="C354" s="5" t="str">
        <f t="shared" si="1"/>
        <v>Jane</v>
      </c>
      <c r="D354" s="5" t="s">
        <v>411</v>
      </c>
      <c r="E354" s="5" t="s">
        <v>458</v>
      </c>
      <c r="F354" s="5" t="str">
        <f t="shared" si="2"/>
        <v>Smirnov</v>
      </c>
      <c r="G354" s="5" t="s">
        <v>458</v>
      </c>
      <c r="H354" s="6">
        <v>34.0</v>
      </c>
      <c r="I354" s="6">
        <f t="shared" si="3"/>
        <v>34</v>
      </c>
      <c r="J354" s="6">
        <v>34.0</v>
      </c>
      <c r="K354" s="6" t="str">
        <f t="shared" si="4"/>
        <v>Young Adult</v>
      </c>
      <c r="L354" s="6" t="s">
        <v>528</v>
      </c>
      <c r="M354" s="5" t="s">
        <v>45</v>
      </c>
      <c r="N354" s="5" t="str">
        <f t="shared" si="5"/>
        <v>Female</v>
      </c>
      <c r="O354" s="5" t="s">
        <v>105</v>
      </c>
      <c r="P354" s="5" t="s">
        <v>237</v>
      </c>
      <c r="Q354" s="5" t="s">
        <v>377</v>
      </c>
      <c r="R354" s="5" t="s">
        <v>402</v>
      </c>
      <c r="S354" s="5" t="s">
        <v>211</v>
      </c>
      <c r="T354" s="6">
        <v>3294.0</v>
      </c>
      <c r="U354" s="5">
        <f t="shared" si="6"/>
        <v>3294</v>
      </c>
      <c r="V354" s="5">
        <v>3294.0</v>
      </c>
    </row>
    <row r="355" ht="22.5" customHeight="1">
      <c r="A355" s="5" t="s">
        <v>1561</v>
      </c>
      <c r="B355" s="5" t="s">
        <v>411</v>
      </c>
      <c r="C355" s="5" t="str">
        <f t="shared" si="1"/>
        <v>Jane</v>
      </c>
      <c r="D355" s="5" t="s">
        <v>411</v>
      </c>
      <c r="E355" s="5" t="s">
        <v>1562</v>
      </c>
      <c r="F355" s="5" t="str">
        <f t="shared" si="2"/>
        <v>Perez</v>
      </c>
      <c r="G355" s="5" t="s">
        <v>469</v>
      </c>
      <c r="H355" s="6">
        <v>54.0</v>
      </c>
      <c r="I355" s="6">
        <f t="shared" si="3"/>
        <v>54</v>
      </c>
      <c r="J355" s="6">
        <v>54.0</v>
      </c>
      <c r="K355" s="6" t="str">
        <f t="shared" si="4"/>
        <v>Middle Age</v>
      </c>
      <c r="L355" s="6" t="s">
        <v>591</v>
      </c>
      <c r="M355" s="5" t="s">
        <v>45</v>
      </c>
      <c r="N355" s="5" t="str">
        <f t="shared" si="5"/>
        <v>Female</v>
      </c>
      <c r="O355" s="5" t="s">
        <v>105</v>
      </c>
      <c r="P355" s="5" t="s">
        <v>393</v>
      </c>
      <c r="Q355" s="5" t="s">
        <v>377</v>
      </c>
      <c r="R355" s="5" t="s">
        <v>402</v>
      </c>
      <c r="S355" s="5" t="s">
        <v>559</v>
      </c>
      <c r="T355" s="6">
        <v>2366.0</v>
      </c>
      <c r="U355" s="5">
        <f t="shared" si="6"/>
        <v>2366</v>
      </c>
      <c r="V355" s="5">
        <v>2366.0</v>
      </c>
    </row>
    <row r="356" ht="22.5" customHeight="1">
      <c r="A356" s="5" t="s">
        <v>1564</v>
      </c>
      <c r="B356" s="5" t="s">
        <v>368</v>
      </c>
      <c r="C356" s="5" t="str">
        <f t="shared" si="1"/>
        <v>Grace</v>
      </c>
      <c r="D356" s="5" t="s">
        <v>368</v>
      </c>
      <c r="E356" s="5" t="s">
        <v>76</v>
      </c>
      <c r="F356" s="5" t="str">
        <f t="shared" si="2"/>
        <v>Brown</v>
      </c>
      <c r="G356" s="5" t="s">
        <v>76</v>
      </c>
      <c r="H356" s="6">
        <v>46.0</v>
      </c>
      <c r="I356" s="6">
        <f t="shared" si="3"/>
        <v>46</v>
      </c>
      <c r="J356" s="6">
        <v>46.0</v>
      </c>
      <c r="K356" s="6" t="str">
        <f t="shared" si="4"/>
        <v>Middle Age</v>
      </c>
      <c r="L356" s="6" t="s">
        <v>591</v>
      </c>
      <c r="M356" s="5" t="s">
        <v>28</v>
      </c>
      <c r="N356" s="5" t="str">
        <f t="shared" si="5"/>
        <v>Female</v>
      </c>
      <c r="O356" s="5" t="s">
        <v>105</v>
      </c>
      <c r="P356" s="5" t="s">
        <v>131</v>
      </c>
      <c r="Q356" s="5" t="s">
        <v>418</v>
      </c>
      <c r="R356" s="5" t="s">
        <v>210</v>
      </c>
      <c r="S356" s="5" t="s">
        <v>52</v>
      </c>
      <c r="T356" s="6">
        <v>1206.0</v>
      </c>
      <c r="U356" s="5">
        <f t="shared" si="6"/>
        <v>1206</v>
      </c>
      <c r="V356" s="5">
        <v>1206.0</v>
      </c>
    </row>
    <row r="357" ht="22.5" customHeight="1">
      <c r="A357" s="5" t="s">
        <v>1567</v>
      </c>
      <c r="B357" s="5" t="s">
        <v>158</v>
      </c>
      <c r="C357" s="5" t="str">
        <f t="shared" si="1"/>
        <v>Eva</v>
      </c>
      <c r="D357" s="5" t="s">
        <v>158</v>
      </c>
      <c r="E357" s="5" t="s">
        <v>1568</v>
      </c>
      <c r="F357" s="5" t="str">
        <f t="shared" si="2"/>
        <v>Sun</v>
      </c>
      <c r="G357" s="5" t="s">
        <v>1486</v>
      </c>
      <c r="H357" s="6">
        <v>34.0</v>
      </c>
      <c r="I357" s="6">
        <f t="shared" si="3"/>
        <v>34</v>
      </c>
      <c r="J357" s="6">
        <v>34.0</v>
      </c>
      <c r="K357" s="6" t="str">
        <f t="shared" si="4"/>
        <v>Young Adult</v>
      </c>
      <c r="L357" s="6" t="s">
        <v>528</v>
      </c>
      <c r="M357" s="5" t="s">
        <v>105</v>
      </c>
      <c r="N357" s="5" t="str">
        <f t="shared" si="5"/>
        <v>Female</v>
      </c>
      <c r="O357" s="5" t="s">
        <v>105</v>
      </c>
      <c r="P357" s="5" t="s">
        <v>759</v>
      </c>
      <c r="Q357" s="5" t="s">
        <v>123</v>
      </c>
      <c r="R357" s="5" t="s">
        <v>83</v>
      </c>
      <c r="S357" s="5" t="s">
        <v>222</v>
      </c>
      <c r="T357" s="6">
        <v>2209.0</v>
      </c>
      <c r="U357" s="5">
        <f t="shared" si="6"/>
        <v>2209</v>
      </c>
      <c r="V357" s="5">
        <v>2209.0</v>
      </c>
    </row>
    <row r="358" ht="22.5" customHeight="1">
      <c r="A358" s="5" t="s">
        <v>1571</v>
      </c>
      <c r="B358" s="5" t="s">
        <v>343</v>
      </c>
      <c r="C358" s="5" t="str">
        <f t="shared" si="1"/>
        <v>Bob</v>
      </c>
      <c r="D358" s="5" t="s">
        <v>343</v>
      </c>
      <c r="E358" s="5" t="s">
        <v>1322</v>
      </c>
      <c r="F358" s="5" t="str">
        <f t="shared" si="2"/>
        <v>Jiang</v>
      </c>
      <c r="G358" s="5" t="s">
        <v>1322</v>
      </c>
      <c r="H358" s="8"/>
      <c r="I358" s="8">
        <f t="shared" si="3"/>
        <v>0</v>
      </c>
      <c r="J358" s="8"/>
      <c r="K358" s="8" t="str">
        <f t="shared" si="4"/>
        <v>Unknown</v>
      </c>
      <c r="L358" s="8" t="s">
        <v>1081</v>
      </c>
      <c r="M358" s="5" t="s">
        <v>1572</v>
      </c>
      <c r="N358" s="5" t="str">
        <f t="shared" si="5"/>
        <v>Male</v>
      </c>
      <c r="O358" s="5" t="s">
        <v>152</v>
      </c>
      <c r="P358" s="5" t="s">
        <v>309</v>
      </c>
      <c r="Q358" s="5" t="s">
        <v>576</v>
      </c>
      <c r="R358" s="5" t="s">
        <v>607</v>
      </c>
      <c r="S358" s="5" t="s">
        <v>52</v>
      </c>
      <c r="T358" s="6">
        <v>2311.0</v>
      </c>
      <c r="U358" s="5">
        <f t="shared" si="6"/>
        <v>2311</v>
      </c>
      <c r="V358" s="5">
        <v>2311.0</v>
      </c>
    </row>
    <row r="359" ht="22.5" customHeight="1">
      <c r="A359" s="5" t="s">
        <v>1574</v>
      </c>
      <c r="B359" s="5" t="s">
        <v>542</v>
      </c>
      <c r="C359" s="5" t="str">
        <f t="shared" si="1"/>
        <v>David</v>
      </c>
      <c r="D359" s="5" t="s">
        <v>542</v>
      </c>
      <c r="E359" s="5" t="s">
        <v>374</v>
      </c>
      <c r="F359" s="5" t="str">
        <f t="shared" si="2"/>
        <v>Miller</v>
      </c>
      <c r="G359" s="5" t="s">
        <v>374</v>
      </c>
      <c r="H359" s="6">
        <v>40.0</v>
      </c>
      <c r="I359" s="6">
        <f t="shared" si="3"/>
        <v>40</v>
      </c>
      <c r="J359" s="6">
        <v>40.0</v>
      </c>
      <c r="K359" s="6" t="str">
        <f t="shared" si="4"/>
        <v>Young Adult</v>
      </c>
      <c r="L359" s="6" t="s">
        <v>528</v>
      </c>
      <c r="M359" s="5" t="s">
        <v>80</v>
      </c>
      <c r="N359" s="5" t="str">
        <f t="shared" si="5"/>
        <v>Male</v>
      </c>
      <c r="O359" s="5" t="s">
        <v>152</v>
      </c>
      <c r="P359" s="5" t="s">
        <v>131</v>
      </c>
      <c r="Q359" s="5" t="s">
        <v>32</v>
      </c>
      <c r="R359" s="5" t="s">
        <v>83</v>
      </c>
      <c r="S359" s="5" t="s">
        <v>211</v>
      </c>
      <c r="T359" s="6">
        <v>2399.0</v>
      </c>
      <c r="U359" s="5">
        <f t="shared" si="6"/>
        <v>2399</v>
      </c>
      <c r="V359" s="5">
        <v>2399.0</v>
      </c>
    </row>
    <row r="360" ht="22.5" customHeight="1">
      <c r="A360" s="5" t="s">
        <v>1577</v>
      </c>
      <c r="B360" s="5" t="s">
        <v>307</v>
      </c>
      <c r="C360" s="5" t="str">
        <f t="shared" si="1"/>
        <v>Hannah</v>
      </c>
      <c r="D360" s="5" t="s">
        <v>307</v>
      </c>
      <c r="E360" s="5" t="s">
        <v>1451</v>
      </c>
      <c r="F360" s="5" t="str">
        <f t="shared" si="2"/>
        <v>Baker</v>
      </c>
      <c r="G360" s="5" t="s">
        <v>316</v>
      </c>
      <c r="H360" s="6">
        <v>47.0</v>
      </c>
      <c r="I360" s="6">
        <f t="shared" si="3"/>
        <v>47</v>
      </c>
      <c r="J360" s="6">
        <v>47.0</v>
      </c>
      <c r="K360" s="6" t="str">
        <f t="shared" si="4"/>
        <v>Middle Age</v>
      </c>
      <c r="L360" s="6" t="s">
        <v>591</v>
      </c>
      <c r="M360" s="5" t="s">
        <v>45</v>
      </c>
      <c r="N360" s="5" t="str">
        <f t="shared" si="5"/>
        <v>Female</v>
      </c>
      <c r="O360" s="5" t="s">
        <v>105</v>
      </c>
      <c r="P360" s="5" t="s">
        <v>30</v>
      </c>
      <c r="Q360" s="5" t="s">
        <v>489</v>
      </c>
      <c r="R360" s="5" t="s">
        <v>179</v>
      </c>
      <c r="S360" s="5" t="s">
        <v>559</v>
      </c>
      <c r="T360" s="6">
        <v>4057.0</v>
      </c>
      <c r="U360" s="5">
        <f t="shared" si="6"/>
        <v>4057</v>
      </c>
      <c r="V360" s="5">
        <v>4057.0</v>
      </c>
    </row>
    <row r="361" ht="22.5" customHeight="1">
      <c r="A361" s="5" t="s">
        <v>1579</v>
      </c>
      <c r="B361" s="5" t="s">
        <v>127</v>
      </c>
      <c r="C361" s="5" t="str">
        <f t="shared" si="1"/>
        <v>John</v>
      </c>
      <c r="D361" s="5" t="s">
        <v>127</v>
      </c>
      <c r="E361" s="5" t="s">
        <v>1070</v>
      </c>
      <c r="F361" s="5" t="str">
        <f t="shared" si="2"/>
        <v>Jiang</v>
      </c>
      <c r="G361" s="5" t="s">
        <v>1322</v>
      </c>
      <c r="H361" s="6">
        <v>20.0</v>
      </c>
      <c r="I361" s="6">
        <f t="shared" si="3"/>
        <v>20</v>
      </c>
      <c r="J361" s="6">
        <v>20.0</v>
      </c>
      <c r="K361" s="6" t="str">
        <f t="shared" si="4"/>
        <v>Young Adult</v>
      </c>
      <c r="L361" s="6" t="s">
        <v>528</v>
      </c>
      <c r="M361" s="5" t="s">
        <v>152</v>
      </c>
      <c r="N361" s="5" t="str">
        <f t="shared" si="5"/>
        <v>Male</v>
      </c>
      <c r="O361" s="5" t="s">
        <v>152</v>
      </c>
      <c r="P361" s="5" t="s">
        <v>141</v>
      </c>
      <c r="Q361" s="5" t="s">
        <v>377</v>
      </c>
      <c r="R361" s="5" t="s">
        <v>402</v>
      </c>
      <c r="S361" s="5" t="s">
        <v>222</v>
      </c>
      <c r="T361" s="6">
        <v>892.0</v>
      </c>
      <c r="U361" s="5">
        <f t="shared" si="6"/>
        <v>892</v>
      </c>
      <c r="V361" s="5">
        <v>892.0</v>
      </c>
    </row>
    <row r="362" ht="22.5" customHeight="1">
      <c r="A362" s="5" t="s">
        <v>1582</v>
      </c>
      <c r="B362" s="5" t="s">
        <v>620</v>
      </c>
      <c r="C362" s="5" t="str">
        <f t="shared" si="1"/>
        <v>Michelle</v>
      </c>
      <c r="D362" s="5" t="s">
        <v>620</v>
      </c>
      <c r="E362" s="5" t="s">
        <v>458</v>
      </c>
      <c r="F362" s="5" t="str">
        <f t="shared" si="2"/>
        <v>Smirnov</v>
      </c>
      <c r="G362" s="5" t="s">
        <v>458</v>
      </c>
      <c r="H362" s="6">
        <v>54.0</v>
      </c>
      <c r="I362" s="6">
        <f t="shared" si="3"/>
        <v>54</v>
      </c>
      <c r="J362" s="6">
        <v>54.0</v>
      </c>
      <c r="K362" s="6" t="str">
        <f t="shared" si="4"/>
        <v>Middle Age</v>
      </c>
      <c r="L362" s="6" t="s">
        <v>591</v>
      </c>
      <c r="M362" s="5" t="s">
        <v>105</v>
      </c>
      <c r="N362" s="5" t="str">
        <f t="shared" si="5"/>
        <v>Female</v>
      </c>
      <c r="O362" s="5" t="s">
        <v>105</v>
      </c>
      <c r="P362" s="5" t="s">
        <v>208</v>
      </c>
      <c r="Q362" s="5" t="s">
        <v>436</v>
      </c>
      <c r="R362" s="5" t="s">
        <v>561</v>
      </c>
      <c r="S362" s="5" t="s">
        <v>222</v>
      </c>
      <c r="T362" s="6">
        <v>1870.0</v>
      </c>
      <c r="U362" s="5">
        <f t="shared" si="6"/>
        <v>1870</v>
      </c>
      <c r="V362" s="5">
        <v>1870.0</v>
      </c>
    </row>
    <row r="363" ht="22.5" customHeight="1">
      <c r="A363" s="5" t="s">
        <v>1585</v>
      </c>
      <c r="B363" s="5" t="s">
        <v>343</v>
      </c>
      <c r="C363" s="5" t="str">
        <f t="shared" si="1"/>
        <v>Bob</v>
      </c>
      <c r="D363" s="5" t="s">
        <v>343</v>
      </c>
      <c r="E363" s="5" t="s">
        <v>194</v>
      </c>
      <c r="F363" s="5" t="str">
        <f t="shared" si="2"/>
        <v>Chen</v>
      </c>
      <c r="G363" s="5" t="s">
        <v>194</v>
      </c>
      <c r="H363" s="6">
        <v>43.0</v>
      </c>
      <c r="I363" s="6">
        <f t="shared" si="3"/>
        <v>43</v>
      </c>
      <c r="J363" s="6">
        <v>43.0</v>
      </c>
      <c r="K363" s="6" t="str">
        <f t="shared" si="4"/>
        <v>Middle Age</v>
      </c>
      <c r="L363" s="6" t="s">
        <v>591</v>
      </c>
      <c r="M363" s="5" t="s">
        <v>130</v>
      </c>
      <c r="N363" s="5" t="str">
        <f t="shared" si="5"/>
        <v>Male</v>
      </c>
      <c r="O363" s="5" t="s">
        <v>152</v>
      </c>
      <c r="P363" s="5" t="s">
        <v>393</v>
      </c>
      <c r="Q363" s="5" t="s">
        <v>637</v>
      </c>
      <c r="R363" s="5" t="s">
        <v>546</v>
      </c>
      <c r="S363" s="5" t="s">
        <v>559</v>
      </c>
      <c r="T363" s="6">
        <v>1829.0</v>
      </c>
      <c r="U363" s="5">
        <f t="shared" si="6"/>
        <v>1829</v>
      </c>
      <c r="V363" s="5">
        <v>1829.0</v>
      </c>
    </row>
    <row r="364" ht="22.5" customHeight="1">
      <c r="A364" s="5" t="s">
        <v>1588</v>
      </c>
      <c r="B364" s="5" t="s">
        <v>1589</v>
      </c>
      <c r="C364" s="5" t="str">
        <f t="shared" si="1"/>
        <v>Fiona</v>
      </c>
      <c r="D364" s="5" t="s">
        <v>193</v>
      </c>
      <c r="E364" s="5" t="s">
        <v>244</v>
      </c>
      <c r="F364" s="5" t="str">
        <f t="shared" si="2"/>
        <v>Jackson</v>
      </c>
      <c r="G364" s="5" t="s">
        <v>244</v>
      </c>
      <c r="H364" s="6">
        <v>27.0</v>
      </c>
      <c r="I364" s="6">
        <f t="shared" si="3"/>
        <v>27</v>
      </c>
      <c r="J364" s="6">
        <v>27.0</v>
      </c>
      <c r="K364" s="6" t="str">
        <f t="shared" si="4"/>
        <v>Young Adult</v>
      </c>
      <c r="L364" s="6" t="s">
        <v>528</v>
      </c>
      <c r="M364" s="5" t="s">
        <v>45</v>
      </c>
      <c r="N364" s="5" t="str">
        <f t="shared" si="5"/>
        <v>Female</v>
      </c>
      <c r="O364" s="5" t="s">
        <v>105</v>
      </c>
      <c r="P364" s="5" t="s">
        <v>208</v>
      </c>
      <c r="Q364" s="5" t="s">
        <v>551</v>
      </c>
      <c r="R364" s="5" t="s">
        <v>83</v>
      </c>
      <c r="S364" s="5" t="s">
        <v>211</v>
      </c>
      <c r="T364" s="6">
        <v>1957.0</v>
      </c>
      <c r="U364" s="5">
        <f t="shared" si="6"/>
        <v>1957</v>
      </c>
      <c r="V364" s="5">
        <v>1957.0</v>
      </c>
    </row>
    <row r="365" ht="22.5" customHeight="1">
      <c r="A365" s="5" t="s">
        <v>1591</v>
      </c>
      <c r="B365" s="5" t="s">
        <v>343</v>
      </c>
      <c r="C365" s="5" t="str">
        <f t="shared" si="1"/>
        <v>Bob</v>
      </c>
      <c r="D365" s="5" t="s">
        <v>343</v>
      </c>
      <c r="E365" s="5" t="s">
        <v>137</v>
      </c>
      <c r="F365" s="5" t="str">
        <f t="shared" si="2"/>
        <v>Ng</v>
      </c>
      <c r="G365" s="5" t="s">
        <v>515</v>
      </c>
      <c r="H365" s="8"/>
      <c r="I365" s="8">
        <f t="shared" si="3"/>
        <v>0</v>
      </c>
      <c r="J365" s="8"/>
      <c r="K365" s="8" t="str">
        <f t="shared" si="4"/>
        <v>Unknown</v>
      </c>
      <c r="L365" s="8" t="s">
        <v>1081</v>
      </c>
      <c r="M365" s="5" t="s">
        <v>152</v>
      </c>
      <c r="N365" s="5" t="str">
        <f t="shared" si="5"/>
        <v>Male</v>
      </c>
      <c r="O365" s="5" t="s">
        <v>152</v>
      </c>
      <c r="P365" s="5" t="s">
        <v>47</v>
      </c>
      <c r="Q365" s="5" t="s">
        <v>123</v>
      </c>
      <c r="R365" s="5" t="s">
        <v>83</v>
      </c>
      <c r="S365" s="5" t="s">
        <v>52</v>
      </c>
      <c r="T365" s="6">
        <v>2344.0</v>
      </c>
      <c r="U365" s="5">
        <f t="shared" si="6"/>
        <v>2344</v>
      </c>
      <c r="V365" s="5">
        <v>2344.0</v>
      </c>
    </row>
    <row r="366" ht="22.5" customHeight="1">
      <c r="A366" s="5" t="s">
        <v>1594</v>
      </c>
      <c r="B366" s="5" t="s">
        <v>307</v>
      </c>
      <c r="C366" s="5" t="str">
        <f t="shared" si="1"/>
        <v>Hannah</v>
      </c>
      <c r="D366" s="5" t="s">
        <v>307</v>
      </c>
      <c r="E366" s="5" t="s">
        <v>159</v>
      </c>
      <c r="F366" s="5" t="str">
        <f t="shared" si="2"/>
        <v>Young</v>
      </c>
      <c r="G366" s="5" t="s">
        <v>159</v>
      </c>
      <c r="H366" s="6">
        <v>42.0</v>
      </c>
      <c r="I366" s="6">
        <f t="shared" si="3"/>
        <v>42</v>
      </c>
      <c r="J366" s="6">
        <v>42.0</v>
      </c>
      <c r="K366" s="6" t="str">
        <f t="shared" si="4"/>
        <v>Middle Age</v>
      </c>
      <c r="L366" s="6" t="s">
        <v>591</v>
      </c>
      <c r="M366" s="5" t="s">
        <v>45</v>
      </c>
      <c r="N366" s="5" t="str">
        <f t="shared" si="5"/>
        <v>Female</v>
      </c>
      <c r="O366" s="5" t="s">
        <v>105</v>
      </c>
      <c r="P366" s="5" t="s">
        <v>401</v>
      </c>
      <c r="Q366" s="5" t="s">
        <v>377</v>
      </c>
      <c r="R366" s="5" t="s">
        <v>96</v>
      </c>
      <c r="S366" s="5" t="s">
        <v>559</v>
      </c>
      <c r="T366" s="6">
        <v>497.0</v>
      </c>
      <c r="U366" s="5">
        <f t="shared" si="6"/>
        <v>497</v>
      </c>
      <c r="V366" s="5">
        <v>497.0</v>
      </c>
    </row>
    <row r="367" ht="22.5" customHeight="1">
      <c r="A367" s="5" t="s">
        <v>1597</v>
      </c>
      <c r="B367" s="5" t="s">
        <v>1598</v>
      </c>
      <c r="C367" s="5" t="str">
        <f t="shared" si="1"/>
        <v>Ava</v>
      </c>
      <c r="D367" s="5" t="s">
        <v>865</v>
      </c>
      <c r="E367" s="5" t="s">
        <v>374</v>
      </c>
      <c r="F367" s="5" t="str">
        <f t="shared" si="2"/>
        <v>Miller</v>
      </c>
      <c r="G367" s="5" t="s">
        <v>374</v>
      </c>
      <c r="H367" s="6">
        <v>41.0</v>
      </c>
      <c r="I367" s="6">
        <f t="shared" si="3"/>
        <v>41</v>
      </c>
      <c r="J367" s="6">
        <v>41.0</v>
      </c>
      <c r="K367" s="6" t="str">
        <f t="shared" si="4"/>
        <v>Middle Age</v>
      </c>
      <c r="L367" s="6" t="s">
        <v>591</v>
      </c>
      <c r="M367" s="5" t="s">
        <v>105</v>
      </c>
      <c r="N367" s="5" t="str">
        <f t="shared" si="5"/>
        <v>Female</v>
      </c>
      <c r="O367" s="5" t="s">
        <v>105</v>
      </c>
      <c r="P367" s="5" t="s">
        <v>571</v>
      </c>
      <c r="Q367" s="5" t="s">
        <v>164</v>
      </c>
      <c r="R367" s="5" t="s">
        <v>96</v>
      </c>
      <c r="S367" s="5" t="s">
        <v>211</v>
      </c>
      <c r="T367" s="6">
        <v>427.0</v>
      </c>
      <c r="U367" s="5">
        <f t="shared" si="6"/>
        <v>427</v>
      </c>
      <c r="V367" s="5">
        <v>427.0</v>
      </c>
    </row>
    <row r="368" ht="22.5" customHeight="1">
      <c r="A368" s="5" t="s">
        <v>1600</v>
      </c>
      <c r="B368" s="5" t="s">
        <v>171</v>
      </c>
      <c r="C368" s="5" t="str">
        <f t="shared" si="1"/>
        <v>Frank</v>
      </c>
      <c r="D368" s="5" t="s">
        <v>171</v>
      </c>
      <c r="E368" s="5" t="s">
        <v>433</v>
      </c>
      <c r="F368" s="5" t="str">
        <f t="shared" si="2"/>
        <v>Volkov</v>
      </c>
      <c r="G368" s="5" t="s">
        <v>433</v>
      </c>
      <c r="H368" s="6">
        <v>62.0</v>
      </c>
      <c r="I368" s="6">
        <f t="shared" si="3"/>
        <v>62</v>
      </c>
      <c r="J368" s="6">
        <v>62.0</v>
      </c>
      <c r="K368" s="6" t="str">
        <f t="shared" si="4"/>
        <v>Senior</v>
      </c>
      <c r="L368" s="6" t="s">
        <v>734</v>
      </c>
      <c r="M368" s="5" t="s">
        <v>152</v>
      </c>
      <c r="N368" s="5" t="str">
        <f t="shared" si="5"/>
        <v>Male</v>
      </c>
      <c r="O368" s="5" t="s">
        <v>152</v>
      </c>
      <c r="P368" s="5" t="s">
        <v>47</v>
      </c>
      <c r="Q368" s="5" t="s">
        <v>418</v>
      </c>
      <c r="R368" s="5" t="s">
        <v>210</v>
      </c>
      <c r="S368" s="5" t="s">
        <v>97</v>
      </c>
      <c r="T368" s="6">
        <v>1075.0</v>
      </c>
      <c r="U368" s="5">
        <f t="shared" si="6"/>
        <v>1075</v>
      </c>
      <c r="V368" s="5">
        <v>1075.0</v>
      </c>
    </row>
    <row r="369" ht="22.5" customHeight="1">
      <c r="A369" s="5" t="s">
        <v>1603</v>
      </c>
      <c r="B369" s="5" t="s">
        <v>827</v>
      </c>
      <c r="C369" s="5" t="str">
        <f t="shared" si="1"/>
        <v>Ryan</v>
      </c>
      <c r="D369" s="5" t="s">
        <v>827</v>
      </c>
      <c r="E369" s="5" t="s">
        <v>556</v>
      </c>
      <c r="F369" s="5" t="str">
        <f t="shared" si="2"/>
        <v>Jones</v>
      </c>
      <c r="G369" s="5" t="s">
        <v>556</v>
      </c>
      <c r="H369" s="6">
        <v>47.0</v>
      </c>
      <c r="I369" s="6">
        <f t="shared" si="3"/>
        <v>47</v>
      </c>
      <c r="J369" s="6">
        <v>47.0</v>
      </c>
      <c r="K369" s="6" t="str">
        <f t="shared" si="4"/>
        <v>Middle Age</v>
      </c>
      <c r="L369" s="6" t="s">
        <v>591</v>
      </c>
      <c r="M369" s="5" t="s">
        <v>130</v>
      </c>
      <c r="N369" s="5" t="str">
        <f t="shared" si="5"/>
        <v>Male</v>
      </c>
      <c r="O369" s="5" t="s">
        <v>152</v>
      </c>
      <c r="P369" s="5" t="s">
        <v>30</v>
      </c>
      <c r="Q369" s="5" t="s">
        <v>164</v>
      </c>
      <c r="R369" s="5" t="s">
        <v>96</v>
      </c>
      <c r="S369" s="5" t="s">
        <v>211</v>
      </c>
      <c r="T369" s="6">
        <v>595.0</v>
      </c>
      <c r="U369" s="5">
        <f t="shared" si="6"/>
        <v>595</v>
      </c>
      <c r="V369" s="5">
        <v>595.0</v>
      </c>
    </row>
    <row r="370" ht="22.5" customHeight="1">
      <c r="A370" s="5" t="s">
        <v>1606</v>
      </c>
      <c r="B370" s="5" t="s">
        <v>1531</v>
      </c>
      <c r="C370" s="5" t="str">
        <f t="shared" si="1"/>
        <v>Felix</v>
      </c>
      <c r="D370" s="5" t="s">
        <v>1531</v>
      </c>
      <c r="E370" s="5" t="s">
        <v>172</v>
      </c>
      <c r="F370" s="5" t="str">
        <f t="shared" si="2"/>
        <v>Little</v>
      </c>
      <c r="G370" s="5" t="s">
        <v>172</v>
      </c>
      <c r="H370" s="6">
        <v>18.0</v>
      </c>
      <c r="I370" s="6">
        <f t="shared" si="3"/>
        <v>18</v>
      </c>
      <c r="J370" s="6">
        <v>18.0</v>
      </c>
      <c r="K370" s="6" t="str">
        <f t="shared" si="4"/>
        <v>Young Adult</v>
      </c>
      <c r="L370" s="6" t="s">
        <v>528</v>
      </c>
      <c r="M370" s="5" t="s">
        <v>130</v>
      </c>
      <c r="N370" s="5" t="str">
        <f t="shared" si="5"/>
        <v>Male</v>
      </c>
      <c r="O370" s="5" t="s">
        <v>152</v>
      </c>
      <c r="P370" s="5" t="s">
        <v>393</v>
      </c>
      <c r="Q370" s="5" t="s">
        <v>1290</v>
      </c>
      <c r="R370" s="5" t="s">
        <v>533</v>
      </c>
      <c r="S370" s="5" t="s">
        <v>211</v>
      </c>
      <c r="T370" s="6">
        <v>2174.0</v>
      </c>
      <c r="U370" s="5">
        <f t="shared" si="6"/>
        <v>2174</v>
      </c>
      <c r="V370" s="5">
        <v>2174.0</v>
      </c>
    </row>
    <row r="371" ht="22.5" customHeight="1">
      <c r="A371" s="5" t="s">
        <v>1608</v>
      </c>
      <c r="B371" s="5" t="s">
        <v>368</v>
      </c>
      <c r="C371" s="5" t="str">
        <f t="shared" si="1"/>
        <v>Grace</v>
      </c>
      <c r="D371" s="5" t="s">
        <v>368</v>
      </c>
      <c r="E371" s="5" t="s">
        <v>1105</v>
      </c>
      <c r="F371" s="5" t="str">
        <f t="shared" si="2"/>
        <v>Liang</v>
      </c>
      <c r="G371" s="5" t="s">
        <v>1252</v>
      </c>
      <c r="H371" s="6">
        <v>47.0</v>
      </c>
      <c r="I371" s="6">
        <f t="shared" si="3"/>
        <v>47</v>
      </c>
      <c r="J371" s="6">
        <v>47.0</v>
      </c>
      <c r="K371" s="6" t="str">
        <f t="shared" si="4"/>
        <v>Middle Age</v>
      </c>
      <c r="L371" s="6" t="s">
        <v>591</v>
      </c>
      <c r="M371" s="5" t="s">
        <v>105</v>
      </c>
      <c r="N371" s="5" t="str">
        <f t="shared" si="5"/>
        <v>Female</v>
      </c>
      <c r="O371" s="5" t="s">
        <v>105</v>
      </c>
      <c r="P371" s="5" t="s">
        <v>107</v>
      </c>
      <c r="Q371" s="5" t="s">
        <v>1290</v>
      </c>
      <c r="R371" s="5" t="s">
        <v>533</v>
      </c>
      <c r="S371" s="5" t="s">
        <v>211</v>
      </c>
      <c r="T371" s="6">
        <v>2581.0</v>
      </c>
      <c r="U371" s="5">
        <f t="shared" si="6"/>
        <v>2581</v>
      </c>
      <c r="V371" s="5">
        <v>2581.0</v>
      </c>
    </row>
    <row r="372" ht="22.5" customHeight="1">
      <c r="A372" s="5" t="s">
        <v>1611</v>
      </c>
      <c r="B372" s="5" t="s">
        <v>983</v>
      </c>
      <c r="C372" s="5" t="str">
        <f t="shared" si="1"/>
        <v>Thomas</v>
      </c>
      <c r="D372" s="5" t="s">
        <v>983</v>
      </c>
      <c r="E372" s="5" t="s">
        <v>128</v>
      </c>
      <c r="F372" s="5" t="str">
        <f t="shared" si="2"/>
        <v>Rodriguez</v>
      </c>
      <c r="G372" s="5" t="s">
        <v>128</v>
      </c>
      <c r="H372" s="6">
        <v>26.0</v>
      </c>
      <c r="I372" s="6">
        <f t="shared" si="3"/>
        <v>26</v>
      </c>
      <c r="J372" s="6">
        <v>26.0</v>
      </c>
      <c r="K372" s="6" t="str">
        <f t="shared" si="4"/>
        <v>Young Adult</v>
      </c>
      <c r="L372" s="6" t="s">
        <v>528</v>
      </c>
      <c r="M372" s="5" t="s">
        <v>130</v>
      </c>
      <c r="N372" s="5" t="str">
        <f t="shared" si="5"/>
        <v>Male</v>
      </c>
      <c r="O372" s="5" t="s">
        <v>152</v>
      </c>
      <c r="P372" s="5" t="s">
        <v>393</v>
      </c>
      <c r="Q372" s="5" t="s">
        <v>230</v>
      </c>
      <c r="R372" s="5" t="s">
        <v>452</v>
      </c>
      <c r="S372" s="5" t="s">
        <v>211</v>
      </c>
      <c r="T372" s="6">
        <v>4354.0</v>
      </c>
      <c r="U372" s="5">
        <f t="shared" si="6"/>
        <v>4354</v>
      </c>
      <c r="V372" s="5">
        <v>4354.0</v>
      </c>
    </row>
    <row r="373" ht="22.5" customHeight="1">
      <c r="A373" s="5" t="s">
        <v>1614</v>
      </c>
      <c r="B373" s="5" t="s">
        <v>411</v>
      </c>
      <c r="C373" s="5" t="str">
        <f t="shared" si="1"/>
        <v>Jane</v>
      </c>
      <c r="D373" s="5" t="s">
        <v>411</v>
      </c>
      <c r="E373" s="5" t="s">
        <v>301</v>
      </c>
      <c r="F373" s="5" t="str">
        <f t="shared" si="2"/>
        <v>Lee</v>
      </c>
      <c r="G373" s="5" t="s">
        <v>301</v>
      </c>
      <c r="H373" s="6">
        <v>21.0</v>
      </c>
      <c r="I373" s="6">
        <f t="shared" si="3"/>
        <v>21</v>
      </c>
      <c r="J373" s="6">
        <v>21.0</v>
      </c>
      <c r="K373" s="6" t="str">
        <f t="shared" si="4"/>
        <v>Young Adult</v>
      </c>
      <c r="L373" s="6" t="s">
        <v>528</v>
      </c>
      <c r="M373" s="5" t="s">
        <v>105</v>
      </c>
      <c r="N373" s="5" t="str">
        <f t="shared" si="5"/>
        <v>Female</v>
      </c>
      <c r="O373" s="5" t="s">
        <v>105</v>
      </c>
      <c r="P373" s="5" t="s">
        <v>393</v>
      </c>
      <c r="Q373" s="5" t="s">
        <v>482</v>
      </c>
      <c r="R373" s="5" t="s">
        <v>179</v>
      </c>
      <c r="S373" s="5" t="s">
        <v>211</v>
      </c>
      <c r="T373" s="6">
        <v>2733.0</v>
      </c>
      <c r="U373" s="5">
        <f t="shared" si="6"/>
        <v>2733</v>
      </c>
      <c r="V373" s="5">
        <v>2733.0</v>
      </c>
    </row>
    <row r="374" ht="22.5" customHeight="1">
      <c r="A374" s="5" t="s">
        <v>1616</v>
      </c>
      <c r="B374" s="5" t="s">
        <v>1004</v>
      </c>
      <c r="C374" s="5" t="str">
        <f t="shared" si="1"/>
        <v>Tom</v>
      </c>
      <c r="D374" s="5" t="s">
        <v>1004</v>
      </c>
      <c r="E374" s="5" t="s">
        <v>254</v>
      </c>
      <c r="F374" s="5" t="str">
        <f t="shared" si="2"/>
        <v>Doe</v>
      </c>
      <c r="G374" s="5" t="s">
        <v>254</v>
      </c>
      <c r="H374" s="6">
        <v>19.0</v>
      </c>
      <c r="I374" s="6">
        <f t="shared" si="3"/>
        <v>19</v>
      </c>
      <c r="J374" s="6">
        <v>19.0</v>
      </c>
      <c r="K374" s="6" t="str">
        <f t="shared" si="4"/>
        <v>Young Adult</v>
      </c>
      <c r="L374" s="6" t="s">
        <v>528</v>
      </c>
      <c r="M374" s="5" t="s">
        <v>130</v>
      </c>
      <c r="N374" s="5" t="str">
        <f t="shared" si="5"/>
        <v>Male</v>
      </c>
      <c r="O374" s="5" t="s">
        <v>152</v>
      </c>
      <c r="P374" s="5" t="s">
        <v>364</v>
      </c>
      <c r="Q374" s="5" t="s">
        <v>311</v>
      </c>
      <c r="R374" s="5" t="s">
        <v>546</v>
      </c>
      <c r="S374" s="5" t="s">
        <v>52</v>
      </c>
      <c r="T374" s="6">
        <v>2070.0</v>
      </c>
      <c r="U374" s="5">
        <f t="shared" si="6"/>
        <v>2070</v>
      </c>
      <c r="V374" s="5">
        <v>2070.0</v>
      </c>
    </row>
    <row r="375" ht="22.5" customHeight="1">
      <c r="A375" s="5" t="s">
        <v>1619</v>
      </c>
      <c r="B375" s="5" t="s">
        <v>542</v>
      </c>
      <c r="C375" s="5" t="str">
        <f t="shared" si="1"/>
        <v>David</v>
      </c>
      <c r="D375" s="5" t="s">
        <v>542</v>
      </c>
      <c r="E375" s="5" t="s">
        <v>148</v>
      </c>
      <c r="F375" s="5" t="str">
        <f t="shared" si="2"/>
        <v>Johnson</v>
      </c>
      <c r="G375" s="5" t="s">
        <v>148</v>
      </c>
      <c r="H375" s="6">
        <v>63.0</v>
      </c>
      <c r="I375" s="6">
        <f t="shared" si="3"/>
        <v>63</v>
      </c>
      <c r="J375" s="6">
        <v>63.0</v>
      </c>
      <c r="K375" s="6" t="str">
        <f t="shared" si="4"/>
        <v>Senior</v>
      </c>
      <c r="L375" s="6" t="s">
        <v>734</v>
      </c>
      <c r="M375" s="5" t="s">
        <v>152</v>
      </c>
      <c r="N375" s="5" t="str">
        <f t="shared" si="5"/>
        <v>Male</v>
      </c>
      <c r="O375" s="5" t="s">
        <v>152</v>
      </c>
      <c r="P375" s="5" t="s">
        <v>30</v>
      </c>
      <c r="Q375" s="5" t="s">
        <v>164</v>
      </c>
      <c r="R375" s="5" t="s">
        <v>452</v>
      </c>
      <c r="S375" s="5" t="s">
        <v>97</v>
      </c>
      <c r="T375" s="6">
        <v>3951.0</v>
      </c>
      <c r="U375" s="5">
        <f t="shared" si="6"/>
        <v>3951</v>
      </c>
      <c r="V375" s="5">
        <v>3951.0</v>
      </c>
    </row>
    <row r="376" ht="22.5" customHeight="1">
      <c r="A376" s="5" t="s">
        <v>1623</v>
      </c>
      <c r="B376" s="5" t="s">
        <v>307</v>
      </c>
      <c r="C376" s="5" t="str">
        <f t="shared" si="1"/>
        <v>Hannah</v>
      </c>
      <c r="D376" s="5" t="s">
        <v>307</v>
      </c>
      <c r="E376" s="5" t="s">
        <v>1322</v>
      </c>
      <c r="F376" s="5" t="str">
        <f t="shared" si="2"/>
        <v>Jiang</v>
      </c>
      <c r="G376" s="5" t="s">
        <v>1322</v>
      </c>
      <c r="H376" s="6">
        <v>49.0</v>
      </c>
      <c r="I376" s="6">
        <f t="shared" si="3"/>
        <v>49</v>
      </c>
      <c r="J376" s="6">
        <v>49.0</v>
      </c>
      <c r="K376" s="6" t="str">
        <f t="shared" si="4"/>
        <v>Middle Age</v>
      </c>
      <c r="L376" s="6" t="s">
        <v>591</v>
      </c>
      <c r="M376" s="5" t="s">
        <v>105</v>
      </c>
      <c r="N376" s="5" t="str">
        <f t="shared" si="5"/>
        <v>Female</v>
      </c>
      <c r="O376" s="5" t="s">
        <v>105</v>
      </c>
      <c r="P376" s="5" t="s">
        <v>81</v>
      </c>
      <c r="Q376" s="5" t="s">
        <v>238</v>
      </c>
      <c r="R376" s="5" t="s">
        <v>533</v>
      </c>
      <c r="S376" s="5" t="s">
        <v>211</v>
      </c>
      <c r="T376" s="6">
        <v>884.0</v>
      </c>
      <c r="U376" s="5">
        <f t="shared" si="6"/>
        <v>884</v>
      </c>
      <c r="V376" s="5">
        <v>884.0</v>
      </c>
    </row>
    <row r="377" ht="22.5" customHeight="1">
      <c r="A377" s="5" t="s">
        <v>1625</v>
      </c>
      <c r="B377" s="5" t="s">
        <v>1329</v>
      </c>
      <c r="C377" s="5" t="str">
        <f t="shared" si="1"/>
        <v>Timothy</v>
      </c>
      <c r="D377" s="5" t="s">
        <v>1329</v>
      </c>
      <c r="E377" s="5" t="s">
        <v>90</v>
      </c>
      <c r="F377" s="5" t="str">
        <f t="shared" si="2"/>
        <v>Davis</v>
      </c>
      <c r="G377" s="5" t="s">
        <v>90</v>
      </c>
      <c r="H377" s="6">
        <v>46.0</v>
      </c>
      <c r="I377" s="6">
        <f t="shared" si="3"/>
        <v>46</v>
      </c>
      <c r="J377" s="6">
        <v>46.0</v>
      </c>
      <c r="K377" s="6" t="str">
        <f t="shared" si="4"/>
        <v>Middle Age</v>
      </c>
      <c r="L377" s="6" t="s">
        <v>591</v>
      </c>
      <c r="M377" s="5" t="s">
        <v>80</v>
      </c>
      <c r="N377" s="5" t="str">
        <f t="shared" si="5"/>
        <v>Male</v>
      </c>
      <c r="O377" s="5" t="s">
        <v>152</v>
      </c>
      <c r="P377" s="5" t="s">
        <v>64</v>
      </c>
      <c r="Q377" s="5" t="s">
        <v>916</v>
      </c>
      <c r="R377" s="5" t="s">
        <v>402</v>
      </c>
      <c r="S377" s="5" t="s">
        <v>52</v>
      </c>
      <c r="T377" s="6">
        <v>1892.0</v>
      </c>
      <c r="U377" s="5">
        <f t="shared" si="6"/>
        <v>1892</v>
      </c>
      <c r="V377" s="5">
        <v>1892.0</v>
      </c>
    </row>
    <row r="378" ht="22.5" customHeight="1">
      <c r="A378" s="5" t="s">
        <v>1628</v>
      </c>
      <c r="B378" s="5" t="s">
        <v>158</v>
      </c>
      <c r="C378" s="5" t="str">
        <f t="shared" si="1"/>
        <v>Eva</v>
      </c>
      <c r="D378" s="5" t="s">
        <v>158</v>
      </c>
      <c r="E378" s="5" t="s">
        <v>128</v>
      </c>
      <c r="F378" s="5" t="str">
        <f t="shared" si="2"/>
        <v>Rodriguez</v>
      </c>
      <c r="G378" s="5" t="s">
        <v>128</v>
      </c>
      <c r="H378" s="6">
        <v>38.0</v>
      </c>
      <c r="I378" s="6">
        <f t="shared" si="3"/>
        <v>38</v>
      </c>
      <c r="J378" s="6">
        <v>38.0</v>
      </c>
      <c r="K378" s="6" t="str">
        <f t="shared" si="4"/>
        <v>Young Adult</v>
      </c>
      <c r="L378" s="6" t="s">
        <v>528</v>
      </c>
      <c r="M378" s="5" t="s">
        <v>105</v>
      </c>
      <c r="N378" s="5" t="str">
        <f t="shared" si="5"/>
        <v>Female</v>
      </c>
      <c r="O378" s="5" t="s">
        <v>105</v>
      </c>
      <c r="P378" s="5" t="s">
        <v>64</v>
      </c>
      <c r="Q378" s="5" t="s">
        <v>418</v>
      </c>
      <c r="R378" s="5" t="s">
        <v>210</v>
      </c>
      <c r="S378" s="5" t="s">
        <v>222</v>
      </c>
      <c r="T378" s="6">
        <v>833.0</v>
      </c>
      <c r="U378" s="5">
        <f t="shared" si="6"/>
        <v>833</v>
      </c>
      <c r="V378" s="5">
        <v>833.0</v>
      </c>
    </row>
    <row r="379" ht="22.5" customHeight="1">
      <c r="A379" s="5" t="s">
        <v>1631</v>
      </c>
      <c r="B379" s="5" t="s">
        <v>171</v>
      </c>
      <c r="C379" s="5" t="str">
        <f t="shared" si="1"/>
        <v>Frank</v>
      </c>
      <c r="D379" s="5" t="s">
        <v>171</v>
      </c>
      <c r="E379" s="5" t="s">
        <v>788</v>
      </c>
      <c r="F379" s="5" t="str">
        <f t="shared" si="2"/>
        <v>Davidson</v>
      </c>
      <c r="G379" s="5" t="s">
        <v>526</v>
      </c>
      <c r="H379" s="6">
        <v>68.0</v>
      </c>
      <c r="I379" s="6">
        <f t="shared" si="3"/>
        <v>68</v>
      </c>
      <c r="J379" s="6">
        <v>68.0</v>
      </c>
      <c r="K379" s="6" t="str">
        <f t="shared" si="4"/>
        <v>Senior</v>
      </c>
      <c r="L379" s="6" t="s">
        <v>734</v>
      </c>
      <c r="M379" s="5" t="s">
        <v>80</v>
      </c>
      <c r="N379" s="5" t="str">
        <f t="shared" si="5"/>
        <v>Male</v>
      </c>
      <c r="O379" s="5" t="s">
        <v>152</v>
      </c>
      <c r="P379" s="5" t="s">
        <v>364</v>
      </c>
      <c r="Q379" s="5" t="s">
        <v>123</v>
      </c>
      <c r="R379" s="5" t="s">
        <v>83</v>
      </c>
      <c r="S379" s="5" t="s">
        <v>97</v>
      </c>
      <c r="T379" s="6">
        <v>1770.0</v>
      </c>
      <c r="U379" s="5">
        <f t="shared" si="6"/>
        <v>1770</v>
      </c>
      <c r="V379" s="5">
        <v>1770.0</v>
      </c>
    </row>
    <row r="380" ht="22.5" customHeight="1">
      <c r="A380" s="5" t="s">
        <v>1633</v>
      </c>
      <c r="B380" s="5" t="s">
        <v>827</v>
      </c>
      <c r="C380" s="5" t="str">
        <f t="shared" si="1"/>
        <v>Ryan</v>
      </c>
      <c r="D380" s="5" t="s">
        <v>827</v>
      </c>
      <c r="E380" s="5" t="s">
        <v>254</v>
      </c>
      <c r="F380" s="5" t="str">
        <f t="shared" si="2"/>
        <v>Doe</v>
      </c>
      <c r="G380" s="5" t="s">
        <v>254</v>
      </c>
      <c r="H380" s="6">
        <v>39.0</v>
      </c>
      <c r="I380" s="6">
        <f t="shared" si="3"/>
        <v>39</v>
      </c>
      <c r="J380" s="6">
        <v>39.0</v>
      </c>
      <c r="K380" s="6" t="str">
        <f t="shared" si="4"/>
        <v>Young Adult</v>
      </c>
      <c r="L380" s="6" t="s">
        <v>528</v>
      </c>
      <c r="M380" s="5" t="s">
        <v>130</v>
      </c>
      <c r="N380" s="5" t="str">
        <f t="shared" si="5"/>
        <v>Male</v>
      </c>
      <c r="O380" s="5" t="s">
        <v>152</v>
      </c>
      <c r="P380" s="5" t="s">
        <v>30</v>
      </c>
      <c r="Q380" s="5" t="s">
        <v>669</v>
      </c>
      <c r="R380" s="5" t="s">
        <v>452</v>
      </c>
      <c r="S380" s="5" t="s">
        <v>222</v>
      </c>
      <c r="T380" s="6">
        <v>4052.0</v>
      </c>
      <c r="U380" s="5">
        <f t="shared" si="6"/>
        <v>4052</v>
      </c>
      <c r="V380" s="5">
        <v>4052.0</v>
      </c>
    </row>
    <row r="381" ht="22.5" customHeight="1">
      <c r="A381" s="5" t="s">
        <v>1636</v>
      </c>
      <c r="B381" s="5" t="s">
        <v>158</v>
      </c>
      <c r="C381" s="5" t="str">
        <f t="shared" si="1"/>
        <v>Eva</v>
      </c>
      <c r="D381" s="5" t="s">
        <v>158</v>
      </c>
      <c r="E381" s="5" t="s">
        <v>1637</v>
      </c>
      <c r="F381" s="5" t="str">
        <f t="shared" si="2"/>
        <v>Jackson</v>
      </c>
      <c r="G381" s="5" t="s">
        <v>244</v>
      </c>
      <c r="H381" s="6">
        <v>50.0</v>
      </c>
      <c r="I381" s="6">
        <f t="shared" si="3"/>
        <v>50</v>
      </c>
      <c r="J381" s="6">
        <v>50.0</v>
      </c>
      <c r="K381" s="6" t="str">
        <f t="shared" si="4"/>
        <v>Middle Age</v>
      </c>
      <c r="L381" s="6" t="s">
        <v>591</v>
      </c>
      <c r="M381" s="5" t="s">
        <v>105</v>
      </c>
      <c r="N381" s="5" t="str">
        <f t="shared" si="5"/>
        <v>Female</v>
      </c>
      <c r="O381" s="5" t="s">
        <v>105</v>
      </c>
      <c r="P381" s="5" t="s">
        <v>176</v>
      </c>
      <c r="Q381" s="5" t="s">
        <v>576</v>
      </c>
      <c r="R381" s="5" t="s">
        <v>607</v>
      </c>
      <c r="S381" s="5" t="s">
        <v>52</v>
      </c>
      <c r="T381" s="6">
        <v>2280.0</v>
      </c>
      <c r="U381" s="5">
        <f t="shared" si="6"/>
        <v>2280</v>
      </c>
      <c r="V381" s="5">
        <v>2280.0</v>
      </c>
    </row>
    <row r="382" ht="22.5" customHeight="1">
      <c r="A382" s="5" t="s">
        <v>1639</v>
      </c>
      <c r="B382" s="5" t="s">
        <v>136</v>
      </c>
      <c r="C382" s="5" t="str">
        <f t="shared" si="1"/>
        <v>Alice</v>
      </c>
      <c r="D382" s="5" t="s">
        <v>136</v>
      </c>
      <c r="E382" s="5" t="s">
        <v>254</v>
      </c>
      <c r="F382" s="5" t="str">
        <f t="shared" si="2"/>
        <v>Doe</v>
      </c>
      <c r="G382" s="5" t="s">
        <v>254</v>
      </c>
      <c r="H382" s="6">
        <v>71.0</v>
      </c>
      <c r="I382" s="6">
        <f t="shared" si="3"/>
        <v>71</v>
      </c>
      <c r="J382" s="6">
        <v>71.0</v>
      </c>
      <c r="K382" s="6" t="str">
        <f t="shared" si="4"/>
        <v>Senior</v>
      </c>
      <c r="L382" s="6" t="s">
        <v>734</v>
      </c>
      <c r="M382" s="5" t="s">
        <v>28</v>
      </c>
      <c r="N382" s="5" t="str">
        <f t="shared" si="5"/>
        <v>Female</v>
      </c>
      <c r="O382" s="5" t="s">
        <v>105</v>
      </c>
      <c r="P382" s="5" t="s">
        <v>47</v>
      </c>
      <c r="Q382" s="5" t="s">
        <v>576</v>
      </c>
      <c r="R382" s="5" t="s">
        <v>607</v>
      </c>
      <c r="S382" s="5" t="s">
        <v>97</v>
      </c>
      <c r="T382" s="6">
        <v>2878.0</v>
      </c>
      <c r="U382" s="5">
        <f t="shared" si="6"/>
        <v>2878</v>
      </c>
      <c r="V382" s="5">
        <v>2878.0</v>
      </c>
    </row>
    <row r="383" ht="22.5" customHeight="1">
      <c r="A383" s="5" t="s">
        <v>1642</v>
      </c>
      <c r="B383" s="5" t="s">
        <v>877</v>
      </c>
      <c r="C383" s="5" t="str">
        <f t="shared" si="1"/>
        <v>Ian</v>
      </c>
      <c r="D383" s="5" t="s">
        <v>877</v>
      </c>
      <c r="E383" s="5" t="s">
        <v>25</v>
      </c>
      <c r="F383" s="5" t="str">
        <f t="shared" si="2"/>
        <v>Garcia</v>
      </c>
      <c r="G383" s="5" t="s">
        <v>25</v>
      </c>
      <c r="H383" s="6">
        <v>31.0</v>
      </c>
      <c r="I383" s="6">
        <f t="shared" si="3"/>
        <v>31</v>
      </c>
      <c r="J383" s="6">
        <v>31.0</v>
      </c>
      <c r="K383" s="6" t="str">
        <f t="shared" si="4"/>
        <v>Young Adult</v>
      </c>
      <c r="L383" s="6" t="s">
        <v>528</v>
      </c>
      <c r="M383" s="5" t="s">
        <v>152</v>
      </c>
      <c r="N383" s="5" t="str">
        <f t="shared" si="5"/>
        <v>Male</v>
      </c>
      <c r="O383" s="5" t="s">
        <v>152</v>
      </c>
      <c r="P383" s="5" t="s">
        <v>364</v>
      </c>
      <c r="Q383" s="5" t="s">
        <v>916</v>
      </c>
      <c r="R383" s="5" t="s">
        <v>402</v>
      </c>
      <c r="S383" s="5" t="s">
        <v>222</v>
      </c>
      <c r="T383" s="6">
        <v>1463.0</v>
      </c>
      <c r="U383" s="5">
        <f t="shared" si="6"/>
        <v>1463</v>
      </c>
      <c r="V383" s="5">
        <v>1463.0</v>
      </c>
    </row>
    <row r="384" ht="22.5" customHeight="1">
      <c r="A384" s="5" t="s">
        <v>1644</v>
      </c>
      <c r="B384" s="5" t="s">
        <v>158</v>
      </c>
      <c r="C384" s="5" t="str">
        <f t="shared" si="1"/>
        <v>Eva</v>
      </c>
      <c r="D384" s="5" t="s">
        <v>158</v>
      </c>
      <c r="E384" s="5" t="s">
        <v>76</v>
      </c>
      <c r="F384" s="5" t="str">
        <f t="shared" si="2"/>
        <v>Brown</v>
      </c>
      <c r="G384" s="5" t="s">
        <v>76</v>
      </c>
      <c r="H384" s="6">
        <v>59.0</v>
      </c>
      <c r="I384" s="6">
        <f t="shared" si="3"/>
        <v>59</v>
      </c>
      <c r="J384" s="6">
        <v>59.0</v>
      </c>
      <c r="K384" s="6" t="str">
        <f t="shared" si="4"/>
        <v>Middle Age</v>
      </c>
      <c r="L384" s="6" t="s">
        <v>591</v>
      </c>
      <c r="M384" s="5" t="s">
        <v>105</v>
      </c>
      <c r="N384" s="5" t="str">
        <f t="shared" si="5"/>
        <v>Female</v>
      </c>
      <c r="O384" s="5" t="s">
        <v>105</v>
      </c>
      <c r="P384" s="5" t="s">
        <v>759</v>
      </c>
      <c r="Q384" s="5" t="s">
        <v>32</v>
      </c>
      <c r="R384" s="5" t="s">
        <v>83</v>
      </c>
      <c r="S384" s="5" t="s">
        <v>559</v>
      </c>
      <c r="T384" s="6">
        <v>2230.0</v>
      </c>
      <c r="U384" s="5">
        <f t="shared" si="6"/>
        <v>2230</v>
      </c>
      <c r="V384" s="5">
        <v>2230.0</v>
      </c>
    </row>
    <row r="385" ht="22.5" customHeight="1">
      <c r="A385" s="5" t="s">
        <v>1647</v>
      </c>
      <c r="B385" s="5" t="s">
        <v>411</v>
      </c>
      <c r="C385" s="5" t="str">
        <f t="shared" si="1"/>
        <v>Jane</v>
      </c>
      <c r="D385" s="5" t="s">
        <v>411</v>
      </c>
      <c r="E385" s="5" t="s">
        <v>254</v>
      </c>
      <c r="F385" s="5" t="str">
        <f t="shared" si="2"/>
        <v>Doe</v>
      </c>
      <c r="G385" s="5" t="s">
        <v>254</v>
      </c>
      <c r="H385" s="6">
        <v>66.0</v>
      </c>
      <c r="I385" s="6">
        <f t="shared" si="3"/>
        <v>66</v>
      </c>
      <c r="J385" s="6">
        <v>66.0</v>
      </c>
      <c r="K385" s="6" t="str">
        <f t="shared" si="4"/>
        <v>Senior</v>
      </c>
      <c r="L385" s="6" t="s">
        <v>734</v>
      </c>
      <c r="M385" s="5" t="s">
        <v>28</v>
      </c>
      <c r="N385" s="5" t="str">
        <f t="shared" si="5"/>
        <v>Female</v>
      </c>
      <c r="O385" s="5" t="s">
        <v>105</v>
      </c>
      <c r="P385" s="5" t="s">
        <v>30</v>
      </c>
      <c r="Q385" s="5" t="s">
        <v>436</v>
      </c>
      <c r="R385" s="5" t="s">
        <v>561</v>
      </c>
      <c r="S385" s="5" t="s">
        <v>97</v>
      </c>
      <c r="T385" s="6">
        <v>2640.0</v>
      </c>
      <c r="U385" s="5">
        <f t="shared" si="6"/>
        <v>2640</v>
      </c>
      <c r="V385" s="5">
        <v>2640.0</v>
      </c>
    </row>
    <row r="386" ht="22.5" customHeight="1">
      <c r="A386" s="5" t="s">
        <v>1649</v>
      </c>
      <c r="B386" s="5" t="s">
        <v>831</v>
      </c>
      <c r="C386" s="5" t="str">
        <f t="shared" si="1"/>
        <v>Sally</v>
      </c>
      <c r="D386" s="5" t="s">
        <v>831</v>
      </c>
      <c r="E386" s="5" t="s">
        <v>1650</v>
      </c>
      <c r="F386" s="5" t="str">
        <f t="shared" si="2"/>
        <v>Davis</v>
      </c>
      <c r="G386" s="5" t="s">
        <v>90</v>
      </c>
      <c r="H386" s="6">
        <v>84.0</v>
      </c>
      <c r="I386" s="6">
        <f t="shared" si="3"/>
        <v>84</v>
      </c>
      <c r="J386" s="6">
        <v>84.0</v>
      </c>
      <c r="K386" s="6" t="str">
        <f t="shared" si="4"/>
        <v>Senior</v>
      </c>
      <c r="L386" s="6" t="s">
        <v>734</v>
      </c>
      <c r="M386" s="5" t="s">
        <v>105</v>
      </c>
      <c r="N386" s="5" t="str">
        <f t="shared" si="5"/>
        <v>Female</v>
      </c>
      <c r="O386" s="5" t="s">
        <v>105</v>
      </c>
      <c r="P386" s="5" t="s">
        <v>309</v>
      </c>
      <c r="Q386" s="5" t="s">
        <v>470</v>
      </c>
      <c r="R386" s="5" t="s">
        <v>96</v>
      </c>
      <c r="S386" s="5" t="s">
        <v>97</v>
      </c>
      <c r="T386" s="6">
        <v>113.0</v>
      </c>
      <c r="U386" s="5">
        <f t="shared" si="6"/>
        <v>113</v>
      </c>
      <c r="V386" s="5">
        <v>113.0</v>
      </c>
    </row>
    <row r="387" ht="22.5" customHeight="1">
      <c r="A387" s="5" t="s">
        <v>1652</v>
      </c>
      <c r="B387" s="5" t="s">
        <v>542</v>
      </c>
      <c r="C387" s="5" t="str">
        <f t="shared" si="1"/>
        <v>David</v>
      </c>
      <c r="D387" s="5" t="s">
        <v>542</v>
      </c>
      <c r="E387" s="5" t="s">
        <v>194</v>
      </c>
      <c r="F387" s="5" t="str">
        <f t="shared" si="2"/>
        <v>Chen</v>
      </c>
      <c r="G387" s="5" t="s">
        <v>194</v>
      </c>
      <c r="H387" s="6">
        <v>85.0</v>
      </c>
      <c r="I387" s="6">
        <f t="shared" si="3"/>
        <v>85</v>
      </c>
      <c r="J387" s="6">
        <v>85.0</v>
      </c>
      <c r="K387" s="6" t="str">
        <f t="shared" si="4"/>
        <v>Senior</v>
      </c>
      <c r="L387" s="6" t="s">
        <v>734</v>
      </c>
      <c r="M387" s="5" t="s">
        <v>80</v>
      </c>
      <c r="N387" s="5" t="str">
        <f t="shared" si="5"/>
        <v>Male</v>
      </c>
      <c r="O387" s="5" t="s">
        <v>152</v>
      </c>
      <c r="P387" s="5" t="s">
        <v>759</v>
      </c>
      <c r="Q387" s="5" t="s">
        <v>230</v>
      </c>
      <c r="R387" s="5" t="s">
        <v>452</v>
      </c>
      <c r="S387" s="5" t="s">
        <v>97</v>
      </c>
      <c r="T387" s="6">
        <v>4964.0</v>
      </c>
      <c r="U387" s="5">
        <f t="shared" si="6"/>
        <v>4964</v>
      </c>
      <c r="V387" s="5">
        <v>4964.0</v>
      </c>
    </row>
    <row r="388" ht="22.5" customHeight="1">
      <c r="A388" s="5" t="s">
        <v>1655</v>
      </c>
      <c r="B388" s="5" t="s">
        <v>1656</v>
      </c>
      <c r="C388" s="5" t="str">
        <f t="shared" si="1"/>
        <v>Louis</v>
      </c>
      <c r="D388" s="5" t="s">
        <v>1656</v>
      </c>
      <c r="E388" s="5" t="s">
        <v>324</v>
      </c>
      <c r="F388" s="5" t="str">
        <f t="shared" si="2"/>
        <v>Cooper</v>
      </c>
      <c r="G388" s="5" t="s">
        <v>324</v>
      </c>
      <c r="H388" s="6">
        <v>43.0</v>
      </c>
      <c r="I388" s="6">
        <f t="shared" si="3"/>
        <v>43</v>
      </c>
      <c r="J388" s="6">
        <v>43.0</v>
      </c>
      <c r="K388" s="6" t="str">
        <f t="shared" si="4"/>
        <v>Middle Age</v>
      </c>
      <c r="L388" s="6" t="s">
        <v>591</v>
      </c>
      <c r="M388" s="5" t="s">
        <v>130</v>
      </c>
      <c r="N388" s="5" t="str">
        <f t="shared" si="5"/>
        <v>Male</v>
      </c>
      <c r="O388" s="5" t="s">
        <v>152</v>
      </c>
      <c r="P388" s="5" t="s">
        <v>237</v>
      </c>
      <c r="Q388" s="5" t="s">
        <v>32</v>
      </c>
      <c r="R388" s="5" t="s">
        <v>83</v>
      </c>
      <c r="S388" s="5" t="s">
        <v>222</v>
      </c>
      <c r="T388" s="6">
        <v>2496.0</v>
      </c>
      <c r="U388" s="5">
        <f t="shared" si="6"/>
        <v>2496</v>
      </c>
      <c r="V388" s="5">
        <v>2496.0</v>
      </c>
    </row>
    <row r="389" ht="22.5" customHeight="1">
      <c r="A389" s="5" t="s">
        <v>1659</v>
      </c>
      <c r="B389" s="5" t="s">
        <v>820</v>
      </c>
      <c r="C389" s="5" t="str">
        <f t="shared" si="1"/>
        <v>Olivia</v>
      </c>
      <c r="D389" s="5" t="s">
        <v>820</v>
      </c>
      <c r="E389" s="5" t="s">
        <v>1451</v>
      </c>
      <c r="F389" s="5" t="str">
        <f t="shared" si="2"/>
        <v>Baker</v>
      </c>
      <c r="G389" s="5" t="s">
        <v>316</v>
      </c>
      <c r="H389" s="6">
        <v>36.0</v>
      </c>
      <c r="I389" s="6">
        <f t="shared" si="3"/>
        <v>36</v>
      </c>
      <c r="J389" s="6">
        <v>36.0</v>
      </c>
      <c r="K389" s="6" t="str">
        <f t="shared" si="4"/>
        <v>Young Adult</v>
      </c>
      <c r="L389" s="6" t="s">
        <v>528</v>
      </c>
      <c r="M389" s="5" t="s">
        <v>105</v>
      </c>
      <c r="N389" s="5" t="str">
        <f t="shared" si="5"/>
        <v>Female</v>
      </c>
      <c r="O389" s="5" t="s">
        <v>105</v>
      </c>
      <c r="P389" s="5" t="s">
        <v>131</v>
      </c>
      <c r="Q389" s="5" t="s">
        <v>436</v>
      </c>
      <c r="R389" s="5" t="s">
        <v>561</v>
      </c>
      <c r="S389" s="5" t="s">
        <v>211</v>
      </c>
      <c r="T389" s="6">
        <v>2492.0</v>
      </c>
      <c r="U389" s="5">
        <f t="shared" si="6"/>
        <v>2492</v>
      </c>
      <c r="V389" s="5">
        <v>2492.0</v>
      </c>
    </row>
    <row r="390" ht="22.5" customHeight="1">
      <c r="A390" s="5" t="s">
        <v>1661</v>
      </c>
      <c r="B390" s="5" t="s">
        <v>542</v>
      </c>
      <c r="C390" s="5" t="str">
        <f t="shared" si="1"/>
        <v>David</v>
      </c>
      <c r="D390" s="5" t="s">
        <v>542</v>
      </c>
      <c r="E390" s="5" t="s">
        <v>556</v>
      </c>
      <c r="F390" s="5" t="str">
        <f t="shared" si="2"/>
        <v>Jones</v>
      </c>
      <c r="G390" s="5" t="s">
        <v>556</v>
      </c>
      <c r="H390" s="6">
        <v>53.0</v>
      </c>
      <c r="I390" s="6">
        <f t="shared" si="3"/>
        <v>53</v>
      </c>
      <c r="J390" s="6">
        <v>53.0</v>
      </c>
      <c r="K390" s="6" t="str">
        <f t="shared" si="4"/>
        <v>Middle Age</v>
      </c>
      <c r="L390" s="6" t="s">
        <v>591</v>
      </c>
      <c r="M390" s="5" t="s">
        <v>130</v>
      </c>
      <c r="N390" s="5" t="str">
        <f t="shared" si="5"/>
        <v>Male</v>
      </c>
      <c r="O390" s="5" t="s">
        <v>152</v>
      </c>
      <c r="P390" s="5" t="s">
        <v>208</v>
      </c>
      <c r="Q390" s="5" t="s">
        <v>439</v>
      </c>
      <c r="R390" s="5" t="s">
        <v>210</v>
      </c>
      <c r="S390" s="5" t="s">
        <v>52</v>
      </c>
      <c r="T390" s="6">
        <v>724.0</v>
      </c>
      <c r="U390" s="5">
        <f t="shared" si="6"/>
        <v>724</v>
      </c>
      <c r="V390" s="5">
        <v>724.0</v>
      </c>
    </row>
    <row r="391" ht="22.5" customHeight="1">
      <c r="A391" s="5" t="s">
        <v>1664</v>
      </c>
      <c r="B391" s="5" t="s">
        <v>1665</v>
      </c>
      <c r="C391" s="5" t="str">
        <f t="shared" si="1"/>
        <v>Daniel</v>
      </c>
      <c r="D391" s="5" t="s">
        <v>1665</v>
      </c>
      <c r="E391" s="5" t="s">
        <v>264</v>
      </c>
      <c r="F391" s="5" t="str">
        <f t="shared" si="2"/>
        <v>Wu</v>
      </c>
      <c r="G391" s="5" t="s">
        <v>264</v>
      </c>
      <c r="H391" s="6">
        <v>50.0</v>
      </c>
      <c r="I391" s="6">
        <f t="shared" si="3"/>
        <v>50</v>
      </c>
      <c r="J391" s="6">
        <v>50.0</v>
      </c>
      <c r="K391" s="6" t="str">
        <f t="shared" si="4"/>
        <v>Middle Age</v>
      </c>
      <c r="L391" s="6" t="s">
        <v>591</v>
      </c>
      <c r="M391" s="5" t="s">
        <v>130</v>
      </c>
      <c r="N391" s="5" t="str">
        <f t="shared" si="5"/>
        <v>Male</v>
      </c>
      <c r="O391" s="5" t="s">
        <v>152</v>
      </c>
      <c r="P391" s="5" t="s">
        <v>141</v>
      </c>
      <c r="Q391" s="5" t="s">
        <v>230</v>
      </c>
      <c r="R391" s="5" t="s">
        <v>452</v>
      </c>
      <c r="S391" s="5" t="s">
        <v>211</v>
      </c>
      <c r="T391" s="6">
        <v>2574.0</v>
      </c>
      <c r="U391" s="5">
        <f t="shared" si="6"/>
        <v>2574</v>
      </c>
      <c r="V391" s="5">
        <v>2574.0</v>
      </c>
    </row>
    <row r="392" ht="22.5" customHeight="1">
      <c r="A392" s="5" t="s">
        <v>1668</v>
      </c>
      <c r="B392" s="5" t="s">
        <v>171</v>
      </c>
      <c r="C392" s="5" t="str">
        <f t="shared" si="1"/>
        <v>Frank</v>
      </c>
      <c r="D392" s="5" t="s">
        <v>171</v>
      </c>
      <c r="E392" s="5" t="s">
        <v>244</v>
      </c>
      <c r="F392" s="5" t="str">
        <f t="shared" si="2"/>
        <v>Jackson</v>
      </c>
      <c r="G392" s="5" t="s">
        <v>244</v>
      </c>
      <c r="H392" s="6">
        <v>20.0</v>
      </c>
      <c r="I392" s="6">
        <f t="shared" si="3"/>
        <v>20</v>
      </c>
      <c r="J392" s="6">
        <v>20.0</v>
      </c>
      <c r="K392" s="6" t="str">
        <f t="shared" si="4"/>
        <v>Young Adult</v>
      </c>
      <c r="L392" s="6" t="s">
        <v>528</v>
      </c>
      <c r="M392" s="5" t="s">
        <v>152</v>
      </c>
      <c r="N392" s="5" t="str">
        <f t="shared" si="5"/>
        <v>Male</v>
      </c>
      <c r="O392" s="5" t="s">
        <v>152</v>
      </c>
      <c r="P392" s="5" t="s">
        <v>309</v>
      </c>
      <c r="Q392" s="5" t="s">
        <v>551</v>
      </c>
      <c r="R392" s="5" t="s">
        <v>83</v>
      </c>
      <c r="S392" s="5" t="s">
        <v>52</v>
      </c>
      <c r="T392" s="6">
        <v>1035.0</v>
      </c>
      <c r="U392" s="5">
        <f t="shared" si="6"/>
        <v>1035</v>
      </c>
      <c r="V392" s="5">
        <v>1035.0</v>
      </c>
    </row>
    <row r="393" ht="22.5" customHeight="1">
      <c r="A393" s="5" t="s">
        <v>1670</v>
      </c>
      <c r="B393" s="5" t="s">
        <v>234</v>
      </c>
      <c r="C393" s="5" t="str">
        <f t="shared" si="1"/>
        <v>Kylie</v>
      </c>
      <c r="D393" s="5" t="s">
        <v>1177</v>
      </c>
      <c r="E393" s="5" t="s">
        <v>1361</v>
      </c>
      <c r="F393" s="5" t="str">
        <f t="shared" si="2"/>
        <v>Richardson</v>
      </c>
      <c r="G393" s="5" t="s">
        <v>629</v>
      </c>
      <c r="H393" s="6">
        <v>71.0</v>
      </c>
      <c r="I393" s="6">
        <f t="shared" si="3"/>
        <v>71</v>
      </c>
      <c r="J393" s="6">
        <v>71.0</v>
      </c>
      <c r="K393" s="6" t="str">
        <f t="shared" si="4"/>
        <v>Senior</v>
      </c>
      <c r="L393" s="6" t="s">
        <v>734</v>
      </c>
      <c r="M393" s="5" t="s">
        <v>105</v>
      </c>
      <c r="N393" s="5" t="str">
        <f t="shared" si="5"/>
        <v>Female</v>
      </c>
      <c r="O393" s="5" t="s">
        <v>105</v>
      </c>
      <c r="P393" s="5" t="s">
        <v>47</v>
      </c>
      <c r="Q393" s="5" t="s">
        <v>1290</v>
      </c>
      <c r="R393" s="5" t="s">
        <v>533</v>
      </c>
      <c r="S393" s="5" t="s">
        <v>97</v>
      </c>
      <c r="T393" s="6">
        <v>566.0</v>
      </c>
      <c r="U393" s="5">
        <f t="shared" si="6"/>
        <v>566</v>
      </c>
      <c r="V393" s="5">
        <v>566.0</v>
      </c>
    </row>
    <row r="394" ht="22.5" customHeight="1">
      <c r="A394" s="5" t="s">
        <v>1673</v>
      </c>
      <c r="B394" s="5" t="s">
        <v>307</v>
      </c>
      <c r="C394" s="5" t="str">
        <f t="shared" si="1"/>
        <v>Hannah</v>
      </c>
      <c r="D394" s="5" t="s">
        <v>307</v>
      </c>
      <c r="E394" s="5" t="s">
        <v>556</v>
      </c>
      <c r="F394" s="5" t="str">
        <f t="shared" si="2"/>
        <v>Jones</v>
      </c>
      <c r="G394" s="5" t="s">
        <v>556</v>
      </c>
      <c r="H394" s="6">
        <v>39.0</v>
      </c>
      <c r="I394" s="6">
        <f t="shared" si="3"/>
        <v>39</v>
      </c>
      <c r="J394" s="6">
        <v>39.0</v>
      </c>
      <c r="K394" s="6" t="str">
        <f t="shared" si="4"/>
        <v>Young Adult</v>
      </c>
      <c r="L394" s="6" t="s">
        <v>528</v>
      </c>
      <c r="M394" s="5" t="s">
        <v>105</v>
      </c>
      <c r="N394" s="5" t="str">
        <f t="shared" si="5"/>
        <v>Female</v>
      </c>
      <c r="O394" s="5" t="s">
        <v>105</v>
      </c>
      <c r="P394" s="5" t="s">
        <v>237</v>
      </c>
      <c r="Q394" s="5" t="s">
        <v>1290</v>
      </c>
      <c r="R394" s="5" t="s">
        <v>533</v>
      </c>
      <c r="S394" s="5" t="s">
        <v>211</v>
      </c>
      <c r="T394" s="6">
        <v>2458.0</v>
      </c>
      <c r="U394" s="5">
        <f t="shared" si="6"/>
        <v>2458</v>
      </c>
      <c r="V394" s="5">
        <v>2458.0</v>
      </c>
    </row>
    <row r="395" ht="22.5" customHeight="1">
      <c r="A395" s="5" t="s">
        <v>1675</v>
      </c>
      <c r="B395" s="5" t="s">
        <v>616</v>
      </c>
      <c r="C395" s="5" t="str">
        <f t="shared" si="1"/>
        <v>Wendy</v>
      </c>
      <c r="D395" s="5" t="s">
        <v>89</v>
      </c>
      <c r="E395" s="5" t="s">
        <v>1677</v>
      </c>
      <c r="F395" s="5" t="str">
        <f t="shared" si="2"/>
        <v>Lopez</v>
      </c>
      <c r="G395" s="5" t="s">
        <v>42</v>
      </c>
      <c r="H395" s="6">
        <v>26.0</v>
      </c>
      <c r="I395" s="6">
        <f t="shared" si="3"/>
        <v>26</v>
      </c>
      <c r="J395" s="6">
        <v>26.0</v>
      </c>
      <c r="K395" s="6" t="str">
        <f t="shared" si="4"/>
        <v>Young Adult</v>
      </c>
      <c r="L395" s="6" t="s">
        <v>528</v>
      </c>
      <c r="M395" s="5" t="s">
        <v>105</v>
      </c>
      <c r="N395" s="5" t="str">
        <f t="shared" si="5"/>
        <v>Female</v>
      </c>
      <c r="O395" s="5" t="s">
        <v>105</v>
      </c>
      <c r="P395" s="5" t="s">
        <v>176</v>
      </c>
      <c r="Q395" s="5" t="s">
        <v>277</v>
      </c>
      <c r="R395" s="5" t="s">
        <v>402</v>
      </c>
      <c r="S395" s="5" t="s">
        <v>559</v>
      </c>
      <c r="T395" s="6">
        <v>2637.0</v>
      </c>
      <c r="U395" s="5">
        <f t="shared" si="6"/>
        <v>2637</v>
      </c>
      <c r="V395" s="5">
        <v>2637.0</v>
      </c>
    </row>
    <row r="396" ht="22.5" customHeight="1">
      <c r="A396" s="5" t="s">
        <v>1679</v>
      </c>
      <c r="B396" s="5" t="s">
        <v>542</v>
      </c>
      <c r="C396" s="5" t="str">
        <f t="shared" si="1"/>
        <v>David</v>
      </c>
      <c r="D396" s="5" t="s">
        <v>542</v>
      </c>
      <c r="E396" s="5" t="s">
        <v>128</v>
      </c>
      <c r="F396" s="5" t="str">
        <f t="shared" si="2"/>
        <v>Rodriguez</v>
      </c>
      <c r="G396" s="5" t="s">
        <v>128</v>
      </c>
      <c r="H396" s="6">
        <v>82.0</v>
      </c>
      <c r="I396" s="6">
        <f t="shared" si="3"/>
        <v>82</v>
      </c>
      <c r="J396" s="6">
        <v>82.0</v>
      </c>
      <c r="K396" s="6" t="str">
        <f t="shared" si="4"/>
        <v>Senior</v>
      </c>
      <c r="L396" s="6" t="s">
        <v>734</v>
      </c>
      <c r="M396" s="5" t="s">
        <v>130</v>
      </c>
      <c r="N396" s="5" t="str">
        <f t="shared" si="5"/>
        <v>Male</v>
      </c>
      <c r="O396" s="5" t="s">
        <v>152</v>
      </c>
      <c r="P396" s="5" t="s">
        <v>64</v>
      </c>
      <c r="Q396" s="5" t="s">
        <v>230</v>
      </c>
      <c r="R396" s="5" t="s">
        <v>452</v>
      </c>
      <c r="S396" s="5" t="s">
        <v>97</v>
      </c>
      <c r="T396" s="6">
        <v>4932.0</v>
      </c>
      <c r="U396" s="5">
        <f t="shared" si="6"/>
        <v>4932</v>
      </c>
      <c r="V396" s="5">
        <v>4932.0</v>
      </c>
    </row>
    <row r="397" ht="22.5" customHeight="1">
      <c r="A397" s="5" t="s">
        <v>1682</v>
      </c>
      <c r="B397" s="5" t="s">
        <v>1683</v>
      </c>
      <c r="C397" s="5" t="str">
        <f t="shared" si="1"/>
        <v>Alice</v>
      </c>
      <c r="D397" s="5" t="s">
        <v>136</v>
      </c>
      <c r="E397" s="5" t="s">
        <v>324</v>
      </c>
      <c r="F397" s="5" t="str">
        <f t="shared" si="2"/>
        <v>Cooper</v>
      </c>
      <c r="G397" s="5" t="s">
        <v>324</v>
      </c>
      <c r="H397" s="6">
        <v>66.0</v>
      </c>
      <c r="I397" s="6">
        <f t="shared" si="3"/>
        <v>66</v>
      </c>
      <c r="J397" s="6">
        <v>66.0</v>
      </c>
      <c r="K397" s="6" t="str">
        <f t="shared" si="4"/>
        <v>Senior</v>
      </c>
      <c r="L397" s="6" t="s">
        <v>734</v>
      </c>
      <c r="M397" s="5" t="s">
        <v>105</v>
      </c>
      <c r="N397" s="5" t="str">
        <f t="shared" si="5"/>
        <v>Female</v>
      </c>
      <c r="O397" s="5" t="s">
        <v>105</v>
      </c>
      <c r="P397" s="5" t="s">
        <v>64</v>
      </c>
      <c r="Q397" s="5" t="s">
        <v>439</v>
      </c>
      <c r="R397" s="5" t="s">
        <v>210</v>
      </c>
      <c r="S397" s="5" t="s">
        <v>97</v>
      </c>
      <c r="T397" s="6">
        <v>199.0</v>
      </c>
      <c r="U397" s="5">
        <f t="shared" si="6"/>
        <v>199</v>
      </c>
      <c r="V397" s="5">
        <v>199.0</v>
      </c>
    </row>
    <row r="398" ht="22.5" customHeight="1">
      <c r="A398" s="5" t="s">
        <v>1685</v>
      </c>
      <c r="B398" s="5" t="s">
        <v>411</v>
      </c>
      <c r="C398" s="5" t="str">
        <f t="shared" si="1"/>
        <v>Jane</v>
      </c>
      <c r="D398" s="5" t="s">
        <v>411</v>
      </c>
      <c r="E398" s="5" t="s">
        <v>363</v>
      </c>
      <c r="F398" s="5" t="str">
        <f t="shared" si="2"/>
        <v>Smith</v>
      </c>
      <c r="G398" s="5" t="s">
        <v>363</v>
      </c>
      <c r="H398" s="6">
        <v>89.0</v>
      </c>
      <c r="I398" s="6">
        <f t="shared" si="3"/>
        <v>89</v>
      </c>
      <c r="J398" s="6">
        <v>89.0</v>
      </c>
      <c r="K398" s="6" t="str">
        <f t="shared" si="4"/>
        <v>Senior</v>
      </c>
      <c r="L398" s="6" t="s">
        <v>734</v>
      </c>
      <c r="M398" s="5" t="s">
        <v>28</v>
      </c>
      <c r="N398" s="5" t="str">
        <f t="shared" si="5"/>
        <v>Female</v>
      </c>
      <c r="O398" s="5" t="s">
        <v>105</v>
      </c>
      <c r="P398" s="5" t="s">
        <v>393</v>
      </c>
      <c r="Q398" s="5" t="s">
        <v>436</v>
      </c>
      <c r="R398" s="5" t="s">
        <v>561</v>
      </c>
      <c r="S398" s="5" t="s">
        <v>97</v>
      </c>
      <c r="T398" s="6">
        <v>2809.0</v>
      </c>
      <c r="U398" s="5">
        <f t="shared" si="6"/>
        <v>2809</v>
      </c>
      <c r="V398" s="5">
        <v>2809.0</v>
      </c>
    </row>
    <row r="399" ht="22.5" customHeight="1">
      <c r="A399" s="5" t="s">
        <v>1688</v>
      </c>
      <c r="B399" s="5" t="s">
        <v>865</v>
      </c>
      <c r="C399" s="5" t="str">
        <f t="shared" si="1"/>
        <v>Ava</v>
      </c>
      <c r="D399" s="5" t="s">
        <v>865</v>
      </c>
      <c r="E399" s="5" t="s">
        <v>25</v>
      </c>
      <c r="F399" s="5" t="str">
        <f t="shared" si="2"/>
        <v>Garcia</v>
      </c>
      <c r="G399" s="5" t="s">
        <v>25</v>
      </c>
      <c r="H399" s="6">
        <v>999.0</v>
      </c>
      <c r="I399" s="6">
        <f t="shared" si="3"/>
        <v>999</v>
      </c>
      <c r="J399" s="6"/>
      <c r="K399" s="6" t="str">
        <f t="shared" si="4"/>
        <v>Unknown</v>
      </c>
      <c r="L399" s="6" t="s">
        <v>1081</v>
      </c>
      <c r="M399" s="5" t="s">
        <v>45</v>
      </c>
      <c r="N399" s="5" t="str">
        <f t="shared" si="5"/>
        <v>Female</v>
      </c>
      <c r="O399" s="5" t="s">
        <v>105</v>
      </c>
      <c r="P399" s="5" t="s">
        <v>30</v>
      </c>
      <c r="Q399" s="5" t="s">
        <v>377</v>
      </c>
      <c r="R399" s="5" t="s">
        <v>402</v>
      </c>
      <c r="S399" s="5" t="s">
        <v>97</v>
      </c>
      <c r="T399" s="6">
        <v>2103.0</v>
      </c>
      <c r="U399" s="5">
        <f t="shared" si="6"/>
        <v>2103</v>
      </c>
      <c r="V399" s="5">
        <v>2103.0</v>
      </c>
    </row>
    <row r="400" ht="22.5" customHeight="1">
      <c r="A400" s="5" t="s">
        <v>1691</v>
      </c>
      <c r="B400" s="5" t="s">
        <v>1199</v>
      </c>
      <c r="C400" s="5" t="str">
        <f t="shared" si="1"/>
        <v>Betty</v>
      </c>
      <c r="D400" s="5" t="s">
        <v>323</v>
      </c>
      <c r="E400" s="5" t="s">
        <v>374</v>
      </c>
      <c r="F400" s="5" t="str">
        <f t="shared" si="2"/>
        <v>Miller</v>
      </c>
      <c r="G400" s="5" t="s">
        <v>374</v>
      </c>
      <c r="H400" s="6">
        <v>46.0</v>
      </c>
      <c r="I400" s="6">
        <f t="shared" si="3"/>
        <v>46</v>
      </c>
      <c r="J400" s="6">
        <v>46.0</v>
      </c>
      <c r="K400" s="6" t="str">
        <f t="shared" si="4"/>
        <v>Middle Age</v>
      </c>
      <c r="L400" s="6" t="s">
        <v>591</v>
      </c>
      <c r="M400" s="5" t="s">
        <v>45</v>
      </c>
      <c r="N400" s="5" t="str">
        <f t="shared" si="5"/>
        <v>Female</v>
      </c>
      <c r="O400" s="5" t="s">
        <v>105</v>
      </c>
      <c r="P400" s="5" t="s">
        <v>571</v>
      </c>
      <c r="Q400" s="5" t="s">
        <v>358</v>
      </c>
      <c r="R400" s="5" t="s">
        <v>561</v>
      </c>
      <c r="S400" s="5" t="s">
        <v>559</v>
      </c>
      <c r="T400" s="6">
        <v>2884.0</v>
      </c>
      <c r="U400" s="5">
        <f t="shared" si="6"/>
        <v>2884</v>
      </c>
      <c r="V400" s="5">
        <v>2884.0</v>
      </c>
    </row>
    <row r="401" ht="22.5" customHeight="1">
      <c r="A401" s="5" t="s">
        <v>1694</v>
      </c>
      <c r="B401" s="5" t="s">
        <v>411</v>
      </c>
      <c r="C401" s="5" t="str">
        <f t="shared" si="1"/>
        <v>Jane</v>
      </c>
      <c r="D401" s="5" t="s">
        <v>411</v>
      </c>
      <c r="E401" s="5" t="s">
        <v>1486</v>
      </c>
      <c r="F401" s="5" t="str">
        <f t="shared" si="2"/>
        <v>Sun</v>
      </c>
      <c r="G401" s="5" t="s">
        <v>1486</v>
      </c>
      <c r="H401" s="6">
        <v>79.0</v>
      </c>
      <c r="I401" s="6">
        <f t="shared" si="3"/>
        <v>79</v>
      </c>
      <c r="J401" s="6">
        <v>79.0</v>
      </c>
      <c r="K401" s="6" t="str">
        <f t="shared" si="4"/>
        <v>Senior</v>
      </c>
      <c r="L401" s="6" t="s">
        <v>734</v>
      </c>
      <c r="M401" s="5" t="s">
        <v>45</v>
      </c>
      <c r="N401" s="5" t="str">
        <f t="shared" si="5"/>
        <v>Female</v>
      </c>
      <c r="O401" s="5" t="s">
        <v>105</v>
      </c>
      <c r="P401" s="5" t="s">
        <v>237</v>
      </c>
      <c r="Q401" s="5" t="s">
        <v>358</v>
      </c>
      <c r="R401" s="5" t="s">
        <v>561</v>
      </c>
      <c r="S401" s="5" t="s">
        <v>97</v>
      </c>
      <c r="T401" s="6">
        <v>2705.0</v>
      </c>
      <c r="U401" s="5">
        <f t="shared" si="6"/>
        <v>2705</v>
      </c>
      <c r="V401" s="5">
        <v>2705.0</v>
      </c>
    </row>
    <row r="402" ht="22.5" customHeight="1">
      <c r="A402" s="5" t="s">
        <v>1697</v>
      </c>
      <c r="B402" s="5" t="s">
        <v>542</v>
      </c>
      <c r="C402" s="5" t="str">
        <f t="shared" si="1"/>
        <v>David</v>
      </c>
      <c r="D402" s="5" t="s">
        <v>542</v>
      </c>
      <c r="E402" s="5" t="s">
        <v>324</v>
      </c>
      <c r="F402" s="5" t="str">
        <f t="shared" si="2"/>
        <v>Cooper</v>
      </c>
      <c r="G402" s="5" t="s">
        <v>324</v>
      </c>
      <c r="H402" s="6">
        <v>75.0</v>
      </c>
      <c r="I402" s="6">
        <f t="shared" si="3"/>
        <v>75</v>
      </c>
      <c r="J402" s="6">
        <v>75.0</v>
      </c>
      <c r="K402" s="6" t="str">
        <f t="shared" si="4"/>
        <v>Senior</v>
      </c>
      <c r="L402" s="6" t="s">
        <v>734</v>
      </c>
      <c r="M402" s="5" t="s">
        <v>80</v>
      </c>
      <c r="N402" s="5" t="str">
        <f t="shared" si="5"/>
        <v>Male</v>
      </c>
      <c r="O402" s="5" t="s">
        <v>152</v>
      </c>
      <c r="P402" s="5" t="s">
        <v>176</v>
      </c>
      <c r="Q402" s="5" t="s">
        <v>238</v>
      </c>
      <c r="R402" s="5" t="s">
        <v>533</v>
      </c>
      <c r="S402" s="5" t="s">
        <v>97</v>
      </c>
      <c r="T402" s="6">
        <v>575.0</v>
      </c>
      <c r="U402" s="5">
        <f t="shared" si="6"/>
        <v>575</v>
      </c>
      <c r="V402" s="5">
        <v>575.0</v>
      </c>
    </row>
    <row r="403" ht="22.5" customHeight="1">
      <c r="A403" s="5" t="s">
        <v>1699</v>
      </c>
      <c r="B403" s="5" t="s">
        <v>1700</v>
      </c>
      <c r="C403" s="5" t="str">
        <f t="shared" si="1"/>
        <v>Mary</v>
      </c>
      <c r="D403" s="5" t="s">
        <v>625</v>
      </c>
      <c r="E403" s="5" t="s">
        <v>806</v>
      </c>
      <c r="F403" s="5" t="str">
        <f t="shared" si="2"/>
        <v>Chan</v>
      </c>
      <c r="G403" s="5" t="s">
        <v>806</v>
      </c>
      <c r="H403" s="6">
        <v>69.0</v>
      </c>
      <c r="I403" s="6">
        <f t="shared" si="3"/>
        <v>69</v>
      </c>
      <c r="J403" s="6">
        <v>69.0</v>
      </c>
      <c r="K403" s="6" t="str">
        <f t="shared" si="4"/>
        <v>Senior</v>
      </c>
      <c r="L403" s="6" t="s">
        <v>734</v>
      </c>
      <c r="M403" s="5" t="s">
        <v>28</v>
      </c>
      <c r="N403" s="5" t="str">
        <f t="shared" si="5"/>
        <v>Female</v>
      </c>
      <c r="O403" s="5" t="s">
        <v>105</v>
      </c>
      <c r="P403" s="5" t="s">
        <v>47</v>
      </c>
      <c r="Q403" s="5" t="s">
        <v>482</v>
      </c>
      <c r="R403" s="5" t="s">
        <v>179</v>
      </c>
      <c r="S403" s="5" t="s">
        <v>97</v>
      </c>
      <c r="T403" s="6">
        <v>3223.0</v>
      </c>
      <c r="U403" s="5">
        <f t="shared" si="6"/>
        <v>3223</v>
      </c>
      <c r="V403" s="5">
        <v>3223.0</v>
      </c>
    </row>
    <row r="404" ht="22.5" customHeight="1">
      <c r="A404" s="5" t="s">
        <v>1703</v>
      </c>
      <c r="B404" s="5" t="s">
        <v>411</v>
      </c>
      <c r="C404" s="5" t="str">
        <f t="shared" si="1"/>
        <v>Jane</v>
      </c>
      <c r="D404" s="5" t="s">
        <v>411</v>
      </c>
      <c r="E404" s="5" t="s">
        <v>128</v>
      </c>
      <c r="F404" s="5" t="str">
        <f t="shared" si="2"/>
        <v>Rodriguez</v>
      </c>
      <c r="G404" s="5" t="s">
        <v>128</v>
      </c>
      <c r="H404" s="6">
        <v>82.0</v>
      </c>
      <c r="I404" s="6">
        <f t="shared" si="3"/>
        <v>82</v>
      </c>
      <c r="J404" s="6">
        <v>82.0</v>
      </c>
      <c r="K404" s="6" t="str">
        <f t="shared" si="4"/>
        <v>Senior</v>
      </c>
      <c r="L404" s="6" t="s">
        <v>734</v>
      </c>
      <c r="M404" s="5" t="s">
        <v>105</v>
      </c>
      <c r="N404" s="5" t="str">
        <f t="shared" si="5"/>
        <v>Female</v>
      </c>
      <c r="O404" s="5" t="s">
        <v>105</v>
      </c>
      <c r="P404" s="5" t="s">
        <v>141</v>
      </c>
      <c r="Q404" s="5" t="s">
        <v>377</v>
      </c>
      <c r="R404" s="5" t="s">
        <v>96</v>
      </c>
      <c r="S404" s="5" t="s">
        <v>97</v>
      </c>
      <c r="T404" s="6">
        <v>625.0</v>
      </c>
      <c r="U404" s="5">
        <f t="shared" si="6"/>
        <v>625</v>
      </c>
      <c r="V404" s="5">
        <v>625.0</v>
      </c>
    </row>
    <row r="405" ht="22.5" customHeight="1">
      <c r="A405" s="5" t="s">
        <v>1706</v>
      </c>
      <c r="B405" s="5" t="s">
        <v>100</v>
      </c>
      <c r="C405" s="5" t="str">
        <f t="shared" si="1"/>
        <v>Nancy</v>
      </c>
      <c r="D405" s="5" t="s">
        <v>764</v>
      </c>
      <c r="E405" s="5" t="s">
        <v>172</v>
      </c>
      <c r="F405" s="5" t="str">
        <f t="shared" si="2"/>
        <v>Little</v>
      </c>
      <c r="G405" s="5" t="s">
        <v>172</v>
      </c>
      <c r="H405" s="6">
        <v>78.0</v>
      </c>
      <c r="I405" s="6">
        <f t="shared" si="3"/>
        <v>78</v>
      </c>
      <c r="J405" s="6">
        <v>78.0</v>
      </c>
      <c r="K405" s="6" t="str">
        <f t="shared" si="4"/>
        <v>Senior</v>
      </c>
      <c r="L405" s="6" t="s">
        <v>734</v>
      </c>
      <c r="M405" s="5" t="s">
        <v>45</v>
      </c>
      <c r="N405" s="5" t="str">
        <f t="shared" si="5"/>
        <v>Female</v>
      </c>
      <c r="O405" s="5" t="s">
        <v>105</v>
      </c>
      <c r="P405" s="5" t="s">
        <v>47</v>
      </c>
      <c r="Q405" s="5" t="s">
        <v>551</v>
      </c>
      <c r="R405" s="5" t="s">
        <v>83</v>
      </c>
      <c r="S405" s="5" t="s">
        <v>97</v>
      </c>
      <c r="T405" s="6">
        <v>1030.0</v>
      </c>
      <c r="U405" s="5">
        <f t="shared" si="6"/>
        <v>1030</v>
      </c>
      <c r="V405" s="5">
        <v>1030.0</v>
      </c>
    </row>
    <row r="406" ht="22.5" customHeight="1">
      <c r="A406" s="5" t="s">
        <v>1709</v>
      </c>
      <c r="B406" s="5" t="s">
        <v>1149</v>
      </c>
      <c r="C406" s="5" t="str">
        <f t="shared" si="1"/>
        <v>Pauline</v>
      </c>
      <c r="D406" s="5" t="s">
        <v>1149</v>
      </c>
      <c r="E406" s="5" t="s">
        <v>128</v>
      </c>
      <c r="F406" s="5" t="str">
        <f t="shared" si="2"/>
        <v>Rodriguez</v>
      </c>
      <c r="G406" s="5" t="s">
        <v>128</v>
      </c>
      <c r="H406" s="6">
        <v>60.0</v>
      </c>
      <c r="I406" s="6">
        <f t="shared" si="3"/>
        <v>60</v>
      </c>
      <c r="J406" s="6">
        <v>60.0</v>
      </c>
      <c r="K406" s="6" t="str">
        <f t="shared" si="4"/>
        <v>Middle Age</v>
      </c>
      <c r="L406" s="6" t="s">
        <v>591</v>
      </c>
      <c r="M406" s="5" t="s">
        <v>28</v>
      </c>
      <c r="N406" s="5" t="str">
        <f t="shared" si="5"/>
        <v>Female</v>
      </c>
      <c r="O406" s="5" t="s">
        <v>105</v>
      </c>
      <c r="P406" s="5" t="s">
        <v>268</v>
      </c>
      <c r="Q406" s="5" t="s">
        <v>164</v>
      </c>
      <c r="R406" s="5" t="s">
        <v>452</v>
      </c>
      <c r="S406" s="5" t="s">
        <v>211</v>
      </c>
      <c r="T406" s="6">
        <v>4140.0</v>
      </c>
      <c r="U406" s="5">
        <f t="shared" si="6"/>
        <v>4140</v>
      </c>
      <c r="V406" s="5">
        <v>4140.0</v>
      </c>
    </row>
    <row r="407" ht="22.5" customHeight="1">
      <c r="A407" s="5" t="s">
        <v>1712</v>
      </c>
      <c r="B407" s="5" t="s">
        <v>1713</v>
      </c>
      <c r="C407" s="5" t="str">
        <f t="shared" si="1"/>
        <v>Hannah</v>
      </c>
      <c r="D407" s="5" t="s">
        <v>307</v>
      </c>
      <c r="E407" s="5" t="s">
        <v>495</v>
      </c>
      <c r="F407" s="5" t="str">
        <f t="shared" si="2"/>
        <v>Sharp</v>
      </c>
      <c r="G407" s="5" t="s">
        <v>495</v>
      </c>
      <c r="H407" s="6">
        <v>48.0</v>
      </c>
      <c r="I407" s="6">
        <f t="shared" si="3"/>
        <v>48</v>
      </c>
      <c r="J407" s="6">
        <v>48.0</v>
      </c>
      <c r="K407" s="6" t="str">
        <f t="shared" si="4"/>
        <v>Middle Age</v>
      </c>
      <c r="L407" s="6" t="s">
        <v>591</v>
      </c>
      <c r="M407" s="5" t="s">
        <v>45</v>
      </c>
      <c r="N407" s="5" t="str">
        <f t="shared" si="5"/>
        <v>Female</v>
      </c>
      <c r="O407" s="5" t="s">
        <v>105</v>
      </c>
      <c r="P407" s="5" t="s">
        <v>64</v>
      </c>
      <c r="Q407" s="5" t="s">
        <v>489</v>
      </c>
      <c r="R407" s="5" t="s">
        <v>179</v>
      </c>
      <c r="S407" s="5" t="s">
        <v>52</v>
      </c>
      <c r="T407" s="6">
        <v>2847.0</v>
      </c>
      <c r="U407" s="5">
        <f t="shared" si="6"/>
        <v>2847</v>
      </c>
      <c r="V407" s="5">
        <v>2847.0</v>
      </c>
    </row>
    <row r="408" ht="22.5" customHeight="1">
      <c r="A408" s="5" t="s">
        <v>1715</v>
      </c>
      <c r="B408" s="5" t="s">
        <v>803</v>
      </c>
      <c r="C408" s="5" t="str">
        <f t="shared" si="1"/>
        <v>Craig</v>
      </c>
      <c r="D408" s="5" t="s">
        <v>1160</v>
      </c>
      <c r="E408" s="5" t="s">
        <v>556</v>
      </c>
      <c r="F408" s="5" t="str">
        <f t="shared" si="2"/>
        <v>Jones</v>
      </c>
      <c r="G408" s="5" t="s">
        <v>556</v>
      </c>
      <c r="H408" s="6">
        <v>86.0</v>
      </c>
      <c r="I408" s="6">
        <f t="shared" si="3"/>
        <v>86</v>
      </c>
      <c r="J408" s="6">
        <v>86.0</v>
      </c>
      <c r="K408" s="6" t="str">
        <f t="shared" si="4"/>
        <v>Senior</v>
      </c>
      <c r="L408" s="6" t="s">
        <v>734</v>
      </c>
      <c r="M408" s="5" t="s">
        <v>152</v>
      </c>
      <c r="N408" s="5" t="str">
        <f t="shared" si="5"/>
        <v>Male</v>
      </c>
      <c r="O408" s="5" t="s">
        <v>152</v>
      </c>
      <c r="P408" s="5" t="s">
        <v>81</v>
      </c>
      <c r="Q408" s="5" t="s">
        <v>164</v>
      </c>
      <c r="R408" s="5" t="s">
        <v>607</v>
      </c>
      <c r="S408" s="5" t="s">
        <v>97</v>
      </c>
      <c r="T408" s="6">
        <v>1754.0</v>
      </c>
      <c r="U408" s="5">
        <f t="shared" si="6"/>
        <v>1754</v>
      </c>
      <c r="V408" s="5">
        <v>1754.0</v>
      </c>
    </row>
    <row r="409" ht="22.5" customHeight="1">
      <c r="A409" s="5" t="s">
        <v>1718</v>
      </c>
      <c r="B409" s="5" t="s">
        <v>147</v>
      </c>
      <c r="C409" s="5" t="str">
        <f t="shared" si="1"/>
        <v>Greg</v>
      </c>
      <c r="D409" s="5" t="s">
        <v>147</v>
      </c>
      <c r="E409" s="5" t="s">
        <v>556</v>
      </c>
      <c r="F409" s="5" t="str">
        <f t="shared" si="2"/>
        <v>Jones</v>
      </c>
      <c r="G409" s="5" t="s">
        <v>556</v>
      </c>
      <c r="H409" s="6">
        <v>26.0</v>
      </c>
      <c r="I409" s="6">
        <f t="shared" si="3"/>
        <v>26</v>
      </c>
      <c r="J409" s="6">
        <v>26.0</v>
      </c>
      <c r="K409" s="6" t="str">
        <f t="shared" si="4"/>
        <v>Young Adult</v>
      </c>
      <c r="L409" s="6" t="s">
        <v>528</v>
      </c>
      <c r="M409" s="5" t="s">
        <v>80</v>
      </c>
      <c r="N409" s="5" t="str">
        <f t="shared" si="5"/>
        <v>Male</v>
      </c>
      <c r="O409" s="5" t="s">
        <v>152</v>
      </c>
      <c r="P409" s="5" t="s">
        <v>64</v>
      </c>
      <c r="Q409" s="5" t="s">
        <v>916</v>
      </c>
      <c r="R409" s="5" t="s">
        <v>402</v>
      </c>
      <c r="S409" s="5" t="s">
        <v>559</v>
      </c>
      <c r="T409" s="6">
        <v>2093.0</v>
      </c>
      <c r="U409" s="5">
        <f t="shared" si="6"/>
        <v>2093</v>
      </c>
      <c r="V409" s="5">
        <v>2093.0</v>
      </c>
    </row>
    <row r="410" ht="22.5" customHeight="1">
      <c r="A410" s="5" t="s">
        <v>1721</v>
      </c>
      <c r="B410" s="5" t="s">
        <v>343</v>
      </c>
      <c r="C410" s="5" t="str">
        <f t="shared" si="1"/>
        <v>Bob</v>
      </c>
      <c r="D410" s="5" t="s">
        <v>343</v>
      </c>
      <c r="E410" s="5" t="s">
        <v>713</v>
      </c>
      <c r="F410" s="5" t="str">
        <f t="shared" si="2"/>
        <v>White</v>
      </c>
      <c r="G410" s="5" t="s">
        <v>713</v>
      </c>
      <c r="H410" s="6">
        <v>23.0</v>
      </c>
      <c r="I410" s="6">
        <f t="shared" si="3"/>
        <v>23</v>
      </c>
      <c r="J410" s="6">
        <v>23.0</v>
      </c>
      <c r="K410" s="6" t="str">
        <f t="shared" si="4"/>
        <v>Young Adult</v>
      </c>
      <c r="L410" s="6" t="s">
        <v>528</v>
      </c>
      <c r="M410" s="5" t="s">
        <v>130</v>
      </c>
      <c r="N410" s="5" t="str">
        <f t="shared" si="5"/>
        <v>Male</v>
      </c>
      <c r="O410" s="5" t="s">
        <v>152</v>
      </c>
      <c r="P410" s="5" t="s">
        <v>30</v>
      </c>
      <c r="Q410" s="5" t="s">
        <v>1290</v>
      </c>
      <c r="R410" s="5" t="s">
        <v>533</v>
      </c>
      <c r="S410" s="5" t="s">
        <v>211</v>
      </c>
      <c r="T410" s="6">
        <v>1220.0</v>
      </c>
      <c r="U410" s="5">
        <f t="shared" si="6"/>
        <v>1220</v>
      </c>
      <c r="V410" s="5">
        <v>1220.0</v>
      </c>
    </row>
    <row r="411" ht="22.5" customHeight="1">
      <c r="A411" s="5" t="s">
        <v>1723</v>
      </c>
      <c r="B411" s="5" t="s">
        <v>1525</v>
      </c>
      <c r="C411" s="5" t="str">
        <f t="shared" si="1"/>
        <v>Keith</v>
      </c>
      <c r="D411" s="5" t="s">
        <v>1525</v>
      </c>
      <c r="E411" s="5" t="s">
        <v>254</v>
      </c>
      <c r="F411" s="5" t="str">
        <f t="shared" si="2"/>
        <v>Doe</v>
      </c>
      <c r="G411" s="5" t="s">
        <v>254</v>
      </c>
      <c r="H411" s="6">
        <v>35.0</v>
      </c>
      <c r="I411" s="6">
        <f t="shared" si="3"/>
        <v>35</v>
      </c>
      <c r="J411" s="6">
        <v>35.0</v>
      </c>
      <c r="K411" s="6" t="str">
        <f t="shared" si="4"/>
        <v>Young Adult</v>
      </c>
      <c r="L411" s="6" t="s">
        <v>528</v>
      </c>
      <c r="M411" s="5" t="s">
        <v>80</v>
      </c>
      <c r="N411" s="5" t="str">
        <f t="shared" si="5"/>
        <v>Male</v>
      </c>
      <c r="O411" s="5" t="s">
        <v>152</v>
      </c>
      <c r="P411" s="5" t="s">
        <v>131</v>
      </c>
      <c r="Q411" s="5" t="s">
        <v>489</v>
      </c>
      <c r="R411" s="5" t="s">
        <v>179</v>
      </c>
      <c r="S411" s="5" t="s">
        <v>52</v>
      </c>
      <c r="T411" s="6">
        <v>2623.0</v>
      </c>
      <c r="U411" s="5">
        <f t="shared" si="6"/>
        <v>2623</v>
      </c>
      <c r="V411" s="5">
        <v>2623.0</v>
      </c>
    </row>
    <row r="412" ht="22.5" customHeight="1">
      <c r="A412" s="5" t="s">
        <v>1726</v>
      </c>
      <c r="B412" s="5" t="s">
        <v>158</v>
      </c>
      <c r="C412" s="5" t="str">
        <f t="shared" si="1"/>
        <v>Eva</v>
      </c>
      <c r="D412" s="5" t="s">
        <v>158</v>
      </c>
      <c r="E412" s="5" t="s">
        <v>316</v>
      </c>
      <c r="F412" s="5" t="str">
        <f t="shared" si="2"/>
        <v>Baker</v>
      </c>
      <c r="G412" s="5" t="s">
        <v>316</v>
      </c>
      <c r="H412" s="6">
        <v>46.0</v>
      </c>
      <c r="I412" s="6">
        <f t="shared" si="3"/>
        <v>46</v>
      </c>
      <c r="J412" s="6">
        <v>46.0</v>
      </c>
      <c r="K412" s="6" t="str">
        <f t="shared" si="4"/>
        <v>Middle Age</v>
      </c>
      <c r="L412" s="6" t="s">
        <v>591</v>
      </c>
      <c r="M412" s="5" t="s">
        <v>45</v>
      </c>
      <c r="N412" s="5" t="str">
        <f t="shared" si="5"/>
        <v>Female</v>
      </c>
      <c r="O412" s="5" t="s">
        <v>105</v>
      </c>
      <c r="P412" s="5" t="s">
        <v>571</v>
      </c>
      <c r="Q412" s="5" t="s">
        <v>916</v>
      </c>
      <c r="R412" s="5" t="s">
        <v>402</v>
      </c>
      <c r="S412" s="5" t="s">
        <v>52</v>
      </c>
      <c r="T412" s="6">
        <v>443.0</v>
      </c>
      <c r="U412" s="5">
        <f t="shared" si="6"/>
        <v>443</v>
      </c>
      <c r="V412" s="5">
        <v>443.0</v>
      </c>
    </row>
    <row r="413" ht="22.5" customHeight="1">
      <c r="A413" s="5" t="s">
        <v>1730</v>
      </c>
      <c r="B413" s="5" t="s">
        <v>193</v>
      </c>
      <c r="C413" s="5" t="str">
        <f t="shared" si="1"/>
        <v>Fiona</v>
      </c>
      <c r="D413" s="5" t="s">
        <v>193</v>
      </c>
      <c r="E413" s="5" t="s">
        <v>1124</v>
      </c>
      <c r="F413" s="5" t="str">
        <f t="shared" si="2"/>
        <v>Chan</v>
      </c>
      <c r="G413" s="5" t="s">
        <v>806</v>
      </c>
      <c r="H413" s="6">
        <v>49.0</v>
      </c>
      <c r="I413" s="6">
        <f t="shared" si="3"/>
        <v>49</v>
      </c>
      <c r="J413" s="6">
        <v>49.0</v>
      </c>
      <c r="K413" s="6" t="str">
        <f t="shared" si="4"/>
        <v>Middle Age</v>
      </c>
      <c r="L413" s="6" t="s">
        <v>591</v>
      </c>
      <c r="M413" s="5" t="s">
        <v>105</v>
      </c>
      <c r="N413" s="5" t="str">
        <f t="shared" si="5"/>
        <v>Female</v>
      </c>
      <c r="O413" s="5" t="s">
        <v>105</v>
      </c>
      <c r="P413" s="5" t="s">
        <v>30</v>
      </c>
      <c r="Q413" s="5" t="s">
        <v>482</v>
      </c>
      <c r="R413" s="5" t="s">
        <v>179</v>
      </c>
      <c r="S413" s="5" t="s">
        <v>222</v>
      </c>
      <c r="T413" s="6">
        <v>4999.0</v>
      </c>
      <c r="U413" s="5">
        <f t="shared" si="6"/>
        <v>4999</v>
      </c>
      <c r="V413" s="5">
        <v>4999.0</v>
      </c>
    </row>
    <row r="414" ht="22.5" customHeight="1">
      <c r="A414" s="5" t="s">
        <v>1732</v>
      </c>
      <c r="B414" s="5" t="s">
        <v>307</v>
      </c>
      <c r="C414" s="5" t="str">
        <f t="shared" si="1"/>
        <v>Hannah</v>
      </c>
      <c r="D414" s="5" t="s">
        <v>307</v>
      </c>
      <c r="E414" s="5" t="s">
        <v>495</v>
      </c>
      <c r="F414" s="5" t="str">
        <f t="shared" si="2"/>
        <v>Sharp</v>
      </c>
      <c r="G414" s="5" t="s">
        <v>495</v>
      </c>
      <c r="H414" s="6">
        <v>71.0</v>
      </c>
      <c r="I414" s="6">
        <f t="shared" si="3"/>
        <v>71</v>
      </c>
      <c r="J414" s="6">
        <v>71.0</v>
      </c>
      <c r="K414" s="6" t="str">
        <f t="shared" si="4"/>
        <v>Senior</v>
      </c>
      <c r="L414" s="6" t="s">
        <v>734</v>
      </c>
      <c r="M414" s="5" t="s">
        <v>28</v>
      </c>
      <c r="N414" s="5" t="str">
        <f t="shared" si="5"/>
        <v>Female</v>
      </c>
      <c r="O414" s="5" t="s">
        <v>105</v>
      </c>
      <c r="P414" s="5" t="s">
        <v>208</v>
      </c>
      <c r="Q414" s="5" t="s">
        <v>311</v>
      </c>
      <c r="R414" s="5" t="s">
        <v>96</v>
      </c>
      <c r="S414" s="5" t="s">
        <v>97</v>
      </c>
      <c r="T414" s="6">
        <v>500.0</v>
      </c>
      <c r="U414" s="5">
        <f t="shared" si="6"/>
        <v>500</v>
      </c>
      <c r="V414" s="5">
        <v>500.0</v>
      </c>
    </row>
    <row r="415" ht="22.5" customHeight="1">
      <c r="A415" s="5" t="s">
        <v>1735</v>
      </c>
      <c r="B415" s="5" t="s">
        <v>645</v>
      </c>
      <c r="C415" s="5" t="str">
        <f t="shared" si="1"/>
        <v>Josephine</v>
      </c>
      <c r="D415" s="5" t="s">
        <v>1939</v>
      </c>
      <c r="E415" s="5" t="s">
        <v>216</v>
      </c>
      <c r="F415" s="5" t="str">
        <f t="shared" si="2"/>
        <v>Williams</v>
      </c>
      <c r="G415" s="5" t="s">
        <v>216</v>
      </c>
      <c r="H415" s="6">
        <v>72.0</v>
      </c>
      <c r="I415" s="6">
        <f t="shared" si="3"/>
        <v>72</v>
      </c>
      <c r="J415" s="6">
        <v>72.0</v>
      </c>
      <c r="K415" s="6" t="str">
        <f t="shared" si="4"/>
        <v>Senior</v>
      </c>
      <c r="L415" s="6" t="s">
        <v>734</v>
      </c>
      <c r="M415" s="5" t="s">
        <v>45</v>
      </c>
      <c r="N415" s="5" t="str">
        <f t="shared" si="5"/>
        <v>Female</v>
      </c>
      <c r="O415" s="5" t="s">
        <v>105</v>
      </c>
      <c r="P415" s="5" t="s">
        <v>30</v>
      </c>
      <c r="Q415" s="5" t="s">
        <v>439</v>
      </c>
      <c r="R415" s="5" t="s">
        <v>210</v>
      </c>
      <c r="S415" s="5" t="s">
        <v>97</v>
      </c>
      <c r="T415" s="6">
        <v>1089.0</v>
      </c>
      <c r="U415" s="5">
        <f t="shared" si="6"/>
        <v>1089</v>
      </c>
      <c r="V415" s="5">
        <v>1089.0</v>
      </c>
    </row>
    <row r="416" ht="22.5" customHeight="1">
      <c r="A416" s="5" t="s">
        <v>1738</v>
      </c>
      <c r="B416" s="5" t="s">
        <v>757</v>
      </c>
      <c r="C416" s="5" t="str">
        <f t="shared" si="1"/>
        <v>Christine</v>
      </c>
      <c r="D416" s="5" t="s">
        <v>2094</v>
      </c>
      <c r="E416" s="5" t="s">
        <v>324</v>
      </c>
      <c r="F416" s="5" t="str">
        <f t="shared" si="2"/>
        <v>Cooper</v>
      </c>
      <c r="G416" s="5" t="s">
        <v>324</v>
      </c>
      <c r="H416" s="6">
        <v>38.0</v>
      </c>
      <c r="I416" s="6">
        <f t="shared" si="3"/>
        <v>38</v>
      </c>
      <c r="J416" s="6">
        <v>38.0</v>
      </c>
      <c r="K416" s="6" t="str">
        <f t="shared" si="4"/>
        <v>Young Adult</v>
      </c>
      <c r="L416" s="6" t="s">
        <v>528</v>
      </c>
      <c r="M416" s="5" t="s">
        <v>45</v>
      </c>
      <c r="N416" s="5" t="str">
        <f t="shared" si="5"/>
        <v>Female</v>
      </c>
      <c r="O416" s="5" t="s">
        <v>105</v>
      </c>
      <c r="P416" s="5" t="s">
        <v>64</v>
      </c>
      <c r="Q416" s="5" t="s">
        <v>436</v>
      </c>
      <c r="R416" s="5" t="s">
        <v>561</v>
      </c>
      <c r="S416" s="5" t="s">
        <v>52</v>
      </c>
      <c r="T416" s="6">
        <v>2117.0</v>
      </c>
      <c r="U416" s="5">
        <f t="shared" si="6"/>
        <v>2117</v>
      </c>
      <c r="V416" s="5">
        <v>2117.0</v>
      </c>
    </row>
    <row r="417" ht="22.5" customHeight="1">
      <c r="A417" s="5" t="s">
        <v>1741</v>
      </c>
      <c r="B417" s="5" t="s">
        <v>1531</v>
      </c>
      <c r="C417" s="5" t="str">
        <f t="shared" si="1"/>
        <v>Felix</v>
      </c>
      <c r="D417" s="5" t="s">
        <v>1531</v>
      </c>
      <c r="E417" s="5" t="s">
        <v>1540</v>
      </c>
      <c r="F417" s="5" t="str">
        <f t="shared" si="2"/>
        <v>Lopez</v>
      </c>
      <c r="G417" s="5" t="s">
        <v>42</v>
      </c>
      <c r="H417" s="6">
        <v>56.0</v>
      </c>
      <c r="I417" s="6">
        <f t="shared" si="3"/>
        <v>56</v>
      </c>
      <c r="J417" s="6">
        <v>56.0</v>
      </c>
      <c r="K417" s="6" t="str">
        <f t="shared" si="4"/>
        <v>Middle Age</v>
      </c>
      <c r="L417" s="6" t="s">
        <v>591</v>
      </c>
      <c r="M417" s="5" t="s">
        <v>152</v>
      </c>
      <c r="N417" s="5" t="str">
        <f t="shared" si="5"/>
        <v>Male</v>
      </c>
      <c r="O417" s="5" t="s">
        <v>152</v>
      </c>
      <c r="P417" s="5" t="s">
        <v>208</v>
      </c>
      <c r="Q417" s="5" t="s">
        <v>436</v>
      </c>
      <c r="R417" s="5" t="s">
        <v>561</v>
      </c>
      <c r="S417" s="5" t="s">
        <v>222</v>
      </c>
      <c r="T417" s="6">
        <v>3123.0</v>
      </c>
      <c r="U417" s="5">
        <f t="shared" si="6"/>
        <v>3123</v>
      </c>
      <c r="V417" s="5">
        <v>3123.0</v>
      </c>
    </row>
    <row r="418" ht="22.5" customHeight="1">
      <c r="A418" s="5" t="s">
        <v>1743</v>
      </c>
      <c r="B418" s="5" t="s">
        <v>877</v>
      </c>
      <c r="C418" s="5" t="str">
        <f t="shared" si="1"/>
        <v>Ian</v>
      </c>
      <c r="D418" s="5" t="s">
        <v>877</v>
      </c>
      <c r="E418" s="5" t="s">
        <v>76</v>
      </c>
      <c r="F418" s="5" t="str">
        <f t="shared" si="2"/>
        <v>Brown</v>
      </c>
      <c r="G418" s="5" t="s">
        <v>76</v>
      </c>
      <c r="H418" s="6">
        <v>29.0</v>
      </c>
      <c r="I418" s="6">
        <f t="shared" si="3"/>
        <v>29</v>
      </c>
      <c r="J418" s="6">
        <v>29.0</v>
      </c>
      <c r="K418" s="6" t="str">
        <f t="shared" si="4"/>
        <v>Young Adult</v>
      </c>
      <c r="L418" s="6" t="s">
        <v>528</v>
      </c>
      <c r="M418" s="5" t="s">
        <v>152</v>
      </c>
      <c r="N418" s="5" t="str">
        <f t="shared" si="5"/>
        <v>Male</v>
      </c>
      <c r="O418" s="5" t="s">
        <v>152</v>
      </c>
      <c r="P418" s="5" t="s">
        <v>208</v>
      </c>
      <c r="Q418" s="5" t="s">
        <v>551</v>
      </c>
      <c r="R418" s="5" t="s">
        <v>96</v>
      </c>
      <c r="S418" s="5" t="s">
        <v>52</v>
      </c>
      <c r="T418" s="6">
        <v>828.0</v>
      </c>
      <c r="U418" s="5">
        <f t="shared" si="6"/>
        <v>828</v>
      </c>
      <c r="V418" s="5">
        <v>828.0</v>
      </c>
    </row>
    <row r="419" ht="22.5" customHeight="1">
      <c r="A419" s="5" t="s">
        <v>1746</v>
      </c>
      <c r="B419" s="5" t="s">
        <v>827</v>
      </c>
      <c r="C419" s="5" t="str">
        <f t="shared" si="1"/>
        <v>Ryan</v>
      </c>
      <c r="D419" s="5" t="s">
        <v>827</v>
      </c>
      <c r="E419" s="5" t="s">
        <v>301</v>
      </c>
      <c r="F419" s="5" t="str">
        <f t="shared" si="2"/>
        <v>Lee</v>
      </c>
      <c r="G419" s="5" t="s">
        <v>301</v>
      </c>
      <c r="H419" s="6">
        <v>72.0</v>
      </c>
      <c r="I419" s="6">
        <f t="shared" si="3"/>
        <v>72</v>
      </c>
      <c r="J419" s="6">
        <v>72.0</v>
      </c>
      <c r="K419" s="6" t="str">
        <f t="shared" si="4"/>
        <v>Senior</v>
      </c>
      <c r="L419" s="6" t="s">
        <v>734</v>
      </c>
      <c r="M419" s="5" t="s">
        <v>130</v>
      </c>
      <c r="N419" s="5" t="str">
        <f t="shared" si="5"/>
        <v>Male</v>
      </c>
      <c r="O419" s="5" t="s">
        <v>152</v>
      </c>
      <c r="P419" s="5" t="s">
        <v>47</v>
      </c>
      <c r="Q419" s="5" t="s">
        <v>916</v>
      </c>
      <c r="R419" s="5" t="s">
        <v>402</v>
      </c>
      <c r="S419" s="5" t="s">
        <v>97</v>
      </c>
      <c r="T419" s="6">
        <v>1943.0</v>
      </c>
      <c r="U419" s="5">
        <f t="shared" si="6"/>
        <v>1943</v>
      </c>
      <c r="V419" s="5">
        <v>1943.0</v>
      </c>
    </row>
    <row r="420" ht="22.5" customHeight="1">
      <c r="A420" s="5" t="s">
        <v>1750</v>
      </c>
      <c r="B420" s="5" t="s">
        <v>456</v>
      </c>
      <c r="C420" s="5" t="str">
        <f t="shared" si="1"/>
        <v>Tina</v>
      </c>
      <c r="D420" s="5" t="s">
        <v>898</v>
      </c>
      <c r="E420" s="5" t="s">
        <v>254</v>
      </c>
      <c r="F420" s="5" t="str">
        <f t="shared" si="2"/>
        <v>Doe</v>
      </c>
      <c r="G420" s="5" t="s">
        <v>254</v>
      </c>
      <c r="H420" s="6">
        <v>72.0</v>
      </c>
      <c r="I420" s="6">
        <f t="shared" si="3"/>
        <v>72</v>
      </c>
      <c r="J420" s="6">
        <v>72.0</v>
      </c>
      <c r="K420" s="6" t="str">
        <f t="shared" si="4"/>
        <v>Senior</v>
      </c>
      <c r="L420" s="6" t="s">
        <v>734</v>
      </c>
      <c r="M420" s="5" t="s">
        <v>105</v>
      </c>
      <c r="N420" s="5" t="str">
        <f t="shared" si="5"/>
        <v>Female</v>
      </c>
      <c r="O420" s="5" t="s">
        <v>105</v>
      </c>
      <c r="P420" s="5" t="s">
        <v>30</v>
      </c>
      <c r="Q420" s="5" t="s">
        <v>470</v>
      </c>
      <c r="R420" s="5" t="s">
        <v>179</v>
      </c>
      <c r="S420" s="5" t="s">
        <v>97</v>
      </c>
      <c r="T420" s="6">
        <v>4033.0</v>
      </c>
      <c r="U420" s="5">
        <f t="shared" si="6"/>
        <v>4033</v>
      </c>
      <c r="V420" s="5">
        <v>4033.0</v>
      </c>
    </row>
    <row r="421" ht="22.5" customHeight="1">
      <c r="A421" s="5" t="s">
        <v>1752</v>
      </c>
      <c r="B421" s="5" t="s">
        <v>74</v>
      </c>
      <c r="C421" s="5" t="str">
        <f t="shared" si="1"/>
        <v>Harry</v>
      </c>
      <c r="D421" s="5" t="s">
        <v>689</v>
      </c>
      <c r="E421" s="5" t="s">
        <v>1562</v>
      </c>
      <c r="F421" s="5" t="str">
        <f t="shared" si="2"/>
        <v>Perez</v>
      </c>
      <c r="G421" s="5" t="s">
        <v>469</v>
      </c>
      <c r="H421" s="6">
        <v>20.0</v>
      </c>
      <c r="I421" s="6">
        <f t="shared" si="3"/>
        <v>20</v>
      </c>
      <c r="J421" s="6">
        <v>20.0</v>
      </c>
      <c r="K421" s="6" t="str">
        <f t="shared" si="4"/>
        <v>Young Adult</v>
      </c>
      <c r="L421" s="6" t="s">
        <v>528</v>
      </c>
      <c r="M421" s="5" t="s">
        <v>130</v>
      </c>
      <c r="N421" s="5" t="str">
        <f t="shared" si="5"/>
        <v>Male</v>
      </c>
      <c r="O421" s="5" t="s">
        <v>152</v>
      </c>
      <c r="P421" s="5" t="s">
        <v>64</v>
      </c>
      <c r="Q421" s="5" t="s">
        <v>482</v>
      </c>
      <c r="R421" s="5" t="s">
        <v>179</v>
      </c>
      <c r="S421" s="5" t="s">
        <v>222</v>
      </c>
      <c r="T421" s="6">
        <v>3889.0</v>
      </c>
      <c r="U421" s="5">
        <f t="shared" si="6"/>
        <v>3889</v>
      </c>
      <c r="V421" s="5">
        <v>3889.0</v>
      </c>
    </row>
    <row r="422" ht="22.5" customHeight="1">
      <c r="A422" s="5" t="s">
        <v>1755</v>
      </c>
      <c r="B422" s="5" t="s">
        <v>307</v>
      </c>
      <c r="C422" s="5" t="str">
        <f t="shared" si="1"/>
        <v>Hannah</v>
      </c>
      <c r="D422" s="5" t="s">
        <v>307</v>
      </c>
      <c r="E422" s="5" t="s">
        <v>284</v>
      </c>
      <c r="F422" s="5" t="str">
        <f t="shared" si="2"/>
        <v>Lim</v>
      </c>
      <c r="G422" s="5" t="s">
        <v>284</v>
      </c>
      <c r="H422" s="6">
        <v>47.0</v>
      </c>
      <c r="I422" s="6">
        <f t="shared" si="3"/>
        <v>47</v>
      </c>
      <c r="J422" s="6">
        <v>47.0</v>
      </c>
      <c r="K422" s="6" t="str">
        <f t="shared" si="4"/>
        <v>Middle Age</v>
      </c>
      <c r="L422" s="6" t="s">
        <v>591</v>
      </c>
      <c r="M422" s="5" t="s">
        <v>45</v>
      </c>
      <c r="N422" s="5" t="str">
        <f t="shared" si="5"/>
        <v>Female</v>
      </c>
      <c r="O422" s="5" t="s">
        <v>105</v>
      </c>
      <c r="P422" s="5" t="s">
        <v>107</v>
      </c>
      <c r="Q422" s="5" t="s">
        <v>377</v>
      </c>
      <c r="R422" s="5" t="s">
        <v>402</v>
      </c>
      <c r="S422" s="5" t="s">
        <v>211</v>
      </c>
      <c r="T422" s="6">
        <v>1970.0</v>
      </c>
      <c r="U422" s="5">
        <f t="shared" si="6"/>
        <v>1970</v>
      </c>
      <c r="V422" s="5">
        <v>1970.0</v>
      </c>
    </row>
    <row r="423" ht="22.5" customHeight="1">
      <c r="A423" s="5" t="s">
        <v>1757</v>
      </c>
      <c r="B423" s="5" t="s">
        <v>158</v>
      </c>
      <c r="C423" s="5" t="str">
        <f t="shared" si="1"/>
        <v>Eva</v>
      </c>
      <c r="D423" s="5" t="s">
        <v>158</v>
      </c>
      <c r="E423" s="5" t="s">
        <v>90</v>
      </c>
      <c r="F423" s="5" t="str">
        <f t="shared" si="2"/>
        <v>Davis</v>
      </c>
      <c r="G423" s="5" t="s">
        <v>90</v>
      </c>
      <c r="H423" s="6">
        <v>41.0</v>
      </c>
      <c r="I423" s="6">
        <f t="shared" si="3"/>
        <v>41</v>
      </c>
      <c r="J423" s="6">
        <v>41.0</v>
      </c>
      <c r="K423" s="6" t="str">
        <f t="shared" si="4"/>
        <v>Middle Age</v>
      </c>
      <c r="L423" s="6" t="s">
        <v>591</v>
      </c>
      <c r="M423" s="5" t="s">
        <v>130</v>
      </c>
      <c r="N423" s="5" t="str">
        <f t="shared" si="5"/>
        <v>Male</v>
      </c>
      <c r="O423" s="5" t="s">
        <v>152</v>
      </c>
      <c r="P423" s="5" t="s">
        <v>141</v>
      </c>
      <c r="Q423" s="5" t="s">
        <v>551</v>
      </c>
      <c r="R423" s="5" t="s">
        <v>83</v>
      </c>
      <c r="S423" s="5" t="s">
        <v>211</v>
      </c>
      <c r="T423" s="6">
        <v>2863.0</v>
      </c>
      <c r="U423" s="5">
        <f t="shared" si="6"/>
        <v>2863</v>
      </c>
      <c r="V423" s="5">
        <v>2863.0</v>
      </c>
    </row>
    <row r="424" ht="22.5" customHeight="1">
      <c r="A424" s="5" t="s">
        <v>1759</v>
      </c>
      <c r="B424" s="5" t="s">
        <v>784</v>
      </c>
      <c r="C424" s="5" t="str">
        <f t="shared" si="1"/>
        <v>Louis</v>
      </c>
      <c r="D424" s="5" t="s">
        <v>1656</v>
      </c>
      <c r="E424" s="5" t="s">
        <v>101</v>
      </c>
      <c r="F424" s="5" t="str">
        <f t="shared" si="2"/>
        <v>Ferguson</v>
      </c>
      <c r="G424" s="5" t="s">
        <v>101</v>
      </c>
      <c r="H424" s="6">
        <v>47.0</v>
      </c>
      <c r="I424" s="6">
        <f t="shared" si="3"/>
        <v>47</v>
      </c>
      <c r="J424" s="6">
        <v>47.0</v>
      </c>
      <c r="K424" s="6" t="str">
        <f t="shared" si="4"/>
        <v>Middle Age</v>
      </c>
      <c r="L424" s="6" t="s">
        <v>591</v>
      </c>
      <c r="M424" s="5" t="s">
        <v>152</v>
      </c>
      <c r="N424" s="5" t="str">
        <f t="shared" si="5"/>
        <v>Male</v>
      </c>
      <c r="O424" s="5" t="s">
        <v>152</v>
      </c>
      <c r="P424" s="5" t="s">
        <v>364</v>
      </c>
      <c r="Q424" s="5" t="s">
        <v>439</v>
      </c>
      <c r="R424" s="5" t="s">
        <v>210</v>
      </c>
      <c r="S424" s="5" t="s">
        <v>559</v>
      </c>
      <c r="T424" s="6">
        <v>166.0</v>
      </c>
      <c r="U424" s="5">
        <f t="shared" si="6"/>
        <v>166</v>
      </c>
      <c r="V424" s="5">
        <v>166.0</v>
      </c>
    </row>
    <row r="425" ht="22.5" customHeight="1">
      <c r="A425" s="5" t="s">
        <v>1761</v>
      </c>
      <c r="B425" s="5" t="s">
        <v>1329</v>
      </c>
      <c r="C425" s="5" t="str">
        <f t="shared" si="1"/>
        <v>Timothy</v>
      </c>
      <c r="D425" s="5" t="s">
        <v>1329</v>
      </c>
      <c r="E425" s="5" t="s">
        <v>1762</v>
      </c>
      <c r="F425" s="5" t="str">
        <f t="shared" si="2"/>
        <v>Wu</v>
      </c>
      <c r="G425" s="5" t="s">
        <v>264</v>
      </c>
      <c r="H425" s="6">
        <v>50.0</v>
      </c>
      <c r="I425" s="6">
        <f t="shared" si="3"/>
        <v>50</v>
      </c>
      <c r="J425" s="6">
        <v>50.0</v>
      </c>
      <c r="K425" s="6" t="str">
        <f t="shared" si="4"/>
        <v>Middle Age</v>
      </c>
      <c r="L425" s="6" t="s">
        <v>591</v>
      </c>
      <c r="M425" s="5" t="s">
        <v>130</v>
      </c>
      <c r="N425" s="5" t="str">
        <f t="shared" si="5"/>
        <v>Male</v>
      </c>
      <c r="O425" s="5" t="s">
        <v>152</v>
      </c>
      <c r="P425" s="5" t="s">
        <v>401</v>
      </c>
      <c r="Q425" s="5" t="s">
        <v>916</v>
      </c>
      <c r="R425" s="5" t="s">
        <v>402</v>
      </c>
      <c r="S425" s="5" t="s">
        <v>211</v>
      </c>
      <c r="T425" s="6">
        <v>2803.0</v>
      </c>
      <c r="U425" s="5">
        <f t="shared" si="6"/>
        <v>2803</v>
      </c>
      <c r="V425" s="5">
        <v>2803.0</v>
      </c>
    </row>
    <row r="426" ht="22.5" customHeight="1">
      <c r="A426" s="5" t="s">
        <v>1765</v>
      </c>
      <c r="B426" s="5" t="s">
        <v>136</v>
      </c>
      <c r="C426" s="5" t="str">
        <f t="shared" si="1"/>
        <v>Alice</v>
      </c>
      <c r="D426" s="5" t="s">
        <v>136</v>
      </c>
      <c r="E426" s="5" t="s">
        <v>324</v>
      </c>
      <c r="F426" s="5" t="str">
        <f t="shared" si="2"/>
        <v>Cooper</v>
      </c>
      <c r="G426" s="5" t="s">
        <v>324</v>
      </c>
      <c r="H426" s="6">
        <v>30.0</v>
      </c>
      <c r="I426" s="6">
        <f t="shared" si="3"/>
        <v>30</v>
      </c>
      <c r="J426" s="6">
        <v>30.0</v>
      </c>
      <c r="K426" s="6" t="str">
        <f t="shared" si="4"/>
        <v>Young Adult</v>
      </c>
      <c r="L426" s="6" t="s">
        <v>528</v>
      </c>
      <c r="M426" s="5" t="s">
        <v>28</v>
      </c>
      <c r="N426" s="5" t="str">
        <f t="shared" si="5"/>
        <v>Female</v>
      </c>
      <c r="O426" s="5" t="s">
        <v>105</v>
      </c>
      <c r="P426" s="5" t="s">
        <v>237</v>
      </c>
      <c r="Q426" s="5" t="s">
        <v>551</v>
      </c>
      <c r="R426" s="5" t="s">
        <v>96</v>
      </c>
      <c r="S426" s="5" t="s">
        <v>222</v>
      </c>
      <c r="T426" s="6">
        <v>681.0</v>
      </c>
      <c r="U426" s="5">
        <f t="shared" si="6"/>
        <v>681</v>
      </c>
      <c r="V426" s="5">
        <v>681.0</v>
      </c>
    </row>
    <row r="427" ht="22.5" customHeight="1">
      <c r="A427" s="5" t="s">
        <v>1767</v>
      </c>
      <c r="B427" s="5" t="s">
        <v>838</v>
      </c>
      <c r="C427" s="5" t="str">
        <f t="shared" si="1"/>
        <v>Jack</v>
      </c>
      <c r="D427" s="5" t="s">
        <v>1186</v>
      </c>
      <c r="E427" s="5" t="s">
        <v>1540</v>
      </c>
      <c r="F427" s="5" t="str">
        <f t="shared" si="2"/>
        <v>Lopez</v>
      </c>
      <c r="G427" s="5" t="s">
        <v>42</v>
      </c>
      <c r="H427" s="6">
        <v>29.0</v>
      </c>
      <c r="I427" s="6">
        <f t="shared" si="3"/>
        <v>29</v>
      </c>
      <c r="J427" s="6">
        <v>29.0</v>
      </c>
      <c r="K427" s="6" t="str">
        <f t="shared" si="4"/>
        <v>Young Adult</v>
      </c>
      <c r="L427" s="6" t="s">
        <v>528</v>
      </c>
      <c r="M427" s="5" t="s">
        <v>80</v>
      </c>
      <c r="N427" s="5" t="str">
        <f t="shared" si="5"/>
        <v>Male</v>
      </c>
      <c r="O427" s="5" t="s">
        <v>152</v>
      </c>
      <c r="P427" s="5" t="s">
        <v>30</v>
      </c>
      <c r="Q427" s="5" t="s">
        <v>238</v>
      </c>
      <c r="R427" s="5" t="s">
        <v>533</v>
      </c>
      <c r="S427" s="5" t="s">
        <v>52</v>
      </c>
      <c r="T427" s="6">
        <v>1117.0</v>
      </c>
      <c r="U427" s="5">
        <f t="shared" si="6"/>
        <v>1117</v>
      </c>
      <c r="V427" s="5">
        <v>1117.0</v>
      </c>
    </row>
    <row r="428" ht="22.5" customHeight="1">
      <c r="A428" s="5" t="s">
        <v>1770</v>
      </c>
      <c r="B428" s="5" t="s">
        <v>411</v>
      </c>
      <c r="C428" s="5" t="str">
        <f t="shared" si="1"/>
        <v>Jane</v>
      </c>
      <c r="D428" s="5" t="s">
        <v>411</v>
      </c>
      <c r="E428" s="5" t="s">
        <v>959</v>
      </c>
      <c r="F428" s="5" t="str">
        <f t="shared" si="2"/>
        <v>Glover</v>
      </c>
      <c r="G428" s="5" t="s">
        <v>959</v>
      </c>
      <c r="H428" s="6">
        <v>57.0</v>
      </c>
      <c r="I428" s="6">
        <f t="shared" si="3"/>
        <v>57</v>
      </c>
      <c r="J428" s="6">
        <v>57.0</v>
      </c>
      <c r="K428" s="6" t="str">
        <f t="shared" si="4"/>
        <v>Middle Age</v>
      </c>
      <c r="L428" s="6" t="s">
        <v>591</v>
      </c>
      <c r="M428" s="5" t="s">
        <v>105</v>
      </c>
      <c r="N428" s="5" t="str">
        <f t="shared" si="5"/>
        <v>Female</v>
      </c>
      <c r="O428" s="5" t="s">
        <v>105</v>
      </c>
      <c r="P428" s="5" t="s">
        <v>393</v>
      </c>
      <c r="Q428" s="5" t="s">
        <v>164</v>
      </c>
      <c r="R428" s="5" t="s">
        <v>452</v>
      </c>
      <c r="S428" s="5" t="s">
        <v>559</v>
      </c>
      <c r="T428" s="6">
        <v>4999.0</v>
      </c>
      <c r="U428" s="5">
        <f t="shared" si="6"/>
        <v>4999</v>
      </c>
      <c r="V428" s="5">
        <v>4999.0</v>
      </c>
    </row>
    <row r="429" ht="22.5" customHeight="1">
      <c r="A429" s="5" t="s">
        <v>1772</v>
      </c>
      <c r="B429" s="5" t="s">
        <v>390</v>
      </c>
      <c r="C429" s="5" t="str">
        <f t="shared" si="1"/>
        <v>Joshua</v>
      </c>
      <c r="D429" s="5" t="s">
        <v>1143</v>
      </c>
      <c r="E429" s="5" t="s">
        <v>374</v>
      </c>
      <c r="F429" s="5" t="str">
        <f t="shared" si="2"/>
        <v>Miller</v>
      </c>
      <c r="G429" s="5" t="s">
        <v>374</v>
      </c>
      <c r="H429" s="6">
        <v>61.0</v>
      </c>
      <c r="I429" s="6">
        <f t="shared" si="3"/>
        <v>61</v>
      </c>
      <c r="J429" s="6">
        <v>61.0</v>
      </c>
      <c r="K429" s="6" t="str">
        <f t="shared" si="4"/>
        <v>Senior</v>
      </c>
      <c r="L429" s="6" t="s">
        <v>734</v>
      </c>
      <c r="M429" s="5" t="s">
        <v>80</v>
      </c>
      <c r="N429" s="5" t="str">
        <f t="shared" si="5"/>
        <v>Male</v>
      </c>
      <c r="O429" s="5" t="s">
        <v>152</v>
      </c>
      <c r="P429" s="5" t="s">
        <v>47</v>
      </c>
      <c r="Q429" s="5" t="s">
        <v>916</v>
      </c>
      <c r="R429" s="5" t="s">
        <v>402</v>
      </c>
      <c r="S429" s="5" t="s">
        <v>97</v>
      </c>
      <c r="T429" s="6">
        <v>1292.0</v>
      </c>
      <c r="U429" s="5">
        <f t="shared" si="6"/>
        <v>1292</v>
      </c>
      <c r="V429" s="5">
        <v>1292.0</v>
      </c>
    </row>
    <row r="430" ht="22.5" customHeight="1">
      <c r="A430" s="5" t="s">
        <v>1774</v>
      </c>
      <c r="B430" s="5" t="s">
        <v>171</v>
      </c>
      <c r="C430" s="5" t="str">
        <f t="shared" si="1"/>
        <v>Frank</v>
      </c>
      <c r="D430" s="5" t="s">
        <v>171</v>
      </c>
      <c r="E430" s="5" t="s">
        <v>324</v>
      </c>
      <c r="F430" s="5" t="str">
        <f t="shared" si="2"/>
        <v>Cooper</v>
      </c>
      <c r="G430" s="5" t="s">
        <v>324</v>
      </c>
      <c r="H430" s="6">
        <v>49.0</v>
      </c>
      <c r="I430" s="6">
        <f t="shared" si="3"/>
        <v>49</v>
      </c>
      <c r="J430" s="6">
        <v>49.0</v>
      </c>
      <c r="K430" s="6" t="str">
        <f t="shared" si="4"/>
        <v>Middle Age</v>
      </c>
      <c r="L430" s="6" t="s">
        <v>591</v>
      </c>
      <c r="M430" s="5" t="s">
        <v>152</v>
      </c>
      <c r="N430" s="5" t="str">
        <f t="shared" si="5"/>
        <v>Male</v>
      </c>
      <c r="O430" s="5" t="s">
        <v>152</v>
      </c>
      <c r="P430" s="5" t="s">
        <v>237</v>
      </c>
      <c r="Q430" s="5" t="s">
        <v>489</v>
      </c>
      <c r="R430" s="5" t="s">
        <v>179</v>
      </c>
      <c r="S430" s="5" t="s">
        <v>559</v>
      </c>
      <c r="T430" s="6">
        <v>3238.0</v>
      </c>
      <c r="U430" s="5">
        <f t="shared" si="6"/>
        <v>3238</v>
      </c>
      <c r="V430" s="5">
        <v>3238.0</v>
      </c>
    </row>
    <row r="431" ht="22.5" customHeight="1">
      <c r="A431" s="5" t="s">
        <v>1777</v>
      </c>
      <c r="B431" s="5" t="s">
        <v>1455</v>
      </c>
      <c r="C431" s="5" t="str">
        <f t="shared" si="1"/>
        <v>Dale</v>
      </c>
      <c r="D431" s="5" t="s">
        <v>1875</v>
      </c>
      <c r="E431" s="5" t="s">
        <v>959</v>
      </c>
      <c r="F431" s="5" t="str">
        <f t="shared" si="2"/>
        <v>Glover</v>
      </c>
      <c r="G431" s="5" t="s">
        <v>959</v>
      </c>
      <c r="H431" s="6">
        <v>82.0</v>
      </c>
      <c r="I431" s="6">
        <f t="shared" si="3"/>
        <v>82</v>
      </c>
      <c r="J431" s="6">
        <v>82.0</v>
      </c>
      <c r="K431" s="6" t="str">
        <f t="shared" si="4"/>
        <v>Senior</v>
      </c>
      <c r="L431" s="6" t="s">
        <v>734</v>
      </c>
      <c r="M431" s="5" t="s">
        <v>80</v>
      </c>
      <c r="N431" s="5" t="str">
        <f t="shared" si="5"/>
        <v>Male</v>
      </c>
      <c r="O431" s="5" t="s">
        <v>152</v>
      </c>
      <c r="P431" s="5" t="s">
        <v>571</v>
      </c>
      <c r="Q431" s="5" t="s">
        <v>164</v>
      </c>
      <c r="R431" s="5" t="s">
        <v>607</v>
      </c>
      <c r="S431" s="5" t="s">
        <v>97</v>
      </c>
      <c r="T431" s="6">
        <v>2861.0</v>
      </c>
      <c r="U431" s="5">
        <f t="shared" si="6"/>
        <v>2861</v>
      </c>
      <c r="V431" s="5">
        <v>2861.0</v>
      </c>
    </row>
    <row r="432" ht="22.5" customHeight="1">
      <c r="A432" s="5" t="s">
        <v>1780</v>
      </c>
      <c r="B432" s="5" t="s">
        <v>307</v>
      </c>
      <c r="C432" s="5" t="str">
        <f t="shared" si="1"/>
        <v>Hannah</v>
      </c>
      <c r="D432" s="5" t="s">
        <v>307</v>
      </c>
      <c r="E432" s="5" t="s">
        <v>428</v>
      </c>
      <c r="F432" s="5" t="str">
        <f t="shared" si="2"/>
        <v>Bush</v>
      </c>
      <c r="G432" s="5" t="s">
        <v>428</v>
      </c>
      <c r="H432" s="6">
        <v>55.0</v>
      </c>
      <c r="I432" s="6">
        <f t="shared" si="3"/>
        <v>55</v>
      </c>
      <c r="J432" s="6">
        <v>55.0</v>
      </c>
      <c r="K432" s="6" t="str">
        <f t="shared" si="4"/>
        <v>Middle Age</v>
      </c>
      <c r="L432" s="6" t="s">
        <v>591</v>
      </c>
      <c r="M432" s="5" t="s">
        <v>105</v>
      </c>
      <c r="N432" s="5" t="str">
        <f t="shared" si="5"/>
        <v>Female</v>
      </c>
      <c r="O432" s="5" t="s">
        <v>105</v>
      </c>
      <c r="P432" s="5" t="s">
        <v>268</v>
      </c>
      <c r="Q432" s="5" t="s">
        <v>576</v>
      </c>
      <c r="R432" s="5" t="s">
        <v>607</v>
      </c>
      <c r="S432" s="5" t="s">
        <v>52</v>
      </c>
      <c r="T432" s="6">
        <v>1740.0</v>
      </c>
      <c r="U432" s="5">
        <f t="shared" si="6"/>
        <v>1740</v>
      </c>
      <c r="V432" s="5">
        <v>1740.0</v>
      </c>
    </row>
    <row r="433" ht="22.5" customHeight="1">
      <c r="A433" s="5" t="s">
        <v>1781</v>
      </c>
      <c r="B433" s="5" t="s">
        <v>136</v>
      </c>
      <c r="C433" s="5" t="str">
        <f t="shared" si="1"/>
        <v>Alice</v>
      </c>
      <c r="D433" s="5" t="s">
        <v>136</v>
      </c>
      <c r="E433" s="5" t="s">
        <v>1782</v>
      </c>
      <c r="F433" s="5" t="str">
        <f t="shared" si="2"/>
        <v>Young</v>
      </c>
      <c r="G433" s="5" t="s">
        <v>159</v>
      </c>
      <c r="H433" s="6">
        <v>50.0</v>
      </c>
      <c r="I433" s="6">
        <f t="shared" si="3"/>
        <v>50</v>
      </c>
      <c r="J433" s="6">
        <v>50.0</v>
      </c>
      <c r="K433" s="6" t="str">
        <f t="shared" si="4"/>
        <v>Middle Age</v>
      </c>
      <c r="L433" s="6" t="s">
        <v>591</v>
      </c>
      <c r="M433" s="5" t="s">
        <v>80</v>
      </c>
      <c r="N433" s="5" t="str">
        <f t="shared" si="5"/>
        <v>Male</v>
      </c>
      <c r="O433" s="5" t="s">
        <v>152</v>
      </c>
      <c r="P433" s="5" t="s">
        <v>393</v>
      </c>
      <c r="Q433" s="5" t="s">
        <v>470</v>
      </c>
      <c r="R433" s="5" t="s">
        <v>96</v>
      </c>
      <c r="S433" s="5" t="s">
        <v>211</v>
      </c>
      <c r="T433" s="6">
        <v>733.0</v>
      </c>
      <c r="U433" s="5">
        <f t="shared" si="6"/>
        <v>733</v>
      </c>
      <c r="V433" s="5">
        <v>733.0</v>
      </c>
    </row>
    <row r="434" ht="22.5" customHeight="1">
      <c r="A434" s="5" t="s">
        <v>1785</v>
      </c>
      <c r="B434" s="5" t="s">
        <v>688</v>
      </c>
      <c r="C434" s="5" t="str">
        <f t="shared" si="1"/>
        <v>Robert</v>
      </c>
      <c r="D434" s="5" t="s">
        <v>2950</v>
      </c>
      <c r="E434" s="5" t="s">
        <v>556</v>
      </c>
      <c r="F434" s="5" t="str">
        <f t="shared" si="2"/>
        <v>Jones</v>
      </c>
      <c r="G434" s="5" t="s">
        <v>556</v>
      </c>
      <c r="H434" s="8"/>
      <c r="I434" s="8">
        <f t="shared" si="3"/>
        <v>0</v>
      </c>
      <c r="J434" s="8"/>
      <c r="K434" s="8" t="str">
        <f t="shared" si="4"/>
        <v>Unknown</v>
      </c>
      <c r="L434" s="8" t="s">
        <v>1081</v>
      </c>
      <c r="M434" s="5" t="s">
        <v>130</v>
      </c>
      <c r="N434" s="5" t="str">
        <f t="shared" si="5"/>
        <v>Male</v>
      </c>
      <c r="O434" s="5" t="s">
        <v>152</v>
      </c>
      <c r="P434" s="5" t="s">
        <v>309</v>
      </c>
      <c r="Q434" s="5" t="s">
        <v>164</v>
      </c>
      <c r="R434" s="5" t="s">
        <v>607</v>
      </c>
      <c r="S434" s="5" t="s">
        <v>211</v>
      </c>
      <c r="T434" s="6">
        <v>2417.0</v>
      </c>
      <c r="U434" s="5">
        <f t="shared" si="6"/>
        <v>2417</v>
      </c>
      <c r="V434" s="5">
        <v>2417.0</v>
      </c>
    </row>
    <row r="435" ht="22.5" customHeight="1">
      <c r="A435" s="5" t="s">
        <v>1787</v>
      </c>
      <c r="B435" s="5" t="s">
        <v>1788</v>
      </c>
      <c r="C435" s="5" t="str">
        <f t="shared" si="1"/>
        <v>Ashley</v>
      </c>
      <c r="D435" s="5" t="s">
        <v>1788</v>
      </c>
      <c r="E435" s="5" t="s">
        <v>159</v>
      </c>
      <c r="F435" s="5" t="str">
        <f t="shared" si="2"/>
        <v>Young</v>
      </c>
      <c r="G435" s="5" t="s">
        <v>159</v>
      </c>
      <c r="H435" s="6">
        <v>31.0</v>
      </c>
      <c r="I435" s="6">
        <f t="shared" si="3"/>
        <v>31</v>
      </c>
      <c r="J435" s="6">
        <v>31.0</v>
      </c>
      <c r="K435" s="6" t="str">
        <f t="shared" si="4"/>
        <v>Young Adult</v>
      </c>
      <c r="L435" s="6" t="s">
        <v>528</v>
      </c>
      <c r="M435" s="5" t="s">
        <v>45</v>
      </c>
      <c r="N435" s="5" t="str">
        <f t="shared" si="5"/>
        <v>Female</v>
      </c>
      <c r="O435" s="5" t="s">
        <v>105</v>
      </c>
      <c r="P435" s="5" t="s">
        <v>81</v>
      </c>
      <c r="Q435" s="5" t="s">
        <v>436</v>
      </c>
      <c r="R435" s="5" t="s">
        <v>561</v>
      </c>
      <c r="S435" s="5" t="s">
        <v>222</v>
      </c>
      <c r="T435" s="6">
        <v>1385.0</v>
      </c>
      <c r="U435" s="5">
        <f t="shared" si="6"/>
        <v>1385</v>
      </c>
      <c r="V435" s="5">
        <v>1385.0</v>
      </c>
    </row>
    <row r="436" ht="22.5" customHeight="1">
      <c r="A436" s="5" t="s">
        <v>1791</v>
      </c>
      <c r="B436" s="5" t="s">
        <v>158</v>
      </c>
      <c r="C436" s="5" t="str">
        <f t="shared" si="1"/>
        <v>Eva</v>
      </c>
      <c r="D436" s="5" t="s">
        <v>158</v>
      </c>
      <c r="E436" s="5" t="s">
        <v>556</v>
      </c>
      <c r="F436" s="5" t="str">
        <f t="shared" si="2"/>
        <v>Jones</v>
      </c>
      <c r="G436" s="5" t="s">
        <v>556</v>
      </c>
      <c r="H436" s="6">
        <v>62.0</v>
      </c>
      <c r="I436" s="6">
        <f t="shared" si="3"/>
        <v>62</v>
      </c>
      <c r="J436" s="6">
        <v>62.0</v>
      </c>
      <c r="K436" s="6" t="str">
        <f t="shared" si="4"/>
        <v>Senior</v>
      </c>
      <c r="L436" s="6" t="s">
        <v>734</v>
      </c>
      <c r="M436" s="5" t="s">
        <v>105</v>
      </c>
      <c r="N436" s="5" t="str">
        <f t="shared" si="5"/>
        <v>Female</v>
      </c>
      <c r="O436" s="5" t="s">
        <v>105</v>
      </c>
      <c r="P436" s="5" t="s">
        <v>309</v>
      </c>
      <c r="Q436" s="5" t="s">
        <v>377</v>
      </c>
      <c r="R436" s="5" t="s">
        <v>402</v>
      </c>
      <c r="S436" s="5" t="s">
        <v>97</v>
      </c>
      <c r="T436" s="6">
        <v>1342.0</v>
      </c>
      <c r="U436" s="5">
        <f t="shared" si="6"/>
        <v>1342</v>
      </c>
      <c r="V436" s="5">
        <v>1342.0</v>
      </c>
    </row>
    <row r="437" ht="22.5" customHeight="1">
      <c r="A437" s="5" t="s">
        <v>1794</v>
      </c>
      <c r="B437" s="5" t="s">
        <v>171</v>
      </c>
      <c r="C437" s="5" t="str">
        <f t="shared" si="1"/>
        <v>Frank</v>
      </c>
      <c r="D437" s="5" t="s">
        <v>171</v>
      </c>
      <c r="E437" s="5" t="s">
        <v>76</v>
      </c>
      <c r="F437" s="5" t="str">
        <f t="shared" si="2"/>
        <v>Brown</v>
      </c>
      <c r="G437" s="5" t="s">
        <v>76</v>
      </c>
      <c r="H437" s="6">
        <v>68.0</v>
      </c>
      <c r="I437" s="6">
        <f t="shared" si="3"/>
        <v>68</v>
      </c>
      <c r="J437" s="6">
        <v>68.0</v>
      </c>
      <c r="K437" s="6" t="str">
        <f t="shared" si="4"/>
        <v>Senior</v>
      </c>
      <c r="L437" s="6" t="s">
        <v>734</v>
      </c>
      <c r="M437" s="5" t="s">
        <v>130</v>
      </c>
      <c r="N437" s="5" t="str">
        <f t="shared" si="5"/>
        <v>Male</v>
      </c>
      <c r="O437" s="5" t="s">
        <v>152</v>
      </c>
      <c r="P437" s="5" t="s">
        <v>759</v>
      </c>
      <c r="Q437" s="5" t="s">
        <v>482</v>
      </c>
      <c r="R437" s="5" t="s">
        <v>179</v>
      </c>
      <c r="S437" s="5" t="s">
        <v>97</v>
      </c>
      <c r="T437" s="6">
        <v>3592.0</v>
      </c>
      <c r="U437" s="5">
        <f t="shared" si="6"/>
        <v>3592</v>
      </c>
      <c r="V437" s="5">
        <v>3592.0</v>
      </c>
    </row>
    <row r="438" ht="22.5" customHeight="1">
      <c r="A438" s="5" t="s">
        <v>1796</v>
      </c>
      <c r="B438" s="5" t="s">
        <v>127</v>
      </c>
      <c r="C438" s="5" t="str">
        <f t="shared" si="1"/>
        <v>John</v>
      </c>
      <c r="D438" s="5" t="s">
        <v>127</v>
      </c>
      <c r="E438" s="5" t="s">
        <v>254</v>
      </c>
      <c r="F438" s="5" t="str">
        <f t="shared" si="2"/>
        <v>Doe</v>
      </c>
      <c r="G438" s="5" t="s">
        <v>254</v>
      </c>
      <c r="H438" s="6">
        <v>33.0</v>
      </c>
      <c r="I438" s="6">
        <f t="shared" si="3"/>
        <v>33</v>
      </c>
      <c r="J438" s="6">
        <v>33.0</v>
      </c>
      <c r="K438" s="6" t="str">
        <f t="shared" si="4"/>
        <v>Young Adult</v>
      </c>
      <c r="L438" s="6" t="s">
        <v>528</v>
      </c>
      <c r="M438" s="5" t="s">
        <v>152</v>
      </c>
      <c r="N438" s="5" t="str">
        <f t="shared" si="5"/>
        <v>Male</v>
      </c>
      <c r="O438" s="5" t="s">
        <v>152</v>
      </c>
      <c r="P438" s="5" t="s">
        <v>364</v>
      </c>
      <c r="Q438" s="5" t="s">
        <v>637</v>
      </c>
      <c r="R438" s="5" t="s">
        <v>546</v>
      </c>
      <c r="S438" s="5" t="s">
        <v>52</v>
      </c>
      <c r="T438" s="6">
        <v>3072.0</v>
      </c>
      <c r="U438" s="5">
        <f t="shared" si="6"/>
        <v>3072</v>
      </c>
      <c r="V438" s="5">
        <v>3072.0</v>
      </c>
    </row>
    <row r="439" ht="22.5" customHeight="1">
      <c r="A439" s="5" t="s">
        <v>1799</v>
      </c>
      <c r="B439" s="5" t="s">
        <v>89</v>
      </c>
      <c r="C439" s="5" t="str">
        <f t="shared" si="1"/>
        <v>Wendy</v>
      </c>
      <c r="D439" s="5" t="s">
        <v>89</v>
      </c>
      <c r="E439" s="5" t="s">
        <v>352</v>
      </c>
      <c r="F439" s="5" t="str">
        <f t="shared" si="2"/>
        <v>Kim</v>
      </c>
      <c r="G439" s="5" t="s">
        <v>352</v>
      </c>
      <c r="H439" s="6">
        <v>45.0</v>
      </c>
      <c r="I439" s="6">
        <f t="shared" si="3"/>
        <v>45</v>
      </c>
      <c r="J439" s="6">
        <v>45.0</v>
      </c>
      <c r="K439" s="6" t="str">
        <f t="shared" si="4"/>
        <v>Middle Age</v>
      </c>
      <c r="L439" s="6" t="s">
        <v>591</v>
      </c>
      <c r="M439" s="5" t="s">
        <v>45</v>
      </c>
      <c r="N439" s="5" t="str">
        <f t="shared" si="5"/>
        <v>Female</v>
      </c>
      <c r="O439" s="5" t="s">
        <v>105</v>
      </c>
      <c r="P439" s="5" t="s">
        <v>64</v>
      </c>
      <c r="Q439" s="5" t="s">
        <v>311</v>
      </c>
      <c r="R439" s="5" t="s">
        <v>546</v>
      </c>
      <c r="S439" s="5" t="s">
        <v>211</v>
      </c>
      <c r="T439" s="6">
        <v>1755.0</v>
      </c>
      <c r="U439" s="5">
        <f t="shared" si="6"/>
        <v>1755</v>
      </c>
      <c r="V439" s="5">
        <v>1755.0</v>
      </c>
    </row>
    <row r="440" ht="22.5" customHeight="1">
      <c r="A440" s="5" t="s">
        <v>1801</v>
      </c>
      <c r="B440" s="5" t="s">
        <v>1085</v>
      </c>
      <c r="C440" s="5" t="str">
        <f t="shared" si="1"/>
        <v>Miles</v>
      </c>
      <c r="D440" s="5" t="s">
        <v>1085</v>
      </c>
      <c r="E440" s="5" t="s">
        <v>284</v>
      </c>
      <c r="F440" s="5" t="str">
        <f t="shared" si="2"/>
        <v>Lim</v>
      </c>
      <c r="G440" s="5" t="s">
        <v>284</v>
      </c>
      <c r="H440" s="8"/>
      <c r="I440" s="8">
        <f t="shared" si="3"/>
        <v>0</v>
      </c>
      <c r="J440" s="8"/>
      <c r="K440" s="8" t="str">
        <f t="shared" si="4"/>
        <v>Unknown</v>
      </c>
      <c r="L440" s="8" t="s">
        <v>1081</v>
      </c>
      <c r="M440" s="5" t="s">
        <v>80</v>
      </c>
      <c r="N440" s="5" t="str">
        <f t="shared" si="5"/>
        <v>Male</v>
      </c>
      <c r="O440" s="5" t="s">
        <v>152</v>
      </c>
      <c r="P440" s="5" t="s">
        <v>364</v>
      </c>
      <c r="Q440" s="5" t="s">
        <v>637</v>
      </c>
      <c r="R440" s="5" t="s">
        <v>546</v>
      </c>
      <c r="S440" s="5" t="s">
        <v>211</v>
      </c>
      <c r="T440" s="6">
        <v>2740.0</v>
      </c>
      <c r="U440" s="5">
        <f t="shared" si="6"/>
        <v>2740</v>
      </c>
      <c r="V440" s="5">
        <v>2740.0</v>
      </c>
    </row>
    <row r="441" ht="22.5" customHeight="1">
      <c r="A441" s="5" t="s">
        <v>1803</v>
      </c>
      <c r="B441" s="5" t="s">
        <v>625</v>
      </c>
      <c r="C441" s="5" t="str">
        <f t="shared" si="1"/>
        <v>Mary</v>
      </c>
      <c r="D441" s="5" t="s">
        <v>625</v>
      </c>
      <c r="E441" s="5" t="s">
        <v>90</v>
      </c>
      <c r="F441" s="5" t="str">
        <f t="shared" si="2"/>
        <v>Davis</v>
      </c>
      <c r="G441" s="5" t="s">
        <v>90</v>
      </c>
      <c r="H441" s="6">
        <v>75.0</v>
      </c>
      <c r="I441" s="6">
        <f t="shared" si="3"/>
        <v>75</v>
      </c>
      <c r="J441" s="6">
        <v>75.0</v>
      </c>
      <c r="K441" s="6" t="str">
        <f t="shared" si="4"/>
        <v>Senior</v>
      </c>
      <c r="L441" s="6" t="s">
        <v>734</v>
      </c>
      <c r="M441" s="5" t="s">
        <v>45</v>
      </c>
      <c r="N441" s="5" t="str">
        <f t="shared" si="5"/>
        <v>Female</v>
      </c>
      <c r="O441" s="5" t="s">
        <v>105</v>
      </c>
      <c r="P441" s="5" t="s">
        <v>47</v>
      </c>
      <c r="Q441" s="5" t="s">
        <v>551</v>
      </c>
      <c r="R441" s="5" t="s">
        <v>83</v>
      </c>
      <c r="S441" s="5" t="s">
        <v>97</v>
      </c>
      <c r="T441" s="6">
        <v>1714.0</v>
      </c>
      <c r="U441" s="5">
        <f t="shared" si="6"/>
        <v>1714</v>
      </c>
      <c r="V441" s="5">
        <v>1714.0</v>
      </c>
    </row>
    <row r="442" ht="22.5" customHeight="1">
      <c r="A442" s="5" t="s">
        <v>1805</v>
      </c>
      <c r="B442" s="5" t="s">
        <v>542</v>
      </c>
      <c r="C442" s="5" t="str">
        <f t="shared" si="1"/>
        <v>David</v>
      </c>
      <c r="D442" s="5" t="s">
        <v>542</v>
      </c>
      <c r="E442" s="5" t="s">
        <v>363</v>
      </c>
      <c r="F442" s="5" t="str">
        <f t="shared" si="2"/>
        <v>Smith</v>
      </c>
      <c r="G442" s="5" t="s">
        <v>363</v>
      </c>
      <c r="H442" s="6">
        <v>87.0</v>
      </c>
      <c r="I442" s="6">
        <f t="shared" si="3"/>
        <v>87</v>
      </c>
      <c r="J442" s="6">
        <v>87.0</v>
      </c>
      <c r="K442" s="6" t="str">
        <f t="shared" si="4"/>
        <v>Senior</v>
      </c>
      <c r="L442" s="6" t="s">
        <v>734</v>
      </c>
      <c r="M442" s="5" t="s">
        <v>130</v>
      </c>
      <c r="N442" s="5" t="str">
        <f t="shared" si="5"/>
        <v>Male</v>
      </c>
      <c r="O442" s="5" t="s">
        <v>152</v>
      </c>
      <c r="P442" s="5" t="s">
        <v>47</v>
      </c>
      <c r="Q442" s="5" t="s">
        <v>164</v>
      </c>
      <c r="R442" s="5" t="s">
        <v>607</v>
      </c>
      <c r="S442" s="5" t="s">
        <v>97</v>
      </c>
      <c r="T442" s="6">
        <v>1913.0</v>
      </c>
      <c r="U442" s="5">
        <f t="shared" si="6"/>
        <v>1913</v>
      </c>
      <c r="V442" s="5">
        <v>1913.0</v>
      </c>
    </row>
    <row r="443" ht="22.5" customHeight="1">
      <c r="A443" s="5" t="s">
        <v>1808</v>
      </c>
      <c r="B443" s="5" t="s">
        <v>1809</v>
      </c>
      <c r="C443" s="5" t="str">
        <f t="shared" si="1"/>
        <v>Aidan</v>
      </c>
      <c r="D443" s="5" t="s">
        <v>1809</v>
      </c>
      <c r="E443" s="5" t="s">
        <v>216</v>
      </c>
      <c r="F443" s="5" t="str">
        <f t="shared" si="2"/>
        <v>Williams</v>
      </c>
      <c r="G443" s="5" t="s">
        <v>216</v>
      </c>
      <c r="H443" s="6">
        <v>50.0</v>
      </c>
      <c r="I443" s="6">
        <f t="shared" si="3"/>
        <v>50</v>
      </c>
      <c r="J443" s="6">
        <v>50.0</v>
      </c>
      <c r="K443" s="6" t="str">
        <f t="shared" si="4"/>
        <v>Middle Age</v>
      </c>
      <c r="L443" s="6" t="s">
        <v>591</v>
      </c>
      <c r="M443" s="5" t="s">
        <v>152</v>
      </c>
      <c r="N443" s="5" t="str">
        <f t="shared" si="5"/>
        <v>Male</v>
      </c>
      <c r="O443" s="5" t="s">
        <v>152</v>
      </c>
      <c r="P443" s="5" t="s">
        <v>107</v>
      </c>
      <c r="Q443" s="5" t="s">
        <v>238</v>
      </c>
      <c r="R443" s="5" t="s">
        <v>533</v>
      </c>
      <c r="S443" s="5" t="s">
        <v>52</v>
      </c>
      <c r="T443" s="6">
        <v>1593.0</v>
      </c>
      <c r="U443" s="5">
        <f t="shared" si="6"/>
        <v>1593</v>
      </c>
      <c r="V443" s="5">
        <v>1593.0</v>
      </c>
    </row>
    <row r="444" ht="22.5" customHeight="1">
      <c r="A444" s="5" t="s">
        <v>1812</v>
      </c>
      <c r="B444" s="5" t="s">
        <v>1186</v>
      </c>
      <c r="C444" s="5" t="str">
        <f t="shared" si="1"/>
        <v>Jack</v>
      </c>
      <c r="D444" s="5" t="s">
        <v>1186</v>
      </c>
      <c r="E444" s="5" t="s">
        <v>76</v>
      </c>
      <c r="F444" s="5" t="str">
        <f t="shared" si="2"/>
        <v>Brown</v>
      </c>
      <c r="G444" s="5" t="s">
        <v>76</v>
      </c>
      <c r="H444" s="6">
        <v>32.0</v>
      </c>
      <c r="I444" s="6">
        <f t="shared" si="3"/>
        <v>32</v>
      </c>
      <c r="J444" s="6">
        <v>32.0</v>
      </c>
      <c r="K444" s="6" t="str">
        <f t="shared" si="4"/>
        <v>Young Adult</v>
      </c>
      <c r="L444" s="6" t="s">
        <v>528</v>
      </c>
      <c r="M444" s="5" t="s">
        <v>152</v>
      </c>
      <c r="N444" s="5" t="str">
        <f t="shared" si="5"/>
        <v>Male</v>
      </c>
      <c r="O444" s="5" t="s">
        <v>152</v>
      </c>
      <c r="P444" s="5" t="s">
        <v>237</v>
      </c>
      <c r="Q444" s="5" t="s">
        <v>377</v>
      </c>
      <c r="R444" s="5" t="s">
        <v>402</v>
      </c>
      <c r="S444" s="5" t="s">
        <v>211</v>
      </c>
      <c r="T444" s="6">
        <v>50.0</v>
      </c>
      <c r="U444" s="5">
        <f t="shared" si="6"/>
        <v>50</v>
      </c>
      <c r="V444" s="5">
        <v>50.0</v>
      </c>
    </row>
    <row r="445" ht="22.5" customHeight="1">
      <c r="A445" s="5" t="s">
        <v>1814</v>
      </c>
      <c r="B445" s="5" t="s">
        <v>411</v>
      </c>
      <c r="C445" s="5" t="str">
        <f t="shared" si="1"/>
        <v>Jane</v>
      </c>
      <c r="D445" s="5" t="s">
        <v>411</v>
      </c>
      <c r="E445" s="5" t="s">
        <v>515</v>
      </c>
      <c r="F445" s="5" t="str">
        <f t="shared" si="2"/>
        <v>Ng</v>
      </c>
      <c r="G445" s="5" t="s">
        <v>515</v>
      </c>
      <c r="H445" s="6">
        <v>999.0</v>
      </c>
      <c r="I445" s="6">
        <f t="shared" si="3"/>
        <v>999</v>
      </c>
      <c r="J445" s="6"/>
      <c r="K445" s="6" t="str">
        <f t="shared" si="4"/>
        <v>Unknown</v>
      </c>
      <c r="L445" s="6" t="s">
        <v>1081</v>
      </c>
      <c r="M445" s="5" t="s">
        <v>105</v>
      </c>
      <c r="N445" s="5" t="str">
        <f t="shared" si="5"/>
        <v>Female</v>
      </c>
      <c r="O445" s="5" t="s">
        <v>105</v>
      </c>
      <c r="P445" s="5" t="s">
        <v>30</v>
      </c>
      <c r="Q445" s="5" t="s">
        <v>418</v>
      </c>
      <c r="R445" s="5" t="s">
        <v>210</v>
      </c>
      <c r="S445" s="5" t="s">
        <v>97</v>
      </c>
      <c r="T445" s="6">
        <v>888.0</v>
      </c>
      <c r="U445" s="5">
        <f t="shared" si="6"/>
        <v>888</v>
      </c>
      <c r="V445" s="5">
        <v>888.0</v>
      </c>
    </row>
    <row r="446" ht="22.5" customHeight="1">
      <c r="A446" s="5" t="s">
        <v>1817</v>
      </c>
      <c r="B446" s="5" t="s">
        <v>171</v>
      </c>
      <c r="C446" s="5" t="str">
        <f t="shared" si="1"/>
        <v>Frank</v>
      </c>
      <c r="D446" s="5" t="s">
        <v>171</v>
      </c>
      <c r="E446" s="5" t="s">
        <v>264</v>
      </c>
      <c r="F446" s="5" t="str">
        <f t="shared" si="2"/>
        <v>Wu</v>
      </c>
      <c r="G446" s="5" t="s">
        <v>264</v>
      </c>
      <c r="H446" s="6">
        <v>18.0</v>
      </c>
      <c r="I446" s="6">
        <f t="shared" si="3"/>
        <v>18</v>
      </c>
      <c r="J446" s="6">
        <v>18.0</v>
      </c>
      <c r="K446" s="6" t="str">
        <f t="shared" si="4"/>
        <v>Young Adult</v>
      </c>
      <c r="L446" s="6" t="s">
        <v>528</v>
      </c>
      <c r="M446" s="5" t="s">
        <v>80</v>
      </c>
      <c r="N446" s="5" t="str">
        <f t="shared" si="5"/>
        <v>Male</v>
      </c>
      <c r="O446" s="5" t="s">
        <v>152</v>
      </c>
      <c r="P446" s="5" t="s">
        <v>237</v>
      </c>
      <c r="Q446" s="5" t="s">
        <v>238</v>
      </c>
      <c r="R446" s="5" t="s">
        <v>533</v>
      </c>
      <c r="S446" s="5" t="s">
        <v>211</v>
      </c>
      <c r="T446" s="6">
        <v>1849.0</v>
      </c>
      <c r="U446" s="5">
        <f t="shared" si="6"/>
        <v>1849</v>
      </c>
      <c r="V446" s="5">
        <v>1849.0</v>
      </c>
    </row>
    <row r="447" ht="22.5" customHeight="1">
      <c r="A447" s="5" t="s">
        <v>1819</v>
      </c>
      <c r="B447" s="5" t="s">
        <v>183</v>
      </c>
      <c r="C447" s="5" t="str">
        <f t="shared" si="1"/>
        <v>Victor</v>
      </c>
      <c r="D447" s="5" t="s">
        <v>183</v>
      </c>
      <c r="E447" s="5" t="s">
        <v>374</v>
      </c>
      <c r="F447" s="5" t="str">
        <f t="shared" si="2"/>
        <v>Miller</v>
      </c>
      <c r="G447" s="5" t="s">
        <v>374</v>
      </c>
      <c r="H447" s="6">
        <v>999.0</v>
      </c>
      <c r="I447" s="6">
        <f t="shared" si="3"/>
        <v>999</v>
      </c>
      <c r="J447" s="6"/>
      <c r="K447" s="6" t="str">
        <f t="shared" si="4"/>
        <v>Unknown</v>
      </c>
      <c r="L447" s="6" t="s">
        <v>1081</v>
      </c>
      <c r="M447" s="5" t="s">
        <v>80</v>
      </c>
      <c r="N447" s="5" t="str">
        <f t="shared" si="5"/>
        <v>Male</v>
      </c>
      <c r="O447" s="5" t="s">
        <v>152</v>
      </c>
      <c r="P447" s="5" t="s">
        <v>571</v>
      </c>
      <c r="Q447" s="5" t="s">
        <v>358</v>
      </c>
      <c r="R447" s="5" t="s">
        <v>561</v>
      </c>
      <c r="S447" s="5" t="s">
        <v>97</v>
      </c>
      <c r="T447" s="6">
        <v>4113.0</v>
      </c>
      <c r="U447" s="5">
        <f t="shared" si="6"/>
        <v>4113</v>
      </c>
      <c r="V447" s="5">
        <v>4113.0</v>
      </c>
    </row>
    <row r="448" ht="22.5" customHeight="1">
      <c r="A448" s="5" t="s">
        <v>1822</v>
      </c>
      <c r="B448" s="5" t="s">
        <v>24</v>
      </c>
      <c r="C448" s="5" t="str">
        <f t="shared" si="1"/>
        <v>Charlotte</v>
      </c>
      <c r="D448" s="5" t="s">
        <v>24</v>
      </c>
      <c r="E448" s="5" t="s">
        <v>556</v>
      </c>
      <c r="F448" s="5" t="str">
        <f t="shared" si="2"/>
        <v>Jones</v>
      </c>
      <c r="G448" s="5" t="s">
        <v>556</v>
      </c>
      <c r="H448" s="6">
        <v>37.0</v>
      </c>
      <c r="I448" s="6">
        <f t="shared" si="3"/>
        <v>37</v>
      </c>
      <c r="J448" s="6">
        <v>37.0</v>
      </c>
      <c r="K448" s="6" t="str">
        <f t="shared" si="4"/>
        <v>Young Adult</v>
      </c>
      <c r="L448" s="6" t="s">
        <v>528</v>
      </c>
      <c r="M448" s="5" t="s">
        <v>105</v>
      </c>
      <c r="N448" s="5" t="str">
        <f t="shared" si="5"/>
        <v>Female</v>
      </c>
      <c r="O448" s="5" t="s">
        <v>105</v>
      </c>
      <c r="P448" s="5" t="s">
        <v>107</v>
      </c>
      <c r="Q448" s="5" t="s">
        <v>377</v>
      </c>
      <c r="R448" s="5" t="s">
        <v>96</v>
      </c>
      <c r="S448" s="5" t="s">
        <v>52</v>
      </c>
      <c r="T448" s="6">
        <v>938.0</v>
      </c>
      <c r="U448" s="5">
        <f t="shared" si="6"/>
        <v>938</v>
      </c>
      <c r="V448" s="5">
        <v>938.0</v>
      </c>
    </row>
    <row r="449" ht="22.5" customHeight="1">
      <c r="A449" s="5" t="s">
        <v>1825</v>
      </c>
      <c r="B449" s="5" t="s">
        <v>820</v>
      </c>
      <c r="C449" s="5" t="str">
        <f t="shared" si="1"/>
        <v>Olivia</v>
      </c>
      <c r="D449" s="5" t="s">
        <v>820</v>
      </c>
      <c r="E449" s="5" t="s">
        <v>194</v>
      </c>
      <c r="F449" s="5" t="str">
        <f t="shared" si="2"/>
        <v>Chen</v>
      </c>
      <c r="G449" s="5" t="s">
        <v>194</v>
      </c>
      <c r="H449" s="6">
        <v>72.0</v>
      </c>
      <c r="I449" s="6">
        <f t="shared" si="3"/>
        <v>72</v>
      </c>
      <c r="J449" s="6">
        <v>72.0</v>
      </c>
      <c r="K449" s="6" t="str">
        <f t="shared" si="4"/>
        <v>Senior</v>
      </c>
      <c r="L449" s="6" t="s">
        <v>734</v>
      </c>
      <c r="M449" s="5" t="s">
        <v>28</v>
      </c>
      <c r="N449" s="5" t="str">
        <f t="shared" si="5"/>
        <v>Female</v>
      </c>
      <c r="O449" s="5" t="s">
        <v>105</v>
      </c>
      <c r="P449" s="5" t="s">
        <v>237</v>
      </c>
      <c r="Q449" s="5" t="s">
        <v>238</v>
      </c>
      <c r="R449" s="5" t="s">
        <v>533</v>
      </c>
      <c r="S449" s="5" t="s">
        <v>97</v>
      </c>
      <c r="T449" s="6">
        <v>1290.0</v>
      </c>
      <c r="U449" s="5">
        <f t="shared" si="6"/>
        <v>1290</v>
      </c>
      <c r="V449" s="5">
        <v>1290.0</v>
      </c>
    </row>
    <row r="450" ht="22.5" customHeight="1">
      <c r="A450" s="5" t="s">
        <v>1828</v>
      </c>
      <c r="B450" s="5" t="s">
        <v>1829</v>
      </c>
      <c r="C450" s="5" t="str">
        <f t="shared" si="1"/>
        <v>Gregory</v>
      </c>
      <c r="D450" s="5" t="s">
        <v>2306</v>
      </c>
      <c r="E450" s="5" t="s">
        <v>828</v>
      </c>
      <c r="F450" s="5" t="str">
        <f t="shared" si="2"/>
        <v>Chang</v>
      </c>
      <c r="G450" s="5" t="s">
        <v>828</v>
      </c>
      <c r="H450" s="6">
        <v>27.0</v>
      </c>
      <c r="I450" s="6">
        <f t="shared" si="3"/>
        <v>27</v>
      </c>
      <c r="J450" s="6">
        <v>27.0</v>
      </c>
      <c r="K450" s="6" t="str">
        <f t="shared" si="4"/>
        <v>Young Adult</v>
      </c>
      <c r="L450" s="6" t="s">
        <v>528</v>
      </c>
      <c r="M450" s="5" t="s">
        <v>130</v>
      </c>
      <c r="N450" s="5" t="str">
        <f t="shared" si="5"/>
        <v>Male</v>
      </c>
      <c r="O450" s="5" t="s">
        <v>152</v>
      </c>
      <c r="P450" s="5" t="s">
        <v>47</v>
      </c>
      <c r="Q450" s="5" t="s">
        <v>277</v>
      </c>
      <c r="R450" s="5" t="s">
        <v>402</v>
      </c>
      <c r="S450" s="5" t="s">
        <v>52</v>
      </c>
      <c r="T450" s="6">
        <v>1632.0</v>
      </c>
      <c r="U450" s="5">
        <f t="shared" si="6"/>
        <v>1632</v>
      </c>
      <c r="V450" s="5">
        <v>1632.0</v>
      </c>
    </row>
    <row r="451" ht="22.5" customHeight="1">
      <c r="A451" s="5" t="s">
        <v>1831</v>
      </c>
      <c r="B451" s="5" t="s">
        <v>1583</v>
      </c>
      <c r="C451" s="5" t="str">
        <f t="shared" si="1"/>
        <v>Lisa</v>
      </c>
      <c r="D451" s="5" t="s">
        <v>1583</v>
      </c>
      <c r="E451" s="5" t="s">
        <v>1105</v>
      </c>
      <c r="F451" s="5" t="str">
        <f t="shared" si="2"/>
        <v>Liang</v>
      </c>
      <c r="G451" s="5" t="s">
        <v>1252</v>
      </c>
      <c r="H451" s="8"/>
      <c r="I451" s="8">
        <f t="shared" si="3"/>
        <v>0</v>
      </c>
      <c r="J451" s="8"/>
      <c r="K451" s="8" t="str">
        <f t="shared" si="4"/>
        <v>Unknown</v>
      </c>
      <c r="L451" s="8" t="s">
        <v>1081</v>
      </c>
      <c r="M451" s="5" t="s">
        <v>28</v>
      </c>
      <c r="N451" s="5" t="str">
        <f t="shared" si="5"/>
        <v>Female</v>
      </c>
      <c r="O451" s="5" t="s">
        <v>105</v>
      </c>
      <c r="P451" s="5" t="s">
        <v>176</v>
      </c>
      <c r="Q451" s="5" t="s">
        <v>551</v>
      </c>
      <c r="R451" s="5" t="s">
        <v>83</v>
      </c>
      <c r="S451" s="5" t="s">
        <v>222</v>
      </c>
      <c r="T451" s="6">
        <v>2359.0</v>
      </c>
      <c r="U451" s="5">
        <f t="shared" si="6"/>
        <v>2359</v>
      </c>
      <c r="V451" s="5">
        <v>2359.0</v>
      </c>
    </row>
    <row r="452" ht="22.5" customHeight="1">
      <c r="A452" s="5" t="s">
        <v>1833</v>
      </c>
      <c r="B452" s="5" t="s">
        <v>234</v>
      </c>
      <c r="C452" s="5" t="str">
        <f t="shared" si="1"/>
        <v>Kylie</v>
      </c>
      <c r="D452" s="5" t="s">
        <v>1177</v>
      </c>
      <c r="E452" s="5" t="s">
        <v>363</v>
      </c>
      <c r="F452" s="5" t="str">
        <f t="shared" si="2"/>
        <v>Smith</v>
      </c>
      <c r="G452" s="5" t="s">
        <v>363</v>
      </c>
      <c r="H452" s="6">
        <v>30.0</v>
      </c>
      <c r="I452" s="6">
        <f t="shared" si="3"/>
        <v>30</v>
      </c>
      <c r="J452" s="6">
        <v>30.0</v>
      </c>
      <c r="K452" s="6" t="str">
        <f t="shared" si="4"/>
        <v>Young Adult</v>
      </c>
      <c r="L452" s="6" t="s">
        <v>528</v>
      </c>
      <c r="M452" s="5" t="s">
        <v>45</v>
      </c>
      <c r="N452" s="5" t="str">
        <f t="shared" si="5"/>
        <v>Female</v>
      </c>
      <c r="O452" s="5" t="s">
        <v>105</v>
      </c>
      <c r="P452" s="5" t="s">
        <v>309</v>
      </c>
      <c r="Q452" s="5" t="s">
        <v>489</v>
      </c>
      <c r="R452" s="5" t="s">
        <v>179</v>
      </c>
      <c r="S452" s="5" t="s">
        <v>52</v>
      </c>
      <c r="T452" s="6">
        <v>4999.0</v>
      </c>
      <c r="U452" s="5">
        <f t="shared" si="6"/>
        <v>4999</v>
      </c>
      <c r="V452" s="5">
        <v>4999.0</v>
      </c>
    </row>
    <row r="453" ht="22.5" customHeight="1">
      <c r="A453" s="5" t="s">
        <v>1834</v>
      </c>
      <c r="B453" s="5" t="s">
        <v>1149</v>
      </c>
      <c r="C453" s="5" t="str">
        <f t="shared" si="1"/>
        <v>Pauline</v>
      </c>
      <c r="D453" s="5" t="s">
        <v>1149</v>
      </c>
      <c r="E453" s="5" t="s">
        <v>1835</v>
      </c>
      <c r="F453" s="5" t="str">
        <f t="shared" si="2"/>
        <v>Sharp</v>
      </c>
      <c r="G453" s="5" t="s">
        <v>495</v>
      </c>
      <c r="H453" s="6">
        <v>999.0</v>
      </c>
      <c r="I453" s="6">
        <f t="shared" si="3"/>
        <v>999</v>
      </c>
      <c r="J453" s="6"/>
      <c r="K453" s="6" t="str">
        <f t="shared" si="4"/>
        <v>Unknown</v>
      </c>
      <c r="L453" s="6" t="s">
        <v>1081</v>
      </c>
      <c r="M453" s="5" t="s">
        <v>28</v>
      </c>
      <c r="N453" s="5" t="str">
        <f t="shared" si="5"/>
        <v>Female</v>
      </c>
      <c r="O453" s="5" t="s">
        <v>105</v>
      </c>
      <c r="P453" s="5" t="s">
        <v>64</v>
      </c>
      <c r="Q453" s="5" t="s">
        <v>439</v>
      </c>
      <c r="R453" s="5" t="s">
        <v>210</v>
      </c>
      <c r="S453" s="5" t="s">
        <v>97</v>
      </c>
      <c r="T453" s="6">
        <v>834.0</v>
      </c>
      <c r="U453" s="5">
        <f t="shared" si="6"/>
        <v>834</v>
      </c>
      <c r="V453" s="5">
        <v>834.0</v>
      </c>
    </row>
    <row r="454" ht="22.5" customHeight="1">
      <c r="A454" s="5" t="s">
        <v>1838</v>
      </c>
      <c r="B454" s="5" t="s">
        <v>136</v>
      </c>
      <c r="C454" s="5" t="str">
        <f t="shared" si="1"/>
        <v>Alice</v>
      </c>
      <c r="D454" s="5" t="s">
        <v>136</v>
      </c>
      <c r="E454" s="5" t="s">
        <v>324</v>
      </c>
      <c r="F454" s="5" t="str">
        <f t="shared" si="2"/>
        <v>Cooper</v>
      </c>
      <c r="G454" s="5" t="s">
        <v>324</v>
      </c>
      <c r="H454" s="6">
        <v>19.0</v>
      </c>
      <c r="I454" s="6">
        <f t="shared" si="3"/>
        <v>19</v>
      </c>
      <c r="J454" s="6">
        <v>19.0</v>
      </c>
      <c r="K454" s="6" t="str">
        <f t="shared" si="4"/>
        <v>Young Adult</v>
      </c>
      <c r="L454" s="6" t="s">
        <v>528</v>
      </c>
      <c r="M454" s="5" t="s">
        <v>45</v>
      </c>
      <c r="N454" s="5" t="str">
        <f t="shared" si="5"/>
        <v>Female</v>
      </c>
      <c r="O454" s="5" t="s">
        <v>105</v>
      </c>
      <c r="P454" s="5" t="s">
        <v>309</v>
      </c>
      <c r="Q454" s="5" t="s">
        <v>489</v>
      </c>
      <c r="R454" s="5" t="s">
        <v>179</v>
      </c>
      <c r="S454" s="5" t="s">
        <v>559</v>
      </c>
      <c r="T454" s="6">
        <v>3264.0</v>
      </c>
      <c r="U454" s="5">
        <f t="shared" si="6"/>
        <v>3264</v>
      </c>
      <c r="V454" s="5">
        <v>3264.0</v>
      </c>
    </row>
    <row r="455" ht="22.5" customHeight="1">
      <c r="A455" s="5" t="s">
        <v>1840</v>
      </c>
      <c r="B455" s="5" t="s">
        <v>89</v>
      </c>
      <c r="C455" s="5" t="str">
        <f t="shared" si="1"/>
        <v>Wendy</v>
      </c>
      <c r="D455" s="5" t="s">
        <v>89</v>
      </c>
      <c r="E455" s="5" t="s">
        <v>254</v>
      </c>
      <c r="F455" s="5" t="str">
        <f t="shared" si="2"/>
        <v>Doe</v>
      </c>
      <c r="G455" s="5" t="s">
        <v>254</v>
      </c>
      <c r="H455" s="6">
        <v>83.0</v>
      </c>
      <c r="I455" s="6">
        <f t="shared" si="3"/>
        <v>83</v>
      </c>
      <c r="J455" s="6">
        <v>83.0</v>
      </c>
      <c r="K455" s="6" t="str">
        <f t="shared" si="4"/>
        <v>Senior</v>
      </c>
      <c r="L455" s="6" t="s">
        <v>734</v>
      </c>
      <c r="M455" s="5" t="s">
        <v>28</v>
      </c>
      <c r="N455" s="5" t="str">
        <f t="shared" si="5"/>
        <v>Female</v>
      </c>
      <c r="O455" s="5" t="s">
        <v>105</v>
      </c>
      <c r="P455" s="5" t="s">
        <v>131</v>
      </c>
      <c r="Q455" s="5" t="s">
        <v>164</v>
      </c>
      <c r="R455" s="5" t="s">
        <v>607</v>
      </c>
      <c r="S455" s="5" t="s">
        <v>97</v>
      </c>
      <c r="T455" s="6">
        <v>3737.0</v>
      </c>
      <c r="U455" s="5">
        <f t="shared" si="6"/>
        <v>3737</v>
      </c>
      <c r="V455" s="5">
        <v>3737.0</v>
      </c>
    </row>
    <row r="456" ht="22.5" customHeight="1">
      <c r="A456" s="5" t="s">
        <v>1843</v>
      </c>
      <c r="B456" s="5" t="s">
        <v>1143</v>
      </c>
      <c r="C456" s="5" t="str">
        <f t="shared" si="1"/>
        <v>Joshua</v>
      </c>
      <c r="D456" s="5" t="s">
        <v>1143</v>
      </c>
      <c r="E456" s="5" t="s">
        <v>520</v>
      </c>
      <c r="F456" s="5" t="str">
        <f t="shared" si="2"/>
        <v>Jones</v>
      </c>
      <c r="G456" s="5" t="s">
        <v>556</v>
      </c>
      <c r="H456" s="6">
        <v>66.0</v>
      </c>
      <c r="I456" s="6">
        <f t="shared" si="3"/>
        <v>66</v>
      </c>
      <c r="J456" s="6">
        <v>66.0</v>
      </c>
      <c r="K456" s="6" t="str">
        <f t="shared" si="4"/>
        <v>Senior</v>
      </c>
      <c r="L456" s="6" t="s">
        <v>734</v>
      </c>
      <c r="M456" s="5" t="s">
        <v>130</v>
      </c>
      <c r="N456" s="5" t="str">
        <f t="shared" si="5"/>
        <v>Male</v>
      </c>
      <c r="O456" s="5" t="s">
        <v>152</v>
      </c>
      <c r="P456" s="5" t="s">
        <v>571</v>
      </c>
      <c r="Q456" s="5" t="s">
        <v>436</v>
      </c>
      <c r="R456" s="5" t="s">
        <v>561</v>
      </c>
      <c r="S456" s="5" t="s">
        <v>97</v>
      </c>
      <c r="T456" s="6">
        <v>3447.0</v>
      </c>
      <c r="U456" s="5">
        <f t="shared" si="6"/>
        <v>3447</v>
      </c>
      <c r="V456" s="5">
        <v>3447.0</v>
      </c>
    </row>
    <row r="457" ht="22.5" customHeight="1">
      <c r="A457" s="5" t="s">
        <v>1846</v>
      </c>
      <c r="B457" s="5" t="s">
        <v>171</v>
      </c>
      <c r="C457" s="5" t="str">
        <f t="shared" si="1"/>
        <v>Frank</v>
      </c>
      <c r="D457" s="5" t="s">
        <v>171</v>
      </c>
      <c r="E457" s="5" t="s">
        <v>90</v>
      </c>
      <c r="F457" s="5" t="str">
        <f t="shared" si="2"/>
        <v>Davis</v>
      </c>
      <c r="G457" s="5" t="s">
        <v>90</v>
      </c>
      <c r="H457" s="6">
        <v>67.0</v>
      </c>
      <c r="I457" s="6">
        <f t="shared" si="3"/>
        <v>67</v>
      </c>
      <c r="J457" s="6">
        <v>67.0</v>
      </c>
      <c r="K457" s="6" t="str">
        <f t="shared" si="4"/>
        <v>Senior</v>
      </c>
      <c r="L457" s="6" t="s">
        <v>734</v>
      </c>
      <c r="M457" s="5" t="s">
        <v>130</v>
      </c>
      <c r="N457" s="5" t="str">
        <f t="shared" si="5"/>
        <v>Male</v>
      </c>
      <c r="O457" s="5" t="s">
        <v>152</v>
      </c>
      <c r="P457" s="5" t="s">
        <v>571</v>
      </c>
      <c r="Q457" s="5" t="s">
        <v>377</v>
      </c>
      <c r="R457" s="5" t="s">
        <v>402</v>
      </c>
      <c r="S457" s="5" t="s">
        <v>97</v>
      </c>
      <c r="T457" s="6">
        <v>3170.0</v>
      </c>
      <c r="U457" s="5">
        <f t="shared" si="6"/>
        <v>3170</v>
      </c>
      <c r="V457" s="5">
        <v>3170.0</v>
      </c>
    </row>
    <row r="458" ht="22.5" customHeight="1">
      <c r="A458" s="5" t="s">
        <v>1848</v>
      </c>
      <c r="B458" s="5" t="s">
        <v>898</v>
      </c>
      <c r="C458" s="5" t="str">
        <f t="shared" si="1"/>
        <v>Tina</v>
      </c>
      <c r="D458" s="5" t="s">
        <v>898</v>
      </c>
      <c r="E458" s="5" t="s">
        <v>1361</v>
      </c>
      <c r="F458" s="5" t="str">
        <f t="shared" si="2"/>
        <v>Richardson</v>
      </c>
      <c r="G458" s="5" t="s">
        <v>629</v>
      </c>
      <c r="H458" s="6">
        <v>28.0</v>
      </c>
      <c r="I458" s="6">
        <f t="shared" si="3"/>
        <v>28</v>
      </c>
      <c r="J458" s="6">
        <v>28.0</v>
      </c>
      <c r="K458" s="6" t="str">
        <f t="shared" si="4"/>
        <v>Young Adult</v>
      </c>
      <c r="L458" s="6" t="s">
        <v>528</v>
      </c>
      <c r="M458" s="5" t="s">
        <v>28</v>
      </c>
      <c r="N458" s="5" t="str">
        <f t="shared" si="5"/>
        <v>Female</v>
      </c>
      <c r="O458" s="5" t="s">
        <v>105</v>
      </c>
      <c r="P458" s="5" t="s">
        <v>309</v>
      </c>
      <c r="Q458" s="5" t="s">
        <v>358</v>
      </c>
      <c r="R458" s="5" t="s">
        <v>561</v>
      </c>
      <c r="S458" s="5" t="s">
        <v>52</v>
      </c>
      <c r="T458" s="6">
        <v>2287.0</v>
      </c>
      <c r="U458" s="5">
        <f t="shared" si="6"/>
        <v>2287</v>
      </c>
      <c r="V458" s="5">
        <v>2287.0</v>
      </c>
    </row>
    <row r="459" ht="22.5" customHeight="1">
      <c r="A459" s="5" t="s">
        <v>1851</v>
      </c>
      <c r="B459" s="5" t="s">
        <v>368</v>
      </c>
      <c r="C459" s="5" t="str">
        <f t="shared" si="1"/>
        <v>Grace</v>
      </c>
      <c r="D459" s="5" t="s">
        <v>368</v>
      </c>
      <c r="E459" s="5" t="s">
        <v>148</v>
      </c>
      <c r="F459" s="5" t="str">
        <f t="shared" si="2"/>
        <v>Johnson</v>
      </c>
      <c r="G459" s="5" t="s">
        <v>148</v>
      </c>
      <c r="H459" s="6">
        <v>87.0</v>
      </c>
      <c r="I459" s="6">
        <f t="shared" si="3"/>
        <v>87</v>
      </c>
      <c r="J459" s="6">
        <v>87.0</v>
      </c>
      <c r="K459" s="6" t="str">
        <f t="shared" si="4"/>
        <v>Senior</v>
      </c>
      <c r="L459" s="6" t="s">
        <v>734</v>
      </c>
      <c r="M459" s="5" t="s">
        <v>80</v>
      </c>
      <c r="N459" s="5" t="str">
        <f t="shared" si="5"/>
        <v>Male</v>
      </c>
      <c r="O459" s="5" t="s">
        <v>152</v>
      </c>
      <c r="P459" s="5" t="s">
        <v>539</v>
      </c>
      <c r="Q459" s="5" t="s">
        <v>377</v>
      </c>
      <c r="R459" s="5" t="s">
        <v>402</v>
      </c>
      <c r="S459" s="5" t="s">
        <v>97</v>
      </c>
      <c r="T459" s="6">
        <v>2209.0</v>
      </c>
      <c r="U459" s="5">
        <f t="shared" si="6"/>
        <v>2209</v>
      </c>
      <c r="V459" s="5">
        <v>2209.0</v>
      </c>
    </row>
    <row r="460" ht="22.5" customHeight="1">
      <c r="A460" s="5" t="s">
        <v>1852</v>
      </c>
      <c r="B460" s="5" t="s">
        <v>307</v>
      </c>
      <c r="C460" s="5" t="str">
        <f t="shared" si="1"/>
        <v>Hannah</v>
      </c>
      <c r="D460" s="5" t="s">
        <v>307</v>
      </c>
      <c r="E460" s="5" t="s">
        <v>128</v>
      </c>
      <c r="F460" s="5" t="str">
        <f t="shared" si="2"/>
        <v>Rodriguez</v>
      </c>
      <c r="G460" s="5" t="s">
        <v>128</v>
      </c>
      <c r="H460" s="6">
        <v>41.0</v>
      </c>
      <c r="I460" s="6">
        <f t="shared" si="3"/>
        <v>41</v>
      </c>
      <c r="J460" s="6">
        <v>41.0</v>
      </c>
      <c r="K460" s="6" t="str">
        <f t="shared" si="4"/>
        <v>Middle Age</v>
      </c>
      <c r="L460" s="6" t="s">
        <v>591</v>
      </c>
      <c r="M460" s="5" t="s">
        <v>45</v>
      </c>
      <c r="N460" s="5" t="str">
        <f t="shared" si="5"/>
        <v>Female</v>
      </c>
      <c r="O460" s="5" t="s">
        <v>105</v>
      </c>
      <c r="P460" s="5" t="s">
        <v>176</v>
      </c>
      <c r="Q460" s="5" t="s">
        <v>311</v>
      </c>
      <c r="R460" s="5" t="s">
        <v>96</v>
      </c>
      <c r="S460" s="5" t="s">
        <v>559</v>
      </c>
      <c r="T460" s="6">
        <v>1026.0</v>
      </c>
      <c r="U460" s="5">
        <f t="shared" si="6"/>
        <v>1026</v>
      </c>
      <c r="V460" s="5">
        <v>1026.0</v>
      </c>
    </row>
    <row r="461" ht="22.5" customHeight="1">
      <c r="A461" s="5" t="s">
        <v>1855</v>
      </c>
      <c r="B461" s="5" t="s">
        <v>1856</v>
      </c>
      <c r="C461" s="5" t="str">
        <f t="shared" si="1"/>
        <v>Betty</v>
      </c>
      <c r="D461" s="5" t="s">
        <v>323</v>
      </c>
      <c r="E461" s="5" t="s">
        <v>433</v>
      </c>
      <c r="F461" s="5" t="str">
        <f t="shared" si="2"/>
        <v>Volkov</v>
      </c>
      <c r="G461" s="5" t="s">
        <v>433</v>
      </c>
      <c r="H461" s="6">
        <v>81.0</v>
      </c>
      <c r="I461" s="6">
        <f t="shared" si="3"/>
        <v>81</v>
      </c>
      <c r="J461" s="6">
        <v>81.0</v>
      </c>
      <c r="K461" s="6" t="str">
        <f t="shared" si="4"/>
        <v>Senior</v>
      </c>
      <c r="L461" s="6" t="s">
        <v>734</v>
      </c>
      <c r="M461" s="5" t="s">
        <v>105</v>
      </c>
      <c r="N461" s="5" t="str">
        <f t="shared" si="5"/>
        <v>Female</v>
      </c>
      <c r="O461" s="5" t="s">
        <v>105</v>
      </c>
      <c r="P461" s="5" t="s">
        <v>393</v>
      </c>
      <c r="Q461" s="5" t="s">
        <v>32</v>
      </c>
      <c r="R461" s="5" t="s">
        <v>83</v>
      </c>
      <c r="S461" s="5" t="s">
        <v>97</v>
      </c>
      <c r="T461" s="6">
        <v>2850.0</v>
      </c>
      <c r="U461" s="5">
        <f t="shared" si="6"/>
        <v>2850</v>
      </c>
      <c r="V461" s="5">
        <v>2850.0</v>
      </c>
    </row>
    <row r="462" ht="22.5" customHeight="1">
      <c r="A462" s="5" t="s">
        <v>1858</v>
      </c>
      <c r="B462" s="5" t="s">
        <v>127</v>
      </c>
      <c r="C462" s="5" t="str">
        <f t="shared" si="1"/>
        <v>John</v>
      </c>
      <c r="D462" s="5" t="s">
        <v>127</v>
      </c>
      <c r="E462" s="5" t="s">
        <v>128</v>
      </c>
      <c r="F462" s="5" t="str">
        <f t="shared" si="2"/>
        <v>Rodriguez</v>
      </c>
      <c r="G462" s="5" t="s">
        <v>128</v>
      </c>
      <c r="H462" s="8"/>
      <c r="I462" s="8">
        <f t="shared" si="3"/>
        <v>0</v>
      </c>
      <c r="J462" s="8"/>
      <c r="K462" s="8" t="str">
        <f t="shared" si="4"/>
        <v>Unknown</v>
      </c>
      <c r="L462" s="8" t="s">
        <v>1081</v>
      </c>
      <c r="M462" s="5" t="s">
        <v>152</v>
      </c>
      <c r="N462" s="5" t="str">
        <f t="shared" si="5"/>
        <v>Male</v>
      </c>
      <c r="O462" s="5" t="s">
        <v>152</v>
      </c>
      <c r="P462" s="5" t="s">
        <v>47</v>
      </c>
      <c r="Q462" s="5" t="s">
        <v>377</v>
      </c>
      <c r="R462" s="5" t="s">
        <v>402</v>
      </c>
      <c r="S462" s="5" t="s">
        <v>559</v>
      </c>
      <c r="T462" s="6">
        <v>1486.0</v>
      </c>
      <c r="U462" s="5">
        <f t="shared" si="6"/>
        <v>1486</v>
      </c>
      <c r="V462" s="5">
        <v>1486.0</v>
      </c>
    </row>
    <row r="463" ht="22.5" customHeight="1">
      <c r="A463" s="5" t="s">
        <v>1861</v>
      </c>
      <c r="B463" s="5" t="s">
        <v>1788</v>
      </c>
      <c r="C463" s="5" t="str">
        <f t="shared" si="1"/>
        <v>Ashley</v>
      </c>
      <c r="D463" s="5" t="s">
        <v>1788</v>
      </c>
      <c r="E463" s="5" t="s">
        <v>1862</v>
      </c>
      <c r="F463" s="5" t="str">
        <f t="shared" si="2"/>
        <v>Cooper</v>
      </c>
      <c r="G463" s="5" t="s">
        <v>324</v>
      </c>
      <c r="H463" s="6">
        <v>18.0</v>
      </c>
      <c r="I463" s="6">
        <f t="shared" si="3"/>
        <v>18</v>
      </c>
      <c r="J463" s="6">
        <v>18.0</v>
      </c>
      <c r="K463" s="6" t="str">
        <f t="shared" si="4"/>
        <v>Young Adult</v>
      </c>
      <c r="L463" s="6" t="s">
        <v>528</v>
      </c>
      <c r="M463" s="5" t="s">
        <v>152</v>
      </c>
      <c r="N463" s="5" t="str">
        <f t="shared" si="5"/>
        <v>Male</v>
      </c>
      <c r="O463" s="5" t="s">
        <v>152</v>
      </c>
      <c r="P463" s="5" t="s">
        <v>393</v>
      </c>
      <c r="Q463" s="5" t="s">
        <v>311</v>
      </c>
      <c r="R463" s="5" t="s">
        <v>546</v>
      </c>
      <c r="S463" s="5" t="s">
        <v>222</v>
      </c>
      <c r="T463" s="6">
        <v>1292.0</v>
      </c>
      <c r="U463" s="5">
        <f t="shared" si="6"/>
        <v>1292</v>
      </c>
      <c r="V463" s="5">
        <v>1292.0</v>
      </c>
    </row>
    <row r="464" ht="22.5" customHeight="1">
      <c r="A464" s="5" t="s">
        <v>1864</v>
      </c>
      <c r="B464" s="5" t="s">
        <v>158</v>
      </c>
      <c r="C464" s="5" t="str">
        <f t="shared" si="1"/>
        <v>Eva</v>
      </c>
      <c r="D464" s="5" t="s">
        <v>158</v>
      </c>
      <c r="E464" s="5" t="s">
        <v>25</v>
      </c>
      <c r="F464" s="5" t="str">
        <f t="shared" si="2"/>
        <v>Garcia</v>
      </c>
      <c r="G464" s="5" t="s">
        <v>25</v>
      </c>
      <c r="H464" s="6">
        <v>48.0</v>
      </c>
      <c r="I464" s="6">
        <f t="shared" si="3"/>
        <v>48</v>
      </c>
      <c r="J464" s="6">
        <v>48.0</v>
      </c>
      <c r="K464" s="6" t="str">
        <f t="shared" si="4"/>
        <v>Middle Age</v>
      </c>
      <c r="L464" s="6" t="s">
        <v>591</v>
      </c>
      <c r="M464" s="5" t="s">
        <v>28</v>
      </c>
      <c r="N464" s="5" t="str">
        <f t="shared" si="5"/>
        <v>Female</v>
      </c>
      <c r="O464" s="5" t="s">
        <v>105</v>
      </c>
      <c r="P464" s="5" t="s">
        <v>237</v>
      </c>
      <c r="Q464" s="5" t="s">
        <v>164</v>
      </c>
      <c r="R464" s="5" t="s">
        <v>607</v>
      </c>
      <c r="S464" s="5" t="s">
        <v>52</v>
      </c>
      <c r="T464" s="6">
        <v>2957.0</v>
      </c>
      <c r="U464" s="5">
        <f t="shared" si="6"/>
        <v>2957</v>
      </c>
      <c r="V464" s="5">
        <v>2957.0</v>
      </c>
    </row>
    <row r="465" ht="22.5" customHeight="1">
      <c r="A465" s="5" t="s">
        <v>1866</v>
      </c>
      <c r="B465" s="5" t="s">
        <v>307</v>
      </c>
      <c r="C465" s="5" t="str">
        <f t="shared" si="1"/>
        <v>Hannah</v>
      </c>
      <c r="D465" s="5" t="s">
        <v>307</v>
      </c>
      <c r="E465" s="5" t="s">
        <v>374</v>
      </c>
      <c r="F465" s="5" t="str">
        <f t="shared" si="2"/>
        <v>Miller</v>
      </c>
      <c r="G465" s="5" t="s">
        <v>374</v>
      </c>
      <c r="H465" s="6">
        <v>81.0</v>
      </c>
      <c r="I465" s="6">
        <f t="shared" si="3"/>
        <v>81</v>
      </c>
      <c r="J465" s="6">
        <v>81.0</v>
      </c>
      <c r="K465" s="6" t="str">
        <f t="shared" si="4"/>
        <v>Senior</v>
      </c>
      <c r="L465" s="6" t="s">
        <v>734</v>
      </c>
      <c r="M465" s="5" t="s">
        <v>105</v>
      </c>
      <c r="N465" s="5" t="str">
        <f t="shared" si="5"/>
        <v>Female</v>
      </c>
      <c r="O465" s="5" t="s">
        <v>105</v>
      </c>
      <c r="P465" s="5" t="s">
        <v>393</v>
      </c>
      <c r="Q465" s="5" t="s">
        <v>436</v>
      </c>
      <c r="R465" s="5" t="s">
        <v>561</v>
      </c>
      <c r="S465" s="5" t="s">
        <v>97</v>
      </c>
      <c r="T465" s="6">
        <v>3283.0</v>
      </c>
      <c r="U465" s="5">
        <f t="shared" si="6"/>
        <v>3283</v>
      </c>
      <c r="V465" s="5">
        <v>3283.0</v>
      </c>
    </row>
    <row r="466" ht="22.5" customHeight="1">
      <c r="A466" s="5" t="s">
        <v>1869</v>
      </c>
      <c r="B466" s="5" t="s">
        <v>136</v>
      </c>
      <c r="C466" s="5" t="str">
        <f t="shared" si="1"/>
        <v>Alice</v>
      </c>
      <c r="D466" s="5" t="s">
        <v>136</v>
      </c>
      <c r="E466" s="5" t="s">
        <v>128</v>
      </c>
      <c r="F466" s="5" t="str">
        <f t="shared" si="2"/>
        <v>Rodriguez</v>
      </c>
      <c r="G466" s="5" t="s">
        <v>128</v>
      </c>
      <c r="H466" s="6">
        <v>81.0</v>
      </c>
      <c r="I466" s="6">
        <f t="shared" si="3"/>
        <v>81</v>
      </c>
      <c r="J466" s="6">
        <v>81.0</v>
      </c>
      <c r="K466" s="6" t="str">
        <f t="shared" si="4"/>
        <v>Senior</v>
      </c>
      <c r="L466" s="6" t="s">
        <v>734</v>
      </c>
      <c r="M466" s="5" t="s">
        <v>28</v>
      </c>
      <c r="N466" s="5" t="str">
        <f t="shared" si="5"/>
        <v>Female</v>
      </c>
      <c r="O466" s="5" t="s">
        <v>105</v>
      </c>
      <c r="P466" s="5" t="s">
        <v>64</v>
      </c>
      <c r="Q466" s="5" t="s">
        <v>311</v>
      </c>
      <c r="R466" s="5" t="s">
        <v>96</v>
      </c>
      <c r="S466" s="5" t="s">
        <v>97</v>
      </c>
      <c r="T466" s="6">
        <v>881.0</v>
      </c>
      <c r="U466" s="5">
        <f t="shared" si="6"/>
        <v>881</v>
      </c>
      <c r="V466" s="5">
        <v>881.0</v>
      </c>
    </row>
    <row r="467" ht="22.5" customHeight="1">
      <c r="A467" s="5" t="s">
        <v>1870</v>
      </c>
      <c r="B467" s="5" t="s">
        <v>158</v>
      </c>
      <c r="C467" s="5" t="str">
        <f t="shared" si="1"/>
        <v>Eva</v>
      </c>
      <c r="D467" s="5" t="s">
        <v>158</v>
      </c>
      <c r="E467" s="5" t="s">
        <v>363</v>
      </c>
      <c r="F467" s="5" t="str">
        <f t="shared" si="2"/>
        <v>Smith</v>
      </c>
      <c r="G467" s="5" t="s">
        <v>363</v>
      </c>
      <c r="H467" s="6">
        <v>89.0</v>
      </c>
      <c r="I467" s="6">
        <f t="shared" si="3"/>
        <v>89</v>
      </c>
      <c r="J467" s="6">
        <v>89.0</v>
      </c>
      <c r="K467" s="6" t="str">
        <f t="shared" si="4"/>
        <v>Senior</v>
      </c>
      <c r="L467" s="6" t="s">
        <v>734</v>
      </c>
      <c r="M467" s="5" t="s">
        <v>45</v>
      </c>
      <c r="N467" s="5" t="str">
        <f t="shared" si="5"/>
        <v>Female</v>
      </c>
      <c r="O467" s="5" t="s">
        <v>105</v>
      </c>
      <c r="P467" s="5" t="s">
        <v>539</v>
      </c>
      <c r="Q467" s="5" t="s">
        <v>637</v>
      </c>
      <c r="R467" s="5" t="s">
        <v>546</v>
      </c>
      <c r="S467" s="5" t="s">
        <v>97</v>
      </c>
      <c r="T467" s="6">
        <v>2291.0</v>
      </c>
      <c r="U467" s="5">
        <f t="shared" si="6"/>
        <v>2291</v>
      </c>
      <c r="V467" s="5">
        <v>2291.0</v>
      </c>
    </row>
    <row r="468" ht="22.5" customHeight="1">
      <c r="A468" s="5" t="s">
        <v>1874</v>
      </c>
      <c r="B468" s="5" t="s">
        <v>1875</v>
      </c>
      <c r="C468" s="5" t="str">
        <f t="shared" si="1"/>
        <v>Dale</v>
      </c>
      <c r="D468" s="5" t="s">
        <v>1875</v>
      </c>
      <c r="E468" s="5" t="s">
        <v>828</v>
      </c>
      <c r="F468" s="5" t="str">
        <f t="shared" si="2"/>
        <v>Chang</v>
      </c>
      <c r="G468" s="5" t="s">
        <v>828</v>
      </c>
      <c r="H468" s="6">
        <v>58.0</v>
      </c>
      <c r="I468" s="6">
        <f t="shared" si="3"/>
        <v>58</v>
      </c>
      <c r="J468" s="6">
        <v>58.0</v>
      </c>
      <c r="K468" s="6" t="str">
        <f t="shared" si="4"/>
        <v>Middle Age</v>
      </c>
      <c r="L468" s="6" t="s">
        <v>591</v>
      </c>
      <c r="M468" s="5" t="s">
        <v>152</v>
      </c>
      <c r="N468" s="5" t="str">
        <f t="shared" si="5"/>
        <v>Male</v>
      </c>
      <c r="O468" s="5" t="s">
        <v>152</v>
      </c>
      <c r="P468" s="5" t="s">
        <v>30</v>
      </c>
      <c r="Q468" s="5" t="s">
        <v>1290</v>
      </c>
      <c r="R468" s="5" t="s">
        <v>533</v>
      </c>
      <c r="S468" s="5" t="s">
        <v>222</v>
      </c>
      <c r="T468" s="6">
        <v>814.0</v>
      </c>
      <c r="U468" s="5">
        <f t="shared" si="6"/>
        <v>814</v>
      </c>
      <c r="V468" s="5">
        <v>814.0</v>
      </c>
    </row>
    <row r="469" ht="22.5" customHeight="1">
      <c r="A469" s="5" t="s">
        <v>1878</v>
      </c>
      <c r="B469" s="5" t="s">
        <v>411</v>
      </c>
      <c r="C469" s="5" t="str">
        <f t="shared" si="1"/>
        <v>Jane</v>
      </c>
      <c r="D469" s="5" t="s">
        <v>411</v>
      </c>
      <c r="E469" s="5" t="s">
        <v>128</v>
      </c>
      <c r="F469" s="5" t="str">
        <f t="shared" si="2"/>
        <v>Rodriguez</v>
      </c>
      <c r="G469" s="5" t="s">
        <v>128</v>
      </c>
      <c r="H469" s="8"/>
      <c r="I469" s="8">
        <f t="shared" si="3"/>
        <v>0</v>
      </c>
      <c r="J469" s="8"/>
      <c r="K469" s="8" t="str">
        <f t="shared" si="4"/>
        <v>Unknown</v>
      </c>
      <c r="L469" s="8" t="s">
        <v>1081</v>
      </c>
      <c r="M469" s="5" t="s">
        <v>105</v>
      </c>
      <c r="N469" s="5" t="str">
        <f t="shared" si="5"/>
        <v>Female</v>
      </c>
      <c r="O469" s="5" t="s">
        <v>105</v>
      </c>
      <c r="P469" s="5" t="s">
        <v>237</v>
      </c>
      <c r="Q469" s="5" t="s">
        <v>436</v>
      </c>
      <c r="R469" s="5" t="s">
        <v>561</v>
      </c>
      <c r="S469" s="5" t="s">
        <v>559</v>
      </c>
      <c r="T469" s="6">
        <v>2482.0</v>
      </c>
      <c r="U469" s="5">
        <f t="shared" si="6"/>
        <v>2482</v>
      </c>
      <c r="V469" s="5">
        <v>2482.0</v>
      </c>
    </row>
    <row r="470" ht="22.5" customHeight="1">
      <c r="A470" s="5" t="s">
        <v>1880</v>
      </c>
      <c r="B470" s="5" t="s">
        <v>193</v>
      </c>
      <c r="C470" s="5" t="str">
        <f t="shared" si="1"/>
        <v>Fiona</v>
      </c>
      <c r="D470" s="5" t="s">
        <v>193</v>
      </c>
      <c r="E470" s="5" t="s">
        <v>216</v>
      </c>
      <c r="F470" s="5" t="str">
        <f t="shared" si="2"/>
        <v>Williams</v>
      </c>
      <c r="G470" s="5" t="s">
        <v>216</v>
      </c>
      <c r="H470" s="6">
        <v>79.0</v>
      </c>
      <c r="I470" s="6">
        <f t="shared" si="3"/>
        <v>79</v>
      </c>
      <c r="J470" s="6">
        <v>79.0</v>
      </c>
      <c r="K470" s="6" t="str">
        <f t="shared" si="4"/>
        <v>Senior</v>
      </c>
      <c r="L470" s="6" t="s">
        <v>734</v>
      </c>
      <c r="M470" s="5" t="s">
        <v>45</v>
      </c>
      <c r="N470" s="5" t="str">
        <f t="shared" si="5"/>
        <v>Female</v>
      </c>
      <c r="O470" s="5" t="s">
        <v>105</v>
      </c>
      <c r="P470" s="5" t="s">
        <v>268</v>
      </c>
      <c r="Q470" s="5" t="s">
        <v>439</v>
      </c>
      <c r="R470" s="5" t="s">
        <v>210</v>
      </c>
      <c r="S470" s="5" t="s">
        <v>97</v>
      </c>
      <c r="T470" s="6">
        <v>1545.0</v>
      </c>
      <c r="U470" s="5">
        <f t="shared" si="6"/>
        <v>1545</v>
      </c>
      <c r="V470" s="5">
        <v>1545.0</v>
      </c>
    </row>
    <row r="471" ht="22.5" customHeight="1">
      <c r="A471" s="5" t="s">
        <v>1882</v>
      </c>
      <c r="B471" s="5" t="s">
        <v>307</v>
      </c>
      <c r="C471" s="5" t="str">
        <f t="shared" si="1"/>
        <v>Hannah</v>
      </c>
      <c r="D471" s="5" t="s">
        <v>307</v>
      </c>
      <c r="E471" s="5" t="s">
        <v>301</v>
      </c>
      <c r="F471" s="5" t="str">
        <f t="shared" si="2"/>
        <v>Lee</v>
      </c>
      <c r="G471" s="5" t="s">
        <v>301</v>
      </c>
      <c r="H471" s="6">
        <v>70.0</v>
      </c>
      <c r="I471" s="6">
        <f t="shared" si="3"/>
        <v>70</v>
      </c>
      <c r="J471" s="6">
        <v>70.0</v>
      </c>
      <c r="K471" s="6" t="str">
        <f t="shared" si="4"/>
        <v>Senior</v>
      </c>
      <c r="L471" s="6" t="s">
        <v>734</v>
      </c>
      <c r="M471" s="5" t="s">
        <v>105</v>
      </c>
      <c r="N471" s="5" t="str">
        <f t="shared" si="5"/>
        <v>Female</v>
      </c>
      <c r="O471" s="5" t="s">
        <v>105</v>
      </c>
      <c r="P471" s="5" t="s">
        <v>30</v>
      </c>
      <c r="Q471" s="5" t="s">
        <v>377</v>
      </c>
      <c r="R471" s="5" t="s">
        <v>402</v>
      </c>
      <c r="S471" s="5" t="s">
        <v>97</v>
      </c>
      <c r="T471" s="6">
        <v>1815.0</v>
      </c>
      <c r="U471" s="5">
        <f t="shared" si="6"/>
        <v>1815</v>
      </c>
      <c r="V471" s="5">
        <v>1815.0</v>
      </c>
    </row>
    <row r="472" ht="22.5" customHeight="1">
      <c r="A472" s="5" t="s">
        <v>1884</v>
      </c>
      <c r="B472" s="5" t="s">
        <v>645</v>
      </c>
      <c r="C472" s="5" t="str">
        <f t="shared" si="1"/>
        <v>Josephine</v>
      </c>
      <c r="D472" s="5" t="s">
        <v>1939</v>
      </c>
      <c r="E472" s="5" t="s">
        <v>254</v>
      </c>
      <c r="F472" s="5" t="str">
        <f t="shared" si="2"/>
        <v>Doe</v>
      </c>
      <c r="G472" s="5" t="s">
        <v>254</v>
      </c>
      <c r="H472" s="6">
        <v>55.0</v>
      </c>
      <c r="I472" s="6">
        <f t="shared" si="3"/>
        <v>55</v>
      </c>
      <c r="J472" s="6">
        <v>55.0</v>
      </c>
      <c r="K472" s="6" t="str">
        <f t="shared" si="4"/>
        <v>Middle Age</v>
      </c>
      <c r="L472" s="6" t="s">
        <v>591</v>
      </c>
      <c r="M472" s="5" t="s">
        <v>45</v>
      </c>
      <c r="N472" s="5" t="str">
        <f t="shared" si="5"/>
        <v>Female</v>
      </c>
      <c r="O472" s="5" t="s">
        <v>105</v>
      </c>
      <c r="P472" s="5" t="s">
        <v>237</v>
      </c>
      <c r="Q472" s="5" t="s">
        <v>482</v>
      </c>
      <c r="R472" s="5" t="s">
        <v>179</v>
      </c>
      <c r="S472" s="5" t="s">
        <v>211</v>
      </c>
      <c r="T472" s="6">
        <v>2638.0</v>
      </c>
      <c r="U472" s="5">
        <f t="shared" si="6"/>
        <v>2638</v>
      </c>
      <c r="V472" s="5">
        <v>2638.0</v>
      </c>
    </row>
    <row r="473" ht="22.5" customHeight="1">
      <c r="A473" s="5" t="s">
        <v>1887</v>
      </c>
      <c r="B473" s="5" t="s">
        <v>757</v>
      </c>
      <c r="C473" s="5" t="str">
        <f t="shared" si="1"/>
        <v>Christine</v>
      </c>
      <c r="D473" s="5" t="s">
        <v>2094</v>
      </c>
      <c r="E473" s="5" t="s">
        <v>1562</v>
      </c>
      <c r="F473" s="5" t="str">
        <f t="shared" si="2"/>
        <v>Perez</v>
      </c>
      <c r="G473" s="5" t="s">
        <v>469</v>
      </c>
      <c r="H473" s="6">
        <v>30.0</v>
      </c>
      <c r="I473" s="6">
        <f t="shared" si="3"/>
        <v>30</v>
      </c>
      <c r="J473" s="6">
        <v>30.0</v>
      </c>
      <c r="K473" s="6" t="str">
        <f t="shared" si="4"/>
        <v>Young Adult</v>
      </c>
      <c r="L473" s="6" t="s">
        <v>528</v>
      </c>
      <c r="M473" s="5" t="s">
        <v>45</v>
      </c>
      <c r="N473" s="5" t="str">
        <f t="shared" si="5"/>
        <v>Female</v>
      </c>
      <c r="O473" s="5" t="s">
        <v>105</v>
      </c>
      <c r="P473" s="5" t="s">
        <v>364</v>
      </c>
      <c r="Q473" s="5" t="s">
        <v>439</v>
      </c>
      <c r="R473" s="5" t="s">
        <v>210</v>
      </c>
      <c r="S473" s="5" t="s">
        <v>52</v>
      </c>
      <c r="T473" s="6">
        <v>1468.0</v>
      </c>
      <c r="U473" s="5">
        <f t="shared" si="6"/>
        <v>1468</v>
      </c>
      <c r="V473" s="5">
        <v>1468.0</v>
      </c>
    </row>
    <row r="474" ht="22.5" customHeight="1">
      <c r="A474" s="5" t="s">
        <v>1889</v>
      </c>
      <c r="B474" s="5" t="s">
        <v>411</v>
      </c>
      <c r="C474" s="5" t="str">
        <f t="shared" si="1"/>
        <v>Jane</v>
      </c>
      <c r="D474" s="5" t="s">
        <v>411</v>
      </c>
      <c r="E474" s="5" t="s">
        <v>148</v>
      </c>
      <c r="F474" s="5" t="str">
        <f t="shared" si="2"/>
        <v>Johnson</v>
      </c>
      <c r="G474" s="5" t="s">
        <v>148</v>
      </c>
      <c r="H474" s="6">
        <v>53.0</v>
      </c>
      <c r="I474" s="6">
        <f t="shared" si="3"/>
        <v>53</v>
      </c>
      <c r="J474" s="6">
        <v>53.0</v>
      </c>
      <c r="K474" s="6" t="str">
        <f t="shared" si="4"/>
        <v>Middle Age</v>
      </c>
      <c r="L474" s="6" t="s">
        <v>591</v>
      </c>
      <c r="M474" s="5" t="s">
        <v>28</v>
      </c>
      <c r="N474" s="5" t="str">
        <f t="shared" si="5"/>
        <v>Female</v>
      </c>
      <c r="O474" s="5" t="s">
        <v>105</v>
      </c>
      <c r="P474" s="5" t="s">
        <v>256</v>
      </c>
      <c r="Q474" s="5" t="s">
        <v>470</v>
      </c>
      <c r="R474" s="5" t="s">
        <v>96</v>
      </c>
      <c r="S474" s="5" t="s">
        <v>222</v>
      </c>
      <c r="T474" s="6">
        <v>935.0</v>
      </c>
      <c r="U474" s="5">
        <f t="shared" si="6"/>
        <v>935</v>
      </c>
      <c r="V474" s="5">
        <v>935.0</v>
      </c>
    </row>
    <row r="475" ht="22.5" customHeight="1">
      <c r="A475" s="5" t="s">
        <v>1892</v>
      </c>
      <c r="B475" s="5" t="s">
        <v>772</v>
      </c>
      <c r="C475" s="5" t="str">
        <f t="shared" si="1"/>
        <v>Ian</v>
      </c>
      <c r="D475" s="5" t="s">
        <v>877</v>
      </c>
      <c r="E475" s="5" t="s">
        <v>374</v>
      </c>
      <c r="F475" s="5" t="str">
        <f t="shared" si="2"/>
        <v>Miller</v>
      </c>
      <c r="G475" s="5" t="s">
        <v>374</v>
      </c>
      <c r="H475" s="6">
        <v>59.0</v>
      </c>
      <c r="I475" s="6">
        <f t="shared" si="3"/>
        <v>59</v>
      </c>
      <c r="J475" s="6">
        <v>59.0</v>
      </c>
      <c r="K475" s="6" t="str">
        <f t="shared" si="4"/>
        <v>Middle Age</v>
      </c>
      <c r="L475" s="6" t="s">
        <v>591</v>
      </c>
      <c r="M475" s="5" t="s">
        <v>80</v>
      </c>
      <c r="N475" s="5" t="str">
        <f t="shared" si="5"/>
        <v>Male</v>
      </c>
      <c r="O475" s="5" t="s">
        <v>152</v>
      </c>
      <c r="P475" s="5" t="s">
        <v>141</v>
      </c>
      <c r="Q475" s="5" t="s">
        <v>164</v>
      </c>
      <c r="R475" s="5" t="s">
        <v>452</v>
      </c>
      <c r="S475" s="5" t="s">
        <v>52</v>
      </c>
      <c r="T475" s="6">
        <v>3154.0</v>
      </c>
      <c r="U475" s="5">
        <f t="shared" si="6"/>
        <v>3154</v>
      </c>
      <c r="V475" s="5">
        <v>3154.0</v>
      </c>
    </row>
    <row r="476" ht="22.5" customHeight="1">
      <c r="A476" s="5" t="s">
        <v>1895</v>
      </c>
      <c r="B476" s="5" t="s">
        <v>620</v>
      </c>
      <c r="C476" s="5" t="str">
        <f t="shared" si="1"/>
        <v>Michelle</v>
      </c>
      <c r="D476" s="5" t="s">
        <v>620</v>
      </c>
      <c r="E476" s="5" t="s">
        <v>159</v>
      </c>
      <c r="F476" s="5" t="str">
        <f t="shared" si="2"/>
        <v>Young</v>
      </c>
      <c r="G476" s="5" t="s">
        <v>159</v>
      </c>
      <c r="H476" s="6">
        <v>53.0</v>
      </c>
      <c r="I476" s="6">
        <f t="shared" si="3"/>
        <v>53</v>
      </c>
      <c r="J476" s="6">
        <v>53.0</v>
      </c>
      <c r="K476" s="6" t="str">
        <f t="shared" si="4"/>
        <v>Middle Age</v>
      </c>
      <c r="L476" s="6" t="s">
        <v>591</v>
      </c>
      <c r="M476" s="5" t="s">
        <v>105</v>
      </c>
      <c r="N476" s="5" t="str">
        <f t="shared" si="5"/>
        <v>Female</v>
      </c>
      <c r="O476" s="5" t="s">
        <v>105</v>
      </c>
      <c r="P476" s="5" t="s">
        <v>393</v>
      </c>
      <c r="Q476" s="5" t="s">
        <v>637</v>
      </c>
      <c r="R476" s="5" t="s">
        <v>546</v>
      </c>
      <c r="S476" s="5" t="s">
        <v>222</v>
      </c>
      <c r="T476" s="6">
        <v>3062.0</v>
      </c>
      <c r="U476" s="5">
        <f t="shared" si="6"/>
        <v>3062</v>
      </c>
      <c r="V476" s="5">
        <v>3062.0</v>
      </c>
    </row>
    <row r="477" ht="22.5" customHeight="1">
      <c r="A477" s="5" t="s">
        <v>1897</v>
      </c>
      <c r="B477" s="5" t="s">
        <v>1809</v>
      </c>
      <c r="C477" s="5" t="str">
        <f t="shared" si="1"/>
        <v>Aidan</v>
      </c>
      <c r="D477" s="5" t="s">
        <v>1809</v>
      </c>
      <c r="E477" s="5" t="s">
        <v>128</v>
      </c>
      <c r="F477" s="5" t="str">
        <f t="shared" si="2"/>
        <v>Rodriguez</v>
      </c>
      <c r="G477" s="5" t="s">
        <v>128</v>
      </c>
      <c r="H477" s="6">
        <v>78.0</v>
      </c>
      <c r="I477" s="6">
        <f t="shared" si="3"/>
        <v>78</v>
      </c>
      <c r="J477" s="6">
        <v>78.0</v>
      </c>
      <c r="K477" s="6" t="str">
        <f t="shared" si="4"/>
        <v>Senior</v>
      </c>
      <c r="L477" s="6" t="s">
        <v>734</v>
      </c>
      <c r="M477" s="5" t="s">
        <v>80</v>
      </c>
      <c r="N477" s="5" t="str">
        <f t="shared" si="5"/>
        <v>Male</v>
      </c>
      <c r="O477" s="5" t="s">
        <v>152</v>
      </c>
      <c r="P477" s="5" t="s">
        <v>131</v>
      </c>
      <c r="Q477" s="5" t="s">
        <v>358</v>
      </c>
      <c r="R477" s="5" t="s">
        <v>561</v>
      </c>
      <c r="S477" s="5" t="s">
        <v>97</v>
      </c>
      <c r="T477" s="6">
        <v>3688.0</v>
      </c>
      <c r="U477" s="5">
        <f t="shared" si="6"/>
        <v>3688</v>
      </c>
      <c r="V477" s="5">
        <v>3688.0</v>
      </c>
    </row>
    <row r="478" ht="22.5" customHeight="1">
      <c r="A478" s="5" t="s">
        <v>1900</v>
      </c>
      <c r="B478" s="5" t="s">
        <v>323</v>
      </c>
      <c r="C478" s="5" t="str">
        <f t="shared" si="1"/>
        <v>Betty</v>
      </c>
      <c r="D478" s="5" t="s">
        <v>323</v>
      </c>
      <c r="E478" s="5" t="s">
        <v>244</v>
      </c>
      <c r="F478" s="5" t="str">
        <f t="shared" si="2"/>
        <v>Jackson</v>
      </c>
      <c r="G478" s="5" t="s">
        <v>244</v>
      </c>
      <c r="H478" s="6">
        <v>63.0</v>
      </c>
      <c r="I478" s="6">
        <f t="shared" si="3"/>
        <v>63</v>
      </c>
      <c r="J478" s="6">
        <v>63.0</v>
      </c>
      <c r="K478" s="6" t="str">
        <f t="shared" si="4"/>
        <v>Senior</v>
      </c>
      <c r="L478" s="6" t="s">
        <v>734</v>
      </c>
      <c r="M478" s="5" t="s">
        <v>105</v>
      </c>
      <c r="N478" s="5" t="str">
        <f t="shared" si="5"/>
        <v>Female</v>
      </c>
      <c r="O478" s="5" t="s">
        <v>105</v>
      </c>
      <c r="P478" s="5" t="s">
        <v>64</v>
      </c>
      <c r="Q478" s="5" t="s">
        <v>470</v>
      </c>
      <c r="R478" s="5" t="s">
        <v>179</v>
      </c>
      <c r="S478" s="5" t="s">
        <v>97</v>
      </c>
      <c r="T478" s="6">
        <v>3974.0</v>
      </c>
      <c r="U478" s="5">
        <f t="shared" si="6"/>
        <v>3974</v>
      </c>
      <c r="V478" s="5">
        <v>3974.0</v>
      </c>
    </row>
    <row r="479" ht="22.5" customHeight="1">
      <c r="A479" s="5" t="s">
        <v>1902</v>
      </c>
      <c r="B479" s="5" t="s">
        <v>307</v>
      </c>
      <c r="C479" s="5" t="str">
        <f t="shared" si="1"/>
        <v>Hannah</v>
      </c>
      <c r="D479" s="5" t="s">
        <v>307</v>
      </c>
      <c r="E479" s="5" t="s">
        <v>25</v>
      </c>
      <c r="F479" s="5" t="str">
        <f t="shared" si="2"/>
        <v>Garcia</v>
      </c>
      <c r="G479" s="5" t="s">
        <v>25</v>
      </c>
      <c r="H479" s="6">
        <v>49.0</v>
      </c>
      <c r="I479" s="6">
        <f t="shared" si="3"/>
        <v>49</v>
      </c>
      <c r="J479" s="6">
        <v>49.0</v>
      </c>
      <c r="K479" s="6" t="str">
        <f t="shared" si="4"/>
        <v>Middle Age</v>
      </c>
      <c r="L479" s="6" t="s">
        <v>591</v>
      </c>
      <c r="M479" s="5" t="s">
        <v>28</v>
      </c>
      <c r="N479" s="5" t="str">
        <f t="shared" si="5"/>
        <v>Female</v>
      </c>
      <c r="O479" s="5" t="s">
        <v>105</v>
      </c>
      <c r="P479" s="5" t="s">
        <v>30</v>
      </c>
      <c r="Q479" s="5" t="s">
        <v>482</v>
      </c>
      <c r="R479" s="5" t="s">
        <v>179</v>
      </c>
      <c r="S479" s="5" t="s">
        <v>211</v>
      </c>
      <c r="T479" s="6">
        <v>3856.0</v>
      </c>
      <c r="U479" s="5">
        <f t="shared" si="6"/>
        <v>3856</v>
      </c>
      <c r="V479" s="5">
        <v>3856.0</v>
      </c>
    </row>
    <row r="480" ht="22.5" customHeight="1">
      <c r="A480" s="5" t="s">
        <v>1905</v>
      </c>
      <c r="B480" s="5" t="s">
        <v>1267</v>
      </c>
      <c r="C480" s="5" t="str">
        <f t="shared" si="1"/>
        <v>Thomas</v>
      </c>
      <c r="D480" s="5" t="s">
        <v>983</v>
      </c>
      <c r="E480" s="5" t="s">
        <v>363</v>
      </c>
      <c r="F480" s="5" t="str">
        <f t="shared" si="2"/>
        <v>Smith</v>
      </c>
      <c r="G480" s="5" t="s">
        <v>363</v>
      </c>
      <c r="H480" s="6">
        <v>67.0</v>
      </c>
      <c r="I480" s="6">
        <f t="shared" si="3"/>
        <v>67</v>
      </c>
      <c r="J480" s="6">
        <v>67.0</v>
      </c>
      <c r="K480" s="6" t="str">
        <f t="shared" si="4"/>
        <v>Senior</v>
      </c>
      <c r="L480" s="6" t="s">
        <v>734</v>
      </c>
      <c r="M480" s="5" t="s">
        <v>130</v>
      </c>
      <c r="N480" s="5" t="str">
        <f t="shared" si="5"/>
        <v>Male</v>
      </c>
      <c r="O480" s="5" t="s">
        <v>152</v>
      </c>
      <c r="P480" s="5" t="s">
        <v>30</v>
      </c>
      <c r="Q480" s="5" t="s">
        <v>482</v>
      </c>
      <c r="R480" s="5" t="s">
        <v>179</v>
      </c>
      <c r="S480" s="5" t="s">
        <v>97</v>
      </c>
      <c r="T480" s="6">
        <v>4999.0</v>
      </c>
      <c r="U480" s="5">
        <f t="shared" si="6"/>
        <v>4999</v>
      </c>
      <c r="V480" s="5">
        <v>4999.0</v>
      </c>
    </row>
    <row r="481" ht="22.5" customHeight="1">
      <c r="A481" s="5" t="s">
        <v>1906</v>
      </c>
      <c r="B481" s="5" t="s">
        <v>127</v>
      </c>
      <c r="C481" s="5" t="str">
        <f t="shared" si="1"/>
        <v>John</v>
      </c>
      <c r="D481" s="5" t="s">
        <v>127</v>
      </c>
      <c r="E481" s="5" t="s">
        <v>428</v>
      </c>
      <c r="F481" s="5" t="str">
        <f t="shared" si="2"/>
        <v>Bush</v>
      </c>
      <c r="G481" s="5" t="s">
        <v>428</v>
      </c>
      <c r="H481" s="8"/>
      <c r="I481" s="8">
        <f t="shared" si="3"/>
        <v>0</v>
      </c>
      <c r="J481" s="8"/>
      <c r="K481" s="8" t="str">
        <f t="shared" si="4"/>
        <v>Unknown</v>
      </c>
      <c r="L481" s="8" t="s">
        <v>1081</v>
      </c>
      <c r="M481" s="5" t="s">
        <v>80</v>
      </c>
      <c r="N481" s="5" t="str">
        <f t="shared" si="5"/>
        <v>Male</v>
      </c>
      <c r="O481" s="5" t="s">
        <v>152</v>
      </c>
      <c r="P481" s="5" t="s">
        <v>64</v>
      </c>
      <c r="Q481" s="5" t="s">
        <v>470</v>
      </c>
      <c r="R481" s="5" t="s">
        <v>96</v>
      </c>
      <c r="S481" s="5" t="s">
        <v>211</v>
      </c>
      <c r="T481" s="6">
        <v>50.0</v>
      </c>
      <c r="U481" s="5">
        <f t="shared" si="6"/>
        <v>50</v>
      </c>
      <c r="V481" s="5">
        <v>50.0</v>
      </c>
    </row>
    <row r="482" ht="22.5" customHeight="1">
      <c r="A482" s="5" t="s">
        <v>1908</v>
      </c>
      <c r="B482" s="5" t="s">
        <v>1329</v>
      </c>
      <c r="C482" s="5" t="str">
        <f t="shared" si="1"/>
        <v>Timothy</v>
      </c>
      <c r="D482" s="5" t="s">
        <v>1329</v>
      </c>
      <c r="E482" s="5" t="s">
        <v>254</v>
      </c>
      <c r="F482" s="5" t="str">
        <f t="shared" si="2"/>
        <v>Doe</v>
      </c>
      <c r="G482" s="5" t="s">
        <v>254</v>
      </c>
      <c r="H482" s="6">
        <v>27.0</v>
      </c>
      <c r="I482" s="6">
        <f t="shared" si="3"/>
        <v>27</v>
      </c>
      <c r="J482" s="6">
        <v>27.0</v>
      </c>
      <c r="K482" s="6" t="str">
        <f t="shared" si="4"/>
        <v>Young Adult</v>
      </c>
      <c r="L482" s="6" t="s">
        <v>528</v>
      </c>
      <c r="M482" s="5" t="s">
        <v>130</v>
      </c>
      <c r="N482" s="5" t="str">
        <f t="shared" si="5"/>
        <v>Male</v>
      </c>
      <c r="O482" s="5" t="s">
        <v>152</v>
      </c>
      <c r="P482" s="5" t="s">
        <v>401</v>
      </c>
      <c r="Q482" s="5" t="s">
        <v>164</v>
      </c>
      <c r="R482" s="5" t="s">
        <v>452</v>
      </c>
      <c r="S482" s="5" t="s">
        <v>52</v>
      </c>
      <c r="T482" s="6">
        <v>4999.0</v>
      </c>
      <c r="U482" s="5">
        <f t="shared" si="6"/>
        <v>4999</v>
      </c>
      <c r="V482" s="5">
        <v>4999.0</v>
      </c>
    </row>
    <row r="483" ht="22.5" customHeight="1">
      <c r="A483" s="5" t="s">
        <v>1911</v>
      </c>
      <c r="B483" s="5" t="s">
        <v>820</v>
      </c>
      <c r="C483" s="5" t="str">
        <f t="shared" si="1"/>
        <v>Olivia</v>
      </c>
      <c r="D483" s="5" t="s">
        <v>820</v>
      </c>
      <c r="E483" s="5" t="s">
        <v>128</v>
      </c>
      <c r="F483" s="5" t="str">
        <f t="shared" si="2"/>
        <v>Rodriguez</v>
      </c>
      <c r="G483" s="5" t="s">
        <v>128</v>
      </c>
      <c r="H483" s="6">
        <v>46.0</v>
      </c>
      <c r="I483" s="6">
        <f t="shared" si="3"/>
        <v>46</v>
      </c>
      <c r="J483" s="6">
        <v>46.0</v>
      </c>
      <c r="K483" s="6" t="str">
        <f t="shared" si="4"/>
        <v>Middle Age</v>
      </c>
      <c r="L483" s="6" t="s">
        <v>591</v>
      </c>
      <c r="M483" s="5" t="s">
        <v>105</v>
      </c>
      <c r="N483" s="5" t="str">
        <f t="shared" si="5"/>
        <v>Female</v>
      </c>
      <c r="O483" s="5" t="s">
        <v>105</v>
      </c>
      <c r="P483" s="5" t="s">
        <v>47</v>
      </c>
      <c r="Q483" s="5" t="s">
        <v>164</v>
      </c>
      <c r="R483" s="5" t="s">
        <v>96</v>
      </c>
      <c r="S483" s="5" t="s">
        <v>559</v>
      </c>
      <c r="T483" s="6">
        <v>600.0</v>
      </c>
      <c r="U483" s="5">
        <f t="shared" si="6"/>
        <v>600</v>
      </c>
      <c r="V483" s="5">
        <v>600.0</v>
      </c>
    </row>
    <row r="484" ht="22.5" customHeight="1">
      <c r="A484" s="5" t="s">
        <v>1913</v>
      </c>
      <c r="B484" s="5" t="s">
        <v>531</v>
      </c>
      <c r="C484" s="5" t="str">
        <f t="shared" si="1"/>
        <v>Vanessa</v>
      </c>
      <c r="D484" s="5" t="s">
        <v>1945</v>
      </c>
      <c r="E484" s="5" t="s">
        <v>42</v>
      </c>
      <c r="F484" s="5" t="str">
        <f t="shared" si="2"/>
        <v>Lopez</v>
      </c>
      <c r="G484" s="5" t="s">
        <v>42</v>
      </c>
      <c r="H484" s="6">
        <v>74.0</v>
      </c>
      <c r="I484" s="6">
        <f t="shared" si="3"/>
        <v>74</v>
      </c>
      <c r="J484" s="6">
        <v>74.0</v>
      </c>
      <c r="K484" s="6" t="str">
        <f t="shared" si="4"/>
        <v>Senior</v>
      </c>
      <c r="L484" s="6" t="s">
        <v>734</v>
      </c>
      <c r="M484" s="5" t="s">
        <v>28</v>
      </c>
      <c r="N484" s="5" t="str">
        <f t="shared" si="5"/>
        <v>Female</v>
      </c>
      <c r="O484" s="5" t="s">
        <v>105</v>
      </c>
      <c r="P484" s="5" t="s">
        <v>30</v>
      </c>
      <c r="Q484" s="5" t="s">
        <v>470</v>
      </c>
      <c r="R484" s="5" t="s">
        <v>179</v>
      </c>
      <c r="S484" s="5" t="s">
        <v>97</v>
      </c>
      <c r="T484" s="6">
        <v>2798.0</v>
      </c>
      <c r="U484" s="5">
        <f t="shared" si="6"/>
        <v>2798</v>
      </c>
      <c r="V484" s="5">
        <v>2798.0</v>
      </c>
    </row>
    <row r="485" ht="22.5" customHeight="1">
      <c r="A485" s="5" t="s">
        <v>1915</v>
      </c>
      <c r="B485" s="5" t="s">
        <v>1916</v>
      </c>
      <c r="C485" s="5" t="str">
        <f t="shared" si="1"/>
        <v>Grace</v>
      </c>
      <c r="D485" s="5" t="s">
        <v>368</v>
      </c>
      <c r="E485" s="5" t="s">
        <v>959</v>
      </c>
      <c r="F485" s="5" t="str">
        <f t="shared" si="2"/>
        <v>Glover</v>
      </c>
      <c r="G485" s="5" t="s">
        <v>959</v>
      </c>
      <c r="H485" s="6">
        <v>45.0</v>
      </c>
      <c r="I485" s="6">
        <f t="shared" si="3"/>
        <v>45</v>
      </c>
      <c r="J485" s="6">
        <v>45.0</v>
      </c>
      <c r="K485" s="6" t="str">
        <f t="shared" si="4"/>
        <v>Middle Age</v>
      </c>
      <c r="L485" s="6" t="s">
        <v>591</v>
      </c>
      <c r="M485" s="5" t="s">
        <v>105</v>
      </c>
      <c r="N485" s="5" t="str">
        <f t="shared" si="5"/>
        <v>Female</v>
      </c>
      <c r="O485" s="5" t="s">
        <v>105</v>
      </c>
      <c r="P485" s="5" t="s">
        <v>401</v>
      </c>
      <c r="Q485" s="5" t="s">
        <v>238</v>
      </c>
      <c r="R485" s="5" t="s">
        <v>533</v>
      </c>
      <c r="S485" s="5" t="s">
        <v>52</v>
      </c>
      <c r="T485" s="6">
        <v>778.0</v>
      </c>
      <c r="U485" s="5">
        <f t="shared" si="6"/>
        <v>778</v>
      </c>
      <c r="V485" s="5">
        <v>778.0</v>
      </c>
    </row>
    <row r="486" ht="22.5" customHeight="1">
      <c r="A486" s="5" t="s">
        <v>1919</v>
      </c>
      <c r="B486" s="5" t="s">
        <v>171</v>
      </c>
      <c r="C486" s="5" t="str">
        <f t="shared" si="1"/>
        <v>Frank</v>
      </c>
      <c r="D486" s="5" t="s">
        <v>171</v>
      </c>
      <c r="E486" s="5" t="s">
        <v>172</v>
      </c>
      <c r="F486" s="5" t="str">
        <f t="shared" si="2"/>
        <v>Little</v>
      </c>
      <c r="G486" s="5" t="s">
        <v>172</v>
      </c>
      <c r="H486" s="6">
        <v>54.0</v>
      </c>
      <c r="I486" s="6">
        <f t="shared" si="3"/>
        <v>54</v>
      </c>
      <c r="J486" s="6">
        <v>54.0</v>
      </c>
      <c r="K486" s="6" t="str">
        <f t="shared" si="4"/>
        <v>Middle Age</v>
      </c>
      <c r="L486" s="6" t="s">
        <v>591</v>
      </c>
      <c r="M486" s="5" t="s">
        <v>80</v>
      </c>
      <c r="N486" s="5" t="str">
        <f t="shared" si="5"/>
        <v>Male</v>
      </c>
      <c r="O486" s="5" t="s">
        <v>152</v>
      </c>
      <c r="P486" s="5" t="s">
        <v>268</v>
      </c>
      <c r="Q486" s="5" t="s">
        <v>1290</v>
      </c>
      <c r="R486" s="5" t="s">
        <v>533</v>
      </c>
      <c r="S486" s="5" t="s">
        <v>52</v>
      </c>
      <c r="T486" s="6">
        <v>2465.0</v>
      </c>
      <c r="U486" s="5">
        <f t="shared" si="6"/>
        <v>2465</v>
      </c>
      <c r="V486" s="5">
        <v>2465.0</v>
      </c>
    </row>
    <row r="487" ht="22.5" customHeight="1">
      <c r="A487" s="5" t="s">
        <v>1921</v>
      </c>
      <c r="B487" s="5" t="s">
        <v>1665</v>
      </c>
      <c r="C487" s="5" t="str">
        <f t="shared" si="1"/>
        <v>Daniel</v>
      </c>
      <c r="D487" s="5" t="s">
        <v>1665</v>
      </c>
      <c r="E487" s="5" t="s">
        <v>495</v>
      </c>
      <c r="F487" s="5" t="str">
        <f t="shared" si="2"/>
        <v>Sharp</v>
      </c>
      <c r="G487" s="5" t="s">
        <v>495</v>
      </c>
      <c r="H487" s="6">
        <v>90.0</v>
      </c>
      <c r="I487" s="6">
        <f t="shared" si="3"/>
        <v>90</v>
      </c>
      <c r="J487" s="6">
        <v>90.0</v>
      </c>
      <c r="K487" s="6" t="str">
        <f t="shared" si="4"/>
        <v>Senior</v>
      </c>
      <c r="L487" s="6" t="s">
        <v>734</v>
      </c>
      <c r="M487" s="5" t="s">
        <v>152</v>
      </c>
      <c r="N487" s="5" t="str">
        <f t="shared" si="5"/>
        <v>Male</v>
      </c>
      <c r="O487" s="5" t="s">
        <v>152</v>
      </c>
      <c r="P487" s="5" t="s">
        <v>30</v>
      </c>
      <c r="Q487" s="5" t="s">
        <v>418</v>
      </c>
      <c r="R487" s="5" t="s">
        <v>210</v>
      </c>
      <c r="S487" s="5" t="s">
        <v>97</v>
      </c>
      <c r="T487" s="6">
        <v>796.0</v>
      </c>
      <c r="U487" s="5">
        <f t="shared" si="6"/>
        <v>796</v>
      </c>
      <c r="V487" s="5">
        <v>796.0</v>
      </c>
    </row>
    <row r="488" ht="22.5" customHeight="1">
      <c r="A488" s="5" t="s">
        <v>1924</v>
      </c>
      <c r="B488" s="5" t="s">
        <v>411</v>
      </c>
      <c r="C488" s="5" t="str">
        <f t="shared" si="1"/>
        <v>Jane</v>
      </c>
      <c r="D488" s="5" t="s">
        <v>411</v>
      </c>
      <c r="E488" s="5" t="s">
        <v>128</v>
      </c>
      <c r="F488" s="5" t="str">
        <f t="shared" si="2"/>
        <v>Rodriguez</v>
      </c>
      <c r="G488" s="5" t="s">
        <v>128</v>
      </c>
      <c r="H488" s="6">
        <v>77.0</v>
      </c>
      <c r="I488" s="6">
        <f t="shared" si="3"/>
        <v>77</v>
      </c>
      <c r="J488" s="6">
        <v>77.0</v>
      </c>
      <c r="K488" s="6" t="str">
        <f t="shared" si="4"/>
        <v>Senior</v>
      </c>
      <c r="L488" s="6" t="s">
        <v>734</v>
      </c>
      <c r="M488" s="5" t="s">
        <v>45</v>
      </c>
      <c r="N488" s="5" t="str">
        <f t="shared" si="5"/>
        <v>Female</v>
      </c>
      <c r="O488" s="5" t="s">
        <v>105</v>
      </c>
      <c r="P488" s="5" t="s">
        <v>47</v>
      </c>
      <c r="Q488" s="5" t="s">
        <v>164</v>
      </c>
      <c r="R488" s="5" t="s">
        <v>452</v>
      </c>
      <c r="S488" s="5" t="s">
        <v>97</v>
      </c>
      <c r="T488" s="6">
        <v>3324.0</v>
      </c>
      <c r="U488" s="5">
        <f t="shared" si="6"/>
        <v>3324</v>
      </c>
      <c r="V488" s="5">
        <v>3324.0</v>
      </c>
    </row>
    <row r="489" ht="22.5" customHeight="1">
      <c r="A489" s="5" t="s">
        <v>1925</v>
      </c>
      <c r="B489" s="5" t="s">
        <v>1583</v>
      </c>
      <c r="C489" s="5" t="str">
        <f t="shared" si="1"/>
        <v>Lisa</v>
      </c>
      <c r="D489" s="5" t="s">
        <v>1583</v>
      </c>
      <c r="E489" s="5" t="s">
        <v>526</v>
      </c>
      <c r="F489" s="5" t="str">
        <f t="shared" si="2"/>
        <v>Davidson</v>
      </c>
      <c r="G489" s="5" t="s">
        <v>526</v>
      </c>
      <c r="H489" s="6">
        <v>34.0</v>
      </c>
      <c r="I489" s="6">
        <f t="shared" si="3"/>
        <v>34</v>
      </c>
      <c r="J489" s="6">
        <v>34.0</v>
      </c>
      <c r="K489" s="6" t="str">
        <f t="shared" si="4"/>
        <v>Young Adult</v>
      </c>
      <c r="L489" s="6" t="s">
        <v>528</v>
      </c>
      <c r="M489" s="5" t="s">
        <v>105</v>
      </c>
      <c r="N489" s="5" t="str">
        <f t="shared" si="5"/>
        <v>Female</v>
      </c>
      <c r="O489" s="5" t="s">
        <v>105</v>
      </c>
      <c r="P489" s="5" t="s">
        <v>571</v>
      </c>
      <c r="Q489" s="5" t="s">
        <v>551</v>
      </c>
      <c r="R489" s="5" t="s">
        <v>96</v>
      </c>
      <c r="S489" s="5" t="s">
        <v>52</v>
      </c>
      <c r="T489" s="6">
        <v>1238.0</v>
      </c>
      <c r="U489" s="5">
        <f t="shared" si="6"/>
        <v>1238</v>
      </c>
      <c r="V489" s="5">
        <v>1238.0</v>
      </c>
    </row>
    <row r="490" ht="22.5" customHeight="1">
      <c r="A490" s="5" t="s">
        <v>1928</v>
      </c>
      <c r="B490" s="5" t="s">
        <v>689</v>
      </c>
      <c r="C490" s="5" t="str">
        <f t="shared" si="1"/>
        <v>Harry</v>
      </c>
      <c r="D490" s="5" t="s">
        <v>689</v>
      </c>
      <c r="E490" s="5" t="s">
        <v>458</v>
      </c>
      <c r="F490" s="5" t="str">
        <f t="shared" si="2"/>
        <v>Smirnov</v>
      </c>
      <c r="G490" s="5" t="s">
        <v>458</v>
      </c>
      <c r="H490" s="6">
        <v>49.0</v>
      </c>
      <c r="I490" s="6">
        <f t="shared" si="3"/>
        <v>49</v>
      </c>
      <c r="J490" s="6">
        <v>49.0</v>
      </c>
      <c r="K490" s="6" t="str">
        <f t="shared" si="4"/>
        <v>Middle Age</v>
      </c>
      <c r="L490" s="6" t="s">
        <v>591</v>
      </c>
      <c r="M490" s="5" t="s">
        <v>152</v>
      </c>
      <c r="N490" s="5" t="str">
        <f t="shared" si="5"/>
        <v>Male</v>
      </c>
      <c r="O490" s="5" t="s">
        <v>152</v>
      </c>
      <c r="P490" s="5" t="s">
        <v>401</v>
      </c>
      <c r="Q490" s="5" t="s">
        <v>311</v>
      </c>
      <c r="R490" s="5" t="s">
        <v>546</v>
      </c>
      <c r="S490" s="5" t="s">
        <v>211</v>
      </c>
      <c r="T490" s="6">
        <v>3138.0</v>
      </c>
      <c r="U490" s="5">
        <f t="shared" si="6"/>
        <v>3138</v>
      </c>
      <c r="V490" s="5">
        <v>3138.0</v>
      </c>
    </row>
    <row r="491" ht="22.5" customHeight="1">
      <c r="A491" s="5" t="s">
        <v>1931</v>
      </c>
      <c r="B491" s="5" t="s">
        <v>171</v>
      </c>
      <c r="C491" s="5" t="str">
        <f t="shared" si="1"/>
        <v>Frank</v>
      </c>
      <c r="D491" s="5" t="s">
        <v>171</v>
      </c>
      <c r="E491" s="5" t="s">
        <v>101</v>
      </c>
      <c r="F491" s="5" t="str">
        <f t="shared" si="2"/>
        <v>Ferguson</v>
      </c>
      <c r="G491" s="5" t="s">
        <v>101</v>
      </c>
      <c r="H491" s="6">
        <v>35.0</v>
      </c>
      <c r="I491" s="6">
        <f t="shared" si="3"/>
        <v>35</v>
      </c>
      <c r="J491" s="6">
        <v>35.0</v>
      </c>
      <c r="K491" s="6" t="str">
        <f t="shared" si="4"/>
        <v>Young Adult</v>
      </c>
      <c r="L491" s="6" t="s">
        <v>528</v>
      </c>
      <c r="M491" s="5" t="s">
        <v>80</v>
      </c>
      <c r="N491" s="5" t="str">
        <f t="shared" si="5"/>
        <v>Male</v>
      </c>
      <c r="O491" s="5" t="s">
        <v>152</v>
      </c>
      <c r="P491" s="5" t="s">
        <v>47</v>
      </c>
      <c r="Q491" s="5" t="s">
        <v>470</v>
      </c>
      <c r="R491" s="5" t="s">
        <v>179</v>
      </c>
      <c r="S491" s="5" t="s">
        <v>222</v>
      </c>
      <c r="T491" s="6">
        <v>3895.0</v>
      </c>
      <c r="U491" s="5">
        <f t="shared" si="6"/>
        <v>3895</v>
      </c>
      <c r="V491" s="5">
        <v>3895.0</v>
      </c>
    </row>
    <row r="492" ht="22.5" customHeight="1">
      <c r="A492" s="5" t="s">
        <v>1933</v>
      </c>
      <c r="B492" s="5" t="s">
        <v>193</v>
      </c>
      <c r="C492" s="5" t="str">
        <f t="shared" si="1"/>
        <v>Fiona</v>
      </c>
      <c r="D492" s="5" t="s">
        <v>193</v>
      </c>
      <c r="E492" s="5" t="s">
        <v>76</v>
      </c>
      <c r="F492" s="5" t="str">
        <f t="shared" si="2"/>
        <v>Brown</v>
      </c>
      <c r="G492" s="5" t="s">
        <v>76</v>
      </c>
      <c r="H492" s="6">
        <v>43.0</v>
      </c>
      <c r="I492" s="6">
        <f t="shared" si="3"/>
        <v>43</v>
      </c>
      <c r="J492" s="6">
        <v>43.0</v>
      </c>
      <c r="K492" s="6" t="str">
        <f t="shared" si="4"/>
        <v>Middle Age</v>
      </c>
      <c r="L492" s="6" t="s">
        <v>591</v>
      </c>
      <c r="M492" s="5" t="s">
        <v>105</v>
      </c>
      <c r="N492" s="5" t="str">
        <f t="shared" si="5"/>
        <v>Female</v>
      </c>
      <c r="O492" s="5" t="s">
        <v>105</v>
      </c>
      <c r="P492" s="5" t="s">
        <v>107</v>
      </c>
      <c r="Q492" s="5" t="s">
        <v>123</v>
      </c>
      <c r="R492" s="5" t="s">
        <v>83</v>
      </c>
      <c r="S492" s="5" t="s">
        <v>52</v>
      </c>
      <c r="T492" s="6">
        <v>2185.0</v>
      </c>
      <c r="U492" s="5">
        <f t="shared" si="6"/>
        <v>2185</v>
      </c>
      <c r="V492" s="5">
        <v>2185.0</v>
      </c>
    </row>
    <row r="493" ht="22.5" customHeight="1">
      <c r="A493" s="5" t="s">
        <v>1935</v>
      </c>
      <c r="B493" s="5" t="s">
        <v>1531</v>
      </c>
      <c r="C493" s="5" t="str">
        <f t="shared" si="1"/>
        <v>Felix</v>
      </c>
      <c r="D493" s="5" t="s">
        <v>1531</v>
      </c>
      <c r="E493" s="5" t="s">
        <v>301</v>
      </c>
      <c r="F493" s="5" t="str">
        <f t="shared" si="2"/>
        <v>Lee</v>
      </c>
      <c r="G493" s="5" t="s">
        <v>301</v>
      </c>
      <c r="H493" s="6">
        <v>72.0</v>
      </c>
      <c r="I493" s="6">
        <f t="shared" si="3"/>
        <v>72</v>
      </c>
      <c r="J493" s="6">
        <v>72.0</v>
      </c>
      <c r="K493" s="6" t="str">
        <f t="shared" si="4"/>
        <v>Senior</v>
      </c>
      <c r="L493" s="6" t="s">
        <v>734</v>
      </c>
      <c r="M493" s="5" t="s">
        <v>152</v>
      </c>
      <c r="N493" s="5" t="str">
        <f t="shared" si="5"/>
        <v>Male</v>
      </c>
      <c r="O493" s="5" t="s">
        <v>152</v>
      </c>
      <c r="P493" s="5" t="s">
        <v>30</v>
      </c>
      <c r="Q493" s="5" t="s">
        <v>470</v>
      </c>
      <c r="R493" s="5" t="s">
        <v>179</v>
      </c>
      <c r="S493" s="5" t="s">
        <v>97</v>
      </c>
      <c r="T493" s="6">
        <v>3998.0</v>
      </c>
      <c r="U493" s="5">
        <f t="shared" si="6"/>
        <v>3998</v>
      </c>
      <c r="V493" s="5">
        <v>3998.0</v>
      </c>
    </row>
    <row r="494" ht="22.5" customHeight="1">
      <c r="A494" s="5" t="s">
        <v>1938</v>
      </c>
      <c r="B494" s="5" t="s">
        <v>1939</v>
      </c>
      <c r="C494" s="5" t="str">
        <f t="shared" si="1"/>
        <v>Josephine</v>
      </c>
      <c r="D494" s="5" t="s">
        <v>1939</v>
      </c>
      <c r="E494" s="5" t="s">
        <v>556</v>
      </c>
      <c r="F494" s="5" t="str">
        <f t="shared" si="2"/>
        <v>Jones</v>
      </c>
      <c r="G494" s="5" t="s">
        <v>556</v>
      </c>
      <c r="H494" s="6">
        <v>63.0</v>
      </c>
      <c r="I494" s="6">
        <f t="shared" si="3"/>
        <v>63</v>
      </c>
      <c r="J494" s="6">
        <v>63.0</v>
      </c>
      <c r="K494" s="6" t="str">
        <f t="shared" si="4"/>
        <v>Senior</v>
      </c>
      <c r="L494" s="6" t="s">
        <v>734</v>
      </c>
      <c r="M494" s="5" t="s">
        <v>45</v>
      </c>
      <c r="N494" s="5" t="str">
        <f t="shared" si="5"/>
        <v>Female</v>
      </c>
      <c r="O494" s="5" t="s">
        <v>105</v>
      </c>
      <c r="P494" s="5" t="s">
        <v>208</v>
      </c>
      <c r="Q494" s="5" t="s">
        <v>551</v>
      </c>
      <c r="R494" s="5" t="s">
        <v>83</v>
      </c>
      <c r="S494" s="5" t="s">
        <v>97</v>
      </c>
      <c r="T494" s="6">
        <v>3288.0</v>
      </c>
      <c r="U494" s="5">
        <f t="shared" si="6"/>
        <v>3288</v>
      </c>
      <c r="V494" s="5">
        <v>3288.0</v>
      </c>
    </row>
    <row r="495" ht="22.5" customHeight="1">
      <c r="A495" s="5" t="s">
        <v>1942</v>
      </c>
      <c r="B495" s="5" t="s">
        <v>343</v>
      </c>
      <c r="C495" s="5" t="str">
        <f t="shared" si="1"/>
        <v>Bob</v>
      </c>
      <c r="D495" s="5" t="s">
        <v>343</v>
      </c>
      <c r="E495" s="5" t="s">
        <v>495</v>
      </c>
      <c r="F495" s="5" t="str">
        <f t="shared" si="2"/>
        <v>Sharp</v>
      </c>
      <c r="G495" s="5" t="s">
        <v>495</v>
      </c>
      <c r="H495" s="6">
        <v>30.0</v>
      </c>
      <c r="I495" s="6">
        <f t="shared" si="3"/>
        <v>30</v>
      </c>
      <c r="J495" s="6">
        <v>30.0</v>
      </c>
      <c r="K495" s="6" t="str">
        <f t="shared" si="4"/>
        <v>Young Adult</v>
      </c>
      <c r="L495" s="6" t="s">
        <v>528</v>
      </c>
      <c r="M495" s="5" t="s">
        <v>80</v>
      </c>
      <c r="N495" s="5" t="str">
        <f t="shared" si="5"/>
        <v>Male</v>
      </c>
      <c r="O495" s="5" t="s">
        <v>152</v>
      </c>
      <c r="P495" s="5" t="s">
        <v>47</v>
      </c>
      <c r="Q495" s="5" t="s">
        <v>311</v>
      </c>
      <c r="R495" s="5" t="s">
        <v>546</v>
      </c>
      <c r="S495" s="5" t="s">
        <v>559</v>
      </c>
      <c r="T495" s="6">
        <v>2640.0</v>
      </c>
      <c r="U495" s="5">
        <f t="shared" si="6"/>
        <v>2640</v>
      </c>
      <c r="V495" s="5">
        <v>2640.0</v>
      </c>
    </row>
    <row r="496" ht="22.5" customHeight="1">
      <c r="A496" s="5" t="s">
        <v>1943</v>
      </c>
      <c r="B496" s="5" t="s">
        <v>1945</v>
      </c>
      <c r="C496" s="5" t="str">
        <f t="shared" si="1"/>
        <v>Vanessa</v>
      </c>
      <c r="D496" s="5" t="s">
        <v>1945</v>
      </c>
      <c r="E496" s="5" t="s">
        <v>148</v>
      </c>
      <c r="F496" s="5" t="str">
        <f t="shared" si="2"/>
        <v>Johnson</v>
      </c>
      <c r="G496" s="5" t="s">
        <v>148</v>
      </c>
      <c r="H496" s="6">
        <v>22.0</v>
      </c>
      <c r="I496" s="6">
        <f t="shared" si="3"/>
        <v>22</v>
      </c>
      <c r="J496" s="6">
        <v>22.0</v>
      </c>
      <c r="K496" s="6" t="str">
        <f t="shared" si="4"/>
        <v>Young Adult</v>
      </c>
      <c r="L496" s="6" t="s">
        <v>528</v>
      </c>
      <c r="M496" s="5" t="s">
        <v>28</v>
      </c>
      <c r="N496" s="5" t="str">
        <f t="shared" si="5"/>
        <v>Female</v>
      </c>
      <c r="O496" s="5" t="s">
        <v>105</v>
      </c>
      <c r="P496" s="5" t="s">
        <v>30</v>
      </c>
      <c r="Q496" s="5" t="s">
        <v>358</v>
      </c>
      <c r="R496" s="5" t="s">
        <v>561</v>
      </c>
      <c r="S496" s="5" t="s">
        <v>211</v>
      </c>
      <c r="T496" s="6">
        <v>3058.0</v>
      </c>
      <c r="U496" s="5">
        <f t="shared" si="6"/>
        <v>3058</v>
      </c>
      <c r="V496" s="5">
        <v>3058.0</v>
      </c>
    </row>
    <row r="497" ht="22.5" customHeight="1">
      <c r="A497" s="5" t="s">
        <v>1947</v>
      </c>
      <c r="B497" s="5" t="s">
        <v>307</v>
      </c>
      <c r="C497" s="5" t="str">
        <f t="shared" si="1"/>
        <v>Hannah</v>
      </c>
      <c r="D497" s="5" t="s">
        <v>307</v>
      </c>
      <c r="E497" s="5" t="s">
        <v>254</v>
      </c>
      <c r="F497" s="5" t="str">
        <f t="shared" si="2"/>
        <v>Doe</v>
      </c>
      <c r="G497" s="5" t="s">
        <v>254</v>
      </c>
      <c r="H497" s="6">
        <v>68.0</v>
      </c>
      <c r="I497" s="6">
        <f t="shared" si="3"/>
        <v>68</v>
      </c>
      <c r="J497" s="6">
        <v>68.0</v>
      </c>
      <c r="K497" s="6" t="str">
        <f t="shared" si="4"/>
        <v>Senior</v>
      </c>
      <c r="L497" s="6" t="s">
        <v>734</v>
      </c>
      <c r="M497" s="5" t="s">
        <v>28</v>
      </c>
      <c r="N497" s="5" t="str">
        <f t="shared" si="5"/>
        <v>Female</v>
      </c>
      <c r="O497" s="5" t="s">
        <v>105</v>
      </c>
      <c r="P497" s="5" t="s">
        <v>364</v>
      </c>
      <c r="Q497" s="5" t="s">
        <v>551</v>
      </c>
      <c r="R497" s="5" t="s">
        <v>83</v>
      </c>
      <c r="S497" s="5" t="s">
        <v>97</v>
      </c>
      <c r="T497" s="6">
        <v>3717.0</v>
      </c>
      <c r="U497" s="5">
        <f t="shared" si="6"/>
        <v>3717</v>
      </c>
      <c r="V497" s="5">
        <v>3717.0</v>
      </c>
    </row>
    <row r="498" ht="22.5" customHeight="1">
      <c r="A498" s="5" t="s">
        <v>1950</v>
      </c>
      <c r="B498" s="5" t="s">
        <v>1951</v>
      </c>
      <c r="C498" s="5" t="str">
        <f t="shared" si="1"/>
        <v>Victoria</v>
      </c>
      <c r="D498" s="5" t="s">
        <v>1951</v>
      </c>
      <c r="E498" s="5" t="s">
        <v>1952</v>
      </c>
      <c r="F498" s="5" t="str">
        <f t="shared" si="2"/>
        <v>Richardson</v>
      </c>
      <c r="G498" s="5" t="s">
        <v>629</v>
      </c>
      <c r="H498" s="6">
        <v>59.0</v>
      </c>
      <c r="I498" s="6">
        <f t="shared" si="3"/>
        <v>59</v>
      </c>
      <c r="J498" s="6">
        <v>59.0</v>
      </c>
      <c r="K498" s="6" t="str">
        <f t="shared" si="4"/>
        <v>Middle Age</v>
      </c>
      <c r="L498" s="6" t="s">
        <v>591</v>
      </c>
      <c r="M498" s="5" t="s">
        <v>45</v>
      </c>
      <c r="N498" s="5" t="str">
        <f t="shared" si="5"/>
        <v>Female</v>
      </c>
      <c r="O498" s="5" t="s">
        <v>105</v>
      </c>
      <c r="P498" s="5" t="s">
        <v>131</v>
      </c>
      <c r="Q498" s="5" t="s">
        <v>470</v>
      </c>
      <c r="R498" s="5" t="s">
        <v>179</v>
      </c>
      <c r="S498" s="5" t="s">
        <v>222</v>
      </c>
      <c r="T498" s="6">
        <v>2367.0</v>
      </c>
      <c r="U498" s="5">
        <f t="shared" si="6"/>
        <v>2367</v>
      </c>
      <c r="V498" s="5">
        <v>2367.0</v>
      </c>
    </row>
    <row r="499" ht="22.5" customHeight="1">
      <c r="A499" s="5" t="s">
        <v>1954</v>
      </c>
      <c r="B499" s="5" t="s">
        <v>307</v>
      </c>
      <c r="C499" s="5" t="str">
        <f t="shared" si="1"/>
        <v>Hannah</v>
      </c>
      <c r="D499" s="5" t="s">
        <v>307</v>
      </c>
      <c r="E499" s="5" t="s">
        <v>25</v>
      </c>
      <c r="F499" s="5" t="str">
        <f t="shared" si="2"/>
        <v>Garcia</v>
      </c>
      <c r="G499" s="5" t="s">
        <v>25</v>
      </c>
      <c r="H499" s="6">
        <v>61.0</v>
      </c>
      <c r="I499" s="6">
        <f t="shared" si="3"/>
        <v>61</v>
      </c>
      <c r="J499" s="6">
        <v>61.0</v>
      </c>
      <c r="K499" s="6" t="str">
        <f t="shared" si="4"/>
        <v>Senior</v>
      </c>
      <c r="L499" s="6" t="s">
        <v>734</v>
      </c>
      <c r="M499" s="5" t="s">
        <v>45</v>
      </c>
      <c r="N499" s="5" t="str">
        <f t="shared" si="5"/>
        <v>Female</v>
      </c>
      <c r="O499" s="5" t="s">
        <v>105</v>
      </c>
      <c r="P499" s="5" t="s">
        <v>47</v>
      </c>
      <c r="Q499" s="5" t="s">
        <v>311</v>
      </c>
      <c r="R499" s="5" t="s">
        <v>96</v>
      </c>
      <c r="S499" s="5" t="s">
        <v>97</v>
      </c>
      <c r="T499" s="6">
        <v>1024.0</v>
      </c>
      <c r="U499" s="5">
        <f t="shared" si="6"/>
        <v>1024</v>
      </c>
      <c r="V499" s="5">
        <v>1024.0</v>
      </c>
    </row>
    <row r="500" ht="22.5" customHeight="1">
      <c r="A500" s="5" t="s">
        <v>1957</v>
      </c>
      <c r="B500" s="5" t="s">
        <v>1951</v>
      </c>
      <c r="C500" s="5" t="str">
        <f t="shared" si="1"/>
        <v>Victoria</v>
      </c>
      <c r="D500" s="5" t="s">
        <v>1951</v>
      </c>
      <c r="E500" s="5" t="s">
        <v>1322</v>
      </c>
      <c r="F500" s="5" t="str">
        <f t="shared" si="2"/>
        <v>Jiang</v>
      </c>
      <c r="G500" s="5" t="s">
        <v>1322</v>
      </c>
      <c r="H500" s="6">
        <v>36.0</v>
      </c>
      <c r="I500" s="6">
        <f t="shared" si="3"/>
        <v>36</v>
      </c>
      <c r="J500" s="6">
        <v>36.0</v>
      </c>
      <c r="K500" s="6" t="str">
        <f t="shared" si="4"/>
        <v>Young Adult</v>
      </c>
      <c r="L500" s="6" t="s">
        <v>528</v>
      </c>
      <c r="M500" s="5" t="s">
        <v>45</v>
      </c>
      <c r="N500" s="5" t="str">
        <f t="shared" si="5"/>
        <v>Female</v>
      </c>
      <c r="O500" s="5" t="s">
        <v>105</v>
      </c>
      <c r="P500" s="5" t="s">
        <v>47</v>
      </c>
      <c r="Q500" s="5" t="s">
        <v>637</v>
      </c>
      <c r="R500" s="5" t="s">
        <v>546</v>
      </c>
      <c r="S500" s="5" t="s">
        <v>559</v>
      </c>
      <c r="T500" s="6">
        <v>3444.0</v>
      </c>
      <c r="U500" s="5">
        <f t="shared" si="6"/>
        <v>3444</v>
      </c>
      <c r="V500" s="5">
        <v>3444.0</v>
      </c>
    </row>
    <row r="501" ht="22.5" customHeight="1">
      <c r="A501" s="5" t="s">
        <v>1959</v>
      </c>
      <c r="B501" s="5" t="s">
        <v>89</v>
      </c>
      <c r="C501" s="5" t="str">
        <f t="shared" si="1"/>
        <v>Wendy</v>
      </c>
      <c r="D501" s="5" t="s">
        <v>89</v>
      </c>
      <c r="E501" s="5" t="s">
        <v>216</v>
      </c>
      <c r="F501" s="5" t="str">
        <f t="shared" si="2"/>
        <v>Williams</v>
      </c>
      <c r="G501" s="5" t="s">
        <v>216</v>
      </c>
      <c r="H501" s="6">
        <v>999.0</v>
      </c>
      <c r="I501" s="6">
        <f t="shared" si="3"/>
        <v>999</v>
      </c>
      <c r="J501" s="6"/>
      <c r="K501" s="6" t="str">
        <f t="shared" si="4"/>
        <v>Unknown</v>
      </c>
      <c r="L501" s="6" t="s">
        <v>1081</v>
      </c>
      <c r="M501" s="5" t="s">
        <v>28</v>
      </c>
      <c r="N501" s="5" t="str">
        <f t="shared" si="5"/>
        <v>Female</v>
      </c>
      <c r="O501" s="5" t="s">
        <v>105</v>
      </c>
      <c r="P501" s="5" t="s">
        <v>30</v>
      </c>
      <c r="Q501" s="5" t="s">
        <v>358</v>
      </c>
      <c r="R501" s="5" t="s">
        <v>561</v>
      </c>
      <c r="S501" s="5" t="s">
        <v>97</v>
      </c>
      <c r="T501" s="6">
        <v>1185.0</v>
      </c>
      <c r="U501" s="5">
        <f t="shared" si="6"/>
        <v>1185</v>
      </c>
      <c r="V501" s="5">
        <v>1185.0</v>
      </c>
    </row>
    <row r="502" ht="22.5" customHeight="1">
      <c r="A502" s="5" t="s">
        <v>1962</v>
      </c>
      <c r="B502" s="5" t="s">
        <v>625</v>
      </c>
      <c r="C502" s="5" t="str">
        <f t="shared" si="1"/>
        <v>Mary</v>
      </c>
      <c r="D502" s="5" t="s">
        <v>625</v>
      </c>
      <c r="E502" s="5" t="s">
        <v>25</v>
      </c>
      <c r="F502" s="5" t="str">
        <f t="shared" si="2"/>
        <v>Garcia</v>
      </c>
      <c r="G502" s="5" t="s">
        <v>25</v>
      </c>
      <c r="H502" s="6">
        <v>30.0</v>
      </c>
      <c r="I502" s="6">
        <f t="shared" si="3"/>
        <v>30</v>
      </c>
      <c r="J502" s="6">
        <v>30.0</v>
      </c>
      <c r="K502" s="6" t="str">
        <f t="shared" si="4"/>
        <v>Young Adult</v>
      </c>
      <c r="L502" s="6" t="s">
        <v>528</v>
      </c>
      <c r="M502" s="5" t="s">
        <v>105</v>
      </c>
      <c r="N502" s="5" t="str">
        <f t="shared" si="5"/>
        <v>Female</v>
      </c>
      <c r="O502" s="5" t="s">
        <v>105</v>
      </c>
      <c r="P502" s="5" t="s">
        <v>401</v>
      </c>
      <c r="Q502" s="5" t="s">
        <v>470</v>
      </c>
      <c r="R502" s="5" t="s">
        <v>179</v>
      </c>
      <c r="S502" s="5" t="s">
        <v>559</v>
      </c>
      <c r="T502" s="6">
        <v>4085.0</v>
      </c>
      <c r="U502" s="5">
        <f t="shared" si="6"/>
        <v>4085</v>
      </c>
      <c r="V502" s="5">
        <v>4085.0</v>
      </c>
    </row>
    <row r="503" ht="22.5" customHeight="1">
      <c r="A503" s="5" t="s">
        <v>1964</v>
      </c>
      <c r="B503" s="5" t="s">
        <v>350</v>
      </c>
      <c r="C503" s="5" t="str">
        <f t="shared" si="1"/>
        <v>Lisa</v>
      </c>
      <c r="D503" s="5" t="s">
        <v>1583</v>
      </c>
      <c r="E503" s="5" t="s">
        <v>244</v>
      </c>
      <c r="F503" s="5" t="str">
        <f t="shared" si="2"/>
        <v>Jackson</v>
      </c>
      <c r="G503" s="5" t="s">
        <v>244</v>
      </c>
      <c r="H503" s="6">
        <v>26.0</v>
      </c>
      <c r="I503" s="6">
        <f t="shared" si="3"/>
        <v>26</v>
      </c>
      <c r="J503" s="6">
        <v>26.0</v>
      </c>
      <c r="K503" s="6" t="str">
        <f t="shared" si="4"/>
        <v>Young Adult</v>
      </c>
      <c r="L503" s="6" t="s">
        <v>528</v>
      </c>
      <c r="M503" s="5" t="s">
        <v>28</v>
      </c>
      <c r="N503" s="5" t="str">
        <f t="shared" si="5"/>
        <v>Female</v>
      </c>
      <c r="O503" s="5" t="s">
        <v>105</v>
      </c>
      <c r="P503" s="5" t="s">
        <v>393</v>
      </c>
      <c r="Q503" s="5" t="s">
        <v>418</v>
      </c>
      <c r="R503" s="5" t="s">
        <v>210</v>
      </c>
      <c r="S503" s="5" t="s">
        <v>222</v>
      </c>
      <c r="T503" s="6">
        <v>154.0</v>
      </c>
      <c r="U503" s="5">
        <f t="shared" si="6"/>
        <v>154</v>
      </c>
      <c r="V503" s="5">
        <v>154.0</v>
      </c>
    </row>
    <row r="504" ht="22.5" customHeight="1">
      <c r="A504" s="5" t="s">
        <v>1966</v>
      </c>
      <c r="B504" s="5" t="s">
        <v>343</v>
      </c>
      <c r="C504" s="5" t="str">
        <f t="shared" si="1"/>
        <v>Bob</v>
      </c>
      <c r="D504" s="5" t="s">
        <v>343</v>
      </c>
      <c r="E504" s="5" t="s">
        <v>254</v>
      </c>
      <c r="F504" s="5" t="str">
        <f t="shared" si="2"/>
        <v>Doe</v>
      </c>
      <c r="G504" s="5" t="s">
        <v>254</v>
      </c>
      <c r="H504" s="6">
        <v>50.0</v>
      </c>
      <c r="I504" s="6">
        <f t="shared" si="3"/>
        <v>50</v>
      </c>
      <c r="J504" s="6">
        <v>50.0</v>
      </c>
      <c r="K504" s="6" t="str">
        <f t="shared" si="4"/>
        <v>Middle Age</v>
      </c>
      <c r="L504" s="6" t="s">
        <v>591</v>
      </c>
      <c r="M504" s="5" t="s">
        <v>152</v>
      </c>
      <c r="N504" s="5" t="str">
        <f t="shared" si="5"/>
        <v>Male</v>
      </c>
      <c r="O504" s="5" t="s">
        <v>152</v>
      </c>
      <c r="P504" s="5" t="s">
        <v>393</v>
      </c>
      <c r="Q504" s="5" t="s">
        <v>482</v>
      </c>
      <c r="R504" s="5" t="s">
        <v>179</v>
      </c>
      <c r="S504" s="5" t="s">
        <v>222</v>
      </c>
      <c r="T504" s="6">
        <v>1892.0</v>
      </c>
      <c r="U504" s="5">
        <f t="shared" si="6"/>
        <v>1892</v>
      </c>
      <c r="V504" s="5">
        <v>1892.0</v>
      </c>
    </row>
    <row r="505" ht="22.5" customHeight="1">
      <c r="A505" s="5" t="s">
        <v>1968</v>
      </c>
      <c r="B505" s="5" t="s">
        <v>307</v>
      </c>
      <c r="C505" s="5" t="str">
        <f t="shared" si="1"/>
        <v>Hannah</v>
      </c>
      <c r="D505" s="5" t="s">
        <v>307</v>
      </c>
      <c r="E505" s="5" t="s">
        <v>254</v>
      </c>
      <c r="F505" s="5" t="str">
        <f t="shared" si="2"/>
        <v>Doe</v>
      </c>
      <c r="G505" s="5" t="s">
        <v>254</v>
      </c>
      <c r="H505" s="6">
        <v>32.0</v>
      </c>
      <c r="I505" s="6">
        <f t="shared" si="3"/>
        <v>32</v>
      </c>
      <c r="J505" s="6">
        <v>32.0</v>
      </c>
      <c r="K505" s="6" t="str">
        <f t="shared" si="4"/>
        <v>Young Adult</v>
      </c>
      <c r="L505" s="6" t="s">
        <v>528</v>
      </c>
      <c r="M505" s="5" t="s">
        <v>105</v>
      </c>
      <c r="N505" s="5" t="str">
        <f t="shared" si="5"/>
        <v>Female</v>
      </c>
      <c r="O505" s="5" t="s">
        <v>105</v>
      </c>
      <c r="P505" s="5" t="s">
        <v>64</v>
      </c>
      <c r="Q505" s="5" t="s">
        <v>470</v>
      </c>
      <c r="R505" s="5" t="s">
        <v>179</v>
      </c>
      <c r="S505" s="5" t="s">
        <v>52</v>
      </c>
      <c r="T505" s="6">
        <v>4352.0</v>
      </c>
      <c r="U505" s="5">
        <f t="shared" si="6"/>
        <v>4352</v>
      </c>
      <c r="V505" s="5">
        <v>4352.0</v>
      </c>
    </row>
    <row r="506" ht="22.5" customHeight="1">
      <c r="A506" s="5" t="s">
        <v>1971</v>
      </c>
      <c r="B506" s="5" t="s">
        <v>486</v>
      </c>
      <c r="C506" s="5" t="str">
        <f t="shared" si="1"/>
        <v>Michelle</v>
      </c>
      <c r="D506" s="5" t="s">
        <v>620</v>
      </c>
      <c r="E506" s="5" t="s">
        <v>76</v>
      </c>
      <c r="F506" s="5" t="str">
        <f t="shared" si="2"/>
        <v>Brown</v>
      </c>
      <c r="G506" s="5" t="s">
        <v>76</v>
      </c>
      <c r="H506" s="6">
        <v>55.0</v>
      </c>
      <c r="I506" s="6">
        <f t="shared" si="3"/>
        <v>55</v>
      </c>
      <c r="J506" s="6">
        <v>55.0</v>
      </c>
      <c r="K506" s="6" t="str">
        <f t="shared" si="4"/>
        <v>Middle Age</v>
      </c>
      <c r="L506" s="6" t="s">
        <v>591</v>
      </c>
      <c r="M506" s="5" t="s">
        <v>45</v>
      </c>
      <c r="N506" s="5" t="str">
        <f t="shared" si="5"/>
        <v>Female</v>
      </c>
      <c r="O506" s="5" t="s">
        <v>105</v>
      </c>
      <c r="P506" s="5" t="s">
        <v>141</v>
      </c>
      <c r="Q506" s="5" t="s">
        <v>164</v>
      </c>
      <c r="R506" s="5" t="s">
        <v>452</v>
      </c>
      <c r="S506" s="5" t="s">
        <v>559</v>
      </c>
      <c r="T506" s="6">
        <v>4048.0</v>
      </c>
      <c r="U506" s="5">
        <f t="shared" si="6"/>
        <v>4048</v>
      </c>
      <c r="V506" s="5">
        <v>4048.0</v>
      </c>
    </row>
    <row r="507" ht="22.5" customHeight="1">
      <c r="A507" s="5" t="s">
        <v>1973</v>
      </c>
      <c r="B507" s="5" t="s">
        <v>1974</v>
      </c>
      <c r="C507" s="5" t="str">
        <f t="shared" si="1"/>
        <v>Tim</v>
      </c>
      <c r="D507" s="5" t="s">
        <v>3109</v>
      </c>
      <c r="E507" s="5" t="s">
        <v>254</v>
      </c>
      <c r="F507" s="5" t="str">
        <f t="shared" si="2"/>
        <v>Doe</v>
      </c>
      <c r="G507" s="5" t="s">
        <v>254</v>
      </c>
      <c r="H507" s="6">
        <v>82.0</v>
      </c>
      <c r="I507" s="6">
        <f t="shared" si="3"/>
        <v>82</v>
      </c>
      <c r="J507" s="6">
        <v>82.0</v>
      </c>
      <c r="K507" s="6" t="str">
        <f t="shared" si="4"/>
        <v>Senior</v>
      </c>
      <c r="L507" s="6" t="s">
        <v>734</v>
      </c>
      <c r="M507" s="5" t="s">
        <v>80</v>
      </c>
      <c r="N507" s="5" t="str">
        <f t="shared" si="5"/>
        <v>Male</v>
      </c>
      <c r="O507" s="5" t="s">
        <v>152</v>
      </c>
      <c r="P507" s="5" t="s">
        <v>393</v>
      </c>
      <c r="Q507" s="5" t="s">
        <v>230</v>
      </c>
      <c r="R507" s="5" t="s">
        <v>452</v>
      </c>
      <c r="S507" s="5" t="s">
        <v>97</v>
      </c>
      <c r="T507" s="6">
        <v>3271.0</v>
      </c>
      <c r="U507" s="5">
        <f t="shared" si="6"/>
        <v>3271</v>
      </c>
      <c r="V507" s="5">
        <v>3271.0</v>
      </c>
    </row>
    <row r="508" ht="22.5" customHeight="1">
      <c r="A508" s="5" t="s">
        <v>1977</v>
      </c>
      <c r="B508" s="5" t="s">
        <v>183</v>
      </c>
      <c r="C508" s="5" t="str">
        <f t="shared" si="1"/>
        <v>Victor</v>
      </c>
      <c r="D508" s="5" t="s">
        <v>183</v>
      </c>
      <c r="E508" s="5" t="s">
        <v>128</v>
      </c>
      <c r="F508" s="5" t="str">
        <f t="shared" si="2"/>
        <v>Rodriguez</v>
      </c>
      <c r="G508" s="5" t="s">
        <v>128</v>
      </c>
      <c r="H508" s="6">
        <v>72.0</v>
      </c>
      <c r="I508" s="6">
        <f t="shared" si="3"/>
        <v>72</v>
      </c>
      <c r="J508" s="6">
        <v>72.0</v>
      </c>
      <c r="K508" s="6" t="str">
        <f t="shared" si="4"/>
        <v>Senior</v>
      </c>
      <c r="L508" s="6" t="s">
        <v>734</v>
      </c>
      <c r="M508" s="5" t="s">
        <v>152</v>
      </c>
      <c r="N508" s="5" t="str">
        <f t="shared" si="5"/>
        <v>Male</v>
      </c>
      <c r="O508" s="5" t="s">
        <v>152</v>
      </c>
      <c r="P508" s="5" t="s">
        <v>107</v>
      </c>
      <c r="Q508" s="5" t="s">
        <v>669</v>
      </c>
      <c r="R508" s="5" t="s">
        <v>452</v>
      </c>
      <c r="S508" s="5" t="s">
        <v>97</v>
      </c>
      <c r="T508" s="6">
        <v>2782.0</v>
      </c>
      <c r="U508" s="5">
        <f t="shared" si="6"/>
        <v>2782</v>
      </c>
      <c r="V508" s="5">
        <v>2782.0</v>
      </c>
    </row>
    <row r="509" ht="22.5" customHeight="1">
      <c r="A509" s="5" t="s">
        <v>1979</v>
      </c>
      <c r="B509" s="5" t="s">
        <v>127</v>
      </c>
      <c r="C509" s="5" t="str">
        <f t="shared" si="1"/>
        <v>John</v>
      </c>
      <c r="D509" s="5" t="s">
        <v>127</v>
      </c>
      <c r="E509" s="5" t="s">
        <v>90</v>
      </c>
      <c r="F509" s="5" t="str">
        <f t="shared" si="2"/>
        <v>Davis</v>
      </c>
      <c r="G509" s="5" t="s">
        <v>90</v>
      </c>
      <c r="H509" s="6">
        <v>29.0</v>
      </c>
      <c r="I509" s="6">
        <f t="shared" si="3"/>
        <v>29</v>
      </c>
      <c r="J509" s="6">
        <v>29.0</v>
      </c>
      <c r="K509" s="6" t="str">
        <f t="shared" si="4"/>
        <v>Young Adult</v>
      </c>
      <c r="L509" s="6" t="s">
        <v>528</v>
      </c>
      <c r="M509" s="5" t="s">
        <v>80</v>
      </c>
      <c r="N509" s="5" t="str">
        <f t="shared" si="5"/>
        <v>Male</v>
      </c>
      <c r="O509" s="5" t="s">
        <v>152</v>
      </c>
      <c r="P509" s="5" t="s">
        <v>107</v>
      </c>
      <c r="Q509" s="5" t="s">
        <v>377</v>
      </c>
      <c r="R509" s="5" t="s">
        <v>96</v>
      </c>
      <c r="S509" s="5" t="s">
        <v>559</v>
      </c>
      <c r="T509" s="6">
        <v>896.0</v>
      </c>
      <c r="U509" s="5">
        <f t="shared" si="6"/>
        <v>896</v>
      </c>
      <c r="V509" s="5">
        <v>896.0</v>
      </c>
    </row>
    <row r="510" ht="22.5" customHeight="1">
      <c r="A510" s="5" t="s">
        <v>1982</v>
      </c>
      <c r="B510" s="5" t="s">
        <v>343</v>
      </c>
      <c r="C510" s="5" t="str">
        <f t="shared" si="1"/>
        <v>Bob</v>
      </c>
      <c r="D510" s="5" t="s">
        <v>343</v>
      </c>
      <c r="E510" s="5" t="s">
        <v>526</v>
      </c>
      <c r="F510" s="5" t="str">
        <f t="shared" si="2"/>
        <v>Davidson</v>
      </c>
      <c r="G510" s="5" t="s">
        <v>526</v>
      </c>
      <c r="H510" s="6">
        <v>83.0</v>
      </c>
      <c r="I510" s="6">
        <f t="shared" si="3"/>
        <v>83</v>
      </c>
      <c r="J510" s="6">
        <v>83.0</v>
      </c>
      <c r="K510" s="6" t="str">
        <f t="shared" si="4"/>
        <v>Senior</v>
      </c>
      <c r="L510" s="6" t="s">
        <v>734</v>
      </c>
      <c r="M510" s="5" t="s">
        <v>130</v>
      </c>
      <c r="N510" s="5" t="str">
        <f t="shared" si="5"/>
        <v>Male</v>
      </c>
      <c r="O510" s="5" t="s">
        <v>152</v>
      </c>
      <c r="P510" s="5" t="s">
        <v>107</v>
      </c>
      <c r="Q510" s="5" t="s">
        <v>436</v>
      </c>
      <c r="R510" s="5" t="s">
        <v>561</v>
      </c>
      <c r="S510" s="5" t="s">
        <v>97</v>
      </c>
      <c r="T510" s="6">
        <v>3293.0</v>
      </c>
      <c r="U510" s="5">
        <f t="shared" si="6"/>
        <v>3293</v>
      </c>
      <c r="V510" s="5">
        <v>3293.0</v>
      </c>
    </row>
    <row r="511" ht="22.5" customHeight="1">
      <c r="A511" s="5" t="s">
        <v>1984</v>
      </c>
      <c r="B511" s="5" t="s">
        <v>411</v>
      </c>
      <c r="C511" s="5" t="str">
        <f t="shared" si="1"/>
        <v>Jane</v>
      </c>
      <c r="D511" s="5" t="s">
        <v>411</v>
      </c>
      <c r="E511" s="5" t="s">
        <v>1540</v>
      </c>
      <c r="F511" s="5" t="str">
        <f t="shared" si="2"/>
        <v>Lopez</v>
      </c>
      <c r="G511" s="5" t="s">
        <v>42</v>
      </c>
      <c r="H511" s="6">
        <v>68.0</v>
      </c>
      <c r="I511" s="6">
        <f t="shared" si="3"/>
        <v>68</v>
      </c>
      <c r="J511" s="6">
        <v>68.0</v>
      </c>
      <c r="K511" s="6" t="str">
        <f t="shared" si="4"/>
        <v>Senior</v>
      </c>
      <c r="L511" s="6" t="s">
        <v>734</v>
      </c>
      <c r="M511" s="5" t="s">
        <v>45</v>
      </c>
      <c r="N511" s="5" t="str">
        <f t="shared" si="5"/>
        <v>Female</v>
      </c>
      <c r="O511" s="5" t="s">
        <v>105</v>
      </c>
      <c r="P511" s="5" t="s">
        <v>64</v>
      </c>
      <c r="Q511" s="5" t="s">
        <v>164</v>
      </c>
      <c r="R511" s="5" t="s">
        <v>96</v>
      </c>
      <c r="S511" s="5" t="s">
        <v>97</v>
      </c>
      <c r="T511" s="6">
        <v>460.0</v>
      </c>
      <c r="U511" s="5">
        <f t="shared" si="6"/>
        <v>460</v>
      </c>
      <c r="V511" s="5">
        <v>460.0</v>
      </c>
    </row>
    <row r="512" ht="22.5" customHeight="1">
      <c r="A512" s="5" t="s">
        <v>1987</v>
      </c>
      <c r="B512" s="5" t="s">
        <v>1415</v>
      </c>
      <c r="C512" s="5" t="str">
        <f t="shared" si="1"/>
        <v>Ryan</v>
      </c>
      <c r="D512" s="5" t="s">
        <v>827</v>
      </c>
      <c r="E512" s="5" t="s">
        <v>90</v>
      </c>
      <c r="F512" s="5" t="str">
        <f t="shared" si="2"/>
        <v>Davis</v>
      </c>
      <c r="G512" s="5" t="s">
        <v>90</v>
      </c>
      <c r="H512" s="8"/>
      <c r="I512" s="8">
        <f t="shared" si="3"/>
        <v>0</v>
      </c>
      <c r="J512" s="8"/>
      <c r="K512" s="8" t="str">
        <f t="shared" si="4"/>
        <v>Unknown</v>
      </c>
      <c r="L512" s="8" t="s">
        <v>1081</v>
      </c>
      <c r="M512" s="5" t="s">
        <v>152</v>
      </c>
      <c r="N512" s="5" t="str">
        <f t="shared" si="5"/>
        <v>Male</v>
      </c>
      <c r="O512" s="5" t="s">
        <v>152</v>
      </c>
      <c r="P512" s="5" t="s">
        <v>401</v>
      </c>
      <c r="Q512" s="5" t="s">
        <v>1290</v>
      </c>
      <c r="R512" s="5" t="s">
        <v>533</v>
      </c>
      <c r="S512" s="5" t="s">
        <v>52</v>
      </c>
      <c r="T512" s="6">
        <v>875.0</v>
      </c>
      <c r="U512" s="5">
        <f t="shared" si="6"/>
        <v>875</v>
      </c>
      <c r="V512" s="5">
        <v>875.0</v>
      </c>
    </row>
    <row r="513" ht="22.5" customHeight="1">
      <c r="A513" s="5" t="s">
        <v>1990</v>
      </c>
      <c r="B513" s="5" t="s">
        <v>1991</v>
      </c>
      <c r="C513" s="5" t="str">
        <f t="shared" si="1"/>
        <v>Jack</v>
      </c>
      <c r="D513" s="5" t="s">
        <v>1186</v>
      </c>
      <c r="E513" s="5" t="s">
        <v>264</v>
      </c>
      <c r="F513" s="5" t="str">
        <f t="shared" si="2"/>
        <v>Wu</v>
      </c>
      <c r="G513" s="5" t="s">
        <v>264</v>
      </c>
      <c r="H513" s="6">
        <v>46.0</v>
      </c>
      <c r="I513" s="6">
        <f t="shared" si="3"/>
        <v>46</v>
      </c>
      <c r="J513" s="6">
        <v>46.0</v>
      </c>
      <c r="K513" s="6" t="str">
        <f t="shared" si="4"/>
        <v>Middle Age</v>
      </c>
      <c r="L513" s="6" t="s">
        <v>591</v>
      </c>
      <c r="M513" s="5" t="s">
        <v>152</v>
      </c>
      <c r="N513" s="5" t="str">
        <f t="shared" si="5"/>
        <v>Male</v>
      </c>
      <c r="O513" s="5" t="s">
        <v>152</v>
      </c>
      <c r="P513" s="5" t="s">
        <v>30</v>
      </c>
      <c r="Q513" s="5" t="s">
        <v>418</v>
      </c>
      <c r="R513" s="5" t="s">
        <v>210</v>
      </c>
      <c r="S513" s="5" t="s">
        <v>222</v>
      </c>
      <c r="T513" s="6">
        <v>976.0</v>
      </c>
      <c r="U513" s="5">
        <f t="shared" si="6"/>
        <v>976</v>
      </c>
      <c r="V513" s="5">
        <v>976.0</v>
      </c>
    </row>
    <row r="514" ht="22.5" customHeight="1">
      <c r="A514" s="5" t="s">
        <v>1994</v>
      </c>
      <c r="B514" s="5" t="s">
        <v>1199</v>
      </c>
      <c r="C514" s="5" t="str">
        <f t="shared" si="1"/>
        <v>Betty</v>
      </c>
      <c r="D514" s="5" t="s">
        <v>323</v>
      </c>
      <c r="E514" s="5" t="s">
        <v>428</v>
      </c>
      <c r="F514" s="5" t="str">
        <f t="shared" si="2"/>
        <v>Bush</v>
      </c>
      <c r="G514" s="5" t="s">
        <v>428</v>
      </c>
      <c r="H514" s="6">
        <v>66.0</v>
      </c>
      <c r="I514" s="6">
        <f t="shared" si="3"/>
        <v>66</v>
      </c>
      <c r="J514" s="6">
        <v>66.0</v>
      </c>
      <c r="K514" s="6" t="str">
        <f t="shared" si="4"/>
        <v>Senior</v>
      </c>
      <c r="L514" s="6" t="s">
        <v>734</v>
      </c>
      <c r="M514" s="5" t="s">
        <v>105</v>
      </c>
      <c r="N514" s="5" t="str">
        <f t="shared" si="5"/>
        <v>Female</v>
      </c>
      <c r="O514" s="5" t="s">
        <v>105</v>
      </c>
      <c r="P514" s="5" t="s">
        <v>107</v>
      </c>
      <c r="Q514" s="5" t="s">
        <v>377</v>
      </c>
      <c r="R514" s="5" t="s">
        <v>402</v>
      </c>
      <c r="S514" s="5" t="s">
        <v>97</v>
      </c>
      <c r="T514" s="6">
        <v>2336.0</v>
      </c>
      <c r="U514" s="5">
        <f t="shared" si="6"/>
        <v>2336</v>
      </c>
      <c r="V514" s="5">
        <v>2336.0</v>
      </c>
    </row>
    <row r="515" ht="22.5" customHeight="1">
      <c r="A515" s="5" t="s">
        <v>1997</v>
      </c>
      <c r="B515" s="5" t="s">
        <v>343</v>
      </c>
      <c r="C515" s="5" t="str">
        <f t="shared" si="1"/>
        <v>Bob</v>
      </c>
      <c r="D515" s="5" t="s">
        <v>343</v>
      </c>
      <c r="E515" s="5" t="s">
        <v>556</v>
      </c>
      <c r="F515" s="5" t="str">
        <f t="shared" si="2"/>
        <v>Jones</v>
      </c>
      <c r="G515" s="5" t="s">
        <v>556</v>
      </c>
      <c r="H515" s="6">
        <v>36.0</v>
      </c>
      <c r="I515" s="6">
        <f t="shared" si="3"/>
        <v>36</v>
      </c>
      <c r="J515" s="6">
        <v>36.0</v>
      </c>
      <c r="K515" s="6" t="str">
        <f t="shared" si="4"/>
        <v>Young Adult</v>
      </c>
      <c r="L515" s="6" t="s">
        <v>528</v>
      </c>
      <c r="M515" s="5" t="s">
        <v>152</v>
      </c>
      <c r="N515" s="5" t="str">
        <f t="shared" si="5"/>
        <v>Male</v>
      </c>
      <c r="O515" s="5" t="s">
        <v>152</v>
      </c>
      <c r="P515" s="5" t="s">
        <v>30</v>
      </c>
      <c r="Q515" s="5" t="s">
        <v>164</v>
      </c>
      <c r="R515" s="5" t="s">
        <v>96</v>
      </c>
      <c r="S515" s="5" t="s">
        <v>222</v>
      </c>
      <c r="T515" s="6">
        <v>660.0</v>
      </c>
      <c r="U515" s="5">
        <f t="shared" si="6"/>
        <v>660</v>
      </c>
      <c r="V515" s="5">
        <v>660.0</v>
      </c>
    </row>
    <row r="516" ht="22.5" customHeight="1">
      <c r="A516" s="5" t="s">
        <v>1999</v>
      </c>
      <c r="B516" s="5" t="s">
        <v>343</v>
      </c>
      <c r="C516" s="5" t="str">
        <f t="shared" si="1"/>
        <v>Bob</v>
      </c>
      <c r="D516" s="5" t="s">
        <v>343</v>
      </c>
      <c r="E516" s="5" t="s">
        <v>90</v>
      </c>
      <c r="F516" s="5" t="str">
        <f t="shared" si="2"/>
        <v>Davis</v>
      </c>
      <c r="G516" s="5" t="s">
        <v>90</v>
      </c>
      <c r="H516" s="6">
        <v>42.0</v>
      </c>
      <c r="I516" s="6">
        <f t="shared" si="3"/>
        <v>42</v>
      </c>
      <c r="J516" s="6">
        <v>42.0</v>
      </c>
      <c r="K516" s="6" t="str">
        <f t="shared" si="4"/>
        <v>Middle Age</v>
      </c>
      <c r="L516" s="6" t="s">
        <v>591</v>
      </c>
      <c r="M516" s="5" t="s">
        <v>130</v>
      </c>
      <c r="N516" s="5" t="str">
        <f t="shared" si="5"/>
        <v>Male</v>
      </c>
      <c r="O516" s="5" t="s">
        <v>152</v>
      </c>
      <c r="P516" s="5" t="s">
        <v>141</v>
      </c>
      <c r="Q516" s="5" t="s">
        <v>482</v>
      </c>
      <c r="R516" s="5" t="s">
        <v>179</v>
      </c>
      <c r="S516" s="5" t="s">
        <v>559</v>
      </c>
      <c r="T516" s="6">
        <v>4101.0</v>
      </c>
      <c r="U516" s="5">
        <f t="shared" si="6"/>
        <v>4101</v>
      </c>
      <c r="V516" s="5">
        <v>4101.0</v>
      </c>
    </row>
    <row r="517" ht="22.5" customHeight="1">
      <c r="A517" s="5" t="s">
        <v>2001</v>
      </c>
      <c r="B517" s="5" t="s">
        <v>1788</v>
      </c>
      <c r="C517" s="5" t="str">
        <f t="shared" si="1"/>
        <v>Ashley</v>
      </c>
      <c r="D517" s="5" t="s">
        <v>1788</v>
      </c>
      <c r="E517" s="5" t="s">
        <v>216</v>
      </c>
      <c r="F517" s="5" t="str">
        <f t="shared" si="2"/>
        <v>Williams</v>
      </c>
      <c r="G517" s="5" t="s">
        <v>216</v>
      </c>
      <c r="H517" s="6">
        <v>18.0</v>
      </c>
      <c r="I517" s="6">
        <f t="shared" si="3"/>
        <v>18</v>
      </c>
      <c r="J517" s="6">
        <v>18.0</v>
      </c>
      <c r="K517" s="6" t="str">
        <f t="shared" si="4"/>
        <v>Young Adult</v>
      </c>
      <c r="L517" s="6" t="s">
        <v>528</v>
      </c>
      <c r="M517" s="5" t="s">
        <v>80</v>
      </c>
      <c r="N517" s="5" t="str">
        <f t="shared" si="5"/>
        <v>Male</v>
      </c>
      <c r="O517" s="5" t="s">
        <v>152</v>
      </c>
      <c r="P517" s="5" t="s">
        <v>376</v>
      </c>
      <c r="Q517" s="5" t="s">
        <v>489</v>
      </c>
      <c r="R517" s="5" t="s">
        <v>179</v>
      </c>
      <c r="S517" s="5" t="s">
        <v>52</v>
      </c>
      <c r="T517" s="6">
        <v>3091.0</v>
      </c>
      <c r="U517" s="5">
        <f t="shared" si="6"/>
        <v>3091</v>
      </c>
      <c r="V517" s="5">
        <v>3091.0</v>
      </c>
    </row>
    <row r="518" ht="22.5" customHeight="1">
      <c r="A518" s="5" t="s">
        <v>2003</v>
      </c>
      <c r="B518" s="5" t="s">
        <v>456</v>
      </c>
      <c r="C518" s="5" t="str">
        <f t="shared" si="1"/>
        <v>Tina</v>
      </c>
      <c r="D518" s="5" t="s">
        <v>898</v>
      </c>
      <c r="E518" s="5" t="s">
        <v>469</v>
      </c>
      <c r="F518" s="5" t="str">
        <f t="shared" si="2"/>
        <v>Perez</v>
      </c>
      <c r="G518" s="5" t="s">
        <v>469</v>
      </c>
      <c r="H518" s="6">
        <v>87.0</v>
      </c>
      <c r="I518" s="6">
        <f t="shared" si="3"/>
        <v>87</v>
      </c>
      <c r="J518" s="6">
        <v>87.0</v>
      </c>
      <c r="K518" s="6" t="str">
        <f t="shared" si="4"/>
        <v>Senior</v>
      </c>
      <c r="L518" s="6" t="s">
        <v>734</v>
      </c>
      <c r="M518" s="5" t="s">
        <v>105</v>
      </c>
      <c r="N518" s="5" t="str">
        <f t="shared" si="5"/>
        <v>Female</v>
      </c>
      <c r="O518" s="5" t="s">
        <v>105</v>
      </c>
      <c r="P518" s="5" t="s">
        <v>571</v>
      </c>
      <c r="Q518" s="5" t="s">
        <v>418</v>
      </c>
      <c r="R518" s="5" t="s">
        <v>210</v>
      </c>
      <c r="S518" s="5" t="s">
        <v>97</v>
      </c>
      <c r="T518" s="6">
        <v>1086.0</v>
      </c>
      <c r="U518" s="5">
        <f t="shared" si="6"/>
        <v>1086</v>
      </c>
      <c r="V518" s="5">
        <v>1086.0</v>
      </c>
    </row>
    <row r="519" ht="22.5" customHeight="1">
      <c r="A519" s="5" t="s">
        <v>2006</v>
      </c>
      <c r="B519" s="5" t="s">
        <v>411</v>
      </c>
      <c r="C519" s="5" t="str">
        <f t="shared" si="1"/>
        <v>Jane</v>
      </c>
      <c r="D519" s="5" t="s">
        <v>411</v>
      </c>
      <c r="E519" s="5" t="s">
        <v>128</v>
      </c>
      <c r="F519" s="5" t="str">
        <f t="shared" si="2"/>
        <v>Rodriguez</v>
      </c>
      <c r="G519" s="5" t="s">
        <v>128</v>
      </c>
      <c r="H519" s="6">
        <v>50.0</v>
      </c>
      <c r="I519" s="6">
        <f t="shared" si="3"/>
        <v>50</v>
      </c>
      <c r="J519" s="6">
        <v>50.0</v>
      </c>
      <c r="K519" s="6" t="str">
        <f t="shared" si="4"/>
        <v>Middle Age</v>
      </c>
      <c r="L519" s="6" t="s">
        <v>591</v>
      </c>
      <c r="M519" s="5" t="s">
        <v>45</v>
      </c>
      <c r="N519" s="5" t="str">
        <f t="shared" si="5"/>
        <v>Female</v>
      </c>
      <c r="O519" s="5" t="s">
        <v>105</v>
      </c>
      <c r="P519" s="5" t="s">
        <v>30</v>
      </c>
      <c r="Q519" s="5" t="s">
        <v>358</v>
      </c>
      <c r="R519" s="5" t="s">
        <v>561</v>
      </c>
      <c r="S519" s="5" t="s">
        <v>559</v>
      </c>
      <c r="T519" s="6">
        <v>4787.0</v>
      </c>
      <c r="U519" s="5">
        <f t="shared" si="6"/>
        <v>4787</v>
      </c>
      <c r="V519" s="5">
        <v>4787.0</v>
      </c>
    </row>
    <row r="520" ht="22.5" customHeight="1">
      <c r="A520" s="5" t="s">
        <v>2010</v>
      </c>
      <c r="B520" s="5" t="s">
        <v>723</v>
      </c>
      <c r="C520" s="5" t="str">
        <f t="shared" si="1"/>
        <v>Jasmine</v>
      </c>
      <c r="D520" s="5" t="s">
        <v>624</v>
      </c>
      <c r="E520" s="5" t="s">
        <v>101</v>
      </c>
      <c r="F520" s="5" t="str">
        <f t="shared" si="2"/>
        <v>Ferguson</v>
      </c>
      <c r="G520" s="5" t="s">
        <v>101</v>
      </c>
      <c r="H520" s="6">
        <v>59.0</v>
      </c>
      <c r="I520" s="6">
        <f t="shared" si="3"/>
        <v>59</v>
      </c>
      <c r="J520" s="6">
        <v>59.0</v>
      </c>
      <c r="K520" s="6" t="str">
        <f t="shared" si="4"/>
        <v>Middle Age</v>
      </c>
      <c r="L520" s="6" t="s">
        <v>591</v>
      </c>
      <c r="M520" s="5" t="s">
        <v>105</v>
      </c>
      <c r="N520" s="5" t="str">
        <f t="shared" si="5"/>
        <v>Female</v>
      </c>
      <c r="O520" s="5" t="s">
        <v>105</v>
      </c>
      <c r="P520" s="5" t="s">
        <v>539</v>
      </c>
      <c r="Q520" s="5" t="s">
        <v>436</v>
      </c>
      <c r="R520" s="5" t="s">
        <v>561</v>
      </c>
      <c r="S520" s="5" t="s">
        <v>222</v>
      </c>
      <c r="T520" s="6">
        <v>4486.0</v>
      </c>
      <c r="U520" s="5">
        <f t="shared" si="6"/>
        <v>4486</v>
      </c>
      <c r="V520" s="5">
        <v>4486.0</v>
      </c>
    </row>
    <row r="521" ht="22.5" customHeight="1">
      <c r="A521" s="5" t="s">
        <v>2012</v>
      </c>
      <c r="B521" s="5" t="s">
        <v>2013</v>
      </c>
      <c r="C521" s="5" t="str">
        <f t="shared" si="1"/>
        <v>Victoria</v>
      </c>
      <c r="D521" s="5" t="s">
        <v>1951</v>
      </c>
      <c r="E521" s="5" t="s">
        <v>363</v>
      </c>
      <c r="F521" s="5" t="str">
        <f t="shared" si="2"/>
        <v>Smith</v>
      </c>
      <c r="G521" s="5" t="s">
        <v>363</v>
      </c>
      <c r="H521" s="6">
        <v>41.0</v>
      </c>
      <c r="I521" s="6">
        <f t="shared" si="3"/>
        <v>41</v>
      </c>
      <c r="J521" s="6">
        <v>41.0</v>
      </c>
      <c r="K521" s="6" t="str">
        <f t="shared" si="4"/>
        <v>Middle Age</v>
      </c>
      <c r="L521" s="6" t="s">
        <v>591</v>
      </c>
      <c r="M521" s="5" t="s">
        <v>45</v>
      </c>
      <c r="N521" s="5" t="str">
        <f t="shared" si="5"/>
        <v>Female</v>
      </c>
      <c r="O521" s="5" t="s">
        <v>105</v>
      </c>
      <c r="P521" s="5" t="s">
        <v>393</v>
      </c>
      <c r="Q521" s="5" t="s">
        <v>164</v>
      </c>
      <c r="R521" s="5" t="s">
        <v>607</v>
      </c>
      <c r="S521" s="5" t="s">
        <v>222</v>
      </c>
      <c r="T521" s="6">
        <v>1561.0</v>
      </c>
      <c r="U521" s="5">
        <f t="shared" si="6"/>
        <v>1561</v>
      </c>
      <c r="V521" s="5">
        <v>1561.0</v>
      </c>
    </row>
    <row r="522" ht="22.5" customHeight="1">
      <c r="A522" s="5" t="s">
        <v>2016</v>
      </c>
      <c r="B522" s="5" t="s">
        <v>1267</v>
      </c>
      <c r="C522" s="5" t="str">
        <f t="shared" si="1"/>
        <v>Thomas</v>
      </c>
      <c r="D522" s="5" t="s">
        <v>983</v>
      </c>
      <c r="E522" s="5" t="s">
        <v>25</v>
      </c>
      <c r="F522" s="5" t="str">
        <f t="shared" si="2"/>
        <v>Garcia</v>
      </c>
      <c r="G522" s="5" t="s">
        <v>25</v>
      </c>
      <c r="H522" s="6">
        <v>73.0</v>
      </c>
      <c r="I522" s="6">
        <f t="shared" si="3"/>
        <v>73</v>
      </c>
      <c r="J522" s="6">
        <v>73.0</v>
      </c>
      <c r="K522" s="6" t="str">
        <f t="shared" si="4"/>
        <v>Senior</v>
      </c>
      <c r="L522" s="6" t="s">
        <v>734</v>
      </c>
      <c r="M522" s="5" t="s">
        <v>130</v>
      </c>
      <c r="N522" s="5" t="str">
        <f t="shared" si="5"/>
        <v>Male</v>
      </c>
      <c r="O522" s="5" t="s">
        <v>152</v>
      </c>
      <c r="P522" s="5" t="s">
        <v>571</v>
      </c>
      <c r="Q522" s="5" t="s">
        <v>482</v>
      </c>
      <c r="R522" s="5" t="s">
        <v>179</v>
      </c>
      <c r="S522" s="5" t="s">
        <v>97</v>
      </c>
      <c r="T522" s="6">
        <v>3606.0</v>
      </c>
      <c r="U522" s="5">
        <f t="shared" si="6"/>
        <v>3606</v>
      </c>
      <c r="V522" s="5">
        <v>3606.0</v>
      </c>
    </row>
    <row r="523" ht="22.5" customHeight="1">
      <c r="A523" s="5" t="s">
        <v>2018</v>
      </c>
      <c r="B523" s="5" t="s">
        <v>234</v>
      </c>
      <c r="C523" s="5" t="str">
        <f t="shared" si="1"/>
        <v>Kylie</v>
      </c>
      <c r="D523" s="5" t="s">
        <v>1177</v>
      </c>
      <c r="E523" s="5" t="s">
        <v>374</v>
      </c>
      <c r="F523" s="5" t="str">
        <f t="shared" si="2"/>
        <v>Miller</v>
      </c>
      <c r="G523" s="5" t="s">
        <v>374</v>
      </c>
      <c r="H523" s="6">
        <v>22.0</v>
      </c>
      <c r="I523" s="6">
        <f t="shared" si="3"/>
        <v>22</v>
      </c>
      <c r="J523" s="6">
        <v>22.0</v>
      </c>
      <c r="K523" s="6" t="str">
        <f t="shared" si="4"/>
        <v>Young Adult</v>
      </c>
      <c r="L523" s="6" t="s">
        <v>528</v>
      </c>
      <c r="M523" s="5" t="s">
        <v>28</v>
      </c>
      <c r="N523" s="5" t="str">
        <f t="shared" si="5"/>
        <v>Female</v>
      </c>
      <c r="O523" s="5" t="s">
        <v>105</v>
      </c>
      <c r="P523" s="5" t="s">
        <v>256</v>
      </c>
      <c r="Q523" s="5" t="s">
        <v>576</v>
      </c>
      <c r="R523" s="5" t="s">
        <v>607</v>
      </c>
      <c r="S523" s="5" t="s">
        <v>52</v>
      </c>
      <c r="T523" s="6">
        <v>2248.0</v>
      </c>
      <c r="U523" s="5">
        <f t="shared" si="6"/>
        <v>2248</v>
      </c>
      <c r="V523" s="5">
        <v>2248.0</v>
      </c>
    </row>
    <row r="524" ht="22.5" customHeight="1">
      <c r="A524" s="5" t="s">
        <v>2021</v>
      </c>
      <c r="B524" s="5" t="s">
        <v>1415</v>
      </c>
      <c r="C524" s="5" t="str">
        <f t="shared" si="1"/>
        <v>Ryan</v>
      </c>
      <c r="D524" s="5" t="s">
        <v>827</v>
      </c>
      <c r="E524" s="5" t="s">
        <v>469</v>
      </c>
      <c r="F524" s="5" t="str">
        <f t="shared" si="2"/>
        <v>Perez</v>
      </c>
      <c r="G524" s="5" t="s">
        <v>469</v>
      </c>
      <c r="H524" s="6">
        <v>74.0</v>
      </c>
      <c r="I524" s="6">
        <f t="shared" si="3"/>
        <v>74</v>
      </c>
      <c r="J524" s="6">
        <v>74.0</v>
      </c>
      <c r="K524" s="6" t="str">
        <f t="shared" si="4"/>
        <v>Senior</v>
      </c>
      <c r="L524" s="6" t="s">
        <v>734</v>
      </c>
      <c r="M524" s="5" t="s">
        <v>152</v>
      </c>
      <c r="N524" s="5" t="str">
        <f t="shared" si="5"/>
        <v>Male</v>
      </c>
      <c r="O524" s="5" t="s">
        <v>152</v>
      </c>
      <c r="P524" s="5" t="s">
        <v>47</v>
      </c>
      <c r="Q524" s="5" t="s">
        <v>576</v>
      </c>
      <c r="R524" s="5" t="s">
        <v>607</v>
      </c>
      <c r="S524" s="5" t="s">
        <v>97</v>
      </c>
      <c r="T524" s="6">
        <v>2410.0</v>
      </c>
      <c r="U524" s="5">
        <f t="shared" si="6"/>
        <v>2410</v>
      </c>
      <c r="V524" s="5">
        <v>2410.0</v>
      </c>
    </row>
    <row r="525" ht="22.5" customHeight="1">
      <c r="A525" s="5" t="s">
        <v>2023</v>
      </c>
      <c r="B525" s="5" t="s">
        <v>763</v>
      </c>
      <c r="C525" s="5" t="str">
        <f t="shared" si="1"/>
        <v>Olivia</v>
      </c>
      <c r="D525" s="5" t="s">
        <v>820</v>
      </c>
      <c r="E525" s="5" t="s">
        <v>495</v>
      </c>
      <c r="F525" s="5" t="str">
        <f t="shared" si="2"/>
        <v>Sharp</v>
      </c>
      <c r="G525" s="5" t="s">
        <v>495</v>
      </c>
      <c r="H525" s="6">
        <v>53.0</v>
      </c>
      <c r="I525" s="6">
        <f t="shared" si="3"/>
        <v>53</v>
      </c>
      <c r="J525" s="6">
        <v>53.0</v>
      </c>
      <c r="K525" s="6" t="str">
        <f t="shared" si="4"/>
        <v>Middle Age</v>
      </c>
      <c r="L525" s="6" t="s">
        <v>591</v>
      </c>
      <c r="M525" s="5" t="s">
        <v>45</v>
      </c>
      <c r="N525" s="5" t="str">
        <f t="shared" si="5"/>
        <v>Female</v>
      </c>
      <c r="O525" s="5" t="s">
        <v>105</v>
      </c>
      <c r="P525" s="5" t="s">
        <v>30</v>
      </c>
      <c r="Q525" s="5" t="s">
        <v>470</v>
      </c>
      <c r="R525" s="5" t="s">
        <v>179</v>
      </c>
      <c r="S525" s="5" t="s">
        <v>222</v>
      </c>
      <c r="T525" s="6">
        <v>4243.0</v>
      </c>
      <c r="U525" s="5">
        <f t="shared" si="6"/>
        <v>4243</v>
      </c>
      <c r="V525" s="5">
        <v>4243.0</v>
      </c>
    </row>
    <row r="526" ht="22.5" customHeight="1">
      <c r="A526" s="5" t="s">
        <v>2025</v>
      </c>
      <c r="B526" s="5" t="s">
        <v>158</v>
      </c>
      <c r="C526" s="5" t="str">
        <f t="shared" si="1"/>
        <v>Eva</v>
      </c>
      <c r="D526" s="5" t="s">
        <v>158</v>
      </c>
      <c r="E526" s="5" t="s">
        <v>458</v>
      </c>
      <c r="F526" s="5" t="str">
        <f t="shared" si="2"/>
        <v>Smirnov</v>
      </c>
      <c r="G526" s="5" t="s">
        <v>458</v>
      </c>
      <c r="H526" s="6">
        <v>48.0</v>
      </c>
      <c r="I526" s="6">
        <f t="shared" si="3"/>
        <v>48</v>
      </c>
      <c r="J526" s="6">
        <v>48.0</v>
      </c>
      <c r="K526" s="6" t="str">
        <f t="shared" si="4"/>
        <v>Middle Age</v>
      </c>
      <c r="L526" s="6" t="s">
        <v>591</v>
      </c>
      <c r="M526" s="5" t="s">
        <v>105</v>
      </c>
      <c r="N526" s="5" t="str">
        <f t="shared" si="5"/>
        <v>Female</v>
      </c>
      <c r="O526" s="5" t="s">
        <v>105</v>
      </c>
      <c r="P526" s="5" t="s">
        <v>64</v>
      </c>
      <c r="Q526" s="5" t="s">
        <v>418</v>
      </c>
      <c r="R526" s="5" t="s">
        <v>210</v>
      </c>
      <c r="S526" s="5" t="s">
        <v>52</v>
      </c>
      <c r="T526" s="6">
        <v>838.0</v>
      </c>
      <c r="U526" s="5">
        <f t="shared" si="6"/>
        <v>838</v>
      </c>
      <c r="V526" s="5">
        <v>838.0</v>
      </c>
    </row>
    <row r="527" ht="22.5" customHeight="1">
      <c r="A527" s="5" t="s">
        <v>2028</v>
      </c>
      <c r="B527" s="5" t="s">
        <v>411</v>
      </c>
      <c r="C527" s="5" t="str">
        <f t="shared" si="1"/>
        <v>Jane</v>
      </c>
      <c r="D527" s="5" t="s">
        <v>411</v>
      </c>
      <c r="E527" s="5" t="s">
        <v>1105</v>
      </c>
      <c r="F527" s="5" t="str">
        <f t="shared" si="2"/>
        <v>Liang</v>
      </c>
      <c r="G527" s="5" t="s">
        <v>1252</v>
      </c>
      <c r="H527" s="6">
        <v>45.0</v>
      </c>
      <c r="I527" s="6">
        <f t="shared" si="3"/>
        <v>45</v>
      </c>
      <c r="J527" s="6">
        <v>45.0</v>
      </c>
      <c r="K527" s="6" t="str">
        <f t="shared" si="4"/>
        <v>Middle Age</v>
      </c>
      <c r="L527" s="6" t="s">
        <v>591</v>
      </c>
      <c r="M527" s="5" t="s">
        <v>28</v>
      </c>
      <c r="N527" s="5" t="str">
        <f t="shared" si="5"/>
        <v>Female</v>
      </c>
      <c r="O527" s="5" t="s">
        <v>105</v>
      </c>
      <c r="P527" s="5" t="s">
        <v>237</v>
      </c>
      <c r="Q527" s="5" t="s">
        <v>164</v>
      </c>
      <c r="R527" s="5" t="s">
        <v>607</v>
      </c>
      <c r="S527" s="5" t="s">
        <v>222</v>
      </c>
      <c r="T527" s="6">
        <v>2726.0</v>
      </c>
      <c r="U527" s="5">
        <f t="shared" si="6"/>
        <v>2726</v>
      </c>
      <c r="V527" s="5">
        <v>2726.0</v>
      </c>
    </row>
    <row r="528" ht="22.5" customHeight="1">
      <c r="A528" s="5" t="s">
        <v>2029</v>
      </c>
      <c r="B528" s="5" t="s">
        <v>983</v>
      </c>
      <c r="C528" s="5" t="str">
        <f t="shared" si="1"/>
        <v>Thomas</v>
      </c>
      <c r="D528" s="5" t="s">
        <v>983</v>
      </c>
      <c r="E528" s="5" t="s">
        <v>959</v>
      </c>
      <c r="F528" s="5" t="str">
        <f t="shared" si="2"/>
        <v>Glover</v>
      </c>
      <c r="G528" s="5" t="s">
        <v>959</v>
      </c>
      <c r="H528" s="6">
        <v>31.0</v>
      </c>
      <c r="I528" s="6">
        <f t="shared" si="3"/>
        <v>31</v>
      </c>
      <c r="J528" s="6">
        <v>31.0</v>
      </c>
      <c r="K528" s="6" t="str">
        <f t="shared" si="4"/>
        <v>Young Adult</v>
      </c>
      <c r="L528" s="6" t="s">
        <v>528</v>
      </c>
      <c r="M528" s="5" t="s">
        <v>152</v>
      </c>
      <c r="N528" s="5" t="str">
        <f t="shared" si="5"/>
        <v>Male</v>
      </c>
      <c r="O528" s="5" t="s">
        <v>152</v>
      </c>
      <c r="P528" s="5" t="s">
        <v>393</v>
      </c>
      <c r="Q528" s="5" t="s">
        <v>551</v>
      </c>
      <c r="R528" s="5" t="s">
        <v>96</v>
      </c>
      <c r="S528" s="5" t="s">
        <v>222</v>
      </c>
      <c r="T528" s="6">
        <v>771.0</v>
      </c>
      <c r="U528" s="5">
        <f t="shared" si="6"/>
        <v>771</v>
      </c>
      <c r="V528" s="5">
        <v>771.0</v>
      </c>
    </row>
    <row r="529" ht="22.5" customHeight="1">
      <c r="A529" s="5" t="s">
        <v>2030</v>
      </c>
      <c r="B529" s="5" t="s">
        <v>827</v>
      </c>
      <c r="C529" s="5" t="str">
        <f t="shared" si="1"/>
        <v>Ryan</v>
      </c>
      <c r="D529" s="5" t="s">
        <v>827</v>
      </c>
      <c r="E529" s="5" t="s">
        <v>76</v>
      </c>
      <c r="F529" s="5" t="str">
        <f t="shared" si="2"/>
        <v>Brown</v>
      </c>
      <c r="G529" s="5" t="s">
        <v>76</v>
      </c>
      <c r="H529" s="6">
        <v>47.0</v>
      </c>
      <c r="I529" s="6">
        <f t="shared" si="3"/>
        <v>47</v>
      </c>
      <c r="J529" s="6">
        <v>47.0</v>
      </c>
      <c r="K529" s="6" t="str">
        <f t="shared" si="4"/>
        <v>Middle Age</v>
      </c>
      <c r="L529" s="6" t="s">
        <v>591</v>
      </c>
      <c r="M529" s="5" t="s">
        <v>80</v>
      </c>
      <c r="N529" s="5" t="str">
        <f t="shared" si="5"/>
        <v>Male</v>
      </c>
      <c r="O529" s="5" t="s">
        <v>152</v>
      </c>
      <c r="P529" s="5" t="s">
        <v>393</v>
      </c>
      <c r="Q529" s="5" t="s">
        <v>311</v>
      </c>
      <c r="R529" s="5" t="s">
        <v>546</v>
      </c>
      <c r="S529" s="5" t="s">
        <v>211</v>
      </c>
      <c r="T529" s="6">
        <v>1102.0</v>
      </c>
      <c r="U529" s="5">
        <f t="shared" si="6"/>
        <v>1102</v>
      </c>
      <c r="V529" s="5">
        <v>1102.0</v>
      </c>
    </row>
    <row r="530" ht="22.5" customHeight="1">
      <c r="A530" s="5" t="s">
        <v>2033</v>
      </c>
      <c r="B530" s="5" t="s">
        <v>368</v>
      </c>
      <c r="C530" s="5" t="str">
        <f t="shared" si="1"/>
        <v>Grace</v>
      </c>
      <c r="D530" s="5" t="s">
        <v>368</v>
      </c>
      <c r="E530" s="5" t="s">
        <v>216</v>
      </c>
      <c r="F530" s="5" t="str">
        <f t="shared" si="2"/>
        <v>Williams</v>
      </c>
      <c r="G530" s="5" t="s">
        <v>216</v>
      </c>
      <c r="H530" s="6">
        <v>78.0</v>
      </c>
      <c r="I530" s="6">
        <f t="shared" si="3"/>
        <v>78</v>
      </c>
      <c r="J530" s="6">
        <v>78.0</v>
      </c>
      <c r="K530" s="6" t="str">
        <f t="shared" si="4"/>
        <v>Senior</v>
      </c>
      <c r="L530" s="6" t="s">
        <v>734</v>
      </c>
      <c r="M530" s="5" t="s">
        <v>45</v>
      </c>
      <c r="N530" s="5" t="str">
        <f t="shared" si="5"/>
        <v>Female</v>
      </c>
      <c r="O530" s="5" t="s">
        <v>105</v>
      </c>
      <c r="P530" s="5" t="s">
        <v>237</v>
      </c>
      <c r="Q530" s="5" t="s">
        <v>311</v>
      </c>
      <c r="R530" s="5" t="s">
        <v>96</v>
      </c>
      <c r="S530" s="5" t="s">
        <v>97</v>
      </c>
      <c r="T530" s="6">
        <v>601.0</v>
      </c>
      <c r="U530" s="5">
        <f t="shared" si="6"/>
        <v>601</v>
      </c>
      <c r="V530" s="5">
        <v>601.0</v>
      </c>
    </row>
    <row r="531" ht="22.5" customHeight="1">
      <c r="A531" s="5" t="s">
        <v>2036</v>
      </c>
      <c r="B531" s="5" t="s">
        <v>136</v>
      </c>
      <c r="C531" s="5" t="str">
        <f t="shared" si="1"/>
        <v>Alice</v>
      </c>
      <c r="D531" s="5" t="s">
        <v>136</v>
      </c>
      <c r="E531" s="5" t="s">
        <v>363</v>
      </c>
      <c r="F531" s="5" t="str">
        <f t="shared" si="2"/>
        <v>Smith</v>
      </c>
      <c r="G531" s="5" t="s">
        <v>363</v>
      </c>
      <c r="H531" s="6">
        <v>32.0</v>
      </c>
      <c r="I531" s="6">
        <f t="shared" si="3"/>
        <v>32</v>
      </c>
      <c r="J531" s="6">
        <v>32.0</v>
      </c>
      <c r="K531" s="6" t="str">
        <f t="shared" si="4"/>
        <v>Young Adult</v>
      </c>
      <c r="L531" s="6" t="s">
        <v>528</v>
      </c>
      <c r="M531" s="5" t="s">
        <v>28</v>
      </c>
      <c r="N531" s="5" t="str">
        <f t="shared" si="5"/>
        <v>Female</v>
      </c>
      <c r="O531" s="5" t="s">
        <v>105</v>
      </c>
      <c r="P531" s="5" t="s">
        <v>376</v>
      </c>
      <c r="Q531" s="5" t="s">
        <v>470</v>
      </c>
      <c r="R531" s="5" t="s">
        <v>179</v>
      </c>
      <c r="S531" s="5" t="s">
        <v>52</v>
      </c>
      <c r="T531" s="6">
        <v>3362.0</v>
      </c>
      <c r="U531" s="5">
        <f t="shared" si="6"/>
        <v>3362</v>
      </c>
      <c r="V531" s="5">
        <v>3362.0</v>
      </c>
    </row>
    <row r="532" ht="22.5" customHeight="1">
      <c r="A532" s="5" t="s">
        <v>2038</v>
      </c>
      <c r="B532" s="5" t="s">
        <v>350</v>
      </c>
      <c r="C532" s="5" t="str">
        <f t="shared" si="1"/>
        <v>Lisa</v>
      </c>
      <c r="D532" s="5" t="s">
        <v>1583</v>
      </c>
      <c r="E532" s="5" t="s">
        <v>526</v>
      </c>
      <c r="F532" s="5" t="str">
        <f t="shared" si="2"/>
        <v>Davidson</v>
      </c>
      <c r="G532" s="5" t="s">
        <v>526</v>
      </c>
      <c r="H532" s="6">
        <v>999.0</v>
      </c>
      <c r="I532" s="6">
        <f t="shared" si="3"/>
        <v>999</v>
      </c>
      <c r="J532" s="6"/>
      <c r="K532" s="6" t="str">
        <f t="shared" si="4"/>
        <v>Unknown</v>
      </c>
      <c r="L532" s="6" t="s">
        <v>1081</v>
      </c>
      <c r="M532" s="5" t="s">
        <v>45</v>
      </c>
      <c r="N532" s="5" t="str">
        <f t="shared" si="5"/>
        <v>Female</v>
      </c>
      <c r="O532" s="5" t="s">
        <v>105</v>
      </c>
      <c r="P532" s="5" t="s">
        <v>64</v>
      </c>
      <c r="Q532" s="5" t="s">
        <v>482</v>
      </c>
      <c r="R532" s="5" t="s">
        <v>179</v>
      </c>
      <c r="S532" s="5" t="s">
        <v>97</v>
      </c>
      <c r="T532" s="6">
        <v>3696.0</v>
      </c>
      <c r="U532" s="5">
        <f t="shared" si="6"/>
        <v>3696</v>
      </c>
      <c r="V532" s="5">
        <v>3696.0</v>
      </c>
    </row>
    <row r="533" ht="22.5" customHeight="1">
      <c r="A533" s="5" t="s">
        <v>2041</v>
      </c>
      <c r="B533" s="5" t="s">
        <v>2042</v>
      </c>
      <c r="C533" s="5" t="str">
        <f t="shared" si="1"/>
        <v>John</v>
      </c>
      <c r="D533" s="5" t="s">
        <v>127</v>
      </c>
      <c r="E533" s="5" t="s">
        <v>128</v>
      </c>
      <c r="F533" s="5" t="str">
        <f t="shared" si="2"/>
        <v>Rodriguez</v>
      </c>
      <c r="G533" s="5" t="s">
        <v>128</v>
      </c>
      <c r="H533" s="6">
        <v>22.0</v>
      </c>
      <c r="I533" s="6">
        <f t="shared" si="3"/>
        <v>22</v>
      </c>
      <c r="J533" s="6">
        <v>22.0</v>
      </c>
      <c r="K533" s="6" t="str">
        <f t="shared" si="4"/>
        <v>Young Adult</v>
      </c>
      <c r="L533" s="6" t="s">
        <v>528</v>
      </c>
      <c r="M533" s="5" t="s">
        <v>152</v>
      </c>
      <c r="N533" s="5" t="str">
        <f t="shared" si="5"/>
        <v>Male</v>
      </c>
      <c r="O533" s="5" t="s">
        <v>152</v>
      </c>
      <c r="P533" s="5" t="s">
        <v>64</v>
      </c>
      <c r="Q533" s="5" t="s">
        <v>418</v>
      </c>
      <c r="R533" s="5" t="s">
        <v>210</v>
      </c>
      <c r="S533" s="5" t="s">
        <v>222</v>
      </c>
      <c r="T533" s="6">
        <v>565.0</v>
      </c>
      <c r="U533" s="5">
        <f t="shared" si="6"/>
        <v>565</v>
      </c>
      <c r="V533" s="5">
        <v>565.0</v>
      </c>
    </row>
    <row r="534" ht="22.5" customHeight="1">
      <c r="A534" s="5" t="s">
        <v>2044</v>
      </c>
      <c r="B534" s="5" t="s">
        <v>411</v>
      </c>
      <c r="C534" s="5" t="str">
        <f t="shared" si="1"/>
        <v>Jane</v>
      </c>
      <c r="D534" s="5" t="s">
        <v>411</v>
      </c>
      <c r="E534" s="5" t="s">
        <v>828</v>
      </c>
      <c r="F534" s="5" t="str">
        <f t="shared" si="2"/>
        <v>Chang</v>
      </c>
      <c r="G534" s="5" t="s">
        <v>828</v>
      </c>
      <c r="H534" s="6">
        <v>78.0</v>
      </c>
      <c r="I534" s="6">
        <f t="shared" si="3"/>
        <v>78</v>
      </c>
      <c r="J534" s="6">
        <v>78.0</v>
      </c>
      <c r="K534" s="6" t="str">
        <f t="shared" si="4"/>
        <v>Senior</v>
      </c>
      <c r="L534" s="6" t="s">
        <v>734</v>
      </c>
      <c r="M534" s="5" t="s">
        <v>28</v>
      </c>
      <c r="N534" s="5" t="str">
        <f t="shared" si="5"/>
        <v>Female</v>
      </c>
      <c r="O534" s="5" t="s">
        <v>105</v>
      </c>
      <c r="P534" s="5" t="s">
        <v>393</v>
      </c>
      <c r="Q534" s="5" t="s">
        <v>916</v>
      </c>
      <c r="R534" s="5" t="s">
        <v>402</v>
      </c>
      <c r="S534" s="5" t="s">
        <v>97</v>
      </c>
      <c r="T534" s="6">
        <v>2021.0</v>
      </c>
      <c r="U534" s="5">
        <f t="shared" si="6"/>
        <v>2021</v>
      </c>
      <c r="V534" s="5">
        <v>2021.0</v>
      </c>
    </row>
    <row r="535" ht="22.5" customHeight="1">
      <c r="A535" s="5" t="s">
        <v>2046</v>
      </c>
      <c r="B535" s="5" t="s">
        <v>569</v>
      </c>
      <c r="C535" s="5" t="str">
        <f t="shared" si="1"/>
        <v>Daniella</v>
      </c>
      <c r="D535" s="5" t="s">
        <v>2589</v>
      </c>
      <c r="E535" s="5" t="s">
        <v>2047</v>
      </c>
      <c r="F535" s="5" t="str">
        <f t="shared" si="2"/>
        <v>Bush</v>
      </c>
      <c r="G535" s="5" t="s">
        <v>428</v>
      </c>
      <c r="H535" s="6">
        <v>34.0</v>
      </c>
      <c r="I535" s="6">
        <f t="shared" si="3"/>
        <v>34</v>
      </c>
      <c r="J535" s="6">
        <v>34.0</v>
      </c>
      <c r="K535" s="6" t="str">
        <f t="shared" si="4"/>
        <v>Young Adult</v>
      </c>
      <c r="L535" s="6" t="s">
        <v>528</v>
      </c>
      <c r="M535" s="5" t="s">
        <v>105</v>
      </c>
      <c r="N535" s="5" t="str">
        <f t="shared" si="5"/>
        <v>Female</v>
      </c>
      <c r="O535" s="5" t="s">
        <v>105</v>
      </c>
      <c r="P535" s="5" t="s">
        <v>30</v>
      </c>
      <c r="Q535" s="5" t="s">
        <v>32</v>
      </c>
      <c r="R535" s="5" t="s">
        <v>83</v>
      </c>
      <c r="S535" s="5" t="s">
        <v>222</v>
      </c>
      <c r="T535" s="6">
        <v>2209.0</v>
      </c>
      <c r="U535" s="5">
        <f t="shared" si="6"/>
        <v>2209</v>
      </c>
      <c r="V535" s="5">
        <v>2209.0</v>
      </c>
    </row>
    <row r="536" ht="22.5" customHeight="1">
      <c r="A536" s="5" t="s">
        <v>2048</v>
      </c>
      <c r="B536" s="5" t="s">
        <v>2049</v>
      </c>
      <c r="C536" s="5" t="str">
        <f t="shared" si="1"/>
        <v>Eva</v>
      </c>
      <c r="D536" s="5" t="s">
        <v>158</v>
      </c>
      <c r="E536" s="5" t="s">
        <v>324</v>
      </c>
      <c r="F536" s="5" t="str">
        <f t="shared" si="2"/>
        <v>Cooper</v>
      </c>
      <c r="G536" s="5" t="s">
        <v>324</v>
      </c>
      <c r="H536" s="6">
        <v>84.0</v>
      </c>
      <c r="I536" s="6">
        <f t="shared" si="3"/>
        <v>84</v>
      </c>
      <c r="J536" s="6">
        <v>84.0</v>
      </c>
      <c r="K536" s="6" t="str">
        <f t="shared" si="4"/>
        <v>Senior</v>
      </c>
      <c r="L536" s="6" t="s">
        <v>734</v>
      </c>
      <c r="M536" s="5" t="s">
        <v>105</v>
      </c>
      <c r="N536" s="5" t="str">
        <f t="shared" si="5"/>
        <v>Female</v>
      </c>
      <c r="O536" s="5" t="s">
        <v>105</v>
      </c>
      <c r="P536" s="5" t="s">
        <v>393</v>
      </c>
      <c r="Q536" s="5" t="s">
        <v>436</v>
      </c>
      <c r="R536" s="5" t="s">
        <v>561</v>
      </c>
      <c r="S536" s="5" t="s">
        <v>97</v>
      </c>
      <c r="T536" s="6">
        <v>1620.0</v>
      </c>
      <c r="U536" s="5">
        <f t="shared" si="6"/>
        <v>1620</v>
      </c>
      <c r="V536" s="5">
        <v>1620.0</v>
      </c>
    </row>
    <row r="537" ht="22.5" customHeight="1">
      <c r="A537" s="5" t="s">
        <v>2052</v>
      </c>
      <c r="B537" s="5" t="s">
        <v>292</v>
      </c>
      <c r="C537" s="5" t="str">
        <f t="shared" si="1"/>
        <v>Ava</v>
      </c>
      <c r="D537" s="5" t="s">
        <v>865</v>
      </c>
      <c r="E537" s="5" t="s">
        <v>128</v>
      </c>
      <c r="F537" s="5" t="str">
        <f t="shared" si="2"/>
        <v>Rodriguez</v>
      </c>
      <c r="G537" s="5" t="s">
        <v>128</v>
      </c>
      <c r="H537" s="6">
        <v>79.0</v>
      </c>
      <c r="I537" s="6">
        <f t="shared" si="3"/>
        <v>79</v>
      </c>
      <c r="J537" s="6">
        <v>79.0</v>
      </c>
      <c r="K537" s="6" t="str">
        <f t="shared" si="4"/>
        <v>Senior</v>
      </c>
      <c r="L537" s="6" t="s">
        <v>734</v>
      </c>
      <c r="M537" s="5" t="s">
        <v>105</v>
      </c>
      <c r="N537" s="5" t="str">
        <f t="shared" si="5"/>
        <v>Female</v>
      </c>
      <c r="O537" s="5" t="s">
        <v>105</v>
      </c>
      <c r="P537" s="5" t="s">
        <v>176</v>
      </c>
      <c r="Q537" s="5" t="s">
        <v>436</v>
      </c>
      <c r="R537" s="5" t="s">
        <v>561</v>
      </c>
      <c r="S537" s="5" t="s">
        <v>97</v>
      </c>
      <c r="T537" s="6">
        <v>4286.0</v>
      </c>
      <c r="U537" s="5">
        <f t="shared" si="6"/>
        <v>4286</v>
      </c>
      <c r="V537" s="5">
        <v>4286.0</v>
      </c>
    </row>
    <row r="538" ht="22.5" customHeight="1">
      <c r="A538" s="5" t="s">
        <v>2055</v>
      </c>
      <c r="B538" s="5" t="s">
        <v>696</v>
      </c>
      <c r="C538" s="5" t="str">
        <f t="shared" si="1"/>
        <v>Charlie</v>
      </c>
      <c r="D538" s="5" t="s">
        <v>696</v>
      </c>
      <c r="E538" s="5" t="s">
        <v>316</v>
      </c>
      <c r="F538" s="5" t="str">
        <f t="shared" si="2"/>
        <v>Baker</v>
      </c>
      <c r="G538" s="5" t="s">
        <v>316</v>
      </c>
      <c r="H538" s="6">
        <v>999.0</v>
      </c>
      <c r="I538" s="6">
        <f t="shared" si="3"/>
        <v>999</v>
      </c>
      <c r="J538" s="6"/>
      <c r="K538" s="6" t="str">
        <f t="shared" si="4"/>
        <v>Unknown</v>
      </c>
      <c r="L538" s="6" t="s">
        <v>1081</v>
      </c>
      <c r="M538" s="5" t="s">
        <v>105</v>
      </c>
      <c r="N538" s="5" t="str">
        <f t="shared" si="5"/>
        <v>Female</v>
      </c>
      <c r="O538" s="5" t="s">
        <v>105</v>
      </c>
      <c r="P538" s="5" t="s">
        <v>176</v>
      </c>
      <c r="Q538" s="5" t="s">
        <v>238</v>
      </c>
      <c r="R538" s="5" t="s">
        <v>533</v>
      </c>
      <c r="S538" s="5" t="s">
        <v>97</v>
      </c>
      <c r="T538" s="6">
        <v>1735.0</v>
      </c>
      <c r="U538" s="5">
        <f t="shared" si="6"/>
        <v>1735</v>
      </c>
      <c r="V538" s="5">
        <v>1735.0</v>
      </c>
    </row>
    <row r="539" ht="22.5" customHeight="1">
      <c r="A539" s="5" t="s">
        <v>2057</v>
      </c>
      <c r="B539" s="5" t="s">
        <v>1149</v>
      </c>
      <c r="C539" s="5" t="str">
        <f t="shared" si="1"/>
        <v>Pauline</v>
      </c>
      <c r="D539" s="5" t="s">
        <v>1149</v>
      </c>
      <c r="E539" s="5" t="s">
        <v>264</v>
      </c>
      <c r="F539" s="5" t="str">
        <f t="shared" si="2"/>
        <v>Wu</v>
      </c>
      <c r="G539" s="5" t="s">
        <v>264</v>
      </c>
      <c r="H539" s="6">
        <v>27.0</v>
      </c>
      <c r="I539" s="6">
        <f t="shared" si="3"/>
        <v>27</v>
      </c>
      <c r="J539" s="6">
        <v>27.0</v>
      </c>
      <c r="K539" s="6" t="str">
        <f t="shared" si="4"/>
        <v>Young Adult</v>
      </c>
      <c r="L539" s="6" t="s">
        <v>528</v>
      </c>
      <c r="M539" s="5" t="s">
        <v>28</v>
      </c>
      <c r="N539" s="5" t="str">
        <f t="shared" si="5"/>
        <v>Female</v>
      </c>
      <c r="O539" s="5" t="s">
        <v>105</v>
      </c>
      <c r="P539" s="5" t="s">
        <v>30</v>
      </c>
      <c r="Q539" s="5" t="s">
        <v>238</v>
      </c>
      <c r="R539" s="5" t="s">
        <v>533</v>
      </c>
      <c r="S539" s="5" t="s">
        <v>211</v>
      </c>
      <c r="T539" s="6">
        <v>1278.0</v>
      </c>
      <c r="U539" s="5">
        <f t="shared" si="6"/>
        <v>1278</v>
      </c>
      <c r="V539" s="5">
        <v>1278.0</v>
      </c>
    </row>
    <row r="540" ht="22.5" customHeight="1">
      <c r="A540" s="5" t="s">
        <v>2060</v>
      </c>
      <c r="B540" s="5" t="s">
        <v>620</v>
      </c>
      <c r="C540" s="5" t="str">
        <f t="shared" si="1"/>
        <v>Michelle</v>
      </c>
      <c r="D540" s="5" t="s">
        <v>620</v>
      </c>
      <c r="E540" s="5" t="s">
        <v>556</v>
      </c>
      <c r="F540" s="5" t="str">
        <f t="shared" si="2"/>
        <v>Jones</v>
      </c>
      <c r="G540" s="5" t="s">
        <v>556</v>
      </c>
      <c r="H540" s="6">
        <v>31.0</v>
      </c>
      <c r="I540" s="6">
        <f t="shared" si="3"/>
        <v>31</v>
      </c>
      <c r="J540" s="6">
        <v>31.0</v>
      </c>
      <c r="K540" s="6" t="str">
        <f t="shared" si="4"/>
        <v>Young Adult</v>
      </c>
      <c r="L540" s="6" t="s">
        <v>528</v>
      </c>
      <c r="M540" s="5" t="s">
        <v>28</v>
      </c>
      <c r="N540" s="5" t="str">
        <f t="shared" si="5"/>
        <v>Female</v>
      </c>
      <c r="O540" s="5" t="s">
        <v>105</v>
      </c>
      <c r="P540" s="5" t="s">
        <v>237</v>
      </c>
      <c r="Q540" s="5" t="s">
        <v>669</v>
      </c>
      <c r="R540" s="5" t="s">
        <v>452</v>
      </c>
      <c r="S540" s="5" t="s">
        <v>52</v>
      </c>
      <c r="T540" s="6">
        <v>3082.0</v>
      </c>
      <c r="U540" s="5">
        <f t="shared" si="6"/>
        <v>3082</v>
      </c>
      <c r="V540" s="5">
        <v>3082.0</v>
      </c>
    </row>
    <row r="541" ht="22.5" customHeight="1">
      <c r="A541" s="5" t="s">
        <v>2063</v>
      </c>
      <c r="B541" s="5" t="s">
        <v>136</v>
      </c>
      <c r="C541" s="5" t="str">
        <f t="shared" si="1"/>
        <v>Alice</v>
      </c>
      <c r="D541" s="5" t="s">
        <v>136</v>
      </c>
      <c r="E541" s="5" t="s">
        <v>374</v>
      </c>
      <c r="F541" s="5" t="str">
        <f t="shared" si="2"/>
        <v>Miller</v>
      </c>
      <c r="G541" s="5" t="s">
        <v>374</v>
      </c>
      <c r="H541" s="6">
        <v>75.0</v>
      </c>
      <c r="I541" s="6">
        <f t="shared" si="3"/>
        <v>75</v>
      </c>
      <c r="J541" s="6">
        <v>75.0</v>
      </c>
      <c r="K541" s="6" t="str">
        <f t="shared" si="4"/>
        <v>Senior</v>
      </c>
      <c r="L541" s="6" t="s">
        <v>734</v>
      </c>
      <c r="M541" s="5" t="s">
        <v>28</v>
      </c>
      <c r="N541" s="5" t="str">
        <f t="shared" si="5"/>
        <v>Female</v>
      </c>
      <c r="O541" s="5" t="s">
        <v>105</v>
      </c>
      <c r="P541" s="5" t="s">
        <v>364</v>
      </c>
      <c r="Q541" s="5" t="s">
        <v>377</v>
      </c>
      <c r="R541" s="5" t="s">
        <v>96</v>
      </c>
      <c r="S541" s="5" t="s">
        <v>97</v>
      </c>
      <c r="T541" s="6">
        <v>265.0</v>
      </c>
      <c r="U541" s="5">
        <f t="shared" si="6"/>
        <v>265</v>
      </c>
      <c r="V541" s="5">
        <v>265.0</v>
      </c>
    </row>
    <row r="542" ht="22.5" customHeight="1">
      <c r="A542" s="5" t="s">
        <v>2071</v>
      </c>
      <c r="B542" s="5" t="s">
        <v>2072</v>
      </c>
      <c r="C542" s="5" t="str">
        <f t="shared" si="1"/>
        <v>Steven</v>
      </c>
      <c r="D542" s="5" t="s">
        <v>2072</v>
      </c>
      <c r="E542" s="5" t="s">
        <v>2073</v>
      </c>
      <c r="F542" s="5" t="str">
        <f t="shared" si="2"/>
        <v>Campbell</v>
      </c>
      <c r="G542" s="5" t="s">
        <v>2073</v>
      </c>
      <c r="H542" s="6">
        <v>35.0</v>
      </c>
      <c r="I542" s="6">
        <f t="shared" si="3"/>
        <v>35</v>
      </c>
      <c r="J542" s="6">
        <v>35.0</v>
      </c>
      <c r="K542" s="6" t="str">
        <f t="shared" si="4"/>
        <v>Young Adult</v>
      </c>
      <c r="L542" s="6" t="s">
        <v>528</v>
      </c>
      <c r="M542" s="5" t="s">
        <v>80</v>
      </c>
      <c r="N542" s="5" t="str">
        <f t="shared" si="5"/>
        <v>Male</v>
      </c>
      <c r="O542" s="5" t="s">
        <v>152</v>
      </c>
      <c r="P542" s="5" t="s">
        <v>64</v>
      </c>
      <c r="Q542" s="5" t="s">
        <v>358</v>
      </c>
      <c r="R542" s="5" t="s">
        <v>561</v>
      </c>
      <c r="S542" s="5" t="s">
        <v>211</v>
      </c>
      <c r="T542" s="6">
        <v>4276.0</v>
      </c>
      <c r="U542" s="5">
        <f t="shared" si="6"/>
        <v>4276</v>
      </c>
      <c r="V542" s="5">
        <v>4276.0</v>
      </c>
    </row>
    <row r="543" ht="22.5" customHeight="1">
      <c r="A543" s="5" t="s">
        <v>2076</v>
      </c>
      <c r="B543" s="5" t="s">
        <v>2077</v>
      </c>
      <c r="C543" s="5" t="str">
        <f t="shared" si="1"/>
        <v>Deborah</v>
      </c>
      <c r="D543" s="5" t="s">
        <v>2077</v>
      </c>
      <c r="E543" s="5" t="s">
        <v>2078</v>
      </c>
      <c r="F543" s="5" t="str">
        <f t="shared" si="2"/>
        <v>Morris</v>
      </c>
      <c r="G543" s="5" t="s">
        <v>2078</v>
      </c>
      <c r="H543" s="6">
        <v>86.0</v>
      </c>
      <c r="I543" s="6">
        <f t="shared" si="3"/>
        <v>86</v>
      </c>
      <c r="J543" s="6">
        <v>86.0</v>
      </c>
      <c r="K543" s="6" t="str">
        <f t="shared" si="4"/>
        <v>Senior</v>
      </c>
      <c r="L543" s="6" t="s">
        <v>734</v>
      </c>
      <c r="M543" s="5" t="s">
        <v>80</v>
      </c>
      <c r="N543" s="5" t="str">
        <f t="shared" si="5"/>
        <v>Male</v>
      </c>
      <c r="O543" s="5" t="s">
        <v>152</v>
      </c>
      <c r="P543" s="5" t="s">
        <v>47</v>
      </c>
      <c r="Q543" s="5" t="s">
        <v>164</v>
      </c>
      <c r="R543" s="5" t="s">
        <v>452</v>
      </c>
      <c r="S543" s="5" t="s">
        <v>97</v>
      </c>
      <c r="T543" s="6">
        <v>2195.0</v>
      </c>
      <c r="U543" s="5">
        <f t="shared" si="6"/>
        <v>2195</v>
      </c>
      <c r="V543" s="5">
        <v>2195.0</v>
      </c>
    </row>
    <row r="544" ht="22.5" customHeight="1">
      <c r="A544" s="5" t="s">
        <v>2081</v>
      </c>
      <c r="B544" s="5" t="s">
        <v>2008</v>
      </c>
      <c r="C544" s="5" t="str">
        <f t="shared" si="1"/>
        <v>William</v>
      </c>
      <c r="D544" s="5" t="s">
        <v>2008</v>
      </c>
      <c r="E544" s="5" t="s">
        <v>2082</v>
      </c>
      <c r="F544" s="5" t="str">
        <f t="shared" si="2"/>
        <v>Thompson</v>
      </c>
      <c r="G544" s="5" t="s">
        <v>2082</v>
      </c>
      <c r="H544" s="6">
        <v>45.0</v>
      </c>
      <c r="I544" s="6">
        <f t="shared" si="3"/>
        <v>45</v>
      </c>
      <c r="J544" s="6">
        <v>45.0</v>
      </c>
      <c r="K544" s="6" t="str">
        <f t="shared" si="4"/>
        <v>Middle Age</v>
      </c>
      <c r="L544" s="6" t="s">
        <v>591</v>
      </c>
      <c r="M544" s="5" t="s">
        <v>28</v>
      </c>
      <c r="N544" s="5" t="str">
        <f t="shared" si="5"/>
        <v>Female</v>
      </c>
      <c r="O544" s="5" t="s">
        <v>105</v>
      </c>
      <c r="P544" s="5" t="s">
        <v>376</v>
      </c>
      <c r="Q544" s="5" t="s">
        <v>1290</v>
      </c>
      <c r="R544" s="5" t="s">
        <v>533</v>
      </c>
      <c r="S544" s="5" t="s">
        <v>222</v>
      </c>
      <c r="T544" s="6">
        <v>1230.0</v>
      </c>
      <c r="U544" s="5">
        <f t="shared" si="6"/>
        <v>1230</v>
      </c>
      <c r="V544" s="5">
        <v>1230.0</v>
      </c>
    </row>
    <row r="545" ht="22.5" customHeight="1">
      <c r="A545" s="5" t="s">
        <v>2085</v>
      </c>
      <c r="B545" s="5" t="s">
        <v>2086</v>
      </c>
      <c r="C545" s="5" t="str">
        <f t="shared" si="1"/>
        <v>Nicole</v>
      </c>
      <c r="D545" s="5" t="s">
        <v>2086</v>
      </c>
      <c r="E545" s="5" t="s">
        <v>2087</v>
      </c>
      <c r="F545" s="5" t="str">
        <f t="shared" si="2"/>
        <v>Diaz</v>
      </c>
      <c r="G545" s="5" t="s">
        <v>2087</v>
      </c>
      <c r="H545" s="6">
        <v>88.0</v>
      </c>
      <c r="I545" s="6">
        <f t="shared" si="3"/>
        <v>88</v>
      </c>
      <c r="J545" s="6">
        <v>88.0</v>
      </c>
      <c r="K545" s="6" t="str">
        <f t="shared" si="4"/>
        <v>Senior</v>
      </c>
      <c r="L545" s="6" t="s">
        <v>734</v>
      </c>
      <c r="M545" s="5" t="s">
        <v>80</v>
      </c>
      <c r="N545" s="5" t="str">
        <f t="shared" si="5"/>
        <v>Male</v>
      </c>
      <c r="O545" s="5" t="s">
        <v>152</v>
      </c>
      <c r="P545" s="5" t="s">
        <v>47</v>
      </c>
      <c r="Q545" s="5" t="s">
        <v>32</v>
      </c>
      <c r="R545" s="5" t="s">
        <v>83</v>
      </c>
      <c r="S545" s="5" t="s">
        <v>97</v>
      </c>
      <c r="T545" s="6">
        <v>1583.0</v>
      </c>
      <c r="U545" s="5">
        <f t="shared" si="6"/>
        <v>1583</v>
      </c>
      <c r="V545" s="5">
        <v>1583.0</v>
      </c>
    </row>
    <row r="546" ht="22.5" customHeight="1">
      <c r="A546" s="5" t="s">
        <v>2089</v>
      </c>
      <c r="B546" s="5" t="s">
        <v>1329</v>
      </c>
      <c r="C546" s="5" t="str">
        <f t="shared" si="1"/>
        <v>Timothy</v>
      </c>
      <c r="D546" s="5" t="s">
        <v>1329</v>
      </c>
      <c r="E546" s="5" t="s">
        <v>2090</v>
      </c>
      <c r="F546" s="5" t="str">
        <f t="shared" si="2"/>
        <v>Cruz</v>
      </c>
      <c r="G546" s="5" t="s">
        <v>2090</v>
      </c>
      <c r="H546" s="6">
        <v>68.0</v>
      </c>
      <c r="I546" s="6">
        <f t="shared" si="3"/>
        <v>68</v>
      </c>
      <c r="J546" s="6">
        <v>68.0</v>
      </c>
      <c r="K546" s="6" t="str">
        <f t="shared" si="4"/>
        <v>Senior</v>
      </c>
      <c r="L546" s="6" t="s">
        <v>734</v>
      </c>
      <c r="M546" s="5" t="s">
        <v>105</v>
      </c>
      <c r="N546" s="5" t="str">
        <f t="shared" si="5"/>
        <v>Female</v>
      </c>
      <c r="O546" s="5" t="s">
        <v>105</v>
      </c>
      <c r="P546" s="5" t="s">
        <v>47</v>
      </c>
      <c r="Q546" s="5" t="s">
        <v>551</v>
      </c>
      <c r="R546" s="5" t="s">
        <v>96</v>
      </c>
      <c r="S546" s="5" t="s">
        <v>97</v>
      </c>
      <c r="T546" s="6">
        <v>761.0</v>
      </c>
      <c r="U546" s="5">
        <f t="shared" si="6"/>
        <v>761</v>
      </c>
      <c r="V546" s="5">
        <v>761.0</v>
      </c>
    </row>
    <row r="547" ht="22.5" customHeight="1">
      <c r="A547" s="5" t="s">
        <v>2093</v>
      </c>
      <c r="B547" s="5" t="s">
        <v>2094</v>
      </c>
      <c r="C547" s="5" t="str">
        <f t="shared" si="1"/>
        <v>Christine</v>
      </c>
      <c r="D547" s="5" t="s">
        <v>2094</v>
      </c>
      <c r="E547" s="5" t="s">
        <v>2095</v>
      </c>
      <c r="F547" s="5" t="str">
        <f t="shared" si="2"/>
        <v>Peterson</v>
      </c>
      <c r="G547" s="5" t="s">
        <v>2095</v>
      </c>
      <c r="H547" s="6">
        <v>21.0</v>
      </c>
      <c r="I547" s="6">
        <f t="shared" si="3"/>
        <v>21</v>
      </c>
      <c r="J547" s="6">
        <v>21.0</v>
      </c>
      <c r="K547" s="6" t="str">
        <f t="shared" si="4"/>
        <v>Young Adult</v>
      </c>
      <c r="L547" s="6" t="s">
        <v>528</v>
      </c>
      <c r="M547" s="5" t="s">
        <v>152</v>
      </c>
      <c r="N547" s="5" t="str">
        <f t="shared" si="5"/>
        <v>Male</v>
      </c>
      <c r="O547" s="5" t="s">
        <v>152</v>
      </c>
      <c r="P547" s="5" t="s">
        <v>107</v>
      </c>
      <c r="Q547" s="5" t="s">
        <v>164</v>
      </c>
      <c r="R547" s="5" t="s">
        <v>96</v>
      </c>
      <c r="S547" s="5" t="s">
        <v>52</v>
      </c>
      <c r="T547" s="6">
        <v>1002.0</v>
      </c>
      <c r="U547" s="5">
        <f t="shared" si="6"/>
        <v>1002</v>
      </c>
      <c r="V547" s="5">
        <v>1002.0</v>
      </c>
    </row>
    <row r="548" ht="22.5" customHeight="1">
      <c r="A548" s="5" t="s">
        <v>2098</v>
      </c>
      <c r="B548" s="5" t="s">
        <v>2099</v>
      </c>
      <c r="C548" s="5" t="str">
        <f t="shared" si="1"/>
        <v>Kenneth</v>
      </c>
      <c r="D548" s="5" t="s">
        <v>2099</v>
      </c>
      <c r="E548" s="5" t="s">
        <v>2100</v>
      </c>
      <c r="F548" s="5" t="str">
        <f t="shared" si="2"/>
        <v>Sanchez</v>
      </c>
      <c r="G548" s="5" t="s">
        <v>2100</v>
      </c>
      <c r="H548" s="6">
        <v>83.0</v>
      </c>
      <c r="I548" s="6">
        <f t="shared" si="3"/>
        <v>83</v>
      </c>
      <c r="J548" s="6">
        <v>83.0</v>
      </c>
      <c r="K548" s="6" t="str">
        <f t="shared" si="4"/>
        <v>Senior</v>
      </c>
      <c r="L548" s="6" t="s">
        <v>734</v>
      </c>
      <c r="M548" s="5" t="s">
        <v>1572</v>
      </c>
      <c r="N548" s="5" t="str">
        <f t="shared" si="5"/>
        <v>Male</v>
      </c>
      <c r="O548" s="5" t="s">
        <v>152</v>
      </c>
      <c r="P548" s="5" t="s">
        <v>208</v>
      </c>
      <c r="Q548" s="5" t="s">
        <v>916</v>
      </c>
      <c r="R548" s="5" t="s">
        <v>402</v>
      </c>
      <c r="S548" s="5" t="s">
        <v>97</v>
      </c>
      <c r="T548" s="6">
        <v>1281.0</v>
      </c>
      <c r="U548" s="5">
        <f t="shared" si="6"/>
        <v>1281</v>
      </c>
      <c r="V548" s="5">
        <v>1281.0</v>
      </c>
    </row>
    <row r="549" ht="22.5" customHeight="1">
      <c r="A549" s="5" t="s">
        <v>2102</v>
      </c>
      <c r="B549" s="5" t="s">
        <v>2103</v>
      </c>
      <c r="C549" s="5" t="str">
        <f t="shared" si="1"/>
        <v>Scott</v>
      </c>
      <c r="D549" s="5" t="s">
        <v>2103</v>
      </c>
      <c r="E549" s="5" t="s">
        <v>2104</v>
      </c>
      <c r="F549" s="5" t="str">
        <f t="shared" si="2"/>
        <v>Ortiz</v>
      </c>
      <c r="G549" s="5" t="s">
        <v>2104</v>
      </c>
      <c r="H549" s="6">
        <v>86.0</v>
      </c>
      <c r="I549" s="6">
        <f t="shared" si="3"/>
        <v>86</v>
      </c>
      <c r="J549" s="6">
        <v>86.0</v>
      </c>
      <c r="K549" s="6" t="str">
        <f t="shared" si="4"/>
        <v>Senior</v>
      </c>
      <c r="L549" s="6" t="s">
        <v>734</v>
      </c>
      <c r="M549" s="5" t="s">
        <v>28</v>
      </c>
      <c r="N549" s="5" t="str">
        <f t="shared" si="5"/>
        <v>Female</v>
      </c>
      <c r="O549" s="5" t="s">
        <v>105</v>
      </c>
      <c r="P549" s="5" t="s">
        <v>309</v>
      </c>
      <c r="Q549" s="5" t="s">
        <v>164</v>
      </c>
      <c r="R549" s="5" t="s">
        <v>96</v>
      </c>
      <c r="S549" s="5" t="s">
        <v>97</v>
      </c>
      <c r="T549" s="6">
        <v>710.0</v>
      </c>
      <c r="U549" s="5">
        <f t="shared" si="6"/>
        <v>710</v>
      </c>
      <c r="V549" s="5">
        <v>710.0</v>
      </c>
    </row>
    <row r="550" ht="22.5" customHeight="1">
      <c r="A550" s="5" t="s">
        <v>2107</v>
      </c>
      <c r="B550" s="5" t="s">
        <v>2108</v>
      </c>
      <c r="C550" s="5" t="str">
        <f t="shared" si="1"/>
        <v>Angela</v>
      </c>
      <c r="D550" s="5" t="s">
        <v>2108</v>
      </c>
      <c r="E550" s="5" t="s">
        <v>2109</v>
      </c>
      <c r="F550" s="5" t="str">
        <f t="shared" si="2"/>
        <v>Collins</v>
      </c>
      <c r="G550" s="5" t="s">
        <v>2109</v>
      </c>
      <c r="H550" s="6">
        <v>81.0</v>
      </c>
      <c r="I550" s="6">
        <f t="shared" si="3"/>
        <v>81</v>
      </c>
      <c r="J550" s="6">
        <v>81.0</v>
      </c>
      <c r="K550" s="6" t="str">
        <f t="shared" si="4"/>
        <v>Senior</v>
      </c>
      <c r="L550" s="6" t="s">
        <v>734</v>
      </c>
      <c r="M550" s="5" t="s">
        <v>105</v>
      </c>
      <c r="N550" s="5" t="str">
        <f t="shared" si="5"/>
        <v>Female</v>
      </c>
      <c r="O550" s="5" t="s">
        <v>105</v>
      </c>
      <c r="P550" s="5" t="s">
        <v>309</v>
      </c>
      <c r="Q550" s="5" t="s">
        <v>470</v>
      </c>
      <c r="R550" s="5" t="s">
        <v>96</v>
      </c>
      <c r="S550" s="5" t="s">
        <v>97</v>
      </c>
      <c r="T550" s="6">
        <v>556.0</v>
      </c>
      <c r="U550" s="5">
        <f t="shared" si="6"/>
        <v>556</v>
      </c>
      <c r="V550" s="5">
        <v>556.0</v>
      </c>
    </row>
    <row r="551" ht="22.5" customHeight="1">
      <c r="A551" s="5" t="s">
        <v>2111</v>
      </c>
      <c r="B551" s="5" t="s">
        <v>2112</v>
      </c>
      <c r="C551" s="5" t="str">
        <f t="shared" si="1"/>
        <v>Linda</v>
      </c>
      <c r="D551" s="5" t="s">
        <v>2112</v>
      </c>
      <c r="E551" s="5" t="s">
        <v>2113</v>
      </c>
      <c r="F551" s="5" t="str">
        <f t="shared" si="2"/>
        <v>Wilson</v>
      </c>
      <c r="G551" s="5" t="s">
        <v>2113</v>
      </c>
      <c r="H551" s="6">
        <v>88.0</v>
      </c>
      <c r="I551" s="6">
        <f t="shared" si="3"/>
        <v>88</v>
      </c>
      <c r="J551" s="6">
        <v>88.0</v>
      </c>
      <c r="K551" s="6" t="str">
        <f t="shared" si="4"/>
        <v>Senior</v>
      </c>
      <c r="L551" s="6" t="s">
        <v>734</v>
      </c>
      <c r="M551" s="5" t="s">
        <v>45</v>
      </c>
      <c r="N551" s="5" t="str">
        <f t="shared" si="5"/>
        <v>Female</v>
      </c>
      <c r="O551" s="5" t="s">
        <v>105</v>
      </c>
      <c r="P551" s="5" t="s">
        <v>30</v>
      </c>
      <c r="Q551" s="5" t="s">
        <v>164</v>
      </c>
      <c r="R551" s="5" t="s">
        <v>607</v>
      </c>
      <c r="S551" s="5" t="s">
        <v>97</v>
      </c>
      <c r="T551" s="6">
        <v>1840.0</v>
      </c>
      <c r="U551" s="5">
        <f t="shared" si="6"/>
        <v>1840</v>
      </c>
      <c r="V551" s="5">
        <v>1840.0</v>
      </c>
    </row>
    <row r="552" ht="22.5" customHeight="1">
      <c r="A552" s="5" t="s">
        <v>2116</v>
      </c>
      <c r="B552" s="5" t="s">
        <v>1237</v>
      </c>
      <c r="C552" s="5" t="str">
        <f t="shared" si="1"/>
        <v>Charles</v>
      </c>
      <c r="D552" s="5" t="s">
        <v>1237</v>
      </c>
      <c r="E552" s="5" t="s">
        <v>2073</v>
      </c>
      <c r="F552" s="5" t="str">
        <f t="shared" si="2"/>
        <v>Campbell</v>
      </c>
      <c r="G552" s="5" t="s">
        <v>2073</v>
      </c>
      <c r="H552" s="6">
        <v>81.0</v>
      </c>
      <c r="I552" s="6">
        <f t="shared" si="3"/>
        <v>81</v>
      </c>
      <c r="J552" s="6">
        <v>81.0</v>
      </c>
      <c r="K552" s="6" t="str">
        <f t="shared" si="4"/>
        <v>Senior</v>
      </c>
      <c r="L552" s="6" t="s">
        <v>734</v>
      </c>
      <c r="M552" s="5" t="s">
        <v>1572</v>
      </c>
      <c r="N552" s="5" t="str">
        <f t="shared" si="5"/>
        <v>Male</v>
      </c>
      <c r="O552" s="5" t="s">
        <v>152</v>
      </c>
      <c r="P552" s="5" t="s">
        <v>107</v>
      </c>
      <c r="Q552" s="5" t="s">
        <v>436</v>
      </c>
      <c r="R552" s="5" t="s">
        <v>561</v>
      </c>
      <c r="S552" s="5" t="s">
        <v>97</v>
      </c>
      <c r="T552" s="6">
        <v>1616.0</v>
      </c>
      <c r="U552" s="5">
        <f t="shared" si="6"/>
        <v>1616</v>
      </c>
      <c r="V552" s="5">
        <v>1616.0</v>
      </c>
    </row>
    <row r="553" ht="22.5" customHeight="1">
      <c r="A553" s="5" t="s">
        <v>2118</v>
      </c>
      <c r="B553" s="5" t="s">
        <v>2119</v>
      </c>
      <c r="C553" s="5" t="str">
        <f t="shared" si="1"/>
        <v>Patricia</v>
      </c>
      <c r="D553" s="5" t="s">
        <v>2119</v>
      </c>
      <c r="E553" s="5" t="s">
        <v>2120</v>
      </c>
      <c r="F553" s="5" t="str">
        <f t="shared" si="2"/>
        <v>Rivera</v>
      </c>
      <c r="G553" s="5" t="s">
        <v>2120</v>
      </c>
      <c r="H553" s="6">
        <v>80.0</v>
      </c>
      <c r="I553" s="6">
        <f t="shared" si="3"/>
        <v>80</v>
      </c>
      <c r="J553" s="6">
        <v>80.0</v>
      </c>
      <c r="K553" s="6" t="str">
        <f t="shared" si="4"/>
        <v>Senior</v>
      </c>
      <c r="L553" s="6" t="s">
        <v>734</v>
      </c>
      <c r="M553" s="5" t="s">
        <v>80</v>
      </c>
      <c r="N553" s="5" t="str">
        <f t="shared" si="5"/>
        <v>Male</v>
      </c>
      <c r="O553" s="5" t="s">
        <v>152</v>
      </c>
      <c r="P553" s="5" t="s">
        <v>107</v>
      </c>
      <c r="Q553" s="5" t="s">
        <v>551</v>
      </c>
      <c r="R553" s="5" t="s">
        <v>96</v>
      </c>
      <c r="S553" s="5" t="s">
        <v>97</v>
      </c>
      <c r="T553" s="6">
        <v>869.0</v>
      </c>
      <c r="U553" s="5">
        <f t="shared" si="6"/>
        <v>869</v>
      </c>
      <c r="V553" s="5">
        <v>869.0</v>
      </c>
    </row>
    <row r="554" ht="22.5" customHeight="1">
      <c r="A554" s="5" t="s">
        <v>2122</v>
      </c>
      <c r="B554" s="5" t="s">
        <v>2123</v>
      </c>
      <c r="C554" s="5" t="str">
        <f t="shared" si="1"/>
        <v>Brenda</v>
      </c>
      <c r="D554" s="5" t="s">
        <v>2123</v>
      </c>
      <c r="E554" s="5" t="s">
        <v>2090</v>
      </c>
      <c r="F554" s="5" t="str">
        <f t="shared" si="2"/>
        <v>Cruz</v>
      </c>
      <c r="G554" s="5" t="s">
        <v>2090</v>
      </c>
      <c r="H554" s="6">
        <v>21.0</v>
      </c>
      <c r="I554" s="6">
        <f t="shared" si="3"/>
        <v>21</v>
      </c>
      <c r="J554" s="6">
        <v>21.0</v>
      </c>
      <c r="K554" s="6" t="str">
        <f t="shared" si="4"/>
        <v>Young Adult</v>
      </c>
      <c r="L554" s="6" t="s">
        <v>528</v>
      </c>
      <c r="M554" s="5" t="s">
        <v>80</v>
      </c>
      <c r="N554" s="5" t="str">
        <f t="shared" si="5"/>
        <v>Male</v>
      </c>
      <c r="O554" s="5" t="s">
        <v>152</v>
      </c>
      <c r="P554" s="5" t="s">
        <v>47</v>
      </c>
      <c r="Q554" s="5" t="s">
        <v>1290</v>
      </c>
      <c r="R554" s="5" t="s">
        <v>533</v>
      </c>
      <c r="S554" s="5" t="s">
        <v>211</v>
      </c>
      <c r="T554" s="6">
        <v>2280.0</v>
      </c>
      <c r="U554" s="5">
        <f t="shared" si="6"/>
        <v>2280</v>
      </c>
      <c r="V554" s="5">
        <v>2280.0</v>
      </c>
    </row>
    <row r="555" ht="22.5" customHeight="1">
      <c r="A555" s="5" t="s">
        <v>2125</v>
      </c>
      <c r="B555" s="5" t="s">
        <v>2126</v>
      </c>
      <c r="C555" s="5" t="str">
        <f t="shared" si="1"/>
        <v>Carolyn</v>
      </c>
      <c r="D555" s="5" t="s">
        <v>2126</v>
      </c>
      <c r="E555" s="5" t="s">
        <v>2127</v>
      </c>
      <c r="F555" s="5" t="str">
        <f t="shared" si="2"/>
        <v>Parker</v>
      </c>
      <c r="G555" s="5" t="s">
        <v>2127</v>
      </c>
      <c r="H555" s="6">
        <v>46.0</v>
      </c>
      <c r="I555" s="6">
        <f t="shared" si="3"/>
        <v>46</v>
      </c>
      <c r="J555" s="6">
        <v>46.0</v>
      </c>
      <c r="K555" s="6" t="str">
        <f t="shared" si="4"/>
        <v>Middle Age</v>
      </c>
      <c r="L555" s="6" t="s">
        <v>591</v>
      </c>
      <c r="M555" s="5" t="s">
        <v>45</v>
      </c>
      <c r="N555" s="5" t="str">
        <f t="shared" si="5"/>
        <v>Female</v>
      </c>
      <c r="O555" s="5" t="s">
        <v>105</v>
      </c>
      <c r="P555" s="5" t="s">
        <v>268</v>
      </c>
      <c r="Q555" s="5" t="s">
        <v>377</v>
      </c>
      <c r="R555" s="5" t="s">
        <v>96</v>
      </c>
      <c r="S555" s="5" t="s">
        <v>559</v>
      </c>
      <c r="T555" s="6">
        <v>50.0</v>
      </c>
      <c r="U555" s="5">
        <f t="shared" si="6"/>
        <v>50</v>
      </c>
      <c r="V555" s="5">
        <v>50.0</v>
      </c>
    </row>
    <row r="556" ht="22.5" customHeight="1">
      <c r="A556" s="5" t="s">
        <v>2128</v>
      </c>
      <c r="B556" s="5" t="s">
        <v>2130</v>
      </c>
      <c r="C556" s="5" t="str">
        <f t="shared" si="1"/>
        <v>Shirley</v>
      </c>
      <c r="D556" s="5" t="s">
        <v>2130</v>
      </c>
      <c r="E556" s="5" t="s">
        <v>90</v>
      </c>
      <c r="F556" s="5" t="str">
        <f t="shared" si="2"/>
        <v>Davis</v>
      </c>
      <c r="G556" s="5" t="s">
        <v>90</v>
      </c>
      <c r="H556" s="6">
        <v>76.0</v>
      </c>
      <c r="I556" s="6">
        <f t="shared" si="3"/>
        <v>76</v>
      </c>
      <c r="J556" s="6">
        <v>76.0</v>
      </c>
      <c r="K556" s="6" t="str">
        <f t="shared" si="4"/>
        <v>Senior</v>
      </c>
      <c r="L556" s="6" t="s">
        <v>734</v>
      </c>
      <c r="M556" s="5" t="s">
        <v>28</v>
      </c>
      <c r="N556" s="5" t="str">
        <f t="shared" si="5"/>
        <v>Female</v>
      </c>
      <c r="O556" s="5" t="s">
        <v>105</v>
      </c>
      <c r="P556" s="5" t="s">
        <v>107</v>
      </c>
      <c r="Q556" s="5" t="s">
        <v>436</v>
      </c>
      <c r="R556" s="5" t="s">
        <v>561</v>
      </c>
      <c r="S556" s="5" t="s">
        <v>97</v>
      </c>
      <c r="T556" s="6">
        <v>2025.0</v>
      </c>
      <c r="U556" s="5">
        <f t="shared" si="6"/>
        <v>2025</v>
      </c>
      <c r="V556" s="5">
        <v>2025.0</v>
      </c>
    </row>
    <row r="557" ht="22.5" customHeight="1">
      <c r="A557" s="5" t="s">
        <v>2132</v>
      </c>
      <c r="B557" s="5" t="s">
        <v>2134</v>
      </c>
      <c r="C557" s="5" t="str">
        <f t="shared" si="1"/>
        <v>Catherine</v>
      </c>
      <c r="D557" s="5" t="s">
        <v>2134</v>
      </c>
      <c r="E557" s="5" t="s">
        <v>2135</v>
      </c>
      <c r="F557" s="5" t="str">
        <f t="shared" si="2"/>
        <v>Gomez</v>
      </c>
      <c r="G557" s="5" t="s">
        <v>2135</v>
      </c>
      <c r="H557" s="6">
        <v>27.0</v>
      </c>
      <c r="I557" s="6">
        <f t="shared" si="3"/>
        <v>27</v>
      </c>
      <c r="J557" s="6">
        <v>27.0</v>
      </c>
      <c r="K557" s="6" t="str">
        <f t="shared" si="4"/>
        <v>Young Adult</v>
      </c>
      <c r="L557" s="6" t="s">
        <v>528</v>
      </c>
      <c r="M557" s="5" t="s">
        <v>28</v>
      </c>
      <c r="N557" s="5" t="str">
        <f t="shared" si="5"/>
        <v>Female</v>
      </c>
      <c r="O557" s="5" t="s">
        <v>105</v>
      </c>
      <c r="P557" s="5" t="s">
        <v>81</v>
      </c>
      <c r="Q557" s="5" t="s">
        <v>551</v>
      </c>
      <c r="R557" s="5" t="s">
        <v>96</v>
      </c>
      <c r="S557" s="5" t="s">
        <v>222</v>
      </c>
      <c r="T557" s="6">
        <v>539.0</v>
      </c>
      <c r="U557" s="5">
        <f t="shared" si="6"/>
        <v>539</v>
      </c>
      <c r="V557" s="5">
        <v>539.0</v>
      </c>
    </row>
    <row r="558" ht="22.5" customHeight="1">
      <c r="A558" s="5" t="s">
        <v>2138</v>
      </c>
      <c r="B558" s="5" t="s">
        <v>2139</v>
      </c>
      <c r="C558" s="5" t="str">
        <f t="shared" si="1"/>
        <v>Jessica</v>
      </c>
      <c r="D558" s="5" t="s">
        <v>2139</v>
      </c>
      <c r="E558" s="5" t="s">
        <v>2140</v>
      </c>
      <c r="F558" s="5" t="str">
        <f t="shared" si="2"/>
        <v>Roberts</v>
      </c>
      <c r="G558" s="5" t="s">
        <v>2140</v>
      </c>
      <c r="H558" s="6">
        <v>79.0</v>
      </c>
      <c r="I558" s="6">
        <f t="shared" si="3"/>
        <v>79</v>
      </c>
      <c r="J558" s="6">
        <v>79.0</v>
      </c>
      <c r="K558" s="6" t="str">
        <f t="shared" si="4"/>
        <v>Senior</v>
      </c>
      <c r="L558" s="6" t="s">
        <v>734</v>
      </c>
      <c r="M558" s="5" t="s">
        <v>28</v>
      </c>
      <c r="N558" s="5" t="str">
        <f t="shared" si="5"/>
        <v>Female</v>
      </c>
      <c r="O558" s="5" t="s">
        <v>105</v>
      </c>
      <c r="P558" s="5" t="s">
        <v>309</v>
      </c>
      <c r="Q558" s="5" t="s">
        <v>436</v>
      </c>
      <c r="R558" s="5" t="s">
        <v>561</v>
      </c>
      <c r="S558" s="5" t="s">
        <v>97</v>
      </c>
      <c r="T558" s="6">
        <v>2809.0</v>
      </c>
      <c r="U558" s="5">
        <f t="shared" si="6"/>
        <v>2809</v>
      </c>
      <c r="V558" s="5">
        <v>2809.0</v>
      </c>
    </row>
    <row r="559" ht="22.5" customHeight="1">
      <c r="A559" s="5" t="s">
        <v>2141</v>
      </c>
      <c r="B559" s="5" t="s">
        <v>171</v>
      </c>
      <c r="C559" s="5" t="str">
        <f t="shared" si="1"/>
        <v>Frank</v>
      </c>
      <c r="D559" s="5" t="s">
        <v>171</v>
      </c>
      <c r="E559" s="5" t="s">
        <v>2103</v>
      </c>
      <c r="F559" s="5" t="str">
        <f t="shared" si="2"/>
        <v>Scott</v>
      </c>
      <c r="G559" s="5" t="s">
        <v>2103</v>
      </c>
      <c r="H559" s="6">
        <v>22.0</v>
      </c>
      <c r="I559" s="6">
        <f t="shared" si="3"/>
        <v>22</v>
      </c>
      <c r="J559" s="6">
        <v>22.0</v>
      </c>
      <c r="K559" s="6" t="str">
        <f t="shared" si="4"/>
        <v>Young Adult</v>
      </c>
      <c r="L559" s="6" t="s">
        <v>528</v>
      </c>
      <c r="M559" s="5" t="s">
        <v>152</v>
      </c>
      <c r="N559" s="5" t="str">
        <f t="shared" si="5"/>
        <v>Male</v>
      </c>
      <c r="O559" s="5" t="s">
        <v>152</v>
      </c>
      <c r="P559" s="5" t="s">
        <v>81</v>
      </c>
      <c r="Q559" s="5" t="s">
        <v>311</v>
      </c>
      <c r="R559" s="5" t="s">
        <v>546</v>
      </c>
      <c r="S559" s="5" t="s">
        <v>211</v>
      </c>
      <c r="T559" s="6">
        <v>364.0</v>
      </c>
      <c r="U559" s="5">
        <f t="shared" si="6"/>
        <v>364</v>
      </c>
      <c r="V559" s="5">
        <v>364.0</v>
      </c>
    </row>
    <row r="560" ht="22.5" customHeight="1">
      <c r="A560" s="5" t="s">
        <v>2143</v>
      </c>
      <c r="B560" s="5" t="s">
        <v>2144</v>
      </c>
      <c r="C560" s="5" t="str">
        <f t="shared" si="1"/>
        <v>Brandon</v>
      </c>
      <c r="D560" s="5" t="s">
        <v>2144</v>
      </c>
      <c r="E560" s="5" t="s">
        <v>2145</v>
      </c>
      <c r="F560" s="5" t="str">
        <f t="shared" si="2"/>
        <v>Robinson</v>
      </c>
      <c r="G560" s="5" t="s">
        <v>2145</v>
      </c>
      <c r="H560" s="6">
        <v>40.0</v>
      </c>
      <c r="I560" s="6">
        <f t="shared" si="3"/>
        <v>40</v>
      </c>
      <c r="J560" s="6">
        <v>40.0</v>
      </c>
      <c r="K560" s="6" t="str">
        <f t="shared" si="4"/>
        <v>Young Adult</v>
      </c>
      <c r="L560" s="6" t="s">
        <v>528</v>
      </c>
      <c r="M560" s="5" t="s">
        <v>28</v>
      </c>
      <c r="N560" s="5" t="str">
        <f t="shared" si="5"/>
        <v>Female</v>
      </c>
      <c r="O560" s="5" t="s">
        <v>105</v>
      </c>
      <c r="P560" s="5" t="s">
        <v>47</v>
      </c>
      <c r="Q560" s="5" t="s">
        <v>551</v>
      </c>
      <c r="R560" s="5" t="s">
        <v>83</v>
      </c>
      <c r="S560" s="5" t="s">
        <v>222</v>
      </c>
      <c r="T560" s="6">
        <v>2342.0</v>
      </c>
      <c r="U560" s="5">
        <f t="shared" si="6"/>
        <v>2342</v>
      </c>
      <c r="V560" s="5">
        <v>2342.0</v>
      </c>
    </row>
    <row r="561" ht="22.5" customHeight="1">
      <c r="A561" s="5" t="s">
        <v>2147</v>
      </c>
      <c r="B561" s="5" t="s">
        <v>764</v>
      </c>
      <c r="C561" s="5" t="str">
        <f t="shared" si="1"/>
        <v>Nancy</v>
      </c>
      <c r="D561" s="5" t="s">
        <v>764</v>
      </c>
      <c r="E561" s="5" t="s">
        <v>2148</v>
      </c>
      <c r="F561" s="5" t="str">
        <f t="shared" si="2"/>
        <v>Taylor</v>
      </c>
      <c r="G561" s="5" t="s">
        <v>2148</v>
      </c>
      <c r="H561" s="6">
        <v>43.0</v>
      </c>
      <c r="I561" s="6">
        <f t="shared" si="3"/>
        <v>43</v>
      </c>
      <c r="J561" s="6">
        <v>43.0</v>
      </c>
      <c r="K561" s="6" t="str">
        <f t="shared" si="4"/>
        <v>Middle Age</v>
      </c>
      <c r="L561" s="6" t="s">
        <v>591</v>
      </c>
      <c r="M561" s="5" t="s">
        <v>1572</v>
      </c>
      <c r="N561" s="5" t="str">
        <f t="shared" si="5"/>
        <v>Male</v>
      </c>
      <c r="O561" s="5" t="s">
        <v>152</v>
      </c>
      <c r="P561" s="5" t="s">
        <v>64</v>
      </c>
      <c r="Q561" s="5" t="s">
        <v>418</v>
      </c>
      <c r="R561" s="5" t="s">
        <v>210</v>
      </c>
      <c r="S561" s="5" t="s">
        <v>211</v>
      </c>
      <c r="T561" s="6">
        <v>1489.0</v>
      </c>
      <c r="U561" s="5">
        <f t="shared" si="6"/>
        <v>1489</v>
      </c>
      <c r="V561" s="5">
        <v>1489.0</v>
      </c>
    </row>
    <row r="562" ht="22.5" customHeight="1">
      <c r="A562" s="5" t="s">
        <v>2152</v>
      </c>
      <c r="B562" s="5" t="s">
        <v>2153</v>
      </c>
      <c r="C562" s="5" t="str">
        <f t="shared" si="1"/>
        <v>Amy</v>
      </c>
      <c r="D562" s="5" t="s">
        <v>2153</v>
      </c>
      <c r="E562" s="5" t="s">
        <v>2154</v>
      </c>
      <c r="F562" s="5" t="str">
        <f t="shared" si="2"/>
        <v>Anderson</v>
      </c>
      <c r="G562" s="5" t="s">
        <v>2154</v>
      </c>
      <c r="H562" s="6">
        <v>34.0</v>
      </c>
      <c r="I562" s="6">
        <f t="shared" si="3"/>
        <v>34</v>
      </c>
      <c r="J562" s="6">
        <v>34.0</v>
      </c>
      <c r="K562" s="6" t="str">
        <f t="shared" si="4"/>
        <v>Young Adult</v>
      </c>
      <c r="L562" s="6" t="s">
        <v>528</v>
      </c>
      <c r="M562" s="5" t="s">
        <v>45</v>
      </c>
      <c r="N562" s="5" t="str">
        <f t="shared" si="5"/>
        <v>Female</v>
      </c>
      <c r="O562" s="5" t="s">
        <v>105</v>
      </c>
      <c r="P562" s="5" t="s">
        <v>30</v>
      </c>
      <c r="Q562" s="5" t="s">
        <v>164</v>
      </c>
      <c r="R562" s="5" t="s">
        <v>452</v>
      </c>
      <c r="S562" s="5" t="s">
        <v>211</v>
      </c>
      <c r="T562" s="6">
        <v>3977.0</v>
      </c>
      <c r="U562" s="5">
        <f t="shared" si="6"/>
        <v>3977</v>
      </c>
      <c r="V562" s="5">
        <v>3977.0</v>
      </c>
    </row>
    <row r="563" ht="22.5" customHeight="1">
      <c r="A563" s="5" t="s">
        <v>2157</v>
      </c>
      <c r="B563" s="5" t="s">
        <v>2144</v>
      </c>
      <c r="C563" s="5" t="str">
        <f t="shared" si="1"/>
        <v>Brandon</v>
      </c>
      <c r="D563" s="5" t="s">
        <v>2144</v>
      </c>
      <c r="E563" s="5" t="s">
        <v>2095</v>
      </c>
      <c r="F563" s="5" t="str">
        <f t="shared" si="2"/>
        <v>Peterson</v>
      </c>
      <c r="G563" s="5" t="s">
        <v>2095</v>
      </c>
      <c r="H563" s="6">
        <v>999.0</v>
      </c>
      <c r="I563" s="6">
        <f t="shared" si="3"/>
        <v>999</v>
      </c>
      <c r="J563" s="6"/>
      <c r="K563" s="6" t="str">
        <f t="shared" si="4"/>
        <v>Unknown</v>
      </c>
      <c r="L563" s="6" t="s">
        <v>1081</v>
      </c>
      <c r="M563" s="5" t="s">
        <v>105</v>
      </c>
      <c r="N563" s="5" t="str">
        <f t="shared" si="5"/>
        <v>Female</v>
      </c>
      <c r="O563" s="5" t="s">
        <v>105</v>
      </c>
      <c r="P563" s="5" t="s">
        <v>47</v>
      </c>
      <c r="Q563" s="5" t="s">
        <v>377</v>
      </c>
      <c r="R563" s="5" t="s">
        <v>96</v>
      </c>
      <c r="S563" s="5" t="s">
        <v>97</v>
      </c>
      <c r="T563" s="6">
        <v>50.0</v>
      </c>
      <c r="U563" s="5">
        <f t="shared" si="6"/>
        <v>50</v>
      </c>
      <c r="V563" s="5">
        <v>50.0</v>
      </c>
    </row>
    <row r="564" ht="22.5" customHeight="1">
      <c r="A564" s="5" t="s">
        <v>2158</v>
      </c>
      <c r="B564" s="5" t="s">
        <v>2072</v>
      </c>
      <c r="C564" s="5" t="str">
        <f t="shared" si="1"/>
        <v>Steven</v>
      </c>
      <c r="D564" s="5" t="s">
        <v>2072</v>
      </c>
      <c r="E564" s="5" t="s">
        <v>2159</v>
      </c>
      <c r="F564" s="5" t="str">
        <f t="shared" si="2"/>
        <v>Chavez</v>
      </c>
      <c r="G564" s="5" t="s">
        <v>2159</v>
      </c>
      <c r="H564" s="6">
        <v>55.0</v>
      </c>
      <c r="I564" s="6">
        <f t="shared" si="3"/>
        <v>55</v>
      </c>
      <c r="J564" s="6">
        <v>55.0</v>
      </c>
      <c r="K564" s="6" t="str">
        <f t="shared" si="4"/>
        <v>Middle Age</v>
      </c>
      <c r="L564" s="6" t="s">
        <v>591</v>
      </c>
      <c r="M564" s="5" t="s">
        <v>152</v>
      </c>
      <c r="N564" s="5" t="str">
        <f t="shared" si="5"/>
        <v>Male</v>
      </c>
      <c r="O564" s="5" t="s">
        <v>152</v>
      </c>
      <c r="P564" s="5" t="s">
        <v>30</v>
      </c>
      <c r="Q564" s="5" t="s">
        <v>576</v>
      </c>
      <c r="R564" s="5" t="s">
        <v>607</v>
      </c>
      <c r="S564" s="5" t="s">
        <v>211</v>
      </c>
      <c r="T564" s="6">
        <v>2533.0</v>
      </c>
      <c r="U564" s="5">
        <f t="shared" si="6"/>
        <v>2533</v>
      </c>
      <c r="V564" s="5">
        <v>2533.0</v>
      </c>
    </row>
    <row r="565" ht="22.5" customHeight="1">
      <c r="A565" s="5" t="s">
        <v>2161</v>
      </c>
      <c r="B565" s="5" t="s">
        <v>2153</v>
      </c>
      <c r="C565" s="5" t="str">
        <f t="shared" si="1"/>
        <v>Amy</v>
      </c>
      <c r="D565" s="5" t="s">
        <v>2153</v>
      </c>
      <c r="E565" s="5" t="s">
        <v>2163</v>
      </c>
      <c r="F565" s="5" t="str">
        <f t="shared" si="2"/>
        <v>Ruiz</v>
      </c>
      <c r="G565" s="5" t="s">
        <v>2163</v>
      </c>
      <c r="H565" s="6">
        <v>39.0</v>
      </c>
      <c r="I565" s="6">
        <f t="shared" si="3"/>
        <v>39</v>
      </c>
      <c r="J565" s="6">
        <v>39.0</v>
      </c>
      <c r="K565" s="6" t="str">
        <f t="shared" si="4"/>
        <v>Young Adult</v>
      </c>
      <c r="L565" s="6" t="s">
        <v>528</v>
      </c>
      <c r="M565" s="5" t="s">
        <v>105</v>
      </c>
      <c r="N565" s="5" t="str">
        <f t="shared" si="5"/>
        <v>Female</v>
      </c>
      <c r="O565" s="5" t="s">
        <v>105</v>
      </c>
      <c r="P565" s="5" t="s">
        <v>237</v>
      </c>
      <c r="Q565" s="5" t="s">
        <v>123</v>
      </c>
      <c r="R565" s="5" t="s">
        <v>83</v>
      </c>
      <c r="S565" s="5" t="s">
        <v>559</v>
      </c>
      <c r="T565" s="6">
        <v>2267.0</v>
      </c>
      <c r="U565" s="5">
        <f t="shared" si="6"/>
        <v>2267</v>
      </c>
      <c r="V565" s="5">
        <v>2267.0</v>
      </c>
    </row>
    <row r="566" ht="22.5" customHeight="1">
      <c r="A566" s="5" t="s">
        <v>2165</v>
      </c>
      <c r="B566" s="5" t="s">
        <v>2166</v>
      </c>
      <c r="C566" s="5" t="str">
        <f t="shared" si="1"/>
        <v>Mark</v>
      </c>
      <c r="D566" s="5" t="s">
        <v>2166</v>
      </c>
      <c r="E566" s="5" t="s">
        <v>2167</v>
      </c>
      <c r="F566" s="5" t="str">
        <f t="shared" si="2"/>
        <v>Rogers</v>
      </c>
      <c r="G566" s="5" t="s">
        <v>2167</v>
      </c>
      <c r="H566" s="6">
        <v>55.0</v>
      </c>
      <c r="I566" s="6">
        <f t="shared" si="3"/>
        <v>55</v>
      </c>
      <c r="J566" s="6">
        <v>55.0</v>
      </c>
      <c r="K566" s="6" t="str">
        <f t="shared" si="4"/>
        <v>Middle Age</v>
      </c>
      <c r="L566" s="6" t="s">
        <v>591</v>
      </c>
      <c r="M566" s="5" t="s">
        <v>152</v>
      </c>
      <c r="N566" s="5" t="str">
        <f t="shared" si="5"/>
        <v>Male</v>
      </c>
      <c r="O566" s="5" t="s">
        <v>152</v>
      </c>
      <c r="P566" s="5" t="s">
        <v>393</v>
      </c>
      <c r="Q566" s="5" t="s">
        <v>470</v>
      </c>
      <c r="R566" s="5" t="s">
        <v>96</v>
      </c>
      <c r="S566" s="5" t="s">
        <v>559</v>
      </c>
      <c r="T566" s="6">
        <v>621.0</v>
      </c>
      <c r="U566" s="5">
        <f t="shared" si="6"/>
        <v>621</v>
      </c>
      <c r="V566" s="5">
        <v>621.0</v>
      </c>
    </row>
    <row r="567" ht="22.5" customHeight="1">
      <c r="A567" s="5" t="s">
        <v>2170</v>
      </c>
      <c r="B567" s="5" t="s">
        <v>2103</v>
      </c>
      <c r="C567" s="5" t="str">
        <f t="shared" si="1"/>
        <v>Scott</v>
      </c>
      <c r="D567" s="5" t="s">
        <v>2103</v>
      </c>
      <c r="E567" s="5" t="s">
        <v>216</v>
      </c>
      <c r="F567" s="5" t="str">
        <f t="shared" si="2"/>
        <v>Williams</v>
      </c>
      <c r="G567" s="5" t="s">
        <v>216</v>
      </c>
      <c r="H567" s="6">
        <v>72.0</v>
      </c>
      <c r="I567" s="6">
        <f t="shared" si="3"/>
        <v>72</v>
      </c>
      <c r="J567" s="6">
        <v>72.0</v>
      </c>
      <c r="K567" s="6" t="str">
        <f t="shared" si="4"/>
        <v>Senior</v>
      </c>
      <c r="L567" s="6" t="s">
        <v>734</v>
      </c>
      <c r="M567" s="5" t="s">
        <v>45</v>
      </c>
      <c r="N567" s="5" t="str">
        <f t="shared" si="5"/>
        <v>Female</v>
      </c>
      <c r="O567" s="5" t="s">
        <v>105</v>
      </c>
      <c r="P567" s="5" t="s">
        <v>176</v>
      </c>
      <c r="Q567" s="5" t="s">
        <v>311</v>
      </c>
      <c r="R567" s="5" t="s">
        <v>96</v>
      </c>
      <c r="S567" s="5" t="s">
        <v>97</v>
      </c>
      <c r="T567" s="6">
        <v>268.0</v>
      </c>
      <c r="U567" s="5">
        <f t="shared" si="6"/>
        <v>268</v>
      </c>
      <c r="V567" s="5">
        <v>268.0</v>
      </c>
    </row>
    <row r="568" ht="22.5" customHeight="1">
      <c r="A568" s="5" t="s">
        <v>2172</v>
      </c>
      <c r="B568" s="5" t="s">
        <v>1237</v>
      </c>
      <c r="C568" s="5" t="str">
        <f t="shared" si="1"/>
        <v>Charles</v>
      </c>
      <c r="D568" s="5" t="s">
        <v>1237</v>
      </c>
      <c r="E568" s="5" t="s">
        <v>2103</v>
      </c>
      <c r="F568" s="5" t="str">
        <f t="shared" si="2"/>
        <v>Scott</v>
      </c>
      <c r="G568" s="5" t="s">
        <v>2103</v>
      </c>
      <c r="H568" s="6">
        <v>87.0</v>
      </c>
      <c r="I568" s="6">
        <f t="shared" si="3"/>
        <v>87</v>
      </c>
      <c r="J568" s="6">
        <v>87.0</v>
      </c>
      <c r="K568" s="6" t="str">
        <f t="shared" si="4"/>
        <v>Senior</v>
      </c>
      <c r="L568" s="6" t="s">
        <v>734</v>
      </c>
      <c r="M568" s="5" t="s">
        <v>1572</v>
      </c>
      <c r="N568" s="5" t="str">
        <f t="shared" si="5"/>
        <v>Male</v>
      </c>
      <c r="O568" s="5" t="s">
        <v>152</v>
      </c>
      <c r="P568" s="5" t="s">
        <v>237</v>
      </c>
      <c r="Q568" s="5" t="s">
        <v>1290</v>
      </c>
      <c r="R568" s="5" t="s">
        <v>533</v>
      </c>
      <c r="S568" s="5" t="s">
        <v>97</v>
      </c>
      <c r="T568" s="6">
        <v>1185.0</v>
      </c>
      <c r="U568" s="5">
        <f t="shared" si="6"/>
        <v>1185</v>
      </c>
      <c r="V568" s="5">
        <v>1185.0</v>
      </c>
    </row>
    <row r="569" ht="22.5" customHeight="1">
      <c r="A569" s="5" t="s">
        <v>2174</v>
      </c>
      <c r="B569" s="5" t="s">
        <v>2153</v>
      </c>
      <c r="C569" s="5" t="str">
        <f t="shared" si="1"/>
        <v>Amy</v>
      </c>
      <c r="D569" s="5" t="s">
        <v>2153</v>
      </c>
      <c r="E569" s="5" t="s">
        <v>2175</v>
      </c>
      <c r="F569" s="5" t="str">
        <f t="shared" si="2"/>
        <v>Flores</v>
      </c>
      <c r="G569" s="5" t="s">
        <v>2175</v>
      </c>
      <c r="H569" s="6">
        <v>89.0</v>
      </c>
      <c r="I569" s="6">
        <f t="shared" si="3"/>
        <v>89</v>
      </c>
      <c r="J569" s="6">
        <v>89.0</v>
      </c>
      <c r="K569" s="6" t="str">
        <f t="shared" si="4"/>
        <v>Senior</v>
      </c>
      <c r="L569" s="6" t="s">
        <v>734</v>
      </c>
      <c r="M569" s="5" t="s">
        <v>80</v>
      </c>
      <c r="N569" s="5" t="str">
        <f t="shared" si="5"/>
        <v>Male</v>
      </c>
      <c r="O569" s="5" t="s">
        <v>152</v>
      </c>
      <c r="P569" s="5" t="s">
        <v>759</v>
      </c>
      <c r="Q569" s="5" t="s">
        <v>164</v>
      </c>
      <c r="R569" s="5" t="s">
        <v>96</v>
      </c>
      <c r="S569" s="5" t="s">
        <v>97</v>
      </c>
      <c r="T569" s="6">
        <v>664.0</v>
      </c>
      <c r="U569" s="5">
        <f t="shared" si="6"/>
        <v>664</v>
      </c>
      <c r="V569" s="5">
        <v>664.0</v>
      </c>
    </row>
    <row r="570" ht="22.5" customHeight="1">
      <c r="A570" s="5" t="s">
        <v>2177</v>
      </c>
      <c r="B570" s="5" t="s">
        <v>2178</v>
      </c>
      <c r="C570" s="5" t="str">
        <f t="shared" si="1"/>
        <v>Matthew</v>
      </c>
      <c r="D570" s="5" t="s">
        <v>2178</v>
      </c>
      <c r="E570" s="5" t="s">
        <v>2179</v>
      </c>
      <c r="F570" s="5" t="str">
        <f t="shared" si="2"/>
        <v>Hill</v>
      </c>
      <c r="G570" s="5" t="s">
        <v>2179</v>
      </c>
      <c r="H570" s="6">
        <v>20.0</v>
      </c>
      <c r="I570" s="6">
        <f t="shared" si="3"/>
        <v>20</v>
      </c>
      <c r="J570" s="6">
        <v>20.0</v>
      </c>
      <c r="K570" s="6" t="str">
        <f t="shared" si="4"/>
        <v>Young Adult</v>
      </c>
      <c r="L570" s="6" t="s">
        <v>528</v>
      </c>
      <c r="M570" s="5" t="s">
        <v>152</v>
      </c>
      <c r="N570" s="5" t="str">
        <f t="shared" si="5"/>
        <v>Male</v>
      </c>
      <c r="O570" s="5" t="s">
        <v>152</v>
      </c>
      <c r="P570" s="5" t="s">
        <v>107</v>
      </c>
      <c r="Q570" s="5" t="s">
        <v>238</v>
      </c>
      <c r="R570" s="5" t="s">
        <v>533</v>
      </c>
      <c r="S570" s="5" t="s">
        <v>222</v>
      </c>
      <c r="T570" s="6">
        <v>1672.0</v>
      </c>
      <c r="U570" s="5">
        <f t="shared" si="6"/>
        <v>1672</v>
      </c>
      <c r="V570" s="5">
        <v>1672.0</v>
      </c>
    </row>
    <row r="571" ht="22.5" customHeight="1">
      <c r="A571" s="5" t="s">
        <v>2181</v>
      </c>
      <c r="B571" s="5" t="s">
        <v>2183</v>
      </c>
      <c r="C571" s="5" t="str">
        <f t="shared" si="1"/>
        <v>Larry</v>
      </c>
      <c r="D571" s="5" t="s">
        <v>2183</v>
      </c>
      <c r="E571" s="5" t="s">
        <v>363</v>
      </c>
      <c r="F571" s="5" t="str">
        <f t="shared" si="2"/>
        <v>Smith</v>
      </c>
      <c r="G571" s="5" t="s">
        <v>363</v>
      </c>
      <c r="H571" s="6">
        <v>68.0</v>
      </c>
      <c r="I571" s="6">
        <f t="shared" si="3"/>
        <v>68</v>
      </c>
      <c r="J571" s="6">
        <v>68.0</v>
      </c>
      <c r="K571" s="6" t="str">
        <f t="shared" si="4"/>
        <v>Senior</v>
      </c>
      <c r="L571" s="6" t="s">
        <v>734</v>
      </c>
      <c r="M571" s="5" t="s">
        <v>152</v>
      </c>
      <c r="N571" s="5" t="str">
        <f t="shared" si="5"/>
        <v>Male</v>
      </c>
      <c r="O571" s="5" t="s">
        <v>152</v>
      </c>
      <c r="P571" s="5" t="s">
        <v>309</v>
      </c>
      <c r="Q571" s="5" t="s">
        <v>358</v>
      </c>
      <c r="R571" s="5" t="s">
        <v>561</v>
      </c>
      <c r="S571" s="5" t="s">
        <v>97</v>
      </c>
      <c r="T571" s="6">
        <v>2741.0</v>
      </c>
      <c r="U571" s="5">
        <f t="shared" si="6"/>
        <v>2741</v>
      </c>
      <c r="V571" s="5">
        <v>2741.0</v>
      </c>
    </row>
    <row r="572" ht="22.5" customHeight="1">
      <c r="A572" s="5" t="s">
        <v>2185</v>
      </c>
      <c r="B572" s="5" t="s">
        <v>2186</v>
      </c>
      <c r="C572" s="5" t="str">
        <f t="shared" si="1"/>
        <v>Laura</v>
      </c>
      <c r="D572" s="5" t="s">
        <v>2186</v>
      </c>
      <c r="E572" s="5" t="s">
        <v>2187</v>
      </c>
      <c r="F572" s="5" t="str">
        <f t="shared" si="2"/>
        <v>Bailey</v>
      </c>
      <c r="G572" s="5" t="s">
        <v>2187</v>
      </c>
      <c r="H572" s="6">
        <v>77.0</v>
      </c>
      <c r="I572" s="6">
        <f t="shared" si="3"/>
        <v>77</v>
      </c>
      <c r="J572" s="6">
        <v>77.0</v>
      </c>
      <c r="K572" s="6" t="str">
        <f t="shared" si="4"/>
        <v>Senior</v>
      </c>
      <c r="L572" s="6" t="s">
        <v>734</v>
      </c>
      <c r="M572" s="5" t="s">
        <v>152</v>
      </c>
      <c r="N572" s="5" t="str">
        <f t="shared" si="5"/>
        <v>Male</v>
      </c>
      <c r="O572" s="5" t="s">
        <v>152</v>
      </c>
      <c r="P572" s="5" t="s">
        <v>64</v>
      </c>
      <c r="Q572" s="5" t="s">
        <v>1290</v>
      </c>
      <c r="R572" s="5" t="s">
        <v>533</v>
      </c>
      <c r="S572" s="5" t="s">
        <v>97</v>
      </c>
      <c r="T572" s="6">
        <v>1259.0</v>
      </c>
      <c r="U572" s="5">
        <f t="shared" si="6"/>
        <v>1259</v>
      </c>
      <c r="V572" s="5">
        <v>1259.0</v>
      </c>
    </row>
    <row r="573" ht="22.5" customHeight="1">
      <c r="A573" s="5" t="s">
        <v>2190</v>
      </c>
      <c r="B573" s="5" t="s">
        <v>2119</v>
      </c>
      <c r="C573" s="5" t="str">
        <f t="shared" si="1"/>
        <v>Patricia</v>
      </c>
      <c r="D573" s="5" t="s">
        <v>2119</v>
      </c>
      <c r="E573" s="5" t="s">
        <v>925</v>
      </c>
      <c r="F573" s="5" t="str">
        <f t="shared" si="2"/>
        <v>James</v>
      </c>
      <c r="G573" s="5" t="s">
        <v>925</v>
      </c>
      <c r="H573" s="6">
        <v>64.0</v>
      </c>
      <c r="I573" s="6">
        <f t="shared" si="3"/>
        <v>64</v>
      </c>
      <c r="J573" s="6">
        <v>64.0</v>
      </c>
      <c r="K573" s="6" t="str">
        <f t="shared" si="4"/>
        <v>Senior</v>
      </c>
      <c r="L573" s="6" t="s">
        <v>734</v>
      </c>
      <c r="M573" s="5" t="s">
        <v>1572</v>
      </c>
      <c r="N573" s="5" t="str">
        <f t="shared" si="5"/>
        <v>Male</v>
      </c>
      <c r="O573" s="5" t="s">
        <v>152</v>
      </c>
      <c r="P573" s="5" t="s">
        <v>309</v>
      </c>
      <c r="Q573" s="5" t="s">
        <v>470</v>
      </c>
      <c r="R573" s="5" t="s">
        <v>96</v>
      </c>
      <c r="S573" s="5" t="s">
        <v>97</v>
      </c>
      <c r="T573" s="6">
        <v>364.0</v>
      </c>
      <c r="U573" s="5">
        <f t="shared" si="6"/>
        <v>364</v>
      </c>
      <c r="V573" s="5">
        <v>364.0</v>
      </c>
    </row>
    <row r="574" ht="22.5" customHeight="1">
      <c r="A574" s="5" t="s">
        <v>2192</v>
      </c>
      <c r="B574" s="5" t="s">
        <v>2193</v>
      </c>
      <c r="C574" s="5" t="str">
        <f t="shared" si="1"/>
        <v>Kathleen</v>
      </c>
      <c r="D574" s="5" t="s">
        <v>2193</v>
      </c>
      <c r="E574" s="5" t="s">
        <v>2194</v>
      </c>
      <c r="F574" s="5" t="str">
        <f t="shared" si="2"/>
        <v>Kelly</v>
      </c>
      <c r="G574" s="5" t="s">
        <v>2194</v>
      </c>
      <c r="H574" s="6">
        <v>89.0</v>
      </c>
      <c r="I574" s="6">
        <f t="shared" si="3"/>
        <v>89</v>
      </c>
      <c r="J574" s="6">
        <v>89.0</v>
      </c>
      <c r="K574" s="6" t="str">
        <f t="shared" si="4"/>
        <v>Senior</v>
      </c>
      <c r="L574" s="6" t="s">
        <v>734</v>
      </c>
      <c r="M574" s="5" t="s">
        <v>28</v>
      </c>
      <c r="N574" s="5" t="str">
        <f t="shared" si="5"/>
        <v>Female</v>
      </c>
      <c r="O574" s="5" t="s">
        <v>105</v>
      </c>
      <c r="P574" s="5" t="s">
        <v>237</v>
      </c>
      <c r="Q574" s="5" t="s">
        <v>551</v>
      </c>
      <c r="R574" s="5" t="s">
        <v>96</v>
      </c>
      <c r="S574" s="5" t="s">
        <v>97</v>
      </c>
      <c r="T574" s="6">
        <v>251.0</v>
      </c>
      <c r="U574" s="5">
        <f t="shared" si="6"/>
        <v>251</v>
      </c>
      <c r="V574" s="5">
        <v>251.0</v>
      </c>
    </row>
    <row r="575" ht="22.5" customHeight="1">
      <c r="A575" s="5" t="s">
        <v>2196</v>
      </c>
      <c r="B575" s="5" t="s">
        <v>2198</v>
      </c>
      <c r="C575" s="5" t="str">
        <f t="shared" si="1"/>
        <v>Alexander</v>
      </c>
      <c r="D575" s="5" t="s">
        <v>2198</v>
      </c>
      <c r="E575" s="5" t="s">
        <v>629</v>
      </c>
      <c r="F575" s="5" t="str">
        <f t="shared" si="2"/>
        <v>Richardson</v>
      </c>
      <c r="G575" s="5" t="s">
        <v>629</v>
      </c>
      <c r="H575" s="6">
        <v>35.0</v>
      </c>
      <c r="I575" s="6">
        <f t="shared" si="3"/>
        <v>35</v>
      </c>
      <c r="J575" s="6">
        <v>35.0</v>
      </c>
      <c r="K575" s="6" t="str">
        <f t="shared" si="4"/>
        <v>Young Adult</v>
      </c>
      <c r="L575" s="6" t="s">
        <v>528</v>
      </c>
      <c r="M575" s="5" t="s">
        <v>45</v>
      </c>
      <c r="N575" s="5" t="str">
        <f t="shared" si="5"/>
        <v>Female</v>
      </c>
      <c r="O575" s="5" t="s">
        <v>105</v>
      </c>
      <c r="P575" s="5" t="s">
        <v>47</v>
      </c>
      <c r="Q575" s="5" t="s">
        <v>669</v>
      </c>
      <c r="R575" s="5" t="s">
        <v>452</v>
      </c>
      <c r="S575" s="5" t="s">
        <v>211</v>
      </c>
      <c r="T575" s="6">
        <v>4050.0</v>
      </c>
      <c r="U575" s="5">
        <f t="shared" si="6"/>
        <v>4050</v>
      </c>
      <c r="V575" s="5">
        <v>4050.0</v>
      </c>
    </row>
    <row r="576" ht="22.5" customHeight="1">
      <c r="A576" s="5" t="s">
        <v>2201</v>
      </c>
      <c r="B576" s="5" t="s">
        <v>2202</v>
      </c>
      <c r="C576" s="5" t="str">
        <f t="shared" si="1"/>
        <v>Karen</v>
      </c>
      <c r="D576" s="5" t="s">
        <v>2202</v>
      </c>
      <c r="E576" s="5" t="s">
        <v>2203</v>
      </c>
      <c r="F576" s="5" t="str">
        <f t="shared" si="2"/>
        <v>Gutierrez</v>
      </c>
      <c r="G576" s="5" t="s">
        <v>2203</v>
      </c>
      <c r="H576" s="6">
        <v>31.0</v>
      </c>
      <c r="I576" s="6">
        <f t="shared" si="3"/>
        <v>31</v>
      </c>
      <c r="J576" s="6">
        <v>31.0</v>
      </c>
      <c r="K576" s="6" t="str">
        <f t="shared" si="4"/>
        <v>Young Adult</v>
      </c>
      <c r="L576" s="6" t="s">
        <v>528</v>
      </c>
      <c r="M576" s="5" t="s">
        <v>45</v>
      </c>
      <c r="N576" s="5" t="str">
        <f t="shared" si="5"/>
        <v>Female</v>
      </c>
      <c r="O576" s="5" t="s">
        <v>105</v>
      </c>
      <c r="P576" s="5" t="s">
        <v>237</v>
      </c>
      <c r="Q576" s="5" t="s">
        <v>916</v>
      </c>
      <c r="R576" s="5" t="s">
        <v>402</v>
      </c>
      <c r="S576" s="5" t="s">
        <v>222</v>
      </c>
      <c r="T576" s="6">
        <v>3249.0</v>
      </c>
      <c r="U576" s="5">
        <f t="shared" si="6"/>
        <v>3249</v>
      </c>
      <c r="V576" s="5">
        <v>3249.0</v>
      </c>
    </row>
    <row r="577" ht="22.5" customHeight="1">
      <c r="A577" s="5" t="s">
        <v>2205</v>
      </c>
      <c r="B577" s="5" t="s">
        <v>2206</v>
      </c>
      <c r="C577" s="5" t="str">
        <f t="shared" si="1"/>
        <v>Nicholas</v>
      </c>
      <c r="D577" s="5" t="s">
        <v>2206</v>
      </c>
      <c r="E577" s="5" t="s">
        <v>301</v>
      </c>
      <c r="F577" s="5" t="str">
        <f t="shared" si="2"/>
        <v>Lee</v>
      </c>
      <c r="G577" s="5" t="s">
        <v>301</v>
      </c>
      <c r="H577" s="6">
        <v>58.0</v>
      </c>
      <c r="I577" s="6">
        <f t="shared" si="3"/>
        <v>58</v>
      </c>
      <c r="J577" s="6">
        <v>58.0</v>
      </c>
      <c r="K577" s="6" t="str">
        <f t="shared" si="4"/>
        <v>Middle Age</v>
      </c>
      <c r="L577" s="6" t="s">
        <v>591</v>
      </c>
      <c r="M577" s="5" t="s">
        <v>105</v>
      </c>
      <c r="N577" s="5" t="str">
        <f t="shared" si="5"/>
        <v>Female</v>
      </c>
      <c r="O577" s="5" t="s">
        <v>105</v>
      </c>
      <c r="P577" s="5" t="s">
        <v>208</v>
      </c>
      <c r="Q577" s="5" t="s">
        <v>164</v>
      </c>
      <c r="R577" s="5" t="s">
        <v>607</v>
      </c>
      <c r="S577" s="5" t="s">
        <v>211</v>
      </c>
      <c r="T577" s="6">
        <v>3803.0</v>
      </c>
      <c r="U577" s="5">
        <f t="shared" si="6"/>
        <v>3803</v>
      </c>
      <c r="V577" s="5">
        <v>3803.0</v>
      </c>
    </row>
    <row r="578" ht="22.5" customHeight="1">
      <c r="A578" s="5" t="s">
        <v>2209</v>
      </c>
      <c r="B578" s="5" t="s">
        <v>2210</v>
      </c>
      <c r="C578" s="5" t="str">
        <f t="shared" si="1"/>
        <v>Benjamin</v>
      </c>
      <c r="D578" s="5" t="s">
        <v>2210</v>
      </c>
      <c r="E578" s="5" t="s">
        <v>2211</v>
      </c>
      <c r="F578" s="5" t="str">
        <f t="shared" si="2"/>
        <v>Ramirez</v>
      </c>
      <c r="G578" s="5" t="s">
        <v>2211</v>
      </c>
      <c r="H578" s="6">
        <v>-76.0</v>
      </c>
      <c r="I578" s="6">
        <f t="shared" si="3"/>
        <v>76</v>
      </c>
      <c r="J578" s="6">
        <v>76.0</v>
      </c>
      <c r="K578" s="6" t="str">
        <f t="shared" si="4"/>
        <v>Senior</v>
      </c>
      <c r="L578" s="6" t="s">
        <v>734</v>
      </c>
      <c r="M578" s="5" t="s">
        <v>80</v>
      </c>
      <c r="N578" s="5" t="str">
        <f t="shared" si="5"/>
        <v>Male</v>
      </c>
      <c r="O578" s="5" t="s">
        <v>152</v>
      </c>
      <c r="P578" s="5" t="s">
        <v>268</v>
      </c>
      <c r="Q578" s="5" t="s">
        <v>470</v>
      </c>
      <c r="R578" s="5" t="s">
        <v>96</v>
      </c>
      <c r="S578" s="5" t="s">
        <v>559</v>
      </c>
      <c r="T578" s="6">
        <v>527.0</v>
      </c>
      <c r="U578" s="5">
        <f t="shared" si="6"/>
        <v>527</v>
      </c>
      <c r="V578" s="5">
        <v>527.0</v>
      </c>
    </row>
    <row r="579" ht="22.5" customHeight="1">
      <c r="A579" s="5" t="s">
        <v>2212</v>
      </c>
      <c r="B579" s="5" t="s">
        <v>872</v>
      </c>
      <c r="C579" s="5" t="str">
        <f t="shared" si="1"/>
        <v>Paul</v>
      </c>
      <c r="D579" s="5" t="s">
        <v>872</v>
      </c>
      <c r="E579" s="5" t="s">
        <v>2214</v>
      </c>
      <c r="F579" s="5" t="str">
        <f t="shared" si="2"/>
        <v>Cox</v>
      </c>
      <c r="G579" s="5" t="s">
        <v>2214</v>
      </c>
      <c r="H579" s="6">
        <v>49.0</v>
      </c>
      <c r="I579" s="6">
        <f t="shared" si="3"/>
        <v>49</v>
      </c>
      <c r="J579" s="6">
        <v>49.0</v>
      </c>
      <c r="K579" s="6" t="str">
        <f t="shared" si="4"/>
        <v>Middle Age</v>
      </c>
      <c r="L579" s="6" t="s">
        <v>591</v>
      </c>
      <c r="M579" s="5" t="s">
        <v>80</v>
      </c>
      <c r="N579" s="5" t="str">
        <f t="shared" si="5"/>
        <v>Male</v>
      </c>
      <c r="O579" s="5" t="s">
        <v>152</v>
      </c>
      <c r="P579" s="5" t="s">
        <v>47</v>
      </c>
      <c r="Q579" s="5" t="s">
        <v>470</v>
      </c>
      <c r="R579" s="5" t="s">
        <v>179</v>
      </c>
      <c r="S579" s="5" t="s">
        <v>52</v>
      </c>
      <c r="T579" s="6">
        <v>3096.0</v>
      </c>
      <c r="U579" s="5">
        <f t="shared" si="6"/>
        <v>3096</v>
      </c>
      <c r="V579" s="5">
        <v>3096.0</v>
      </c>
    </row>
    <row r="580" ht="22.5" customHeight="1">
      <c r="A580" s="5" t="s">
        <v>2216</v>
      </c>
      <c r="B580" s="5" t="s">
        <v>1186</v>
      </c>
      <c r="C580" s="5" t="str">
        <f t="shared" si="1"/>
        <v>Jack</v>
      </c>
      <c r="D580" s="5" t="s">
        <v>1186</v>
      </c>
      <c r="E580" s="5" t="s">
        <v>2217</v>
      </c>
      <c r="F580" s="5" t="str">
        <f t="shared" si="2"/>
        <v>Bennett</v>
      </c>
      <c r="G580" s="5" t="s">
        <v>2217</v>
      </c>
      <c r="H580" s="6">
        <v>59.0</v>
      </c>
      <c r="I580" s="6">
        <f t="shared" si="3"/>
        <v>59</v>
      </c>
      <c r="J580" s="6">
        <v>59.0</v>
      </c>
      <c r="K580" s="6" t="str">
        <f t="shared" si="4"/>
        <v>Middle Age</v>
      </c>
      <c r="L580" s="6" t="s">
        <v>591</v>
      </c>
      <c r="M580" s="5" t="s">
        <v>80</v>
      </c>
      <c r="N580" s="5" t="str">
        <f t="shared" si="5"/>
        <v>Male</v>
      </c>
      <c r="O580" s="5" t="s">
        <v>152</v>
      </c>
      <c r="P580" s="5" t="s">
        <v>107</v>
      </c>
      <c r="Q580" s="5" t="s">
        <v>637</v>
      </c>
      <c r="R580" s="5" t="s">
        <v>546</v>
      </c>
      <c r="S580" s="5" t="s">
        <v>222</v>
      </c>
      <c r="T580" s="6">
        <v>2178.0</v>
      </c>
      <c r="U580" s="5">
        <f t="shared" si="6"/>
        <v>2178</v>
      </c>
      <c r="V580" s="5">
        <v>2178.0</v>
      </c>
    </row>
    <row r="581" ht="22.5" customHeight="1">
      <c r="A581" s="5" t="s">
        <v>2220</v>
      </c>
      <c r="B581" s="5" t="s">
        <v>2221</v>
      </c>
      <c r="C581" s="5" t="str">
        <f t="shared" si="1"/>
        <v>Janet</v>
      </c>
      <c r="D581" s="5" t="s">
        <v>2221</v>
      </c>
      <c r="E581" s="5" t="s">
        <v>2222</v>
      </c>
      <c r="F581" s="5" t="str">
        <f t="shared" si="2"/>
        <v>Wood</v>
      </c>
      <c r="G581" s="5" t="s">
        <v>2222</v>
      </c>
      <c r="H581" s="6">
        <v>18.0</v>
      </c>
      <c r="I581" s="6">
        <f t="shared" si="3"/>
        <v>18</v>
      </c>
      <c r="J581" s="6">
        <v>18.0</v>
      </c>
      <c r="K581" s="6" t="str">
        <f t="shared" si="4"/>
        <v>Young Adult</v>
      </c>
      <c r="L581" s="6" t="s">
        <v>528</v>
      </c>
      <c r="M581" s="5" t="s">
        <v>28</v>
      </c>
      <c r="N581" s="5" t="str">
        <f t="shared" si="5"/>
        <v>Female</v>
      </c>
      <c r="O581" s="5" t="s">
        <v>105</v>
      </c>
      <c r="P581" s="5" t="s">
        <v>47</v>
      </c>
      <c r="Q581" s="5" t="s">
        <v>489</v>
      </c>
      <c r="R581" s="5" t="s">
        <v>179</v>
      </c>
      <c r="S581" s="5" t="s">
        <v>559</v>
      </c>
      <c r="T581" s="6">
        <v>3653.0</v>
      </c>
      <c r="U581" s="5">
        <f t="shared" si="6"/>
        <v>3653</v>
      </c>
      <c r="V581" s="5">
        <v>3653.0</v>
      </c>
    </row>
    <row r="582" ht="22.5" customHeight="1">
      <c r="A582" s="5" t="s">
        <v>2224</v>
      </c>
      <c r="B582" s="5" t="s">
        <v>2225</v>
      </c>
      <c r="C582" s="5" t="str">
        <f t="shared" si="1"/>
        <v>Rachel</v>
      </c>
      <c r="D582" s="5" t="s">
        <v>2225</v>
      </c>
      <c r="E582" s="5" t="s">
        <v>2226</v>
      </c>
      <c r="F582" s="5" t="str">
        <f t="shared" si="2"/>
        <v>Hughes</v>
      </c>
      <c r="G582" s="5" t="s">
        <v>2226</v>
      </c>
      <c r="H582" s="6">
        <v>53.0</v>
      </c>
      <c r="I582" s="6">
        <f t="shared" si="3"/>
        <v>53</v>
      </c>
      <c r="J582" s="6">
        <v>53.0</v>
      </c>
      <c r="K582" s="6" t="str">
        <f t="shared" si="4"/>
        <v>Middle Age</v>
      </c>
      <c r="L582" s="6" t="s">
        <v>591</v>
      </c>
      <c r="M582" s="5" t="s">
        <v>1572</v>
      </c>
      <c r="N582" s="5" t="str">
        <f t="shared" si="5"/>
        <v>Male</v>
      </c>
      <c r="O582" s="5" t="s">
        <v>152</v>
      </c>
      <c r="P582" s="5" t="s">
        <v>141</v>
      </c>
      <c r="Q582" s="5" t="s">
        <v>470</v>
      </c>
      <c r="R582" s="5" t="s">
        <v>96</v>
      </c>
      <c r="S582" s="5" t="s">
        <v>52</v>
      </c>
      <c r="T582" s="6">
        <v>547.0</v>
      </c>
      <c r="U582" s="5">
        <f t="shared" si="6"/>
        <v>547</v>
      </c>
      <c r="V582" s="5">
        <v>547.0</v>
      </c>
    </row>
    <row r="583" ht="22.5" customHeight="1">
      <c r="A583" s="5" t="s">
        <v>2229</v>
      </c>
      <c r="B583" s="5" t="s">
        <v>764</v>
      </c>
      <c r="C583" s="5" t="str">
        <f t="shared" si="1"/>
        <v>Nancy</v>
      </c>
      <c r="D583" s="5" t="s">
        <v>764</v>
      </c>
      <c r="E583" s="5" t="s">
        <v>2230</v>
      </c>
      <c r="F583" s="5" t="str">
        <f t="shared" si="2"/>
        <v>Hall</v>
      </c>
      <c r="G583" s="5" t="s">
        <v>2230</v>
      </c>
      <c r="H583" s="6">
        <v>-52.0</v>
      </c>
      <c r="I583" s="6">
        <f t="shared" si="3"/>
        <v>52</v>
      </c>
      <c r="J583" s="6">
        <v>52.0</v>
      </c>
      <c r="K583" s="6" t="str">
        <f t="shared" si="4"/>
        <v>Middle Age</v>
      </c>
      <c r="L583" s="6" t="s">
        <v>591</v>
      </c>
      <c r="M583" s="5" t="s">
        <v>28</v>
      </c>
      <c r="N583" s="5" t="str">
        <f t="shared" si="5"/>
        <v>Female</v>
      </c>
      <c r="O583" s="5" t="s">
        <v>105</v>
      </c>
      <c r="P583" s="5" t="s">
        <v>309</v>
      </c>
      <c r="Q583" s="5" t="s">
        <v>377</v>
      </c>
      <c r="R583" s="5" t="s">
        <v>96</v>
      </c>
      <c r="S583" s="5" t="s">
        <v>211</v>
      </c>
      <c r="T583" s="6">
        <v>358.0</v>
      </c>
      <c r="U583" s="5">
        <f t="shared" si="6"/>
        <v>358</v>
      </c>
      <c r="V583" s="5">
        <v>358.0</v>
      </c>
    </row>
    <row r="584" ht="22.5" customHeight="1">
      <c r="A584" s="5" t="s">
        <v>2233</v>
      </c>
      <c r="B584" s="5" t="s">
        <v>625</v>
      </c>
      <c r="C584" s="5" t="str">
        <f t="shared" si="1"/>
        <v>Mary</v>
      </c>
      <c r="D584" s="5" t="s">
        <v>625</v>
      </c>
      <c r="E584" s="5" t="s">
        <v>2235</v>
      </c>
      <c r="F584" s="5" t="str">
        <f t="shared" si="2"/>
        <v>Murphy</v>
      </c>
      <c r="G584" s="5" t="s">
        <v>2235</v>
      </c>
      <c r="H584" s="6">
        <v>76.0</v>
      </c>
      <c r="I584" s="6">
        <f t="shared" si="3"/>
        <v>76</v>
      </c>
      <c r="J584" s="6">
        <v>76.0</v>
      </c>
      <c r="K584" s="6" t="str">
        <f t="shared" si="4"/>
        <v>Senior</v>
      </c>
      <c r="L584" s="6" t="s">
        <v>734</v>
      </c>
      <c r="M584" s="5" t="s">
        <v>1572</v>
      </c>
      <c r="N584" s="5" t="str">
        <f t="shared" si="5"/>
        <v>Male</v>
      </c>
      <c r="O584" s="5" t="s">
        <v>152</v>
      </c>
      <c r="P584" s="5" t="s">
        <v>47</v>
      </c>
      <c r="Q584" s="5" t="s">
        <v>164</v>
      </c>
      <c r="R584" s="5" t="s">
        <v>452</v>
      </c>
      <c r="S584" s="5" t="s">
        <v>97</v>
      </c>
      <c r="T584" s="6">
        <v>4999.0</v>
      </c>
      <c r="U584" s="5">
        <f t="shared" si="6"/>
        <v>4999</v>
      </c>
      <c r="V584" s="5">
        <v>4999.0</v>
      </c>
    </row>
    <row r="585" ht="22.5" customHeight="1">
      <c r="A585" s="5" t="s">
        <v>2236</v>
      </c>
      <c r="B585" s="5" t="s">
        <v>2237</v>
      </c>
      <c r="C585" s="5" t="str">
        <f t="shared" si="1"/>
        <v>Kimberly</v>
      </c>
      <c r="D585" s="5" t="s">
        <v>2237</v>
      </c>
      <c r="E585" s="5" t="s">
        <v>25</v>
      </c>
      <c r="F585" s="5" t="str">
        <f t="shared" si="2"/>
        <v>Garcia</v>
      </c>
      <c r="G585" s="5" t="s">
        <v>25</v>
      </c>
      <c r="H585" s="6">
        <v>32.0</v>
      </c>
      <c r="I585" s="6">
        <f t="shared" si="3"/>
        <v>32</v>
      </c>
      <c r="J585" s="6">
        <v>32.0</v>
      </c>
      <c r="K585" s="6" t="str">
        <f t="shared" si="4"/>
        <v>Young Adult</v>
      </c>
      <c r="L585" s="6" t="s">
        <v>528</v>
      </c>
      <c r="M585" s="5" t="s">
        <v>152</v>
      </c>
      <c r="N585" s="5" t="str">
        <f t="shared" si="5"/>
        <v>Male</v>
      </c>
      <c r="O585" s="5" t="s">
        <v>152</v>
      </c>
      <c r="P585" s="5" t="s">
        <v>571</v>
      </c>
      <c r="Q585" s="5" t="s">
        <v>164</v>
      </c>
      <c r="R585" s="5" t="s">
        <v>452</v>
      </c>
      <c r="S585" s="5" t="s">
        <v>222</v>
      </c>
      <c r="T585" s="6">
        <v>2702.0</v>
      </c>
      <c r="U585" s="5">
        <f t="shared" si="6"/>
        <v>2702</v>
      </c>
      <c r="V585" s="5">
        <v>2702.0</v>
      </c>
    </row>
    <row r="586" ht="22.5" customHeight="1">
      <c r="A586" s="5" t="s">
        <v>2239</v>
      </c>
      <c r="B586" s="5" t="s">
        <v>2108</v>
      </c>
      <c r="C586" s="5" t="str">
        <f t="shared" si="1"/>
        <v>Angela</v>
      </c>
      <c r="D586" s="5" t="s">
        <v>2108</v>
      </c>
      <c r="E586" s="5" t="s">
        <v>2187</v>
      </c>
      <c r="F586" s="5" t="str">
        <f t="shared" si="2"/>
        <v>Bailey</v>
      </c>
      <c r="G586" s="5" t="s">
        <v>2187</v>
      </c>
      <c r="H586" s="6">
        <v>46.0</v>
      </c>
      <c r="I586" s="6">
        <f t="shared" si="3"/>
        <v>46</v>
      </c>
      <c r="J586" s="6">
        <v>46.0</v>
      </c>
      <c r="K586" s="6" t="str">
        <f t="shared" si="4"/>
        <v>Middle Age</v>
      </c>
      <c r="L586" s="6" t="s">
        <v>591</v>
      </c>
      <c r="M586" s="5" t="s">
        <v>28</v>
      </c>
      <c r="N586" s="5" t="str">
        <f t="shared" si="5"/>
        <v>Female</v>
      </c>
      <c r="O586" s="5" t="s">
        <v>105</v>
      </c>
      <c r="P586" s="5" t="s">
        <v>47</v>
      </c>
      <c r="Q586" s="5" t="s">
        <v>439</v>
      </c>
      <c r="R586" s="5" t="s">
        <v>210</v>
      </c>
      <c r="S586" s="5" t="s">
        <v>222</v>
      </c>
      <c r="T586" s="6">
        <v>1514.0</v>
      </c>
      <c r="U586" s="5">
        <f t="shared" si="6"/>
        <v>1514</v>
      </c>
      <c r="V586" s="5">
        <v>1514.0</v>
      </c>
    </row>
    <row r="587" ht="22.5" customHeight="1">
      <c r="A587" s="5" t="s">
        <v>2243</v>
      </c>
      <c r="B587" s="5" t="s">
        <v>2244</v>
      </c>
      <c r="C587" s="5" t="str">
        <f t="shared" si="1"/>
        <v>Anthony</v>
      </c>
      <c r="D587" s="5" t="s">
        <v>2244</v>
      </c>
      <c r="E587" s="5" t="s">
        <v>2154</v>
      </c>
      <c r="F587" s="5" t="str">
        <f t="shared" si="2"/>
        <v>Anderson</v>
      </c>
      <c r="G587" s="5" t="s">
        <v>2154</v>
      </c>
      <c r="H587" s="6">
        <v>21.0</v>
      </c>
      <c r="I587" s="6">
        <f t="shared" si="3"/>
        <v>21</v>
      </c>
      <c r="J587" s="6">
        <v>21.0</v>
      </c>
      <c r="K587" s="6" t="str">
        <f t="shared" si="4"/>
        <v>Young Adult</v>
      </c>
      <c r="L587" s="6" t="s">
        <v>528</v>
      </c>
      <c r="M587" s="5" t="s">
        <v>80</v>
      </c>
      <c r="N587" s="5" t="str">
        <f t="shared" si="5"/>
        <v>Male</v>
      </c>
      <c r="O587" s="5" t="s">
        <v>152</v>
      </c>
      <c r="P587" s="5" t="s">
        <v>393</v>
      </c>
      <c r="Q587" s="5" t="s">
        <v>1290</v>
      </c>
      <c r="R587" s="5" t="s">
        <v>533</v>
      </c>
      <c r="S587" s="5" t="s">
        <v>222</v>
      </c>
      <c r="T587" s="6">
        <v>1035.0</v>
      </c>
      <c r="U587" s="5">
        <f t="shared" si="6"/>
        <v>1035</v>
      </c>
      <c r="V587" s="5">
        <v>1035.0</v>
      </c>
    </row>
    <row r="588" ht="22.5" customHeight="1">
      <c r="A588" s="5" t="s">
        <v>2245</v>
      </c>
      <c r="B588" s="5" t="s">
        <v>2246</v>
      </c>
      <c r="C588" s="5" t="str">
        <f t="shared" si="1"/>
        <v>Helen</v>
      </c>
      <c r="D588" s="5" t="s">
        <v>2246</v>
      </c>
      <c r="E588" s="5" t="s">
        <v>2163</v>
      </c>
      <c r="F588" s="5" t="str">
        <f t="shared" si="2"/>
        <v>Ruiz</v>
      </c>
      <c r="G588" s="5" t="s">
        <v>2163</v>
      </c>
      <c r="H588" s="6">
        <v>29.0</v>
      </c>
      <c r="I588" s="6">
        <f t="shared" si="3"/>
        <v>29</v>
      </c>
      <c r="J588" s="6">
        <v>29.0</v>
      </c>
      <c r="K588" s="6" t="str">
        <f t="shared" si="4"/>
        <v>Young Adult</v>
      </c>
      <c r="L588" s="6" t="s">
        <v>528</v>
      </c>
      <c r="M588" s="5" t="s">
        <v>28</v>
      </c>
      <c r="N588" s="5" t="str">
        <f t="shared" si="5"/>
        <v>Female</v>
      </c>
      <c r="O588" s="5" t="s">
        <v>105</v>
      </c>
      <c r="P588" s="5" t="s">
        <v>256</v>
      </c>
      <c r="Q588" s="5" t="s">
        <v>32</v>
      </c>
      <c r="R588" s="5" t="s">
        <v>83</v>
      </c>
      <c r="S588" s="5" t="s">
        <v>222</v>
      </c>
      <c r="T588" s="6">
        <v>1782.0</v>
      </c>
      <c r="U588" s="5">
        <f t="shared" si="6"/>
        <v>1782</v>
      </c>
      <c r="V588" s="5">
        <v>1782.0</v>
      </c>
    </row>
    <row r="589" ht="22.5" customHeight="1">
      <c r="A589" s="5" t="s">
        <v>2249</v>
      </c>
      <c r="B589" s="5" t="s">
        <v>2250</v>
      </c>
      <c r="C589" s="5" t="str">
        <f t="shared" si="1"/>
        <v>Maria</v>
      </c>
      <c r="D589" s="5" t="s">
        <v>2250</v>
      </c>
      <c r="E589" s="5" t="s">
        <v>2251</v>
      </c>
      <c r="F589" s="5" t="str">
        <f t="shared" si="2"/>
        <v>Adams</v>
      </c>
      <c r="G589" s="5" t="s">
        <v>2251</v>
      </c>
      <c r="H589" s="6">
        <v>42.0</v>
      </c>
      <c r="I589" s="6">
        <f t="shared" si="3"/>
        <v>42</v>
      </c>
      <c r="J589" s="6">
        <v>42.0</v>
      </c>
      <c r="K589" s="6" t="str">
        <f t="shared" si="4"/>
        <v>Middle Age</v>
      </c>
      <c r="L589" s="6" t="s">
        <v>591</v>
      </c>
      <c r="M589" s="5" t="s">
        <v>152</v>
      </c>
      <c r="N589" s="5" t="str">
        <f t="shared" si="5"/>
        <v>Male</v>
      </c>
      <c r="O589" s="5" t="s">
        <v>152</v>
      </c>
      <c r="P589" s="5" t="s">
        <v>539</v>
      </c>
      <c r="Q589" s="5" t="s">
        <v>418</v>
      </c>
      <c r="R589" s="5" t="s">
        <v>210</v>
      </c>
      <c r="S589" s="5" t="s">
        <v>222</v>
      </c>
      <c r="T589" s="6">
        <v>50.0</v>
      </c>
      <c r="U589" s="5">
        <f t="shared" si="6"/>
        <v>50</v>
      </c>
      <c r="V589" s="5">
        <v>50.0</v>
      </c>
    </row>
    <row r="590" ht="22.5" customHeight="1">
      <c r="A590" s="5" t="s">
        <v>2253</v>
      </c>
      <c r="B590" s="5" t="s">
        <v>2178</v>
      </c>
      <c r="C590" s="5" t="str">
        <f t="shared" si="1"/>
        <v>Matthew</v>
      </c>
      <c r="D590" s="5" t="s">
        <v>2178</v>
      </c>
      <c r="E590" s="5" t="s">
        <v>2254</v>
      </c>
      <c r="F590" s="5" t="str">
        <f t="shared" si="2"/>
        <v>Allen</v>
      </c>
      <c r="G590" s="5" t="s">
        <v>2254</v>
      </c>
      <c r="H590" s="6">
        <v>34.0</v>
      </c>
      <c r="I590" s="6">
        <f t="shared" si="3"/>
        <v>34</v>
      </c>
      <c r="J590" s="6">
        <v>34.0</v>
      </c>
      <c r="K590" s="6" t="str">
        <f t="shared" si="4"/>
        <v>Young Adult</v>
      </c>
      <c r="L590" s="6" t="s">
        <v>528</v>
      </c>
      <c r="M590" s="5" t="s">
        <v>28</v>
      </c>
      <c r="N590" s="5" t="str">
        <f t="shared" si="5"/>
        <v>Female</v>
      </c>
      <c r="O590" s="5" t="s">
        <v>105</v>
      </c>
      <c r="P590" s="5" t="s">
        <v>364</v>
      </c>
      <c r="Q590" s="5" t="s">
        <v>439</v>
      </c>
      <c r="R590" s="5" t="s">
        <v>210</v>
      </c>
      <c r="S590" s="5" t="s">
        <v>559</v>
      </c>
      <c r="T590" s="6">
        <v>1025.0</v>
      </c>
      <c r="U590" s="5">
        <f t="shared" si="6"/>
        <v>1025</v>
      </c>
      <c r="V590" s="5">
        <v>1025.0</v>
      </c>
    </row>
    <row r="591" ht="22.5" customHeight="1">
      <c r="A591" s="5" t="s">
        <v>2255</v>
      </c>
      <c r="B591" s="5" t="s">
        <v>2139</v>
      </c>
      <c r="C591" s="5" t="str">
        <f t="shared" si="1"/>
        <v>Jessica</v>
      </c>
      <c r="D591" s="5" t="s">
        <v>2139</v>
      </c>
      <c r="E591" s="5" t="s">
        <v>713</v>
      </c>
      <c r="F591" s="5" t="str">
        <f t="shared" si="2"/>
        <v>White</v>
      </c>
      <c r="G591" s="5" t="s">
        <v>713</v>
      </c>
      <c r="H591" s="6">
        <v>999.0</v>
      </c>
      <c r="I591" s="6">
        <f t="shared" si="3"/>
        <v>999</v>
      </c>
      <c r="J591" s="6"/>
      <c r="K591" s="6" t="str">
        <f t="shared" si="4"/>
        <v>Unknown</v>
      </c>
      <c r="L591" s="6" t="s">
        <v>1081</v>
      </c>
      <c r="M591" s="5" t="s">
        <v>1572</v>
      </c>
      <c r="N591" s="5" t="str">
        <f t="shared" si="5"/>
        <v>Male</v>
      </c>
      <c r="O591" s="5" t="s">
        <v>152</v>
      </c>
      <c r="P591" s="5" t="s">
        <v>30</v>
      </c>
      <c r="Q591" s="5" t="s">
        <v>418</v>
      </c>
      <c r="R591" s="5" t="s">
        <v>210</v>
      </c>
      <c r="S591" s="5" t="s">
        <v>97</v>
      </c>
      <c r="T591" s="6">
        <v>704.0</v>
      </c>
      <c r="U591" s="5">
        <f t="shared" si="6"/>
        <v>704</v>
      </c>
      <c r="V591" s="5">
        <v>704.0</v>
      </c>
    </row>
    <row r="592" ht="22.5" customHeight="1">
      <c r="A592" s="5" t="s">
        <v>2257</v>
      </c>
      <c r="B592" s="5" t="s">
        <v>2258</v>
      </c>
      <c r="C592" s="5" t="str">
        <f t="shared" si="1"/>
        <v>Sandra</v>
      </c>
      <c r="D592" s="5" t="s">
        <v>2258</v>
      </c>
      <c r="E592" s="5" t="s">
        <v>2226</v>
      </c>
      <c r="F592" s="5" t="str">
        <f t="shared" si="2"/>
        <v>Hughes</v>
      </c>
      <c r="G592" s="5" t="s">
        <v>2226</v>
      </c>
      <c r="H592" s="6">
        <v>58.0</v>
      </c>
      <c r="I592" s="6">
        <f t="shared" si="3"/>
        <v>58</v>
      </c>
      <c r="J592" s="6">
        <v>58.0</v>
      </c>
      <c r="K592" s="6" t="str">
        <f t="shared" si="4"/>
        <v>Middle Age</v>
      </c>
      <c r="L592" s="6" t="s">
        <v>591</v>
      </c>
      <c r="M592" s="5" t="s">
        <v>28</v>
      </c>
      <c r="N592" s="5" t="str">
        <f t="shared" si="5"/>
        <v>Female</v>
      </c>
      <c r="O592" s="5" t="s">
        <v>105</v>
      </c>
      <c r="P592" s="5" t="s">
        <v>401</v>
      </c>
      <c r="Q592" s="5" t="s">
        <v>1290</v>
      </c>
      <c r="R592" s="5" t="s">
        <v>533</v>
      </c>
      <c r="S592" s="5" t="s">
        <v>211</v>
      </c>
      <c r="T592" s="6">
        <v>1137.0</v>
      </c>
      <c r="U592" s="5">
        <f t="shared" si="6"/>
        <v>1137</v>
      </c>
      <c r="V592" s="5">
        <v>1137.0</v>
      </c>
    </row>
    <row r="593" ht="22.5" customHeight="1">
      <c r="A593" s="5" t="s">
        <v>2261</v>
      </c>
      <c r="B593" s="5" t="s">
        <v>2262</v>
      </c>
      <c r="C593" s="5" t="str">
        <f t="shared" si="1"/>
        <v>Patrick</v>
      </c>
      <c r="D593" s="5" t="s">
        <v>2262</v>
      </c>
      <c r="E593" s="5" t="s">
        <v>301</v>
      </c>
      <c r="F593" s="5" t="str">
        <f t="shared" si="2"/>
        <v>Lee</v>
      </c>
      <c r="G593" s="5" t="s">
        <v>301</v>
      </c>
      <c r="H593" s="6">
        <v>39.0</v>
      </c>
      <c r="I593" s="6">
        <f t="shared" si="3"/>
        <v>39</v>
      </c>
      <c r="J593" s="6">
        <v>39.0</v>
      </c>
      <c r="K593" s="6" t="str">
        <f t="shared" si="4"/>
        <v>Young Adult</v>
      </c>
      <c r="L593" s="6" t="s">
        <v>528</v>
      </c>
      <c r="M593" s="5" t="s">
        <v>28</v>
      </c>
      <c r="N593" s="5" t="str">
        <f t="shared" si="5"/>
        <v>Female</v>
      </c>
      <c r="O593" s="5" t="s">
        <v>105</v>
      </c>
      <c r="P593" s="5" t="s">
        <v>107</v>
      </c>
      <c r="Q593" s="5" t="s">
        <v>489</v>
      </c>
      <c r="R593" s="5" t="s">
        <v>179</v>
      </c>
      <c r="S593" s="5" t="s">
        <v>211</v>
      </c>
      <c r="T593" s="6">
        <v>3588.0</v>
      </c>
      <c r="U593" s="5">
        <f t="shared" si="6"/>
        <v>3588</v>
      </c>
      <c r="V593" s="5">
        <v>3588.0</v>
      </c>
    </row>
    <row r="594" ht="22.5" customHeight="1">
      <c r="A594" s="5" t="s">
        <v>2265</v>
      </c>
      <c r="B594" s="5" t="s">
        <v>2134</v>
      </c>
      <c r="C594" s="5" t="str">
        <f t="shared" si="1"/>
        <v>Catherine</v>
      </c>
      <c r="D594" s="5" t="s">
        <v>2134</v>
      </c>
      <c r="E594" s="5" t="s">
        <v>2266</v>
      </c>
      <c r="F594" s="5" t="str">
        <f t="shared" si="2"/>
        <v>Morgan</v>
      </c>
      <c r="G594" s="5" t="s">
        <v>2266</v>
      </c>
      <c r="H594" s="6">
        <v>46.0</v>
      </c>
      <c r="I594" s="6">
        <f t="shared" si="3"/>
        <v>46</v>
      </c>
      <c r="J594" s="6">
        <v>46.0</v>
      </c>
      <c r="K594" s="6" t="str">
        <f t="shared" si="4"/>
        <v>Middle Age</v>
      </c>
      <c r="L594" s="6" t="s">
        <v>591</v>
      </c>
      <c r="M594" s="5" t="s">
        <v>1572</v>
      </c>
      <c r="N594" s="5" t="str">
        <f t="shared" si="5"/>
        <v>Male</v>
      </c>
      <c r="O594" s="5" t="s">
        <v>152</v>
      </c>
      <c r="P594" s="5" t="s">
        <v>131</v>
      </c>
      <c r="Q594" s="5" t="s">
        <v>418</v>
      </c>
      <c r="R594" s="5" t="s">
        <v>210</v>
      </c>
      <c r="S594" s="5" t="s">
        <v>559</v>
      </c>
      <c r="T594" s="6">
        <v>1152.0</v>
      </c>
      <c r="U594" s="5">
        <f t="shared" si="6"/>
        <v>1152</v>
      </c>
      <c r="V594" s="5">
        <v>1152.0</v>
      </c>
    </row>
    <row r="595" ht="22.5" customHeight="1">
      <c r="A595" s="5" t="s">
        <v>2268</v>
      </c>
      <c r="B595" s="5" t="s">
        <v>1583</v>
      </c>
      <c r="C595" s="5" t="str">
        <f t="shared" si="1"/>
        <v>Lisa</v>
      </c>
      <c r="D595" s="5" t="s">
        <v>1583</v>
      </c>
      <c r="E595" s="5" t="s">
        <v>2269</v>
      </c>
      <c r="F595" s="5" t="str">
        <f t="shared" si="2"/>
        <v>Alvarez</v>
      </c>
      <c r="G595" s="5" t="s">
        <v>2269</v>
      </c>
      <c r="H595" s="6">
        <v>35.0</v>
      </c>
      <c r="I595" s="6">
        <f t="shared" si="3"/>
        <v>35</v>
      </c>
      <c r="J595" s="6">
        <v>35.0</v>
      </c>
      <c r="K595" s="6" t="str">
        <f t="shared" si="4"/>
        <v>Young Adult</v>
      </c>
      <c r="L595" s="6" t="s">
        <v>528</v>
      </c>
      <c r="M595" s="5" t="s">
        <v>28</v>
      </c>
      <c r="N595" s="5" t="str">
        <f t="shared" si="5"/>
        <v>Female</v>
      </c>
      <c r="O595" s="5" t="s">
        <v>105</v>
      </c>
      <c r="P595" s="5" t="s">
        <v>539</v>
      </c>
      <c r="Q595" s="5" t="s">
        <v>470</v>
      </c>
      <c r="R595" s="5" t="s">
        <v>179</v>
      </c>
      <c r="S595" s="5" t="s">
        <v>559</v>
      </c>
      <c r="T595" s="6">
        <v>3008.0</v>
      </c>
      <c r="U595" s="5">
        <f t="shared" si="6"/>
        <v>3008</v>
      </c>
      <c r="V595" s="5">
        <v>3008.0</v>
      </c>
    </row>
    <row r="596" ht="22.5" customHeight="1">
      <c r="A596" s="5" t="s">
        <v>2272</v>
      </c>
      <c r="B596" s="5" t="s">
        <v>1237</v>
      </c>
      <c r="C596" s="5" t="str">
        <f t="shared" si="1"/>
        <v>Charles</v>
      </c>
      <c r="D596" s="5" t="s">
        <v>1237</v>
      </c>
      <c r="E596" s="5" t="s">
        <v>42</v>
      </c>
      <c r="F596" s="5" t="str">
        <f t="shared" si="2"/>
        <v>Lopez</v>
      </c>
      <c r="G596" s="5" t="s">
        <v>42</v>
      </c>
      <c r="H596" s="6">
        <v>53.0</v>
      </c>
      <c r="I596" s="6">
        <f t="shared" si="3"/>
        <v>53</v>
      </c>
      <c r="J596" s="6">
        <v>53.0</v>
      </c>
      <c r="K596" s="6" t="str">
        <f t="shared" si="4"/>
        <v>Middle Age</v>
      </c>
      <c r="L596" s="6" t="s">
        <v>591</v>
      </c>
      <c r="M596" s="5" t="s">
        <v>80</v>
      </c>
      <c r="N596" s="5" t="str">
        <f t="shared" si="5"/>
        <v>Male</v>
      </c>
      <c r="O596" s="5" t="s">
        <v>152</v>
      </c>
      <c r="P596" s="5" t="s">
        <v>256</v>
      </c>
      <c r="Q596" s="5" t="s">
        <v>164</v>
      </c>
      <c r="R596" s="5" t="s">
        <v>607</v>
      </c>
      <c r="S596" s="5" t="s">
        <v>559</v>
      </c>
      <c r="T596" s="6">
        <v>2537.0</v>
      </c>
      <c r="U596" s="5">
        <f t="shared" si="6"/>
        <v>2537</v>
      </c>
      <c r="V596" s="5">
        <v>2537.0</v>
      </c>
    </row>
    <row r="597" ht="22.5" customHeight="1">
      <c r="A597" s="5" t="s">
        <v>2274</v>
      </c>
      <c r="B597" s="5" t="s">
        <v>983</v>
      </c>
      <c r="C597" s="5" t="str">
        <f t="shared" si="1"/>
        <v>Thomas</v>
      </c>
      <c r="D597" s="5" t="s">
        <v>983</v>
      </c>
      <c r="E597" s="5" t="s">
        <v>2269</v>
      </c>
      <c r="F597" s="5" t="str">
        <f t="shared" si="2"/>
        <v>Alvarez</v>
      </c>
      <c r="G597" s="5" t="s">
        <v>2269</v>
      </c>
      <c r="H597" s="6">
        <v>58.0</v>
      </c>
      <c r="I597" s="6">
        <f t="shared" si="3"/>
        <v>58</v>
      </c>
      <c r="J597" s="6">
        <v>58.0</v>
      </c>
      <c r="K597" s="6" t="str">
        <f t="shared" si="4"/>
        <v>Middle Age</v>
      </c>
      <c r="L597" s="6" t="s">
        <v>591</v>
      </c>
      <c r="M597" s="5" t="s">
        <v>45</v>
      </c>
      <c r="N597" s="5" t="str">
        <f t="shared" si="5"/>
        <v>Female</v>
      </c>
      <c r="O597" s="5" t="s">
        <v>105</v>
      </c>
      <c r="P597" s="5" t="s">
        <v>47</v>
      </c>
      <c r="Q597" s="5" t="s">
        <v>377</v>
      </c>
      <c r="R597" s="5" t="s">
        <v>402</v>
      </c>
      <c r="S597" s="5" t="s">
        <v>52</v>
      </c>
      <c r="T597" s="6">
        <v>2632.0</v>
      </c>
      <c r="U597" s="5">
        <f t="shared" si="6"/>
        <v>2632</v>
      </c>
      <c r="V597" s="5">
        <v>2632.0</v>
      </c>
    </row>
    <row r="598" ht="22.5" customHeight="1">
      <c r="A598" s="5" t="s">
        <v>2276</v>
      </c>
      <c r="B598" s="5" t="s">
        <v>872</v>
      </c>
      <c r="C598" s="5" t="str">
        <f t="shared" si="1"/>
        <v>Paul</v>
      </c>
      <c r="D598" s="5" t="s">
        <v>872</v>
      </c>
      <c r="E598" s="5" t="s">
        <v>2277</v>
      </c>
      <c r="F598" s="5" t="str">
        <f t="shared" si="2"/>
        <v>Watson</v>
      </c>
      <c r="G598" s="5" t="s">
        <v>2277</v>
      </c>
      <c r="H598" s="6">
        <v>62.0</v>
      </c>
      <c r="I598" s="6">
        <f t="shared" si="3"/>
        <v>62</v>
      </c>
      <c r="J598" s="6">
        <v>62.0</v>
      </c>
      <c r="K598" s="6" t="str">
        <f t="shared" si="4"/>
        <v>Senior</v>
      </c>
      <c r="L598" s="6" t="s">
        <v>734</v>
      </c>
      <c r="M598" s="5" t="s">
        <v>1572</v>
      </c>
      <c r="N598" s="5" t="str">
        <f t="shared" si="5"/>
        <v>Male</v>
      </c>
      <c r="O598" s="5" t="s">
        <v>152</v>
      </c>
      <c r="P598" s="5" t="s">
        <v>539</v>
      </c>
      <c r="Q598" s="5" t="s">
        <v>439</v>
      </c>
      <c r="R598" s="5" t="s">
        <v>210</v>
      </c>
      <c r="S598" s="5" t="s">
        <v>97</v>
      </c>
      <c r="T598" s="6">
        <v>794.0</v>
      </c>
      <c r="U598" s="5">
        <f t="shared" si="6"/>
        <v>794</v>
      </c>
      <c r="V598" s="5">
        <v>794.0</v>
      </c>
    </row>
    <row r="599" ht="22.5" customHeight="1">
      <c r="A599" s="5" t="s">
        <v>2280</v>
      </c>
      <c r="B599" s="5" t="s">
        <v>2281</v>
      </c>
      <c r="C599" s="5" t="str">
        <f t="shared" si="1"/>
        <v>Barbara</v>
      </c>
      <c r="D599" s="5" t="s">
        <v>2281</v>
      </c>
      <c r="E599" s="5" t="s">
        <v>2282</v>
      </c>
      <c r="F599" s="5" t="str">
        <f t="shared" si="2"/>
        <v>Torres</v>
      </c>
      <c r="G599" s="5" t="s">
        <v>2282</v>
      </c>
      <c r="H599" s="6">
        <v>20.0</v>
      </c>
      <c r="I599" s="6">
        <f t="shared" si="3"/>
        <v>20</v>
      </c>
      <c r="J599" s="6">
        <v>20.0</v>
      </c>
      <c r="K599" s="6" t="str">
        <f t="shared" si="4"/>
        <v>Young Adult</v>
      </c>
      <c r="L599" s="6" t="s">
        <v>528</v>
      </c>
      <c r="M599" s="5" t="s">
        <v>28</v>
      </c>
      <c r="N599" s="5" t="str">
        <f t="shared" si="5"/>
        <v>Female</v>
      </c>
      <c r="O599" s="5" t="s">
        <v>105</v>
      </c>
      <c r="P599" s="5" t="s">
        <v>64</v>
      </c>
      <c r="Q599" s="5" t="s">
        <v>32</v>
      </c>
      <c r="R599" s="5" t="s">
        <v>83</v>
      </c>
      <c r="S599" s="5" t="s">
        <v>211</v>
      </c>
      <c r="T599" s="6">
        <v>2658.0</v>
      </c>
      <c r="U599" s="5">
        <f t="shared" si="6"/>
        <v>2658</v>
      </c>
      <c r="V599" s="5">
        <v>2658.0</v>
      </c>
    </row>
    <row r="600" ht="22.5" customHeight="1">
      <c r="A600" s="5" t="s">
        <v>2284</v>
      </c>
      <c r="B600" s="5" t="s">
        <v>2285</v>
      </c>
      <c r="C600" s="5" t="str">
        <f t="shared" si="1"/>
        <v>Donna</v>
      </c>
      <c r="D600" s="5" t="s">
        <v>2285</v>
      </c>
      <c r="E600" s="5" t="s">
        <v>629</v>
      </c>
      <c r="F600" s="5" t="str">
        <f t="shared" si="2"/>
        <v>Richardson</v>
      </c>
      <c r="G600" s="5" t="s">
        <v>629</v>
      </c>
      <c r="H600" s="6">
        <v>34.0</v>
      </c>
      <c r="I600" s="6">
        <f t="shared" si="3"/>
        <v>34</v>
      </c>
      <c r="J600" s="6">
        <v>34.0</v>
      </c>
      <c r="K600" s="6" t="str">
        <f t="shared" si="4"/>
        <v>Young Adult</v>
      </c>
      <c r="L600" s="6" t="s">
        <v>528</v>
      </c>
      <c r="M600" s="5" t="s">
        <v>80</v>
      </c>
      <c r="N600" s="5" t="str">
        <f t="shared" si="5"/>
        <v>Male</v>
      </c>
      <c r="O600" s="5" t="s">
        <v>152</v>
      </c>
      <c r="P600" s="5" t="s">
        <v>81</v>
      </c>
      <c r="Q600" s="5" t="s">
        <v>916</v>
      </c>
      <c r="R600" s="5" t="s">
        <v>402</v>
      </c>
      <c r="S600" s="5" t="s">
        <v>52</v>
      </c>
      <c r="T600" s="6">
        <v>1923.0</v>
      </c>
      <c r="U600" s="5">
        <f t="shared" si="6"/>
        <v>1923</v>
      </c>
      <c r="V600" s="5">
        <v>1923.0</v>
      </c>
    </row>
    <row r="601" ht="22.5" customHeight="1">
      <c r="A601" s="5" t="s">
        <v>2288</v>
      </c>
      <c r="B601" s="5" t="s">
        <v>1143</v>
      </c>
      <c r="C601" s="5" t="str">
        <f t="shared" si="1"/>
        <v>Joshua</v>
      </c>
      <c r="D601" s="5" t="s">
        <v>1143</v>
      </c>
      <c r="E601" s="5" t="s">
        <v>76</v>
      </c>
      <c r="F601" s="5" t="str">
        <f t="shared" si="2"/>
        <v>Brown</v>
      </c>
      <c r="G601" s="5" t="s">
        <v>76</v>
      </c>
      <c r="H601" s="6">
        <v>54.0</v>
      </c>
      <c r="I601" s="6">
        <f t="shared" si="3"/>
        <v>54</v>
      </c>
      <c r="J601" s="6">
        <v>54.0</v>
      </c>
      <c r="K601" s="6" t="str">
        <f t="shared" si="4"/>
        <v>Middle Age</v>
      </c>
      <c r="L601" s="6" t="s">
        <v>591</v>
      </c>
      <c r="M601" s="5" t="s">
        <v>80</v>
      </c>
      <c r="N601" s="5" t="str">
        <f t="shared" si="5"/>
        <v>Male</v>
      </c>
      <c r="O601" s="5" t="s">
        <v>152</v>
      </c>
      <c r="P601" s="5" t="s">
        <v>30</v>
      </c>
      <c r="Q601" s="5" t="s">
        <v>470</v>
      </c>
      <c r="R601" s="5" t="s">
        <v>179</v>
      </c>
      <c r="S601" s="5" t="s">
        <v>211</v>
      </c>
      <c r="T601" s="6">
        <v>4391.0</v>
      </c>
      <c r="U601" s="5">
        <f t="shared" si="6"/>
        <v>4391</v>
      </c>
      <c r="V601" s="5">
        <v>4391.0</v>
      </c>
    </row>
    <row r="602" ht="22.5" customHeight="1">
      <c r="A602" s="5" t="s">
        <v>2290</v>
      </c>
      <c r="B602" s="5" t="s">
        <v>2291</v>
      </c>
      <c r="C602" s="5" t="str">
        <f t="shared" si="1"/>
        <v>Elizabeth</v>
      </c>
      <c r="D602" s="5" t="s">
        <v>2291</v>
      </c>
      <c r="E602" s="5" t="s">
        <v>2293</v>
      </c>
      <c r="F602" s="5" t="str">
        <f t="shared" si="2"/>
        <v>Reyes</v>
      </c>
      <c r="G602" s="5" t="s">
        <v>2293</v>
      </c>
      <c r="H602" s="6">
        <v>40.0</v>
      </c>
      <c r="I602" s="6">
        <f t="shared" si="3"/>
        <v>40</v>
      </c>
      <c r="J602" s="6">
        <v>40.0</v>
      </c>
      <c r="K602" s="6" t="str">
        <f t="shared" si="4"/>
        <v>Young Adult</v>
      </c>
      <c r="L602" s="6" t="s">
        <v>528</v>
      </c>
      <c r="M602" s="5" t="s">
        <v>45</v>
      </c>
      <c r="N602" s="5" t="str">
        <f t="shared" si="5"/>
        <v>Female</v>
      </c>
      <c r="O602" s="5" t="s">
        <v>105</v>
      </c>
      <c r="P602" s="5" t="s">
        <v>64</v>
      </c>
      <c r="Q602" s="5" t="s">
        <v>277</v>
      </c>
      <c r="R602" s="5" t="s">
        <v>402</v>
      </c>
      <c r="S602" s="5" t="s">
        <v>52</v>
      </c>
      <c r="T602" s="6">
        <v>2343.0</v>
      </c>
      <c r="U602" s="5">
        <f t="shared" si="6"/>
        <v>2343</v>
      </c>
      <c r="V602" s="5">
        <v>2343.0</v>
      </c>
    </row>
    <row r="603" ht="22.5" customHeight="1">
      <c r="A603" s="5" t="s">
        <v>2295</v>
      </c>
      <c r="B603" s="5" t="s">
        <v>2296</v>
      </c>
      <c r="C603" s="5" t="str">
        <f t="shared" si="1"/>
        <v>Anna</v>
      </c>
      <c r="D603" s="5" t="s">
        <v>2296</v>
      </c>
      <c r="E603" s="5" t="s">
        <v>374</v>
      </c>
      <c r="F603" s="5" t="str">
        <f t="shared" si="2"/>
        <v>Miller</v>
      </c>
      <c r="G603" s="5" t="s">
        <v>374</v>
      </c>
      <c r="H603" s="6">
        <v>64.0</v>
      </c>
      <c r="I603" s="6">
        <f t="shared" si="3"/>
        <v>64</v>
      </c>
      <c r="J603" s="6">
        <v>64.0</v>
      </c>
      <c r="K603" s="6" t="str">
        <f t="shared" si="4"/>
        <v>Senior</v>
      </c>
      <c r="L603" s="6" t="s">
        <v>734</v>
      </c>
      <c r="M603" s="5" t="s">
        <v>152</v>
      </c>
      <c r="N603" s="5" t="str">
        <f t="shared" si="5"/>
        <v>Male</v>
      </c>
      <c r="O603" s="5" t="s">
        <v>152</v>
      </c>
      <c r="P603" s="5" t="s">
        <v>309</v>
      </c>
      <c r="Q603" s="5" t="s">
        <v>489</v>
      </c>
      <c r="R603" s="5" t="s">
        <v>179</v>
      </c>
      <c r="S603" s="5" t="s">
        <v>97</v>
      </c>
      <c r="T603" s="6">
        <v>4999.0</v>
      </c>
      <c r="U603" s="5">
        <f t="shared" si="6"/>
        <v>4999</v>
      </c>
      <c r="V603" s="5">
        <v>4999.0</v>
      </c>
    </row>
    <row r="604" ht="22.5" customHeight="1">
      <c r="A604" s="5" t="s">
        <v>2298</v>
      </c>
      <c r="B604" s="5" t="s">
        <v>2281</v>
      </c>
      <c r="C604" s="5" t="str">
        <f t="shared" si="1"/>
        <v>Barbara</v>
      </c>
      <c r="D604" s="5" t="s">
        <v>2281</v>
      </c>
      <c r="E604" s="5" t="s">
        <v>2299</v>
      </c>
      <c r="F604" s="5" t="str">
        <f t="shared" si="2"/>
        <v>Moore</v>
      </c>
      <c r="G604" s="5" t="s">
        <v>2299</v>
      </c>
      <c r="H604" s="6">
        <v>66.0</v>
      </c>
      <c r="I604" s="6">
        <f t="shared" si="3"/>
        <v>66</v>
      </c>
      <c r="J604" s="6">
        <v>66.0</v>
      </c>
      <c r="K604" s="6" t="str">
        <f t="shared" si="4"/>
        <v>Senior</v>
      </c>
      <c r="L604" s="6" t="s">
        <v>734</v>
      </c>
      <c r="M604" s="5" t="s">
        <v>105</v>
      </c>
      <c r="N604" s="5" t="str">
        <f t="shared" si="5"/>
        <v>Female</v>
      </c>
      <c r="O604" s="5" t="s">
        <v>105</v>
      </c>
      <c r="P604" s="5" t="s">
        <v>47</v>
      </c>
      <c r="Q604" s="5" t="s">
        <v>470</v>
      </c>
      <c r="R604" s="5" t="s">
        <v>96</v>
      </c>
      <c r="S604" s="5" t="s">
        <v>97</v>
      </c>
      <c r="T604" s="6">
        <v>449.0</v>
      </c>
      <c r="U604" s="5">
        <f t="shared" si="6"/>
        <v>449</v>
      </c>
      <c r="V604" s="5">
        <v>449.0</v>
      </c>
    </row>
    <row r="605" ht="22.5" customHeight="1">
      <c r="A605" s="5" t="s">
        <v>2301</v>
      </c>
      <c r="B605" s="5" t="s">
        <v>2302</v>
      </c>
      <c r="C605" s="5" t="str">
        <f t="shared" si="1"/>
        <v>Amanda</v>
      </c>
      <c r="D605" s="5" t="s">
        <v>2302</v>
      </c>
      <c r="E605" s="5" t="s">
        <v>2303</v>
      </c>
      <c r="F605" s="5" t="str">
        <f t="shared" si="2"/>
        <v>Harris</v>
      </c>
      <c r="G605" s="5" t="s">
        <v>2303</v>
      </c>
      <c r="H605" s="6">
        <v>62.0</v>
      </c>
      <c r="I605" s="6">
        <f t="shared" si="3"/>
        <v>62</v>
      </c>
      <c r="J605" s="6">
        <v>62.0</v>
      </c>
      <c r="K605" s="6" t="str">
        <f t="shared" si="4"/>
        <v>Senior</v>
      </c>
      <c r="L605" s="6" t="s">
        <v>734</v>
      </c>
      <c r="M605" s="5" t="s">
        <v>105</v>
      </c>
      <c r="N605" s="5" t="str">
        <f t="shared" si="5"/>
        <v>Female</v>
      </c>
      <c r="O605" s="5" t="s">
        <v>105</v>
      </c>
      <c r="P605" s="5" t="s">
        <v>107</v>
      </c>
      <c r="Q605" s="5" t="s">
        <v>32</v>
      </c>
      <c r="R605" s="5" t="s">
        <v>83</v>
      </c>
      <c r="S605" s="5" t="s">
        <v>97</v>
      </c>
      <c r="T605" s="6">
        <v>1585.0</v>
      </c>
      <c r="U605" s="5">
        <f t="shared" si="6"/>
        <v>1585</v>
      </c>
      <c r="V605" s="5">
        <v>1585.0</v>
      </c>
    </row>
    <row r="606" ht="22.5" customHeight="1">
      <c r="A606" s="5" t="s">
        <v>2305</v>
      </c>
      <c r="B606" s="5" t="s">
        <v>2306</v>
      </c>
      <c r="C606" s="5" t="str">
        <f t="shared" si="1"/>
        <v>Gregory</v>
      </c>
      <c r="D606" s="5" t="s">
        <v>2306</v>
      </c>
      <c r="E606" s="5" t="s">
        <v>2230</v>
      </c>
      <c r="F606" s="5" t="str">
        <f t="shared" si="2"/>
        <v>Hall</v>
      </c>
      <c r="G606" s="5" t="s">
        <v>2230</v>
      </c>
      <c r="H606" s="6">
        <v>85.0</v>
      </c>
      <c r="I606" s="6">
        <f t="shared" si="3"/>
        <v>85</v>
      </c>
      <c r="J606" s="6">
        <v>85.0</v>
      </c>
      <c r="K606" s="6" t="str">
        <f t="shared" si="4"/>
        <v>Senior</v>
      </c>
      <c r="L606" s="6" t="s">
        <v>734</v>
      </c>
      <c r="M606" s="5" t="s">
        <v>45</v>
      </c>
      <c r="N606" s="5" t="str">
        <f t="shared" si="5"/>
        <v>Female</v>
      </c>
      <c r="O606" s="5" t="s">
        <v>105</v>
      </c>
      <c r="P606" s="5" t="s">
        <v>309</v>
      </c>
      <c r="Q606" s="5" t="s">
        <v>1290</v>
      </c>
      <c r="R606" s="5" t="s">
        <v>533</v>
      </c>
      <c r="S606" s="5" t="s">
        <v>97</v>
      </c>
      <c r="T606" s="6">
        <v>2033.0</v>
      </c>
      <c r="U606" s="5">
        <f t="shared" si="6"/>
        <v>2033</v>
      </c>
      <c r="V606" s="5">
        <v>2033.0</v>
      </c>
    </row>
    <row r="607" ht="22.5" customHeight="1">
      <c r="A607" s="5" t="s">
        <v>2309</v>
      </c>
      <c r="B607" s="5" t="s">
        <v>983</v>
      </c>
      <c r="C607" s="5" t="str">
        <f t="shared" si="1"/>
        <v>Thomas</v>
      </c>
      <c r="D607" s="5" t="s">
        <v>983</v>
      </c>
      <c r="E607" s="5" t="s">
        <v>2179</v>
      </c>
      <c r="F607" s="5" t="str">
        <f t="shared" si="2"/>
        <v>Hill</v>
      </c>
      <c r="G607" s="5" t="s">
        <v>2179</v>
      </c>
      <c r="H607" s="6">
        <v>88.0</v>
      </c>
      <c r="I607" s="6">
        <f t="shared" si="3"/>
        <v>88</v>
      </c>
      <c r="J607" s="6">
        <v>88.0</v>
      </c>
      <c r="K607" s="6" t="str">
        <f t="shared" si="4"/>
        <v>Senior</v>
      </c>
      <c r="L607" s="6" t="s">
        <v>734</v>
      </c>
      <c r="M607" s="5" t="s">
        <v>105</v>
      </c>
      <c r="N607" s="5" t="str">
        <f t="shared" si="5"/>
        <v>Female</v>
      </c>
      <c r="O607" s="5" t="s">
        <v>105</v>
      </c>
      <c r="P607" s="5" t="s">
        <v>401</v>
      </c>
      <c r="Q607" s="5" t="s">
        <v>230</v>
      </c>
      <c r="R607" s="5" t="s">
        <v>452</v>
      </c>
      <c r="S607" s="5" t="s">
        <v>97</v>
      </c>
      <c r="T607" s="6">
        <v>4837.0</v>
      </c>
      <c r="U607" s="5">
        <f t="shared" si="6"/>
        <v>4837</v>
      </c>
      <c r="V607" s="5">
        <v>4837.0</v>
      </c>
    </row>
    <row r="608" ht="22.5" customHeight="1">
      <c r="A608" s="5" t="s">
        <v>2311</v>
      </c>
      <c r="B608" s="5" t="s">
        <v>2312</v>
      </c>
      <c r="C608" s="5" t="str">
        <f t="shared" si="1"/>
        <v>Gary</v>
      </c>
      <c r="D608" s="5" t="s">
        <v>2312</v>
      </c>
      <c r="E608" s="5" t="s">
        <v>2313</v>
      </c>
      <c r="F608" s="5" t="str">
        <f t="shared" si="2"/>
        <v>Phillips</v>
      </c>
      <c r="G608" s="5" t="s">
        <v>2313</v>
      </c>
      <c r="H608" s="6">
        <v>-76.0</v>
      </c>
      <c r="I608" s="6">
        <f t="shared" si="3"/>
        <v>76</v>
      </c>
      <c r="J608" s="6">
        <v>76.0</v>
      </c>
      <c r="K608" s="6" t="str">
        <f t="shared" si="4"/>
        <v>Senior</v>
      </c>
      <c r="L608" s="6" t="s">
        <v>734</v>
      </c>
      <c r="M608" s="5" t="s">
        <v>28</v>
      </c>
      <c r="N608" s="5" t="str">
        <f t="shared" si="5"/>
        <v>Female</v>
      </c>
      <c r="O608" s="5" t="s">
        <v>105</v>
      </c>
      <c r="P608" s="5" t="s">
        <v>309</v>
      </c>
      <c r="Q608" s="5" t="s">
        <v>311</v>
      </c>
      <c r="R608" s="5" t="s">
        <v>96</v>
      </c>
      <c r="S608" s="5" t="s">
        <v>559</v>
      </c>
      <c r="T608" s="6">
        <v>707.0</v>
      </c>
      <c r="U608" s="5">
        <f t="shared" si="6"/>
        <v>707</v>
      </c>
      <c r="V608" s="5">
        <v>707.0</v>
      </c>
    </row>
    <row r="609" ht="22.5" customHeight="1">
      <c r="A609" s="5" t="s">
        <v>2315</v>
      </c>
      <c r="B609" s="5" t="s">
        <v>2153</v>
      </c>
      <c r="C609" s="5" t="str">
        <f t="shared" si="1"/>
        <v>Amy</v>
      </c>
      <c r="D609" s="5" t="s">
        <v>2153</v>
      </c>
      <c r="E609" s="5" t="s">
        <v>2316</v>
      </c>
      <c r="F609" s="5" t="str">
        <f t="shared" si="2"/>
        <v>King</v>
      </c>
      <c r="G609" s="5" t="s">
        <v>2316</v>
      </c>
      <c r="H609" s="6">
        <v>77.0</v>
      </c>
      <c r="I609" s="6">
        <f t="shared" si="3"/>
        <v>77</v>
      </c>
      <c r="J609" s="6">
        <v>77.0</v>
      </c>
      <c r="K609" s="6" t="str">
        <f t="shared" si="4"/>
        <v>Senior</v>
      </c>
      <c r="L609" s="6" t="s">
        <v>734</v>
      </c>
      <c r="M609" s="5" t="s">
        <v>152</v>
      </c>
      <c r="N609" s="5" t="str">
        <f t="shared" si="5"/>
        <v>Male</v>
      </c>
      <c r="O609" s="5" t="s">
        <v>152</v>
      </c>
      <c r="P609" s="5" t="s">
        <v>107</v>
      </c>
      <c r="Q609" s="5" t="s">
        <v>277</v>
      </c>
      <c r="R609" s="5" t="s">
        <v>402</v>
      </c>
      <c r="S609" s="5" t="s">
        <v>97</v>
      </c>
      <c r="T609" s="6">
        <v>2068.0</v>
      </c>
      <c r="U609" s="5">
        <f t="shared" si="6"/>
        <v>2068</v>
      </c>
      <c r="V609" s="5">
        <v>2068.0</v>
      </c>
    </row>
    <row r="610" ht="22.5" customHeight="1">
      <c r="A610" s="5" t="s">
        <v>2319</v>
      </c>
      <c r="B610" s="5" t="s">
        <v>2210</v>
      </c>
      <c r="C610" s="5" t="str">
        <f t="shared" si="1"/>
        <v>Benjamin</v>
      </c>
      <c r="D610" s="5" t="s">
        <v>2210</v>
      </c>
      <c r="E610" s="5" t="s">
        <v>2299</v>
      </c>
      <c r="F610" s="5" t="str">
        <f t="shared" si="2"/>
        <v>Moore</v>
      </c>
      <c r="G610" s="5" t="s">
        <v>2299</v>
      </c>
      <c r="H610" s="6">
        <v>54.0</v>
      </c>
      <c r="I610" s="6">
        <f t="shared" si="3"/>
        <v>54</v>
      </c>
      <c r="J610" s="6">
        <v>54.0</v>
      </c>
      <c r="K610" s="6" t="str">
        <f t="shared" si="4"/>
        <v>Middle Age</v>
      </c>
      <c r="L610" s="6" t="s">
        <v>591</v>
      </c>
      <c r="M610" s="5" t="s">
        <v>105</v>
      </c>
      <c r="N610" s="5" t="str">
        <f t="shared" si="5"/>
        <v>Female</v>
      </c>
      <c r="O610" s="5" t="s">
        <v>105</v>
      </c>
      <c r="P610" s="5" t="s">
        <v>107</v>
      </c>
      <c r="Q610" s="5" t="s">
        <v>436</v>
      </c>
      <c r="R610" s="5" t="s">
        <v>561</v>
      </c>
      <c r="S610" s="5" t="s">
        <v>559</v>
      </c>
      <c r="T610" s="6">
        <v>3730.0</v>
      </c>
      <c r="U610" s="5">
        <f t="shared" si="6"/>
        <v>3730</v>
      </c>
      <c r="V610" s="5">
        <v>3730.0</v>
      </c>
    </row>
    <row r="611" ht="22.5" customHeight="1">
      <c r="A611" s="5" t="s">
        <v>2321</v>
      </c>
      <c r="B611" s="5" t="s">
        <v>2112</v>
      </c>
      <c r="C611" s="5" t="str">
        <f t="shared" si="1"/>
        <v>Linda</v>
      </c>
      <c r="D611" s="5" t="s">
        <v>2112</v>
      </c>
      <c r="E611" s="5" t="s">
        <v>2154</v>
      </c>
      <c r="F611" s="5" t="str">
        <f t="shared" si="2"/>
        <v>Anderson</v>
      </c>
      <c r="G611" s="5" t="s">
        <v>2154</v>
      </c>
      <c r="H611" s="6">
        <v>150.0</v>
      </c>
      <c r="I611" s="6">
        <f t="shared" si="3"/>
        <v>150</v>
      </c>
      <c r="J611" s="6"/>
      <c r="K611" s="6" t="str">
        <f t="shared" si="4"/>
        <v>Unknown</v>
      </c>
      <c r="L611" s="6" t="s">
        <v>1081</v>
      </c>
      <c r="M611" s="5" t="s">
        <v>105</v>
      </c>
      <c r="N611" s="5" t="str">
        <f t="shared" si="5"/>
        <v>Female</v>
      </c>
      <c r="O611" s="5" t="s">
        <v>105</v>
      </c>
      <c r="P611" s="5" t="s">
        <v>759</v>
      </c>
      <c r="Q611" s="5" t="s">
        <v>238</v>
      </c>
      <c r="R611" s="5" t="s">
        <v>533</v>
      </c>
      <c r="S611" s="5" t="s">
        <v>97</v>
      </c>
      <c r="T611" s="6">
        <v>663.0</v>
      </c>
      <c r="U611" s="5">
        <f t="shared" si="6"/>
        <v>663</v>
      </c>
      <c r="V611" s="5">
        <v>663.0</v>
      </c>
    </row>
    <row r="612" ht="22.5" customHeight="1">
      <c r="A612" s="5" t="s">
        <v>2323</v>
      </c>
      <c r="B612" s="5" t="s">
        <v>2258</v>
      </c>
      <c r="C612" s="5" t="str">
        <f t="shared" si="1"/>
        <v>Sandra</v>
      </c>
      <c r="D612" s="5" t="s">
        <v>2258</v>
      </c>
      <c r="E612" s="5" t="s">
        <v>159</v>
      </c>
      <c r="F612" s="5" t="str">
        <f t="shared" si="2"/>
        <v>Young</v>
      </c>
      <c r="G612" s="5" t="s">
        <v>159</v>
      </c>
      <c r="H612" s="6">
        <v>0.0</v>
      </c>
      <c r="I612" s="6">
        <f t="shared" si="3"/>
        <v>0</v>
      </c>
      <c r="J612" s="6">
        <v>0.0</v>
      </c>
      <c r="K612" s="6" t="str">
        <f t="shared" si="4"/>
        <v>Unknown</v>
      </c>
      <c r="L612" s="6" t="s">
        <v>1081</v>
      </c>
      <c r="M612" s="5" t="s">
        <v>1572</v>
      </c>
      <c r="N612" s="5" t="str">
        <f t="shared" si="5"/>
        <v>Male</v>
      </c>
      <c r="O612" s="5" t="s">
        <v>152</v>
      </c>
      <c r="P612" s="5" t="s">
        <v>393</v>
      </c>
      <c r="Q612" s="5" t="s">
        <v>377</v>
      </c>
      <c r="R612" s="5" t="s">
        <v>402</v>
      </c>
      <c r="S612" s="5" t="s">
        <v>211</v>
      </c>
      <c r="T612" s="6">
        <v>1800.0</v>
      </c>
      <c r="U612" s="5">
        <f t="shared" si="6"/>
        <v>1800</v>
      </c>
      <c r="V612" s="5">
        <v>1800.0</v>
      </c>
    </row>
    <row r="613" ht="22.5" customHeight="1">
      <c r="A613" s="5" t="s">
        <v>2325</v>
      </c>
      <c r="B613" s="5" t="s">
        <v>2326</v>
      </c>
      <c r="C613" s="5" t="str">
        <f t="shared" si="1"/>
        <v>Stephanie</v>
      </c>
      <c r="D613" s="5" t="s">
        <v>2326</v>
      </c>
      <c r="E613" s="5" t="s">
        <v>2203</v>
      </c>
      <c r="F613" s="5" t="str">
        <f t="shared" si="2"/>
        <v>Gutierrez</v>
      </c>
      <c r="G613" s="5" t="s">
        <v>2203</v>
      </c>
      <c r="H613" s="6">
        <v>49.0</v>
      </c>
      <c r="I613" s="6">
        <f t="shared" si="3"/>
        <v>49</v>
      </c>
      <c r="J613" s="6">
        <v>49.0</v>
      </c>
      <c r="K613" s="6" t="str">
        <f t="shared" si="4"/>
        <v>Middle Age</v>
      </c>
      <c r="L613" s="6" t="s">
        <v>591</v>
      </c>
      <c r="M613" s="5" t="s">
        <v>28</v>
      </c>
      <c r="N613" s="5" t="str">
        <f t="shared" si="5"/>
        <v>Female</v>
      </c>
      <c r="O613" s="5" t="s">
        <v>105</v>
      </c>
      <c r="P613" s="5" t="s">
        <v>364</v>
      </c>
      <c r="Q613" s="5" t="s">
        <v>418</v>
      </c>
      <c r="R613" s="5" t="s">
        <v>210</v>
      </c>
      <c r="S613" s="5" t="s">
        <v>222</v>
      </c>
      <c r="T613" s="6">
        <v>1025.0</v>
      </c>
      <c r="U613" s="5">
        <f t="shared" si="6"/>
        <v>1025</v>
      </c>
      <c r="V613" s="5">
        <v>1025.0</v>
      </c>
    </row>
    <row r="614" ht="22.5" customHeight="1">
      <c r="A614" s="5" t="s">
        <v>2327</v>
      </c>
      <c r="B614" s="5" t="s">
        <v>2123</v>
      </c>
      <c r="C614" s="5" t="str">
        <f t="shared" si="1"/>
        <v>Brenda</v>
      </c>
      <c r="D614" s="5" t="s">
        <v>2123</v>
      </c>
      <c r="E614" s="5" t="s">
        <v>2328</v>
      </c>
      <c r="F614" s="5" t="str">
        <f t="shared" si="2"/>
        <v>Ward</v>
      </c>
      <c r="G614" s="5" t="s">
        <v>2328</v>
      </c>
      <c r="H614" s="6">
        <v>20.0</v>
      </c>
      <c r="I614" s="6">
        <f t="shared" si="3"/>
        <v>20</v>
      </c>
      <c r="J614" s="6">
        <v>20.0</v>
      </c>
      <c r="K614" s="6" t="str">
        <f t="shared" si="4"/>
        <v>Young Adult</v>
      </c>
      <c r="L614" s="6" t="s">
        <v>528</v>
      </c>
      <c r="M614" s="5" t="s">
        <v>80</v>
      </c>
      <c r="N614" s="5" t="str">
        <f t="shared" si="5"/>
        <v>Male</v>
      </c>
      <c r="O614" s="5" t="s">
        <v>152</v>
      </c>
      <c r="P614" s="5" t="s">
        <v>309</v>
      </c>
      <c r="Q614" s="5" t="s">
        <v>418</v>
      </c>
      <c r="R614" s="5" t="s">
        <v>210</v>
      </c>
      <c r="S614" s="5" t="s">
        <v>222</v>
      </c>
      <c r="T614" s="6">
        <v>630.0</v>
      </c>
      <c r="U614" s="5">
        <f t="shared" si="6"/>
        <v>630</v>
      </c>
      <c r="V614" s="5">
        <v>630.0</v>
      </c>
    </row>
    <row r="615" ht="22.5" customHeight="1">
      <c r="A615" s="5" t="s">
        <v>2329</v>
      </c>
      <c r="B615" s="5" t="s">
        <v>2186</v>
      </c>
      <c r="C615" s="5" t="str">
        <f t="shared" si="1"/>
        <v>Laura</v>
      </c>
      <c r="D615" s="5" t="s">
        <v>2186</v>
      </c>
      <c r="E615" s="5" t="s">
        <v>2113</v>
      </c>
      <c r="F615" s="5" t="str">
        <f t="shared" si="2"/>
        <v>Wilson</v>
      </c>
      <c r="G615" s="5" t="s">
        <v>2113</v>
      </c>
      <c r="H615" s="6">
        <v>51.0</v>
      </c>
      <c r="I615" s="6">
        <f t="shared" si="3"/>
        <v>51</v>
      </c>
      <c r="J615" s="6">
        <v>51.0</v>
      </c>
      <c r="K615" s="6" t="str">
        <f t="shared" si="4"/>
        <v>Middle Age</v>
      </c>
      <c r="L615" s="6" t="s">
        <v>591</v>
      </c>
      <c r="M615" s="5" t="s">
        <v>80</v>
      </c>
      <c r="N615" s="5" t="str">
        <f t="shared" si="5"/>
        <v>Male</v>
      </c>
      <c r="O615" s="5" t="s">
        <v>152</v>
      </c>
      <c r="P615" s="5" t="s">
        <v>268</v>
      </c>
      <c r="Q615" s="5" t="s">
        <v>164</v>
      </c>
      <c r="R615" s="5" t="s">
        <v>607</v>
      </c>
      <c r="S615" s="5" t="s">
        <v>52</v>
      </c>
      <c r="T615" s="6">
        <v>2393.0</v>
      </c>
      <c r="U615" s="5">
        <f t="shared" si="6"/>
        <v>2393</v>
      </c>
      <c r="V615" s="5">
        <v>2393.0</v>
      </c>
    </row>
    <row r="616" ht="22.5" customHeight="1">
      <c r="A616" s="5" t="s">
        <v>2331</v>
      </c>
      <c r="B616" s="5" t="s">
        <v>2225</v>
      </c>
      <c r="C616" s="5" t="str">
        <f t="shared" si="1"/>
        <v>Rachel</v>
      </c>
      <c r="D616" s="5" t="s">
        <v>2225</v>
      </c>
      <c r="E616" s="5" t="s">
        <v>2332</v>
      </c>
      <c r="F616" s="5" t="str">
        <f t="shared" si="2"/>
        <v>Morales</v>
      </c>
      <c r="G616" s="5" t="s">
        <v>2332</v>
      </c>
      <c r="H616" s="6">
        <v>84.0</v>
      </c>
      <c r="I616" s="6">
        <f t="shared" si="3"/>
        <v>84</v>
      </c>
      <c r="J616" s="6">
        <v>84.0</v>
      </c>
      <c r="K616" s="6" t="str">
        <f t="shared" si="4"/>
        <v>Senior</v>
      </c>
      <c r="L616" s="6" t="s">
        <v>734</v>
      </c>
      <c r="M616" s="5" t="s">
        <v>28</v>
      </c>
      <c r="N616" s="5" t="str">
        <f t="shared" si="5"/>
        <v>Female</v>
      </c>
      <c r="O616" s="5" t="s">
        <v>105</v>
      </c>
      <c r="P616" s="5" t="s">
        <v>47</v>
      </c>
      <c r="Q616" s="5" t="s">
        <v>311</v>
      </c>
      <c r="R616" s="5" t="s">
        <v>546</v>
      </c>
      <c r="S616" s="5" t="s">
        <v>97</v>
      </c>
      <c r="T616" s="6">
        <v>1210.0</v>
      </c>
      <c r="U616" s="5">
        <f t="shared" si="6"/>
        <v>1210</v>
      </c>
      <c r="V616" s="5">
        <v>1210.0</v>
      </c>
    </row>
    <row r="617" ht="22.5" customHeight="1">
      <c r="A617" s="5" t="s">
        <v>2335</v>
      </c>
      <c r="B617" s="5" t="s">
        <v>764</v>
      </c>
      <c r="C617" s="5" t="str">
        <f t="shared" si="1"/>
        <v>Nancy</v>
      </c>
      <c r="D617" s="5" t="s">
        <v>764</v>
      </c>
      <c r="E617" s="5" t="s">
        <v>2336</v>
      </c>
      <c r="F617" s="5" t="str">
        <f t="shared" si="2"/>
        <v>Cook</v>
      </c>
      <c r="G617" s="5" t="s">
        <v>2336</v>
      </c>
      <c r="H617" s="6">
        <v>20.0</v>
      </c>
      <c r="I617" s="6">
        <f t="shared" si="3"/>
        <v>20</v>
      </c>
      <c r="J617" s="6">
        <v>20.0</v>
      </c>
      <c r="K617" s="6" t="str">
        <f t="shared" si="4"/>
        <v>Young Adult</v>
      </c>
      <c r="L617" s="6" t="s">
        <v>528</v>
      </c>
      <c r="M617" s="5" t="s">
        <v>152</v>
      </c>
      <c r="N617" s="5" t="str">
        <f t="shared" si="5"/>
        <v>Male</v>
      </c>
      <c r="O617" s="5" t="s">
        <v>152</v>
      </c>
      <c r="P617" s="5" t="s">
        <v>81</v>
      </c>
      <c r="Q617" s="5" t="s">
        <v>470</v>
      </c>
      <c r="R617" s="5" t="s">
        <v>96</v>
      </c>
      <c r="S617" s="5" t="s">
        <v>211</v>
      </c>
      <c r="T617" s="6">
        <v>626.0</v>
      </c>
      <c r="U617" s="5">
        <f t="shared" si="6"/>
        <v>626</v>
      </c>
      <c r="V617" s="5">
        <v>626.0</v>
      </c>
    </row>
    <row r="618" ht="22.5" customHeight="1">
      <c r="A618" s="5" t="s">
        <v>2337</v>
      </c>
      <c r="B618" s="5" t="s">
        <v>2072</v>
      </c>
      <c r="C618" s="5" t="str">
        <f t="shared" si="1"/>
        <v>Steven</v>
      </c>
      <c r="D618" s="5" t="s">
        <v>2072</v>
      </c>
      <c r="E618" s="5" t="s">
        <v>2217</v>
      </c>
      <c r="F618" s="5" t="str">
        <f t="shared" si="2"/>
        <v>Bennett</v>
      </c>
      <c r="G618" s="5" t="s">
        <v>2217</v>
      </c>
      <c r="H618" s="6">
        <v>32.0</v>
      </c>
      <c r="I618" s="6">
        <f t="shared" si="3"/>
        <v>32</v>
      </c>
      <c r="J618" s="6">
        <v>32.0</v>
      </c>
      <c r="K618" s="6" t="str">
        <f t="shared" si="4"/>
        <v>Young Adult</v>
      </c>
      <c r="L618" s="6" t="s">
        <v>528</v>
      </c>
      <c r="M618" s="5" t="s">
        <v>80</v>
      </c>
      <c r="N618" s="5" t="str">
        <f t="shared" si="5"/>
        <v>Male</v>
      </c>
      <c r="O618" s="5" t="s">
        <v>152</v>
      </c>
      <c r="P618" s="5" t="s">
        <v>376</v>
      </c>
      <c r="Q618" s="5" t="s">
        <v>439</v>
      </c>
      <c r="R618" s="5" t="s">
        <v>210</v>
      </c>
      <c r="S618" s="5" t="s">
        <v>559</v>
      </c>
      <c r="T618" s="6">
        <v>1562.0</v>
      </c>
      <c r="U618" s="5">
        <f t="shared" si="6"/>
        <v>1562</v>
      </c>
      <c r="V618" s="5">
        <v>1562.0</v>
      </c>
    </row>
    <row r="619" ht="22.5" customHeight="1">
      <c r="A619" s="5" t="s">
        <v>2340</v>
      </c>
      <c r="B619" s="5" t="s">
        <v>2341</v>
      </c>
      <c r="C619" s="5" t="str">
        <f t="shared" si="1"/>
        <v>Debra</v>
      </c>
      <c r="D619" s="5" t="s">
        <v>2341</v>
      </c>
      <c r="E619" s="5" t="s">
        <v>128</v>
      </c>
      <c r="F619" s="5" t="str">
        <f t="shared" si="2"/>
        <v>Rodriguez</v>
      </c>
      <c r="G619" s="5" t="s">
        <v>128</v>
      </c>
      <c r="H619" s="6">
        <v>90.0</v>
      </c>
      <c r="I619" s="6">
        <f t="shared" si="3"/>
        <v>90</v>
      </c>
      <c r="J619" s="6">
        <v>90.0</v>
      </c>
      <c r="K619" s="6" t="str">
        <f t="shared" si="4"/>
        <v>Senior</v>
      </c>
      <c r="L619" s="6" t="s">
        <v>734</v>
      </c>
      <c r="M619" s="5" t="s">
        <v>152</v>
      </c>
      <c r="N619" s="5" t="str">
        <f t="shared" si="5"/>
        <v>Male</v>
      </c>
      <c r="O619" s="5" t="s">
        <v>152</v>
      </c>
      <c r="P619" s="5" t="s">
        <v>401</v>
      </c>
      <c r="Q619" s="5" t="s">
        <v>164</v>
      </c>
      <c r="R619" s="5" t="s">
        <v>452</v>
      </c>
      <c r="S619" s="5" t="s">
        <v>97</v>
      </c>
      <c r="T619" s="6">
        <v>3758.0</v>
      </c>
      <c r="U619" s="5">
        <f t="shared" si="6"/>
        <v>3758</v>
      </c>
      <c r="V619" s="5">
        <v>3758.0</v>
      </c>
    </row>
    <row r="620" ht="22.5" customHeight="1">
      <c r="A620" s="5" t="s">
        <v>2344</v>
      </c>
      <c r="B620" s="5" t="s">
        <v>2077</v>
      </c>
      <c r="C620" s="5" t="str">
        <f t="shared" si="1"/>
        <v>Deborah</v>
      </c>
      <c r="D620" s="5" t="s">
        <v>2077</v>
      </c>
      <c r="E620" s="5" t="s">
        <v>2345</v>
      </c>
      <c r="F620" s="5" t="str">
        <f t="shared" si="2"/>
        <v>Myers</v>
      </c>
      <c r="G620" s="5" t="s">
        <v>2345</v>
      </c>
      <c r="H620" s="6">
        <v>23.0</v>
      </c>
      <c r="I620" s="6">
        <f t="shared" si="3"/>
        <v>23</v>
      </c>
      <c r="J620" s="6">
        <v>23.0</v>
      </c>
      <c r="K620" s="6" t="str">
        <f t="shared" si="4"/>
        <v>Young Adult</v>
      </c>
      <c r="L620" s="6" t="s">
        <v>528</v>
      </c>
      <c r="M620" s="5" t="s">
        <v>105</v>
      </c>
      <c r="N620" s="5" t="str">
        <f t="shared" si="5"/>
        <v>Female</v>
      </c>
      <c r="O620" s="5" t="s">
        <v>105</v>
      </c>
      <c r="P620" s="5" t="s">
        <v>309</v>
      </c>
      <c r="Q620" s="5" t="s">
        <v>439</v>
      </c>
      <c r="R620" s="5" t="s">
        <v>210</v>
      </c>
      <c r="S620" s="5" t="s">
        <v>222</v>
      </c>
      <c r="T620" s="6">
        <v>50.0</v>
      </c>
      <c r="U620" s="5">
        <f t="shared" si="6"/>
        <v>50</v>
      </c>
      <c r="V620" s="5">
        <v>50.0</v>
      </c>
    </row>
    <row r="621" ht="22.5" customHeight="1">
      <c r="A621" s="5" t="s">
        <v>2346</v>
      </c>
      <c r="B621" s="5" t="s">
        <v>2237</v>
      </c>
      <c r="C621" s="5" t="str">
        <f t="shared" si="1"/>
        <v>Kimberly</v>
      </c>
      <c r="D621" s="5" t="s">
        <v>2237</v>
      </c>
      <c r="E621" s="5" t="s">
        <v>2328</v>
      </c>
      <c r="F621" s="5" t="str">
        <f t="shared" si="2"/>
        <v>Ward</v>
      </c>
      <c r="G621" s="5" t="s">
        <v>2328</v>
      </c>
      <c r="H621" s="6">
        <v>56.0</v>
      </c>
      <c r="I621" s="6">
        <f t="shared" si="3"/>
        <v>56</v>
      </c>
      <c r="J621" s="6">
        <v>56.0</v>
      </c>
      <c r="K621" s="6" t="str">
        <f t="shared" si="4"/>
        <v>Middle Age</v>
      </c>
      <c r="L621" s="6" t="s">
        <v>591</v>
      </c>
      <c r="M621" s="5" t="s">
        <v>45</v>
      </c>
      <c r="N621" s="5" t="str">
        <f t="shared" si="5"/>
        <v>Female</v>
      </c>
      <c r="O621" s="5" t="s">
        <v>105</v>
      </c>
      <c r="P621" s="5" t="s">
        <v>47</v>
      </c>
      <c r="Q621" s="5" t="s">
        <v>916</v>
      </c>
      <c r="R621" s="5" t="s">
        <v>402</v>
      </c>
      <c r="S621" s="5" t="s">
        <v>52</v>
      </c>
      <c r="T621" s="6">
        <v>1813.0</v>
      </c>
      <c r="U621" s="5">
        <f t="shared" si="6"/>
        <v>1813</v>
      </c>
      <c r="V621" s="5">
        <v>1813.0</v>
      </c>
    </row>
    <row r="622" ht="22.5" customHeight="1">
      <c r="A622" s="5" t="s">
        <v>2349</v>
      </c>
      <c r="B622" s="5" t="s">
        <v>2350</v>
      </c>
      <c r="C622" s="5" t="str">
        <f t="shared" si="1"/>
        <v>Donald</v>
      </c>
      <c r="D622" s="5" t="s">
        <v>2350</v>
      </c>
      <c r="E622" s="5" t="s">
        <v>2351</v>
      </c>
      <c r="F622" s="5" t="str">
        <f t="shared" si="2"/>
        <v>Ramos</v>
      </c>
      <c r="G622" s="5" t="s">
        <v>2351</v>
      </c>
      <c r="H622" s="6">
        <v>32.0</v>
      </c>
      <c r="I622" s="6">
        <f t="shared" si="3"/>
        <v>32</v>
      </c>
      <c r="J622" s="6">
        <v>32.0</v>
      </c>
      <c r="K622" s="6" t="str">
        <f t="shared" si="4"/>
        <v>Young Adult</v>
      </c>
      <c r="L622" s="6" t="s">
        <v>528</v>
      </c>
      <c r="M622" s="5" t="s">
        <v>105</v>
      </c>
      <c r="N622" s="5" t="str">
        <f t="shared" si="5"/>
        <v>Female</v>
      </c>
      <c r="O622" s="5" t="s">
        <v>105</v>
      </c>
      <c r="P622" s="5" t="s">
        <v>256</v>
      </c>
      <c r="Q622" s="5" t="s">
        <v>377</v>
      </c>
      <c r="R622" s="5" t="s">
        <v>96</v>
      </c>
      <c r="S622" s="5" t="s">
        <v>222</v>
      </c>
      <c r="T622" s="6">
        <v>965.0</v>
      </c>
      <c r="U622" s="5">
        <f t="shared" si="6"/>
        <v>965</v>
      </c>
      <c r="V622" s="5">
        <v>965.0</v>
      </c>
    </row>
    <row r="623" ht="22.5" customHeight="1">
      <c r="A623" s="5" t="s">
        <v>2353</v>
      </c>
      <c r="B623" s="5" t="s">
        <v>2258</v>
      </c>
      <c r="C623" s="5" t="str">
        <f t="shared" si="1"/>
        <v>Sandra</v>
      </c>
      <c r="D623" s="5" t="s">
        <v>2258</v>
      </c>
      <c r="E623" s="5" t="s">
        <v>324</v>
      </c>
      <c r="F623" s="5" t="str">
        <f t="shared" si="2"/>
        <v>Cooper</v>
      </c>
      <c r="G623" s="5" t="s">
        <v>324</v>
      </c>
      <c r="H623" s="6">
        <v>48.0</v>
      </c>
      <c r="I623" s="6">
        <f t="shared" si="3"/>
        <v>48</v>
      </c>
      <c r="J623" s="6">
        <v>48.0</v>
      </c>
      <c r="K623" s="6" t="str">
        <f t="shared" si="4"/>
        <v>Middle Age</v>
      </c>
      <c r="L623" s="6" t="s">
        <v>591</v>
      </c>
      <c r="M623" s="5" t="s">
        <v>152</v>
      </c>
      <c r="N623" s="5" t="str">
        <f t="shared" si="5"/>
        <v>Male</v>
      </c>
      <c r="O623" s="5" t="s">
        <v>152</v>
      </c>
      <c r="P623" s="5" t="s">
        <v>47</v>
      </c>
      <c r="Q623" s="5" t="s">
        <v>230</v>
      </c>
      <c r="R623" s="5" t="s">
        <v>452</v>
      </c>
      <c r="S623" s="5" t="s">
        <v>222</v>
      </c>
      <c r="T623" s="6">
        <v>3565.0</v>
      </c>
      <c r="U623" s="5">
        <f t="shared" si="6"/>
        <v>3565</v>
      </c>
      <c r="V623" s="5">
        <v>3565.0</v>
      </c>
    </row>
    <row r="624" ht="22.5" customHeight="1">
      <c r="A624" s="5" t="s">
        <v>2356</v>
      </c>
      <c r="B624" s="5" t="s">
        <v>2086</v>
      </c>
      <c r="C624" s="5" t="str">
        <f t="shared" si="1"/>
        <v>Nicole</v>
      </c>
      <c r="D624" s="5" t="s">
        <v>2086</v>
      </c>
      <c r="E624" s="5" t="s">
        <v>2357</v>
      </c>
      <c r="F624" s="5" t="str">
        <f t="shared" si="2"/>
        <v>Clark</v>
      </c>
      <c r="G624" s="5" t="s">
        <v>2357</v>
      </c>
      <c r="H624" s="6">
        <v>86.0</v>
      </c>
      <c r="I624" s="6">
        <f t="shared" si="3"/>
        <v>86</v>
      </c>
      <c r="J624" s="6">
        <v>86.0</v>
      </c>
      <c r="K624" s="6" t="str">
        <f t="shared" si="4"/>
        <v>Senior</v>
      </c>
      <c r="L624" s="6" t="s">
        <v>734</v>
      </c>
      <c r="M624" s="5" t="s">
        <v>45</v>
      </c>
      <c r="N624" s="5" t="str">
        <f t="shared" si="5"/>
        <v>Female</v>
      </c>
      <c r="O624" s="5" t="s">
        <v>105</v>
      </c>
      <c r="P624" s="5" t="s">
        <v>47</v>
      </c>
      <c r="Q624" s="5" t="s">
        <v>277</v>
      </c>
      <c r="R624" s="5" t="s">
        <v>402</v>
      </c>
      <c r="S624" s="5" t="s">
        <v>97</v>
      </c>
      <c r="T624" s="6">
        <v>2181.0</v>
      </c>
      <c r="U624" s="5">
        <f t="shared" si="6"/>
        <v>2181</v>
      </c>
      <c r="V624" s="5">
        <v>2181.0</v>
      </c>
    </row>
    <row r="625" ht="22.5" customHeight="1">
      <c r="A625" s="5" t="s">
        <v>2360</v>
      </c>
      <c r="B625" s="5" t="s">
        <v>2130</v>
      </c>
      <c r="C625" s="5" t="str">
        <f t="shared" si="1"/>
        <v>Shirley</v>
      </c>
      <c r="D625" s="5" t="s">
        <v>2130</v>
      </c>
      <c r="E625" s="5" t="s">
        <v>90</v>
      </c>
      <c r="F625" s="5" t="str">
        <f t="shared" si="2"/>
        <v>Davis</v>
      </c>
      <c r="G625" s="5" t="s">
        <v>90</v>
      </c>
      <c r="H625" s="6">
        <v>61.0</v>
      </c>
      <c r="I625" s="6">
        <f t="shared" si="3"/>
        <v>61</v>
      </c>
      <c r="J625" s="6">
        <v>61.0</v>
      </c>
      <c r="K625" s="6" t="str">
        <f t="shared" si="4"/>
        <v>Senior</v>
      </c>
      <c r="L625" s="6" t="s">
        <v>734</v>
      </c>
      <c r="M625" s="5" t="s">
        <v>1572</v>
      </c>
      <c r="N625" s="5" t="str">
        <f t="shared" si="5"/>
        <v>Male</v>
      </c>
      <c r="O625" s="5" t="s">
        <v>152</v>
      </c>
      <c r="P625" s="5" t="s">
        <v>393</v>
      </c>
      <c r="Q625" s="5" t="s">
        <v>377</v>
      </c>
      <c r="R625" s="5" t="s">
        <v>96</v>
      </c>
      <c r="S625" s="5" t="s">
        <v>97</v>
      </c>
      <c r="T625" s="6">
        <v>696.0</v>
      </c>
      <c r="U625" s="5">
        <f t="shared" si="6"/>
        <v>696</v>
      </c>
      <c r="V625" s="5">
        <v>696.0</v>
      </c>
    </row>
    <row r="626" ht="22.5" customHeight="1">
      <c r="A626" s="5" t="s">
        <v>2362</v>
      </c>
      <c r="B626" s="5" t="s">
        <v>2363</v>
      </c>
      <c r="C626" s="5" t="str">
        <f t="shared" si="1"/>
        <v>Susan</v>
      </c>
      <c r="D626" s="5" t="s">
        <v>2363</v>
      </c>
      <c r="E626" s="5" t="s">
        <v>2303</v>
      </c>
      <c r="F626" s="5" t="str">
        <f t="shared" si="2"/>
        <v>Harris</v>
      </c>
      <c r="G626" s="5" t="s">
        <v>2303</v>
      </c>
      <c r="H626" s="6">
        <v>34.0</v>
      </c>
      <c r="I626" s="6">
        <f t="shared" si="3"/>
        <v>34</v>
      </c>
      <c r="J626" s="6">
        <v>34.0</v>
      </c>
      <c r="K626" s="6" t="str">
        <f t="shared" si="4"/>
        <v>Young Adult</v>
      </c>
      <c r="L626" s="6" t="s">
        <v>528</v>
      </c>
      <c r="M626" s="5" t="s">
        <v>1572</v>
      </c>
      <c r="N626" s="5" t="str">
        <f t="shared" si="5"/>
        <v>Male</v>
      </c>
      <c r="O626" s="5" t="s">
        <v>152</v>
      </c>
      <c r="P626" s="5" t="s">
        <v>30</v>
      </c>
      <c r="Q626" s="5" t="s">
        <v>311</v>
      </c>
      <c r="R626" s="5" t="s">
        <v>546</v>
      </c>
      <c r="S626" s="5" t="s">
        <v>559</v>
      </c>
      <c r="T626" s="6">
        <v>1857.0</v>
      </c>
      <c r="U626" s="5">
        <f t="shared" si="6"/>
        <v>1857</v>
      </c>
      <c r="V626" s="5">
        <v>1857.0</v>
      </c>
    </row>
    <row r="627" ht="22.5" customHeight="1">
      <c r="A627" s="5" t="s">
        <v>2366</v>
      </c>
      <c r="B627" s="5" t="s">
        <v>2367</v>
      </c>
      <c r="C627" s="5" t="str">
        <f t="shared" si="1"/>
        <v>Heather</v>
      </c>
      <c r="D627" s="5" t="s">
        <v>2367</v>
      </c>
      <c r="E627" s="5" t="s">
        <v>2368</v>
      </c>
      <c r="F627" s="5" t="str">
        <f t="shared" si="2"/>
        <v>Evans</v>
      </c>
      <c r="G627" s="5" t="s">
        <v>2368</v>
      </c>
      <c r="H627" s="6">
        <v>65.0</v>
      </c>
      <c r="I627" s="6">
        <f t="shared" si="3"/>
        <v>65</v>
      </c>
      <c r="J627" s="6">
        <v>65.0</v>
      </c>
      <c r="K627" s="6" t="str">
        <f t="shared" si="4"/>
        <v>Senior</v>
      </c>
      <c r="L627" s="6" t="s">
        <v>734</v>
      </c>
      <c r="M627" s="5" t="s">
        <v>152</v>
      </c>
      <c r="N627" s="5" t="str">
        <f t="shared" si="5"/>
        <v>Male</v>
      </c>
      <c r="O627" s="5" t="s">
        <v>152</v>
      </c>
      <c r="P627" s="5" t="s">
        <v>30</v>
      </c>
      <c r="Q627" s="5" t="s">
        <v>482</v>
      </c>
      <c r="R627" s="5" t="s">
        <v>179</v>
      </c>
      <c r="S627" s="5" t="s">
        <v>97</v>
      </c>
      <c r="T627" s="6">
        <v>3382.0</v>
      </c>
      <c r="U627" s="5">
        <f t="shared" si="6"/>
        <v>3382</v>
      </c>
      <c r="V627" s="5">
        <v>3382.0</v>
      </c>
    </row>
    <row r="628" ht="22.5" customHeight="1">
      <c r="A628" s="5" t="s">
        <v>2370</v>
      </c>
      <c r="B628" s="5" t="s">
        <v>2306</v>
      </c>
      <c r="C628" s="5" t="str">
        <f t="shared" si="1"/>
        <v>Gregory</v>
      </c>
      <c r="D628" s="5" t="s">
        <v>2306</v>
      </c>
      <c r="E628" s="5" t="s">
        <v>2371</v>
      </c>
      <c r="F628" s="5" t="str">
        <f t="shared" si="2"/>
        <v>Walker</v>
      </c>
      <c r="G628" s="5" t="s">
        <v>2371</v>
      </c>
      <c r="H628" s="6">
        <v>29.0</v>
      </c>
      <c r="I628" s="6">
        <f t="shared" si="3"/>
        <v>29</v>
      </c>
      <c r="J628" s="6">
        <v>29.0</v>
      </c>
      <c r="K628" s="6" t="str">
        <f t="shared" si="4"/>
        <v>Young Adult</v>
      </c>
      <c r="L628" s="6" t="s">
        <v>528</v>
      </c>
      <c r="M628" s="5" t="s">
        <v>80</v>
      </c>
      <c r="N628" s="5" t="str">
        <f t="shared" si="5"/>
        <v>Male</v>
      </c>
      <c r="O628" s="5" t="s">
        <v>152</v>
      </c>
      <c r="P628" s="5" t="s">
        <v>81</v>
      </c>
      <c r="Q628" s="5" t="s">
        <v>311</v>
      </c>
      <c r="R628" s="5" t="s">
        <v>546</v>
      </c>
      <c r="S628" s="5" t="s">
        <v>559</v>
      </c>
      <c r="T628" s="6">
        <v>2147.0</v>
      </c>
      <c r="U628" s="5">
        <f t="shared" si="6"/>
        <v>2147</v>
      </c>
      <c r="V628" s="5">
        <v>2147.0</v>
      </c>
    </row>
    <row r="629" ht="22.5" customHeight="1">
      <c r="A629" s="5" t="s">
        <v>2373</v>
      </c>
      <c r="B629" s="5" t="s">
        <v>2281</v>
      </c>
      <c r="C629" s="5" t="str">
        <f t="shared" si="1"/>
        <v>Barbara</v>
      </c>
      <c r="D629" s="5" t="s">
        <v>2281</v>
      </c>
      <c r="E629" s="5" t="s">
        <v>2135</v>
      </c>
      <c r="F629" s="5" t="str">
        <f t="shared" si="2"/>
        <v>Gomez</v>
      </c>
      <c r="G629" s="5" t="s">
        <v>2135</v>
      </c>
      <c r="H629" s="6">
        <v>19.0</v>
      </c>
      <c r="I629" s="6">
        <f t="shared" si="3"/>
        <v>19</v>
      </c>
      <c r="J629" s="6">
        <v>19.0</v>
      </c>
      <c r="K629" s="6" t="str">
        <f t="shared" si="4"/>
        <v>Young Adult</v>
      </c>
      <c r="L629" s="6" t="s">
        <v>528</v>
      </c>
      <c r="M629" s="5" t="s">
        <v>28</v>
      </c>
      <c r="N629" s="5" t="str">
        <f t="shared" si="5"/>
        <v>Female</v>
      </c>
      <c r="O629" s="5" t="s">
        <v>105</v>
      </c>
      <c r="P629" s="5" t="s">
        <v>64</v>
      </c>
      <c r="Q629" s="5" t="s">
        <v>32</v>
      </c>
      <c r="R629" s="5" t="s">
        <v>83</v>
      </c>
      <c r="S629" s="5" t="s">
        <v>52</v>
      </c>
      <c r="T629" s="6">
        <v>2512.0</v>
      </c>
      <c r="U629" s="5">
        <f t="shared" si="6"/>
        <v>2512</v>
      </c>
      <c r="V629" s="5">
        <v>2512.0</v>
      </c>
    </row>
    <row r="630" ht="22.5" customHeight="1">
      <c r="A630" s="5" t="s">
        <v>2376</v>
      </c>
      <c r="B630" s="5" t="s">
        <v>2302</v>
      </c>
      <c r="C630" s="5" t="str">
        <f t="shared" si="1"/>
        <v>Amanda</v>
      </c>
      <c r="D630" s="5" t="s">
        <v>2302</v>
      </c>
      <c r="E630" s="5" t="s">
        <v>2377</v>
      </c>
      <c r="F630" s="5" t="str">
        <f t="shared" si="2"/>
        <v>Lewis</v>
      </c>
      <c r="G630" s="5" t="s">
        <v>2377</v>
      </c>
      <c r="H630" s="6">
        <v>28.0</v>
      </c>
      <c r="I630" s="6">
        <f t="shared" si="3"/>
        <v>28</v>
      </c>
      <c r="J630" s="6">
        <v>28.0</v>
      </c>
      <c r="K630" s="6" t="str">
        <f t="shared" si="4"/>
        <v>Young Adult</v>
      </c>
      <c r="L630" s="6" t="s">
        <v>528</v>
      </c>
      <c r="M630" s="5" t="s">
        <v>1572</v>
      </c>
      <c r="N630" s="5" t="str">
        <f t="shared" si="5"/>
        <v>Male</v>
      </c>
      <c r="O630" s="5" t="s">
        <v>152</v>
      </c>
      <c r="P630" s="5" t="s">
        <v>64</v>
      </c>
      <c r="Q630" s="5" t="s">
        <v>551</v>
      </c>
      <c r="R630" s="5" t="s">
        <v>83</v>
      </c>
      <c r="S630" s="5" t="s">
        <v>52</v>
      </c>
      <c r="T630" s="6">
        <v>3393.0</v>
      </c>
      <c r="U630" s="5">
        <f t="shared" si="6"/>
        <v>3393</v>
      </c>
      <c r="V630" s="5">
        <v>3393.0</v>
      </c>
    </row>
    <row r="631" ht="22.5" customHeight="1">
      <c r="A631" s="5" t="s">
        <v>2379</v>
      </c>
      <c r="B631" s="5" t="s">
        <v>983</v>
      </c>
      <c r="C631" s="5" t="str">
        <f t="shared" si="1"/>
        <v>Thomas</v>
      </c>
      <c r="D631" s="5" t="s">
        <v>983</v>
      </c>
      <c r="E631" s="5" t="s">
        <v>2175</v>
      </c>
      <c r="F631" s="5" t="str">
        <f t="shared" si="2"/>
        <v>Flores</v>
      </c>
      <c r="G631" s="5" t="s">
        <v>2175</v>
      </c>
      <c r="H631" s="6">
        <v>20.0</v>
      </c>
      <c r="I631" s="6">
        <f t="shared" si="3"/>
        <v>20</v>
      </c>
      <c r="J631" s="6">
        <v>20.0</v>
      </c>
      <c r="K631" s="6" t="str">
        <f t="shared" si="4"/>
        <v>Young Adult</v>
      </c>
      <c r="L631" s="6" t="s">
        <v>528</v>
      </c>
      <c r="M631" s="5" t="s">
        <v>45</v>
      </c>
      <c r="N631" s="5" t="str">
        <f t="shared" si="5"/>
        <v>Female</v>
      </c>
      <c r="O631" s="5" t="s">
        <v>105</v>
      </c>
      <c r="P631" s="5" t="s">
        <v>571</v>
      </c>
      <c r="Q631" s="5" t="s">
        <v>311</v>
      </c>
      <c r="R631" s="5" t="s">
        <v>96</v>
      </c>
      <c r="S631" s="5" t="s">
        <v>52</v>
      </c>
      <c r="T631" s="6">
        <v>658.0</v>
      </c>
      <c r="U631" s="5">
        <f t="shared" si="6"/>
        <v>658</v>
      </c>
      <c r="V631" s="5">
        <v>658.0</v>
      </c>
    </row>
    <row r="632" ht="22.5" customHeight="1">
      <c r="A632" s="5" t="s">
        <v>2381</v>
      </c>
      <c r="B632" s="5" t="s">
        <v>2193</v>
      </c>
      <c r="C632" s="5" t="str">
        <f t="shared" si="1"/>
        <v>Kathleen</v>
      </c>
      <c r="D632" s="5" t="s">
        <v>2193</v>
      </c>
      <c r="E632" s="5" t="s">
        <v>2175</v>
      </c>
      <c r="F632" s="5" t="str">
        <f t="shared" si="2"/>
        <v>Flores</v>
      </c>
      <c r="G632" s="5" t="s">
        <v>2175</v>
      </c>
      <c r="H632" s="6">
        <v>150.0</v>
      </c>
      <c r="I632" s="6">
        <f t="shared" si="3"/>
        <v>150</v>
      </c>
      <c r="J632" s="6"/>
      <c r="K632" s="6" t="str">
        <f t="shared" si="4"/>
        <v>Unknown</v>
      </c>
      <c r="L632" s="6" t="s">
        <v>1081</v>
      </c>
      <c r="M632" s="5" t="s">
        <v>105</v>
      </c>
      <c r="N632" s="5" t="str">
        <f t="shared" si="5"/>
        <v>Female</v>
      </c>
      <c r="O632" s="5" t="s">
        <v>105</v>
      </c>
      <c r="P632" s="5" t="s">
        <v>364</v>
      </c>
      <c r="Q632" s="5" t="s">
        <v>164</v>
      </c>
      <c r="R632" s="5" t="s">
        <v>96</v>
      </c>
      <c r="S632" s="5" t="s">
        <v>97</v>
      </c>
      <c r="T632" s="6">
        <v>930.0</v>
      </c>
      <c r="U632" s="5">
        <f t="shared" si="6"/>
        <v>930</v>
      </c>
      <c r="V632" s="5">
        <v>930.0</v>
      </c>
    </row>
    <row r="633" ht="22.5" customHeight="1">
      <c r="A633" s="5" t="s">
        <v>2383</v>
      </c>
      <c r="B633" s="5" t="s">
        <v>2198</v>
      </c>
      <c r="C633" s="5" t="str">
        <f t="shared" si="1"/>
        <v>Alexander</v>
      </c>
      <c r="D633" s="5" t="s">
        <v>2198</v>
      </c>
      <c r="E633" s="5" t="s">
        <v>2163</v>
      </c>
      <c r="F633" s="5" t="str">
        <f t="shared" si="2"/>
        <v>Ruiz</v>
      </c>
      <c r="G633" s="5" t="s">
        <v>2163</v>
      </c>
      <c r="H633" s="6">
        <v>-76.0</v>
      </c>
      <c r="I633" s="6">
        <f t="shared" si="3"/>
        <v>76</v>
      </c>
      <c r="J633" s="6">
        <v>76.0</v>
      </c>
      <c r="K633" s="6" t="str">
        <f t="shared" si="4"/>
        <v>Senior</v>
      </c>
      <c r="L633" s="6" t="s">
        <v>734</v>
      </c>
      <c r="M633" s="5" t="s">
        <v>80</v>
      </c>
      <c r="N633" s="5" t="str">
        <f t="shared" si="5"/>
        <v>Male</v>
      </c>
      <c r="O633" s="5" t="s">
        <v>152</v>
      </c>
      <c r="P633" s="5" t="s">
        <v>571</v>
      </c>
      <c r="Q633" s="5" t="s">
        <v>470</v>
      </c>
      <c r="R633" s="5" t="s">
        <v>96</v>
      </c>
      <c r="S633" s="5" t="s">
        <v>222</v>
      </c>
      <c r="T633" s="6">
        <v>490.0</v>
      </c>
      <c r="U633" s="5">
        <f t="shared" si="6"/>
        <v>490</v>
      </c>
      <c r="V633" s="5">
        <v>490.0</v>
      </c>
    </row>
    <row r="634" ht="22.5" customHeight="1">
      <c r="A634" s="5" t="s">
        <v>2385</v>
      </c>
      <c r="B634" s="5" t="s">
        <v>2103</v>
      </c>
      <c r="C634" s="5" t="str">
        <f t="shared" si="1"/>
        <v>Scott</v>
      </c>
      <c r="D634" s="5" t="s">
        <v>2103</v>
      </c>
      <c r="E634" s="5" t="s">
        <v>2104</v>
      </c>
      <c r="F634" s="5" t="str">
        <f t="shared" si="2"/>
        <v>Ortiz</v>
      </c>
      <c r="G634" s="5" t="s">
        <v>2104</v>
      </c>
      <c r="H634" s="6">
        <v>35.0</v>
      </c>
      <c r="I634" s="6">
        <f t="shared" si="3"/>
        <v>35</v>
      </c>
      <c r="J634" s="6">
        <v>35.0</v>
      </c>
      <c r="K634" s="6" t="str">
        <f t="shared" si="4"/>
        <v>Young Adult</v>
      </c>
      <c r="L634" s="6" t="s">
        <v>528</v>
      </c>
      <c r="M634" s="5" t="s">
        <v>105</v>
      </c>
      <c r="N634" s="5" t="str">
        <f t="shared" si="5"/>
        <v>Female</v>
      </c>
      <c r="O634" s="5" t="s">
        <v>105</v>
      </c>
      <c r="P634" s="5" t="s">
        <v>30</v>
      </c>
      <c r="Q634" s="5" t="s">
        <v>916</v>
      </c>
      <c r="R634" s="5" t="s">
        <v>402</v>
      </c>
      <c r="S634" s="5" t="s">
        <v>211</v>
      </c>
      <c r="T634" s="6">
        <v>1576.0</v>
      </c>
      <c r="U634" s="5">
        <f t="shared" si="6"/>
        <v>1576</v>
      </c>
      <c r="V634" s="5">
        <v>1576.0</v>
      </c>
    </row>
    <row r="635" ht="22.5" customHeight="1">
      <c r="A635" s="5" t="s">
        <v>2388</v>
      </c>
      <c r="B635" s="5" t="s">
        <v>1583</v>
      </c>
      <c r="C635" s="5" t="str">
        <f t="shared" si="1"/>
        <v>Lisa</v>
      </c>
      <c r="D635" s="5" t="s">
        <v>1583</v>
      </c>
      <c r="E635" s="5" t="s">
        <v>713</v>
      </c>
      <c r="F635" s="5" t="str">
        <f t="shared" si="2"/>
        <v>White</v>
      </c>
      <c r="G635" s="5" t="s">
        <v>713</v>
      </c>
      <c r="H635" s="6">
        <v>31.0</v>
      </c>
      <c r="I635" s="6">
        <f t="shared" si="3"/>
        <v>31</v>
      </c>
      <c r="J635" s="6">
        <v>31.0</v>
      </c>
      <c r="K635" s="6" t="str">
        <f t="shared" si="4"/>
        <v>Young Adult</v>
      </c>
      <c r="L635" s="6" t="s">
        <v>528</v>
      </c>
      <c r="M635" s="5" t="s">
        <v>28</v>
      </c>
      <c r="N635" s="5" t="str">
        <f t="shared" si="5"/>
        <v>Female</v>
      </c>
      <c r="O635" s="5" t="s">
        <v>105</v>
      </c>
      <c r="P635" s="5" t="s">
        <v>237</v>
      </c>
      <c r="Q635" s="5" t="s">
        <v>277</v>
      </c>
      <c r="R635" s="5" t="s">
        <v>402</v>
      </c>
      <c r="S635" s="5" t="s">
        <v>222</v>
      </c>
      <c r="T635" s="6">
        <v>1899.0</v>
      </c>
      <c r="U635" s="5">
        <f t="shared" si="6"/>
        <v>1899</v>
      </c>
      <c r="V635" s="5">
        <v>1899.0</v>
      </c>
    </row>
    <row r="636" ht="22.5" customHeight="1">
      <c r="A636" s="5" t="s">
        <v>2389</v>
      </c>
      <c r="B636" s="5" t="s">
        <v>1186</v>
      </c>
      <c r="C636" s="5" t="str">
        <f t="shared" si="1"/>
        <v>Jack</v>
      </c>
      <c r="D636" s="5" t="s">
        <v>1186</v>
      </c>
      <c r="E636" s="5" t="s">
        <v>2214</v>
      </c>
      <c r="F636" s="5" t="str">
        <f t="shared" si="2"/>
        <v>Cox</v>
      </c>
      <c r="G636" s="5" t="s">
        <v>2214</v>
      </c>
      <c r="H636" s="6">
        <v>51.0</v>
      </c>
      <c r="I636" s="6">
        <f t="shared" si="3"/>
        <v>51</v>
      </c>
      <c r="J636" s="6">
        <v>51.0</v>
      </c>
      <c r="K636" s="6" t="str">
        <f t="shared" si="4"/>
        <v>Middle Age</v>
      </c>
      <c r="L636" s="6" t="s">
        <v>591</v>
      </c>
      <c r="M636" s="5" t="s">
        <v>105</v>
      </c>
      <c r="N636" s="5" t="str">
        <f t="shared" si="5"/>
        <v>Female</v>
      </c>
      <c r="O636" s="5" t="s">
        <v>105</v>
      </c>
      <c r="P636" s="5" t="s">
        <v>64</v>
      </c>
      <c r="Q636" s="5" t="s">
        <v>1290</v>
      </c>
      <c r="R636" s="5" t="s">
        <v>533</v>
      </c>
      <c r="S636" s="5" t="s">
        <v>52</v>
      </c>
      <c r="T636" s="6">
        <v>1682.0</v>
      </c>
      <c r="U636" s="5">
        <f t="shared" si="6"/>
        <v>1682</v>
      </c>
      <c r="V636" s="5">
        <v>1682.0</v>
      </c>
    </row>
    <row r="637" ht="22.5" customHeight="1">
      <c r="A637" s="5" t="s">
        <v>2392</v>
      </c>
      <c r="B637" s="5" t="s">
        <v>2367</v>
      </c>
      <c r="C637" s="5" t="str">
        <f t="shared" si="1"/>
        <v>Heather</v>
      </c>
      <c r="D637" s="5" t="s">
        <v>2367</v>
      </c>
      <c r="E637" s="5" t="s">
        <v>2393</v>
      </c>
      <c r="F637" s="5" t="str">
        <f t="shared" si="2"/>
        <v>Patel</v>
      </c>
      <c r="G637" s="5" t="s">
        <v>2393</v>
      </c>
      <c r="H637" s="6">
        <v>44.0</v>
      </c>
      <c r="I637" s="6">
        <f t="shared" si="3"/>
        <v>44</v>
      </c>
      <c r="J637" s="6">
        <v>44.0</v>
      </c>
      <c r="K637" s="6" t="str">
        <f t="shared" si="4"/>
        <v>Middle Age</v>
      </c>
      <c r="L637" s="6" t="s">
        <v>591</v>
      </c>
      <c r="M637" s="5" t="s">
        <v>152</v>
      </c>
      <c r="N637" s="5" t="str">
        <f t="shared" si="5"/>
        <v>Male</v>
      </c>
      <c r="O637" s="5" t="s">
        <v>152</v>
      </c>
      <c r="P637" s="5" t="s">
        <v>393</v>
      </c>
      <c r="Q637" s="5" t="s">
        <v>123</v>
      </c>
      <c r="R637" s="5" t="s">
        <v>83</v>
      </c>
      <c r="S637" s="5" t="s">
        <v>211</v>
      </c>
      <c r="T637" s="6">
        <v>1015.0</v>
      </c>
      <c r="U637" s="5">
        <f t="shared" si="6"/>
        <v>1015</v>
      </c>
      <c r="V637" s="5">
        <v>1015.0</v>
      </c>
    </row>
    <row r="638" ht="22.5" customHeight="1">
      <c r="A638" s="5" t="s">
        <v>2396</v>
      </c>
      <c r="B638" s="5" t="s">
        <v>2281</v>
      </c>
      <c r="C638" s="5" t="str">
        <f t="shared" si="1"/>
        <v>Barbara</v>
      </c>
      <c r="D638" s="5" t="s">
        <v>2281</v>
      </c>
      <c r="E638" s="5" t="s">
        <v>2351</v>
      </c>
      <c r="F638" s="5" t="str">
        <f t="shared" si="2"/>
        <v>Ramos</v>
      </c>
      <c r="G638" s="5" t="s">
        <v>2351</v>
      </c>
      <c r="H638" s="6">
        <v>64.0</v>
      </c>
      <c r="I638" s="6">
        <f t="shared" si="3"/>
        <v>64</v>
      </c>
      <c r="J638" s="6">
        <v>64.0</v>
      </c>
      <c r="K638" s="6" t="str">
        <f t="shared" si="4"/>
        <v>Senior</v>
      </c>
      <c r="L638" s="6" t="s">
        <v>734</v>
      </c>
      <c r="M638" s="5" t="s">
        <v>152</v>
      </c>
      <c r="N638" s="5" t="str">
        <f t="shared" si="5"/>
        <v>Male</v>
      </c>
      <c r="O638" s="5" t="s">
        <v>152</v>
      </c>
      <c r="P638" s="5" t="s">
        <v>81</v>
      </c>
      <c r="Q638" s="5" t="s">
        <v>916</v>
      </c>
      <c r="R638" s="5" t="s">
        <v>402</v>
      </c>
      <c r="S638" s="5" t="s">
        <v>97</v>
      </c>
      <c r="T638" s="6">
        <v>1894.0</v>
      </c>
      <c r="U638" s="5">
        <f t="shared" si="6"/>
        <v>1894</v>
      </c>
      <c r="V638" s="5">
        <v>1894.0</v>
      </c>
    </row>
    <row r="639" ht="22.5" customHeight="1">
      <c r="A639" s="5" t="s">
        <v>2399</v>
      </c>
      <c r="B639" s="5" t="s">
        <v>2400</v>
      </c>
      <c r="C639" s="5" t="str">
        <f t="shared" si="1"/>
        <v>Ruth</v>
      </c>
      <c r="D639" s="5" t="s">
        <v>2400</v>
      </c>
      <c r="E639" s="5" t="s">
        <v>1187</v>
      </c>
      <c r="F639" s="5" t="str">
        <f t="shared" si="2"/>
        <v>Martinez</v>
      </c>
      <c r="G639" s="5" t="s">
        <v>1187</v>
      </c>
      <c r="H639" s="6">
        <v>34.0</v>
      </c>
      <c r="I639" s="6">
        <f t="shared" si="3"/>
        <v>34</v>
      </c>
      <c r="J639" s="6">
        <v>34.0</v>
      </c>
      <c r="K639" s="6" t="str">
        <f t="shared" si="4"/>
        <v>Young Adult</v>
      </c>
      <c r="L639" s="6" t="s">
        <v>528</v>
      </c>
      <c r="M639" s="5" t="s">
        <v>152</v>
      </c>
      <c r="N639" s="5" t="str">
        <f t="shared" si="5"/>
        <v>Male</v>
      </c>
      <c r="O639" s="5" t="s">
        <v>152</v>
      </c>
      <c r="P639" s="5" t="s">
        <v>376</v>
      </c>
      <c r="Q639" s="5" t="s">
        <v>436</v>
      </c>
      <c r="R639" s="5" t="s">
        <v>561</v>
      </c>
      <c r="S639" s="5" t="s">
        <v>559</v>
      </c>
      <c r="T639" s="6">
        <v>1071.0</v>
      </c>
      <c r="U639" s="5">
        <f t="shared" si="6"/>
        <v>1071</v>
      </c>
      <c r="V639" s="5">
        <v>1071.0</v>
      </c>
    </row>
    <row r="640" ht="22.5" customHeight="1">
      <c r="A640" s="5" t="s">
        <v>2402</v>
      </c>
      <c r="B640" s="5" t="s">
        <v>2296</v>
      </c>
      <c r="C640" s="5" t="str">
        <f t="shared" si="1"/>
        <v>Anna</v>
      </c>
      <c r="D640" s="5" t="s">
        <v>2296</v>
      </c>
      <c r="E640" s="5" t="s">
        <v>2293</v>
      </c>
      <c r="F640" s="5" t="str">
        <f t="shared" si="2"/>
        <v>Reyes</v>
      </c>
      <c r="G640" s="5" t="s">
        <v>2293</v>
      </c>
      <c r="H640" s="6">
        <v>80.0</v>
      </c>
      <c r="I640" s="6">
        <f t="shared" si="3"/>
        <v>80</v>
      </c>
      <c r="J640" s="6">
        <v>80.0</v>
      </c>
      <c r="K640" s="6" t="str">
        <f t="shared" si="4"/>
        <v>Senior</v>
      </c>
      <c r="L640" s="6" t="s">
        <v>734</v>
      </c>
      <c r="M640" s="5" t="s">
        <v>80</v>
      </c>
      <c r="N640" s="5" t="str">
        <f t="shared" si="5"/>
        <v>Male</v>
      </c>
      <c r="O640" s="5" t="s">
        <v>152</v>
      </c>
      <c r="P640" s="5" t="s">
        <v>64</v>
      </c>
      <c r="Q640" s="5" t="s">
        <v>551</v>
      </c>
      <c r="R640" s="5" t="s">
        <v>96</v>
      </c>
      <c r="S640" s="5" t="s">
        <v>97</v>
      </c>
      <c r="T640" s="6">
        <v>671.0</v>
      </c>
      <c r="U640" s="5">
        <f t="shared" si="6"/>
        <v>671</v>
      </c>
      <c r="V640" s="5">
        <v>671.0</v>
      </c>
    </row>
    <row r="641" ht="22.5" customHeight="1">
      <c r="A641" s="5" t="s">
        <v>2404</v>
      </c>
      <c r="B641" s="5" t="s">
        <v>620</v>
      </c>
      <c r="C641" s="5" t="str">
        <f t="shared" si="1"/>
        <v>Michelle</v>
      </c>
      <c r="D641" s="5" t="s">
        <v>620</v>
      </c>
      <c r="E641" s="5" t="s">
        <v>2405</v>
      </c>
      <c r="F641" s="5" t="str">
        <f t="shared" si="2"/>
        <v>Edwards</v>
      </c>
      <c r="G641" s="5" t="s">
        <v>2405</v>
      </c>
      <c r="H641" s="6">
        <v>80.0</v>
      </c>
      <c r="I641" s="6">
        <f t="shared" si="3"/>
        <v>80</v>
      </c>
      <c r="J641" s="6">
        <v>80.0</v>
      </c>
      <c r="K641" s="6" t="str">
        <f t="shared" si="4"/>
        <v>Senior</v>
      </c>
      <c r="L641" s="6" t="s">
        <v>734</v>
      </c>
      <c r="M641" s="5" t="s">
        <v>105</v>
      </c>
      <c r="N641" s="5" t="str">
        <f t="shared" si="5"/>
        <v>Female</v>
      </c>
      <c r="O641" s="5" t="s">
        <v>105</v>
      </c>
      <c r="P641" s="5" t="s">
        <v>64</v>
      </c>
      <c r="Q641" s="5" t="s">
        <v>377</v>
      </c>
      <c r="R641" s="5" t="s">
        <v>402</v>
      </c>
      <c r="S641" s="5" t="s">
        <v>97</v>
      </c>
      <c r="T641" s="6">
        <v>2632.0</v>
      </c>
      <c r="U641" s="5">
        <f t="shared" si="6"/>
        <v>2632</v>
      </c>
      <c r="V641" s="5">
        <v>2632.0</v>
      </c>
    </row>
    <row r="642" ht="22.5" customHeight="1">
      <c r="A642" s="5" t="s">
        <v>2406</v>
      </c>
      <c r="B642" s="5" t="s">
        <v>2099</v>
      </c>
      <c r="C642" s="5" t="str">
        <f t="shared" si="1"/>
        <v>Kenneth</v>
      </c>
      <c r="D642" s="5" t="s">
        <v>2099</v>
      </c>
      <c r="E642" s="5" t="s">
        <v>2332</v>
      </c>
      <c r="F642" s="5" t="str">
        <f t="shared" si="2"/>
        <v>Morales</v>
      </c>
      <c r="G642" s="5" t="s">
        <v>2332</v>
      </c>
      <c r="H642" s="6">
        <v>88.0</v>
      </c>
      <c r="I642" s="6">
        <f t="shared" si="3"/>
        <v>88</v>
      </c>
      <c r="J642" s="6">
        <v>88.0</v>
      </c>
      <c r="K642" s="6" t="str">
        <f t="shared" si="4"/>
        <v>Senior</v>
      </c>
      <c r="L642" s="6" t="s">
        <v>734</v>
      </c>
      <c r="M642" s="5" t="s">
        <v>28</v>
      </c>
      <c r="N642" s="5" t="str">
        <f t="shared" si="5"/>
        <v>Female</v>
      </c>
      <c r="O642" s="5" t="s">
        <v>105</v>
      </c>
      <c r="P642" s="5" t="s">
        <v>268</v>
      </c>
      <c r="Q642" s="5" t="s">
        <v>470</v>
      </c>
      <c r="R642" s="5" t="s">
        <v>179</v>
      </c>
      <c r="S642" s="5" t="s">
        <v>97</v>
      </c>
      <c r="T642" s="6">
        <v>3240.0</v>
      </c>
      <c r="U642" s="5">
        <f t="shared" si="6"/>
        <v>3240</v>
      </c>
      <c r="V642" s="5">
        <v>3240.0</v>
      </c>
    </row>
    <row r="643" ht="22.5" customHeight="1">
      <c r="A643" s="5" t="s">
        <v>2409</v>
      </c>
      <c r="B643" s="5" t="s">
        <v>2410</v>
      </c>
      <c r="C643" s="5" t="str">
        <f t="shared" si="1"/>
        <v>Andrew</v>
      </c>
      <c r="D643" s="5" t="s">
        <v>2410</v>
      </c>
      <c r="E643" s="5" t="s">
        <v>2145</v>
      </c>
      <c r="F643" s="5" t="str">
        <f t="shared" si="2"/>
        <v>Robinson</v>
      </c>
      <c r="G643" s="5" t="s">
        <v>2145</v>
      </c>
      <c r="H643" s="6">
        <v>61.0</v>
      </c>
      <c r="I643" s="6">
        <f t="shared" si="3"/>
        <v>61</v>
      </c>
      <c r="J643" s="6">
        <v>61.0</v>
      </c>
      <c r="K643" s="6" t="str">
        <f t="shared" si="4"/>
        <v>Senior</v>
      </c>
      <c r="L643" s="6" t="s">
        <v>734</v>
      </c>
      <c r="M643" s="5" t="s">
        <v>105</v>
      </c>
      <c r="N643" s="5" t="str">
        <f t="shared" si="5"/>
        <v>Female</v>
      </c>
      <c r="O643" s="5" t="s">
        <v>105</v>
      </c>
      <c r="P643" s="5" t="s">
        <v>141</v>
      </c>
      <c r="Q643" s="5" t="s">
        <v>311</v>
      </c>
      <c r="R643" s="5" t="s">
        <v>96</v>
      </c>
      <c r="S643" s="5" t="s">
        <v>97</v>
      </c>
      <c r="T643" s="6">
        <v>233.0</v>
      </c>
      <c r="U643" s="5">
        <f t="shared" si="6"/>
        <v>233</v>
      </c>
      <c r="V643" s="5">
        <v>233.0</v>
      </c>
    </row>
    <row r="644" ht="22.5" customHeight="1">
      <c r="A644" s="5" t="s">
        <v>2412</v>
      </c>
      <c r="B644" s="5" t="s">
        <v>2246</v>
      </c>
      <c r="C644" s="5" t="str">
        <f t="shared" si="1"/>
        <v>Helen</v>
      </c>
      <c r="D644" s="5" t="s">
        <v>2246</v>
      </c>
      <c r="E644" s="5" t="s">
        <v>2393</v>
      </c>
      <c r="F644" s="5" t="str">
        <f t="shared" si="2"/>
        <v>Patel</v>
      </c>
      <c r="G644" s="5" t="s">
        <v>2393</v>
      </c>
      <c r="H644" s="6">
        <v>67.0</v>
      </c>
      <c r="I644" s="6">
        <f t="shared" si="3"/>
        <v>67</v>
      </c>
      <c r="J644" s="6">
        <v>67.0</v>
      </c>
      <c r="K644" s="6" t="str">
        <f t="shared" si="4"/>
        <v>Senior</v>
      </c>
      <c r="L644" s="6" t="s">
        <v>734</v>
      </c>
      <c r="M644" s="5" t="s">
        <v>45</v>
      </c>
      <c r="N644" s="5" t="str">
        <f t="shared" si="5"/>
        <v>Female</v>
      </c>
      <c r="O644" s="5" t="s">
        <v>105</v>
      </c>
      <c r="P644" s="5" t="s">
        <v>208</v>
      </c>
      <c r="Q644" s="5" t="s">
        <v>377</v>
      </c>
      <c r="R644" s="5" t="s">
        <v>402</v>
      </c>
      <c r="S644" s="5" t="s">
        <v>97</v>
      </c>
      <c r="T644" s="6">
        <v>2584.0</v>
      </c>
      <c r="U644" s="5">
        <f t="shared" si="6"/>
        <v>2584</v>
      </c>
      <c r="V644" s="5">
        <v>2584.0</v>
      </c>
    </row>
    <row r="645" ht="22.5" customHeight="1">
      <c r="A645" s="5" t="s">
        <v>2414</v>
      </c>
      <c r="B645" s="5" t="s">
        <v>2210</v>
      </c>
      <c r="C645" s="5" t="str">
        <f t="shared" si="1"/>
        <v>Benjamin</v>
      </c>
      <c r="D645" s="5" t="s">
        <v>2210</v>
      </c>
      <c r="E645" s="5" t="s">
        <v>2416</v>
      </c>
      <c r="F645" s="5" t="str">
        <f t="shared" si="2"/>
        <v>Gonzalez</v>
      </c>
      <c r="G645" s="5" t="s">
        <v>2416</v>
      </c>
      <c r="H645" s="6">
        <v>20.0</v>
      </c>
      <c r="I645" s="6">
        <f t="shared" si="3"/>
        <v>20</v>
      </c>
      <c r="J645" s="6">
        <v>20.0</v>
      </c>
      <c r="K645" s="6" t="str">
        <f t="shared" si="4"/>
        <v>Young Adult</v>
      </c>
      <c r="L645" s="6" t="s">
        <v>528</v>
      </c>
      <c r="M645" s="5" t="s">
        <v>28</v>
      </c>
      <c r="N645" s="5" t="str">
        <f t="shared" si="5"/>
        <v>Female</v>
      </c>
      <c r="O645" s="5" t="s">
        <v>105</v>
      </c>
      <c r="P645" s="5" t="s">
        <v>539</v>
      </c>
      <c r="Q645" s="5" t="s">
        <v>482</v>
      </c>
      <c r="R645" s="5" t="s">
        <v>179</v>
      </c>
      <c r="S645" s="5" t="s">
        <v>211</v>
      </c>
      <c r="T645" s="6">
        <v>4348.0</v>
      </c>
      <c r="U645" s="5">
        <f t="shared" si="6"/>
        <v>4348</v>
      </c>
      <c r="V645" s="5">
        <v>4348.0</v>
      </c>
    </row>
    <row r="646" ht="22.5" customHeight="1">
      <c r="A646" s="5" t="s">
        <v>2418</v>
      </c>
      <c r="B646" s="5" t="s">
        <v>2350</v>
      </c>
      <c r="C646" s="5" t="str">
        <f t="shared" si="1"/>
        <v>Donald</v>
      </c>
      <c r="D646" s="5" t="s">
        <v>2350</v>
      </c>
      <c r="E646" s="5" t="s">
        <v>629</v>
      </c>
      <c r="F646" s="5" t="str">
        <f t="shared" si="2"/>
        <v>Richardson</v>
      </c>
      <c r="G646" s="5" t="s">
        <v>629</v>
      </c>
      <c r="H646" s="6">
        <v>30.0</v>
      </c>
      <c r="I646" s="6">
        <f t="shared" si="3"/>
        <v>30</v>
      </c>
      <c r="J646" s="6">
        <v>30.0</v>
      </c>
      <c r="K646" s="6" t="str">
        <f t="shared" si="4"/>
        <v>Young Adult</v>
      </c>
      <c r="L646" s="6" t="s">
        <v>528</v>
      </c>
      <c r="M646" s="5" t="s">
        <v>105</v>
      </c>
      <c r="N646" s="5" t="str">
        <f t="shared" si="5"/>
        <v>Female</v>
      </c>
      <c r="O646" s="5" t="s">
        <v>105</v>
      </c>
      <c r="P646" s="5" t="s">
        <v>47</v>
      </c>
      <c r="Q646" s="5" t="s">
        <v>238</v>
      </c>
      <c r="R646" s="5" t="s">
        <v>533</v>
      </c>
      <c r="S646" s="5" t="s">
        <v>559</v>
      </c>
      <c r="T646" s="6">
        <v>1805.0</v>
      </c>
      <c r="U646" s="5">
        <f t="shared" si="6"/>
        <v>1805</v>
      </c>
      <c r="V646" s="5">
        <v>1805.0</v>
      </c>
    </row>
    <row r="647" ht="22.5" customHeight="1">
      <c r="A647" s="5" t="s">
        <v>2421</v>
      </c>
      <c r="B647" s="5" t="s">
        <v>2153</v>
      </c>
      <c r="C647" s="5" t="str">
        <f t="shared" si="1"/>
        <v>Amy</v>
      </c>
      <c r="D647" s="5" t="s">
        <v>2153</v>
      </c>
      <c r="E647" s="5" t="s">
        <v>713</v>
      </c>
      <c r="F647" s="5" t="str">
        <f t="shared" si="2"/>
        <v>White</v>
      </c>
      <c r="G647" s="5" t="s">
        <v>713</v>
      </c>
      <c r="H647" s="6">
        <v>71.0</v>
      </c>
      <c r="I647" s="6">
        <f t="shared" si="3"/>
        <v>71</v>
      </c>
      <c r="J647" s="6">
        <v>71.0</v>
      </c>
      <c r="K647" s="6" t="str">
        <f t="shared" si="4"/>
        <v>Senior</v>
      </c>
      <c r="L647" s="6" t="s">
        <v>734</v>
      </c>
      <c r="M647" s="5" t="s">
        <v>28</v>
      </c>
      <c r="N647" s="5" t="str">
        <f t="shared" si="5"/>
        <v>Female</v>
      </c>
      <c r="O647" s="5" t="s">
        <v>105</v>
      </c>
      <c r="P647" s="5" t="s">
        <v>268</v>
      </c>
      <c r="Q647" s="5" t="s">
        <v>489</v>
      </c>
      <c r="R647" s="5" t="s">
        <v>179</v>
      </c>
      <c r="S647" s="5" t="s">
        <v>97</v>
      </c>
      <c r="T647" s="6">
        <v>3985.0</v>
      </c>
      <c r="U647" s="5">
        <f t="shared" si="6"/>
        <v>3985</v>
      </c>
      <c r="V647" s="5">
        <v>3985.0</v>
      </c>
    </row>
    <row r="648" ht="22.5" customHeight="1">
      <c r="A648" s="5" t="s">
        <v>2423</v>
      </c>
      <c r="B648" s="5" t="s">
        <v>983</v>
      </c>
      <c r="C648" s="5" t="str">
        <f t="shared" si="1"/>
        <v>Thomas</v>
      </c>
      <c r="D648" s="5" t="s">
        <v>983</v>
      </c>
      <c r="E648" s="5" t="s">
        <v>2424</v>
      </c>
      <c r="F648" s="5" t="str">
        <f t="shared" si="2"/>
        <v>Nelson</v>
      </c>
      <c r="G648" s="5" t="s">
        <v>2424</v>
      </c>
      <c r="H648" s="6">
        <v>44.0</v>
      </c>
      <c r="I648" s="6">
        <f t="shared" si="3"/>
        <v>44</v>
      </c>
      <c r="J648" s="6">
        <v>44.0</v>
      </c>
      <c r="K648" s="6" t="str">
        <f t="shared" si="4"/>
        <v>Middle Age</v>
      </c>
      <c r="L648" s="6" t="s">
        <v>591</v>
      </c>
      <c r="M648" s="5" t="s">
        <v>105</v>
      </c>
      <c r="N648" s="5" t="str">
        <f t="shared" si="5"/>
        <v>Female</v>
      </c>
      <c r="O648" s="5" t="s">
        <v>105</v>
      </c>
      <c r="P648" s="5" t="s">
        <v>268</v>
      </c>
      <c r="Q648" s="5" t="s">
        <v>576</v>
      </c>
      <c r="R648" s="5" t="s">
        <v>607</v>
      </c>
      <c r="S648" s="5" t="s">
        <v>211</v>
      </c>
      <c r="T648" s="6">
        <v>2322.0</v>
      </c>
      <c r="U648" s="5">
        <f t="shared" si="6"/>
        <v>2322</v>
      </c>
      <c r="V648" s="5">
        <v>2322.0</v>
      </c>
    </row>
    <row r="649" ht="22.5" customHeight="1">
      <c r="A649" s="5" t="s">
        <v>2427</v>
      </c>
      <c r="B649" s="5" t="s">
        <v>2428</v>
      </c>
      <c r="C649" s="5" t="str">
        <f t="shared" si="1"/>
        <v>Jacob</v>
      </c>
      <c r="D649" s="5" t="s">
        <v>2428</v>
      </c>
      <c r="E649" s="5" t="s">
        <v>2429</v>
      </c>
      <c r="F649" s="5" t="str">
        <f t="shared" si="2"/>
        <v>Martin</v>
      </c>
      <c r="G649" s="5" t="s">
        <v>2429</v>
      </c>
      <c r="H649" s="6">
        <v>26.0</v>
      </c>
      <c r="I649" s="6">
        <f t="shared" si="3"/>
        <v>26</v>
      </c>
      <c r="J649" s="6">
        <v>26.0</v>
      </c>
      <c r="K649" s="6" t="str">
        <f t="shared" si="4"/>
        <v>Young Adult</v>
      </c>
      <c r="L649" s="6" t="s">
        <v>528</v>
      </c>
      <c r="M649" s="5" t="s">
        <v>152</v>
      </c>
      <c r="N649" s="5" t="str">
        <f t="shared" si="5"/>
        <v>Male</v>
      </c>
      <c r="O649" s="5" t="s">
        <v>152</v>
      </c>
      <c r="P649" s="5" t="s">
        <v>47</v>
      </c>
      <c r="Q649" s="5" t="s">
        <v>470</v>
      </c>
      <c r="R649" s="5" t="s">
        <v>179</v>
      </c>
      <c r="S649" s="5" t="s">
        <v>222</v>
      </c>
      <c r="T649" s="6">
        <v>3496.0</v>
      </c>
      <c r="U649" s="5">
        <f t="shared" si="6"/>
        <v>3496</v>
      </c>
      <c r="V649" s="5">
        <v>3496.0</v>
      </c>
    </row>
    <row r="650" ht="22.5" customHeight="1">
      <c r="A650" s="5" t="s">
        <v>2431</v>
      </c>
      <c r="B650" s="5" t="s">
        <v>2432</v>
      </c>
      <c r="C650" s="5" t="str">
        <f t="shared" si="1"/>
        <v>Emily</v>
      </c>
      <c r="D650" s="5" t="s">
        <v>2432</v>
      </c>
      <c r="E650" s="5" t="s">
        <v>925</v>
      </c>
      <c r="F650" s="5" t="str">
        <f t="shared" si="2"/>
        <v>James</v>
      </c>
      <c r="G650" s="5" t="s">
        <v>925</v>
      </c>
      <c r="H650" s="6">
        <v>38.0</v>
      </c>
      <c r="I650" s="6">
        <f t="shared" si="3"/>
        <v>38</v>
      </c>
      <c r="J650" s="6">
        <v>38.0</v>
      </c>
      <c r="K650" s="6" t="str">
        <f t="shared" si="4"/>
        <v>Young Adult</v>
      </c>
      <c r="L650" s="6" t="s">
        <v>528</v>
      </c>
      <c r="M650" s="5" t="s">
        <v>28</v>
      </c>
      <c r="N650" s="5" t="str">
        <f t="shared" si="5"/>
        <v>Female</v>
      </c>
      <c r="O650" s="5" t="s">
        <v>105</v>
      </c>
      <c r="P650" s="5" t="s">
        <v>393</v>
      </c>
      <c r="Q650" s="5" t="s">
        <v>436</v>
      </c>
      <c r="R650" s="5" t="s">
        <v>561</v>
      </c>
      <c r="S650" s="5" t="s">
        <v>559</v>
      </c>
      <c r="T650" s="6">
        <v>1294.0</v>
      </c>
      <c r="U650" s="5">
        <f t="shared" si="6"/>
        <v>1294</v>
      </c>
      <c r="V650" s="5">
        <v>1294.0</v>
      </c>
    </row>
    <row r="651" ht="22.5" customHeight="1">
      <c r="A651" s="5" t="s">
        <v>2434</v>
      </c>
      <c r="B651" s="5" t="s">
        <v>2306</v>
      </c>
      <c r="C651" s="5" t="str">
        <f t="shared" si="1"/>
        <v>Gregory</v>
      </c>
      <c r="D651" s="5" t="s">
        <v>2306</v>
      </c>
      <c r="E651" s="5" t="s">
        <v>2435</v>
      </c>
      <c r="F651" s="5" t="str">
        <f t="shared" si="2"/>
        <v>Green</v>
      </c>
      <c r="G651" s="5" t="s">
        <v>2435</v>
      </c>
      <c r="H651" s="6">
        <v>26.0</v>
      </c>
      <c r="I651" s="6">
        <f t="shared" si="3"/>
        <v>26</v>
      </c>
      <c r="J651" s="6">
        <v>26.0</v>
      </c>
      <c r="K651" s="6" t="str">
        <f t="shared" si="4"/>
        <v>Young Adult</v>
      </c>
      <c r="L651" s="6" t="s">
        <v>528</v>
      </c>
      <c r="M651" s="5" t="s">
        <v>152</v>
      </c>
      <c r="N651" s="5" t="str">
        <f t="shared" si="5"/>
        <v>Male</v>
      </c>
      <c r="O651" s="5" t="s">
        <v>152</v>
      </c>
      <c r="P651" s="5" t="s">
        <v>759</v>
      </c>
      <c r="Q651" s="5" t="s">
        <v>1290</v>
      </c>
      <c r="R651" s="5" t="s">
        <v>533</v>
      </c>
      <c r="S651" s="5" t="s">
        <v>559</v>
      </c>
      <c r="T651" s="6">
        <v>1253.0</v>
      </c>
      <c r="U651" s="5">
        <f t="shared" si="6"/>
        <v>1253</v>
      </c>
      <c r="V651" s="5">
        <v>1253.0</v>
      </c>
    </row>
    <row r="652" ht="22.5" customHeight="1">
      <c r="A652" s="5" t="s">
        <v>2438</v>
      </c>
      <c r="B652" s="5" t="s">
        <v>2250</v>
      </c>
      <c r="C652" s="5" t="str">
        <f t="shared" si="1"/>
        <v>Maria</v>
      </c>
      <c r="D652" s="5" t="s">
        <v>2250</v>
      </c>
      <c r="E652" s="5" t="s">
        <v>629</v>
      </c>
      <c r="F652" s="5" t="str">
        <f t="shared" si="2"/>
        <v>Richardson</v>
      </c>
      <c r="G652" s="5" t="s">
        <v>629</v>
      </c>
      <c r="H652" s="6">
        <v>20.0</v>
      </c>
      <c r="I652" s="6">
        <f t="shared" si="3"/>
        <v>20</v>
      </c>
      <c r="J652" s="6">
        <v>20.0</v>
      </c>
      <c r="K652" s="6" t="str">
        <f t="shared" si="4"/>
        <v>Young Adult</v>
      </c>
      <c r="L652" s="6" t="s">
        <v>528</v>
      </c>
      <c r="M652" s="5" t="s">
        <v>152</v>
      </c>
      <c r="N652" s="5" t="str">
        <f t="shared" si="5"/>
        <v>Male</v>
      </c>
      <c r="O652" s="5" t="s">
        <v>152</v>
      </c>
      <c r="P652" s="5" t="s">
        <v>131</v>
      </c>
      <c r="Q652" s="5" t="s">
        <v>358</v>
      </c>
      <c r="R652" s="5" t="s">
        <v>561</v>
      </c>
      <c r="S652" s="5" t="s">
        <v>222</v>
      </c>
      <c r="T652" s="6">
        <v>3662.0</v>
      </c>
      <c r="U652" s="5">
        <f t="shared" si="6"/>
        <v>3662</v>
      </c>
      <c r="V652" s="5">
        <v>3662.0</v>
      </c>
    </row>
    <row r="653" ht="22.5" customHeight="1">
      <c r="A653" s="5" t="s">
        <v>2441</v>
      </c>
      <c r="B653" s="5" t="s">
        <v>171</v>
      </c>
      <c r="C653" s="5" t="str">
        <f t="shared" si="1"/>
        <v>Frank</v>
      </c>
      <c r="D653" s="5" t="s">
        <v>171</v>
      </c>
      <c r="E653" s="5" t="s">
        <v>2442</v>
      </c>
      <c r="F653" s="5" t="str">
        <f t="shared" si="2"/>
        <v>Castillo</v>
      </c>
      <c r="G653" s="5" t="s">
        <v>2442</v>
      </c>
      <c r="H653" s="6">
        <v>76.0</v>
      </c>
      <c r="I653" s="6">
        <f t="shared" si="3"/>
        <v>76</v>
      </c>
      <c r="J653" s="6">
        <v>76.0</v>
      </c>
      <c r="K653" s="6" t="str">
        <f t="shared" si="4"/>
        <v>Senior</v>
      </c>
      <c r="L653" s="6" t="s">
        <v>734</v>
      </c>
      <c r="M653" s="5" t="s">
        <v>28</v>
      </c>
      <c r="N653" s="5" t="str">
        <f t="shared" si="5"/>
        <v>Female</v>
      </c>
      <c r="O653" s="5" t="s">
        <v>105</v>
      </c>
      <c r="P653" s="5" t="s">
        <v>81</v>
      </c>
      <c r="Q653" s="5" t="s">
        <v>164</v>
      </c>
      <c r="R653" s="5" t="s">
        <v>607</v>
      </c>
      <c r="S653" s="5" t="s">
        <v>97</v>
      </c>
      <c r="T653" s="6">
        <v>3209.0</v>
      </c>
      <c r="U653" s="5">
        <f t="shared" si="6"/>
        <v>3209</v>
      </c>
      <c r="V653" s="5">
        <v>3209.0</v>
      </c>
    </row>
    <row r="654" ht="22.5" customHeight="1">
      <c r="A654" s="5" t="s">
        <v>2444</v>
      </c>
      <c r="B654" s="5" t="s">
        <v>2312</v>
      </c>
      <c r="C654" s="5" t="str">
        <f t="shared" si="1"/>
        <v>Gary</v>
      </c>
      <c r="D654" s="5" t="s">
        <v>2312</v>
      </c>
      <c r="E654" s="5" t="s">
        <v>2104</v>
      </c>
      <c r="F654" s="5" t="str">
        <f t="shared" si="2"/>
        <v>Ortiz</v>
      </c>
      <c r="G654" s="5" t="s">
        <v>2104</v>
      </c>
      <c r="H654" s="6">
        <v>41.0</v>
      </c>
      <c r="I654" s="6">
        <f t="shared" si="3"/>
        <v>41</v>
      </c>
      <c r="J654" s="6">
        <v>41.0</v>
      </c>
      <c r="K654" s="6" t="str">
        <f t="shared" si="4"/>
        <v>Middle Age</v>
      </c>
      <c r="L654" s="6" t="s">
        <v>591</v>
      </c>
      <c r="M654" s="5" t="s">
        <v>28</v>
      </c>
      <c r="N654" s="5" t="str">
        <f t="shared" si="5"/>
        <v>Female</v>
      </c>
      <c r="O654" s="5" t="s">
        <v>105</v>
      </c>
      <c r="P654" s="5" t="s">
        <v>47</v>
      </c>
      <c r="Q654" s="5" t="s">
        <v>576</v>
      </c>
      <c r="R654" s="5" t="s">
        <v>607</v>
      </c>
      <c r="S654" s="5" t="s">
        <v>52</v>
      </c>
      <c r="T654" s="6">
        <v>3158.0</v>
      </c>
      <c r="U654" s="5">
        <f t="shared" si="6"/>
        <v>3158</v>
      </c>
      <c r="V654" s="5">
        <v>3158.0</v>
      </c>
    </row>
    <row r="655" ht="22.5" customHeight="1">
      <c r="A655" s="5" t="s">
        <v>2446</v>
      </c>
      <c r="B655" s="5" t="s">
        <v>2448</v>
      </c>
      <c r="C655" s="5" t="str">
        <f t="shared" si="1"/>
        <v>Carol</v>
      </c>
      <c r="D655" s="5" t="s">
        <v>2448</v>
      </c>
      <c r="E655" s="5" t="s">
        <v>2113</v>
      </c>
      <c r="F655" s="5" t="str">
        <f t="shared" si="2"/>
        <v>Wilson</v>
      </c>
      <c r="G655" s="5" t="s">
        <v>2113</v>
      </c>
      <c r="H655" s="6">
        <v>48.0</v>
      </c>
      <c r="I655" s="6">
        <f t="shared" si="3"/>
        <v>48</v>
      </c>
      <c r="J655" s="6">
        <v>48.0</v>
      </c>
      <c r="K655" s="6" t="str">
        <f t="shared" si="4"/>
        <v>Middle Age</v>
      </c>
      <c r="L655" s="6" t="s">
        <v>591</v>
      </c>
      <c r="M655" s="5" t="s">
        <v>45</v>
      </c>
      <c r="N655" s="5" t="str">
        <f t="shared" si="5"/>
        <v>Female</v>
      </c>
      <c r="O655" s="5" t="s">
        <v>105</v>
      </c>
      <c r="P655" s="5" t="s">
        <v>309</v>
      </c>
      <c r="Q655" s="5" t="s">
        <v>1290</v>
      </c>
      <c r="R655" s="5" t="s">
        <v>533</v>
      </c>
      <c r="S655" s="5" t="s">
        <v>559</v>
      </c>
      <c r="T655" s="6">
        <v>1400.0</v>
      </c>
      <c r="U655" s="5">
        <f t="shared" si="6"/>
        <v>1400</v>
      </c>
      <c r="V655" s="5">
        <v>1400.0</v>
      </c>
    </row>
    <row r="656" ht="22.5" customHeight="1">
      <c r="A656" s="5" t="s">
        <v>2449</v>
      </c>
      <c r="B656" s="5" t="s">
        <v>542</v>
      </c>
      <c r="C656" s="5" t="str">
        <f t="shared" si="1"/>
        <v>David</v>
      </c>
      <c r="D656" s="5" t="s">
        <v>542</v>
      </c>
      <c r="E656" s="5" t="s">
        <v>2154</v>
      </c>
      <c r="F656" s="5" t="str">
        <f t="shared" si="2"/>
        <v>Anderson</v>
      </c>
      <c r="G656" s="5" t="s">
        <v>2154</v>
      </c>
      <c r="H656" s="6">
        <v>81.0</v>
      </c>
      <c r="I656" s="6">
        <f t="shared" si="3"/>
        <v>81</v>
      </c>
      <c r="J656" s="6">
        <v>81.0</v>
      </c>
      <c r="K656" s="6" t="str">
        <f t="shared" si="4"/>
        <v>Senior</v>
      </c>
      <c r="L656" s="6" t="s">
        <v>734</v>
      </c>
      <c r="M656" s="5" t="s">
        <v>45</v>
      </c>
      <c r="N656" s="5" t="str">
        <f t="shared" si="5"/>
        <v>Female</v>
      </c>
      <c r="O656" s="5" t="s">
        <v>105</v>
      </c>
      <c r="P656" s="5" t="s">
        <v>30</v>
      </c>
      <c r="Q656" s="5" t="s">
        <v>551</v>
      </c>
      <c r="R656" s="5" t="s">
        <v>83</v>
      </c>
      <c r="S656" s="5" t="s">
        <v>97</v>
      </c>
      <c r="T656" s="6">
        <v>2520.0</v>
      </c>
      <c r="U656" s="5">
        <f t="shared" si="6"/>
        <v>2520</v>
      </c>
      <c r="V656" s="5">
        <v>2520.0</v>
      </c>
    </row>
    <row r="657" ht="22.5" customHeight="1">
      <c r="A657" s="5" t="s">
        <v>2452</v>
      </c>
      <c r="B657" s="5" t="s">
        <v>2306</v>
      </c>
      <c r="C657" s="5" t="str">
        <f t="shared" si="1"/>
        <v>Gregory</v>
      </c>
      <c r="D657" s="5" t="s">
        <v>2306</v>
      </c>
      <c r="E657" s="5" t="s">
        <v>713</v>
      </c>
      <c r="F657" s="5" t="str">
        <f t="shared" si="2"/>
        <v>White</v>
      </c>
      <c r="G657" s="5" t="s">
        <v>713</v>
      </c>
      <c r="H657" s="6">
        <v>25.0</v>
      </c>
      <c r="I657" s="6">
        <f t="shared" si="3"/>
        <v>25</v>
      </c>
      <c r="J657" s="6">
        <v>25.0</v>
      </c>
      <c r="K657" s="6" t="str">
        <f t="shared" si="4"/>
        <v>Young Adult</v>
      </c>
      <c r="L657" s="6" t="s">
        <v>528</v>
      </c>
      <c r="M657" s="5" t="s">
        <v>45</v>
      </c>
      <c r="N657" s="5" t="str">
        <f t="shared" si="5"/>
        <v>Female</v>
      </c>
      <c r="O657" s="5" t="s">
        <v>105</v>
      </c>
      <c r="P657" s="5" t="s">
        <v>30</v>
      </c>
      <c r="Q657" s="5" t="s">
        <v>230</v>
      </c>
      <c r="R657" s="5" t="s">
        <v>452</v>
      </c>
      <c r="S657" s="5" t="s">
        <v>211</v>
      </c>
      <c r="T657" s="6">
        <v>3130.0</v>
      </c>
      <c r="U657" s="5">
        <f t="shared" si="6"/>
        <v>3130</v>
      </c>
      <c r="V657" s="5">
        <v>3130.0</v>
      </c>
    </row>
    <row r="658" ht="22.5" customHeight="1">
      <c r="A658" s="5" t="s">
        <v>2454</v>
      </c>
      <c r="B658" s="5" t="s">
        <v>2455</v>
      </c>
      <c r="C658" s="5" t="str">
        <f t="shared" si="1"/>
        <v>Jennifer</v>
      </c>
      <c r="D658" s="5" t="s">
        <v>2455</v>
      </c>
      <c r="E658" s="5" t="s">
        <v>2078</v>
      </c>
      <c r="F658" s="5" t="str">
        <f t="shared" si="2"/>
        <v>Morris</v>
      </c>
      <c r="G658" s="5" t="s">
        <v>2078</v>
      </c>
      <c r="H658" s="6">
        <v>20.0</v>
      </c>
      <c r="I658" s="6">
        <f t="shared" si="3"/>
        <v>20</v>
      </c>
      <c r="J658" s="6">
        <v>20.0</v>
      </c>
      <c r="K658" s="6" t="str">
        <f t="shared" si="4"/>
        <v>Young Adult</v>
      </c>
      <c r="L658" s="6" t="s">
        <v>528</v>
      </c>
      <c r="M658" s="5" t="s">
        <v>105</v>
      </c>
      <c r="N658" s="5" t="str">
        <f t="shared" si="5"/>
        <v>Female</v>
      </c>
      <c r="O658" s="5" t="s">
        <v>105</v>
      </c>
      <c r="P658" s="5" t="s">
        <v>393</v>
      </c>
      <c r="Q658" s="5" t="s">
        <v>470</v>
      </c>
      <c r="R658" s="5" t="s">
        <v>96</v>
      </c>
      <c r="S658" s="5" t="s">
        <v>559</v>
      </c>
      <c r="T658" s="6">
        <v>647.0</v>
      </c>
      <c r="U658" s="5">
        <f t="shared" si="6"/>
        <v>647</v>
      </c>
      <c r="V658" s="5">
        <v>647.0</v>
      </c>
    </row>
    <row r="659" ht="22.5" customHeight="1">
      <c r="A659" s="5" t="s">
        <v>2458</v>
      </c>
      <c r="B659" s="5" t="s">
        <v>2123</v>
      </c>
      <c r="C659" s="5" t="str">
        <f t="shared" si="1"/>
        <v>Brenda</v>
      </c>
      <c r="D659" s="5" t="s">
        <v>2123</v>
      </c>
      <c r="E659" s="5" t="s">
        <v>2235</v>
      </c>
      <c r="F659" s="5" t="str">
        <f t="shared" si="2"/>
        <v>Murphy</v>
      </c>
      <c r="G659" s="5" t="s">
        <v>2235</v>
      </c>
      <c r="H659" s="6">
        <v>20.0</v>
      </c>
      <c r="I659" s="6">
        <f t="shared" si="3"/>
        <v>20</v>
      </c>
      <c r="J659" s="6">
        <v>20.0</v>
      </c>
      <c r="K659" s="6" t="str">
        <f t="shared" si="4"/>
        <v>Young Adult</v>
      </c>
      <c r="L659" s="6" t="s">
        <v>528</v>
      </c>
      <c r="M659" s="5" t="s">
        <v>80</v>
      </c>
      <c r="N659" s="5" t="str">
        <f t="shared" si="5"/>
        <v>Male</v>
      </c>
      <c r="O659" s="5" t="s">
        <v>152</v>
      </c>
      <c r="P659" s="5" t="s">
        <v>141</v>
      </c>
      <c r="Q659" s="5" t="s">
        <v>377</v>
      </c>
      <c r="R659" s="5" t="s">
        <v>96</v>
      </c>
      <c r="S659" s="5" t="s">
        <v>52</v>
      </c>
      <c r="T659" s="6">
        <v>88.0</v>
      </c>
      <c r="U659" s="5">
        <f t="shared" si="6"/>
        <v>88</v>
      </c>
      <c r="V659" s="5">
        <v>88.0</v>
      </c>
    </row>
    <row r="660" ht="22.5" customHeight="1">
      <c r="A660" s="5" t="s">
        <v>2460</v>
      </c>
      <c r="B660" s="5" t="s">
        <v>2210</v>
      </c>
      <c r="C660" s="5" t="str">
        <f t="shared" si="1"/>
        <v>Benjamin</v>
      </c>
      <c r="D660" s="5" t="s">
        <v>2210</v>
      </c>
      <c r="E660" s="5" t="s">
        <v>2461</v>
      </c>
      <c r="F660" s="5" t="str">
        <f t="shared" si="2"/>
        <v>Price</v>
      </c>
      <c r="G660" s="5" t="s">
        <v>2461</v>
      </c>
      <c r="H660" s="6">
        <v>40.0</v>
      </c>
      <c r="I660" s="6">
        <f t="shared" si="3"/>
        <v>40</v>
      </c>
      <c r="J660" s="6">
        <v>40.0</v>
      </c>
      <c r="K660" s="6" t="str">
        <f t="shared" si="4"/>
        <v>Young Adult</v>
      </c>
      <c r="L660" s="6" t="s">
        <v>528</v>
      </c>
      <c r="M660" s="5" t="s">
        <v>80</v>
      </c>
      <c r="N660" s="5" t="str">
        <f t="shared" si="5"/>
        <v>Male</v>
      </c>
      <c r="O660" s="5" t="s">
        <v>152</v>
      </c>
      <c r="P660" s="5" t="s">
        <v>30</v>
      </c>
      <c r="Q660" s="5" t="s">
        <v>482</v>
      </c>
      <c r="R660" s="5" t="s">
        <v>179</v>
      </c>
      <c r="S660" s="5" t="s">
        <v>222</v>
      </c>
      <c r="T660" s="6">
        <v>3375.0</v>
      </c>
      <c r="U660" s="5">
        <f t="shared" si="6"/>
        <v>3375</v>
      </c>
      <c r="V660" s="5">
        <v>3375.0</v>
      </c>
    </row>
    <row r="661" ht="22.5" customHeight="1">
      <c r="A661" s="5" t="s">
        <v>2463</v>
      </c>
      <c r="B661" s="5" t="s">
        <v>2246</v>
      </c>
      <c r="C661" s="5" t="str">
        <f t="shared" si="1"/>
        <v>Helen</v>
      </c>
      <c r="D661" s="5" t="s">
        <v>2246</v>
      </c>
      <c r="E661" s="5" t="s">
        <v>983</v>
      </c>
      <c r="F661" s="5" t="str">
        <f t="shared" si="2"/>
        <v>Thomas</v>
      </c>
      <c r="G661" s="5" t="s">
        <v>983</v>
      </c>
      <c r="H661" s="6">
        <v>24.0</v>
      </c>
      <c r="I661" s="6">
        <f t="shared" si="3"/>
        <v>24</v>
      </c>
      <c r="J661" s="6">
        <v>24.0</v>
      </c>
      <c r="K661" s="6" t="str">
        <f t="shared" si="4"/>
        <v>Young Adult</v>
      </c>
      <c r="L661" s="6" t="s">
        <v>528</v>
      </c>
      <c r="M661" s="5" t="s">
        <v>152</v>
      </c>
      <c r="N661" s="5" t="str">
        <f t="shared" si="5"/>
        <v>Male</v>
      </c>
      <c r="O661" s="5" t="s">
        <v>152</v>
      </c>
      <c r="P661" s="5" t="s">
        <v>237</v>
      </c>
      <c r="Q661" s="5" t="s">
        <v>470</v>
      </c>
      <c r="R661" s="5" t="s">
        <v>96</v>
      </c>
      <c r="S661" s="5" t="s">
        <v>222</v>
      </c>
      <c r="T661" s="6">
        <v>257.0</v>
      </c>
      <c r="U661" s="5">
        <f t="shared" si="6"/>
        <v>257</v>
      </c>
      <c r="V661" s="5">
        <v>257.0</v>
      </c>
    </row>
    <row r="662" ht="22.5" customHeight="1">
      <c r="A662" s="5" t="s">
        <v>2467</v>
      </c>
      <c r="B662" s="5" t="s">
        <v>2468</v>
      </c>
      <c r="C662" s="5" t="str">
        <f t="shared" si="1"/>
        <v>Samantha</v>
      </c>
      <c r="D662" s="5" t="s">
        <v>2468</v>
      </c>
      <c r="E662" s="5" t="s">
        <v>2163</v>
      </c>
      <c r="F662" s="5" t="str">
        <f t="shared" si="2"/>
        <v>Ruiz</v>
      </c>
      <c r="G662" s="5" t="s">
        <v>2163</v>
      </c>
      <c r="H662" s="6">
        <v>19.0</v>
      </c>
      <c r="I662" s="6">
        <f t="shared" si="3"/>
        <v>19</v>
      </c>
      <c r="J662" s="6">
        <v>19.0</v>
      </c>
      <c r="K662" s="6" t="str">
        <f t="shared" si="4"/>
        <v>Young Adult</v>
      </c>
      <c r="L662" s="6" t="s">
        <v>528</v>
      </c>
      <c r="M662" s="5" t="s">
        <v>152</v>
      </c>
      <c r="N662" s="5" t="str">
        <f t="shared" si="5"/>
        <v>Male</v>
      </c>
      <c r="O662" s="5" t="s">
        <v>152</v>
      </c>
      <c r="P662" s="5" t="s">
        <v>256</v>
      </c>
      <c r="Q662" s="5" t="s">
        <v>470</v>
      </c>
      <c r="R662" s="5" t="s">
        <v>179</v>
      </c>
      <c r="S662" s="5" t="s">
        <v>222</v>
      </c>
      <c r="T662" s="6">
        <v>3184.0</v>
      </c>
      <c r="U662" s="5">
        <f t="shared" si="6"/>
        <v>3184</v>
      </c>
      <c r="V662" s="5">
        <v>3184.0</v>
      </c>
    </row>
    <row r="663" ht="22.5" customHeight="1">
      <c r="A663" s="5" t="s">
        <v>2470</v>
      </c>
      <c r="B663" s="5" t="s">
        <v>2471</v>
      </c>
      <c r="C663" s="5" t="str">
        <f t="shared" si="1"/>
        <v>Eric</v>
      </c>
      <c r="D663" s="5" t="s">
        <v>2471</v>
      </c>
      <c r="E663" s="5" t="s">
        <v>2424</v>
      </c>
      <c r="F663" s="5" t="str">
        <f t="shared" si="2"/>
        <v>Nelson</v>
      </c>
      <c r="G663" s="5" t="s">
        <v>2424</v>
      </c>
      <c r="H663" s="6">
        <v>90.0</v>
      </c>
      <c r="I663" s="6">
        <f t="shared" si="3"/>
        <v>90</v>
      </c>
      <c r="J663" s="6">
        <v>90.0</v>
      </c>
      <c r="K663" s="6" t="str">
        <f t="shared" si="4"/>
        <v>Senior</v>
      </c>
      <c r="L663" s="6" t="s">
        <v>734</v>
      </c>
      <c r="M663" s="5" t="s">
        <v>152</v>
      </c>
      <c r="N663" s="5" t="str">
        <f t="shared" si="5"/>
        <v>Male</v>
      </c>
      <c r="O663" s="5" t="s">
        <v>152</v>
      </c>
      <c r="P663" s="5" t="s">
        <v>364</v>
      </c>
      <c r="Q663" s="5" t="s">
        <v>418</v>
      </c>
      <c r="R663" s="5" t="s">
        <v>210</v>
      </c>
      <c r="S663" s="5" t="s">
        <v>97</v>
      </c>
      <c r="T663" s="6">
        <v>964.0</v>
      </c>
      <c r="U663" s="5">
        <f t="shared" si="6"/>
        <v>964</v>
      </c>
      <c r="V663" s="5">
        <v>964.0</v>
      </c>
    </row>
    <row r="664" ht="22.5" customHeight="1">
      <c r="A664" s="5" t="s">
        <v>2474</v>
      </c>
      <c r="B664" s="5" t="s">
        <v>2475</v>
      </c>
      <c r="C664" s="5" t="str">
        <f t="shared" si="1"/>
        <v>George</v>
      </c>
      <c r="D664" s="5" t="s">
        <v>2475</v>
      </c>
      <c r="E664" s="5" t="s">
        <v>983</v>
      </c>
      <c r="F664" s="5" t="str">
        <f t="shared" si="2"/>
        <v>Thomas</v>
      </c>
      <c r="G664" s="5" t="s">
        <v>983</v>
      </c>
      <c r="H664" s="6">
        <v>69.0</v>
      </c>
      <c r="I664" s="6">
        <f t="shared" si="3"/>
        <v>69</v>
      </c>
      <c r="J664" s="6">
        <v>69.0</v>
      </c>
      <c r="K664" s="6" t="str">
        <f t="shared" si="4"/>
        <v>Senior</v>
      </c>
      <c r="L664" s="6" t="s">
        <v>734</v>
      </c>
      <c r="M664" s="5" t="s">
        <v>1572</v>
      </c>
      <c r="N664" s="5" t="str">
        <f t="shared" si="5"/>
        <v>Male</v>
      </c>
      <c r="O664" s="5" t="s">
        <v>152</v>
      </c>
      <c r="P664" s="5" t="s">
        <v>309</v>
      </c>
      <c r="Q664" s="5" t="s">
        <v>377</v>
      </c>
      <c r="R664" s="5" t="s">
        <v>96</v>
      </c>
      <c r="S664" s="5" t="s">
        <v>97</v>
      </c>
      <c r="T664" s="6">
        <v>758.0</v>
      </c>
      <c r="U664" s="5">
        <f t="shared" si="6"/>
        <v>758</v>
      </c>
      <c r="V664" s="5">
        <v>758.0</v>
      </c>
    </row>
    <row r="665" ht="22.5" customHeight="1">
      <c r="A665" s="5" t="s">
        <v>2477</v>
      </c>
      <c r="B665" s="5" t="s">
        <v>2479</v>
      </c>
      <c r="C665" s="5" t="str">
        <f t="shared" si="1"/>
        <v>Joseph</v>
      </c>
      <c r="D665" s="5" t="s">
        <v>2479</v>
      </c>
      <c r="E665" s="5" t="s">
        <v>2226</v>
      </c>
      <c r="F665" s="5" t="str">
        <f t="shared" si="2"/>
        <v>Hughes</v>
      </c>
      <c r="G665" s="5" t="s">
        <v>2226</v>
      </c>
      <c r="H665" s="6">
        <v>64.0</v>
      </c>
      <c r="I665" s="6">
        <f t="shared" si="3"/>
        <v>64</v>
      </c>
      <c r="J665" s="6">
        <v>64.0</v>
      </c>
      <c r="K665" s="6" t="str">
        <f t="shared" si="4"/>
        <v>Senior</v>
      </c>
      <c r="L665" s="6" t="s">
        <v>734</v>
      </c>
      <c r="M665" s="5" t="s">
        <v>1572</v>
      </c>
      <c r="N665" s="5" t="str">
        <f t="shared" si="5"/>
        <v>Male</v>
      </c>
      <c r="O665" s="5" t="s">
        <v>152</v>
      </c>
      <c r="P665" s="5" t="s">
        <v>571</v>
      </c>
      <c r="Q665" s="5" t="s">
        <v>551</v>
      </c>
      <c r="R665" s="5" t="s">
        <v>96</v>
      </c>
      <c r="S665" s="5" t="s">
        <v>97</v>
      </c>
      <c r="T665" s="6">
        <v>541.0</v>
      </c>
      <c r="U665" s="5">
        <f t="shared" si="6"/>
        <v>541</v>
      </c>
      <c r="V665" s="5">
        <v>541.0</v>
      </c>
    </row>
    <row r="666" ht="22.5" customHeight="1">
      <c r="A666" s="5" t="s">
        <v>2481</v>
      </c>
      <c r="B666" s="5" t="s">
        <v>1788</v>
      </c>
      <c r="C666" s="5" t="str">
        <f t="shared" si="1"/>
        <v>Ashley</v>
      </c>
      <c r="D666" s="5" t="s">
        <v>1788</v>
      </c>
      <c r="E666" s="5" t="s">
        <v>2368</v>
      </c>
      <c r="F666" s="5" t="str">
        <f t="shared" si="2"/>
        <v>Evans</v>
      </c>
      <c r="G666" s="5" t="s">
        <v>2368</v>
      </c>
      <c r="H666" s="6">
        <v>77.0</v>
      </c>
      <c r="I666" s="6">
        <f t="shared" si="3"/>
        <v>77</v>
      </c>
      <c r="J666" s="6">
        <v>77.0</v>
      </c>
      <c r="K666" s="6" t="str">
        <f t="shared" si="4"/>
        <v>Senior</v>
      </c>
      <c r="L666" s="6" t="s">
        <v>734</v>
      </c>
      <c r="M666" s="5" t="s">
        <v>105</v>
      </c>
      <c r="N666" s="5" t="str">
        <f t="shared" si="5"/>
        <v>Female</v>
      </c>
      <c r="O666" s="5" t="s">
        <v>105</v>
      </c>
      <c r="P666" s="5" t="s">
        <v>141</v>
      </c>
      <c r="Q666" s="5" t="s">
        <v>377</v>
      </c>
      <c r="R666" s="5" t="s">
        <v>402</v>
      </c>
      <c r="S666" s="5" t="s">
        <v>97</v>
      </c>
      <c r="T666" s="6">
        <v>1150.0</v>
      </c>
      <c r="U666" s="5">
        <f t="shared" si="6"/>
        <v>1150</v>
      </c>
      <c r="V666" s="5">
        <v>1150.0</v>
      </c>
    </row>
    <row r="667" ht="22.5" customHeight="1">
      <c r="A667" s="5" t="s">
        <v>2483</v>
      </c>
      <c r="B667" s="5" t="s">
        <v>171</v>
      </c>
      <c r="C667" s="5" t="str">
        <f t="shared" si="1"/>
        <v>Frank</v>
      </c>
      <c r="D667" s="5" t="s">
        <v>171</v>
      </c>
      <c r="E667" s="5" t="s">
        <v>2299</v>
      </c>
      <c r="F667" s="5" t="str">
        <f t="shared" si="2"/>
        <v>Moore</v>
      </c>
      <c r="G667" s="5" t="s">
        <v>2299</v>
      </c>
      <c r="H667" s="6">
        <v>45.0</v>
      </c>
      <c r="I667" s="6">
        <f t="shared" si="3"/>
        <v>45</v>
      </c>
      <c r="J667" s="6">
        <v>45.0</v>
      </c>
      <c r="K667" s="6" t="str">
        <f t="shared" si="4"/>
        <v>Middle Age</v>
      </c>
      <c r="L667" s="6" t="s">
        <v>591</v>
      </c>
      <c r="M667" s="5" t="s">
        <v>45</v>
      </c>
      <c r="N667" s="5" t="str">
        <f t="shared" si="5"/>
        <v>Female</v>
      </c>
      <c r="O667" s="5" t="s">
        <v>105</v>
      </c>
      <c r="P667" s="5" t="s">
        <v>208</v>
      </c>
      <c r="Q667" s="5" t="s">
        <v>418</v>
      </c>
      <c r="R667" s="5" t="s">
        <v>210</v>
      </c>
      <c r="S667" s="5" t="s">
        <v>211</v>
      </c>
      <c r="T667" s="6">
        <v>1025.0</v>
      </c>
      <c r="U667" s="5">
        <f t="shared" si="6"/>
        <v>1025</v>
      </c>
      <c r="V667" s="5">
        <v>1025.0</v>
      </c>
    </row>
    <row r="668" ht="22.5" customHeight="1">
      <c r="A668" s="5" t="s">
        <v>2485</v>
      </c>
      <c r="B668" s="5" t="s">
        <v>925</v>
      </c>
      <c r="C668" s="5" t="str">
        <f t="shared" si="1"/>
        <v>James</v>
      </c>
      <c r="D668" s="5" t="s">
        <v>925</v>
      </c>
      <c r="E668" s="5" t="s">
        <v>2486</v>
      </c>
      <c r="F668" s="5" t="str">
        <f t="shared" si="2"/>
        <v>Jimenez</v>
      </c>
      <c r="G668" s="5" t="s">
        <v>2486</v>
      </c>
      <c r="H668" s="6">
        <v>46.0</v>
      </c>
      <c r="I668" s="6">
        <f t="shared" si="3"/>
        <v>46</v>
      </c>
      <c r="J668" s="6">
        <v>46.0</v>
      </c>
      <c r="K668" s="6" t="str">
        <f t="shared" si="4"/>
        <v>Middle Age</v>
      </c>
      <c r="L668" s="6" t="s">
        <v>591</v>
      </c>
      <c r="M668" s="5" t="s">
        <v>28</v>
      </c>
      <c r="N668" s="5" t="str">
        <f t="shared" si="5"/>
        <v>Female</v>
      </c>
      <c r="O668" s="5" t="s">
        <v>105</v>
      </c>
      <c r="P668" s="5" t="s">
        <v>47</v>
      </c>
      <c r="Q668" s="5" t="s">
        <v>238</v>
      </c>
      <c r="R668" s="5" t="s">
        <v>533</v>
      </c>
      <c r="S668" s="5" t="s">
        <v>222</v>
      </c>
      <c r="T668" s="6">
        <v>791.0</v>
      </c>
      <c r="U668" s="5">
        <f t="shared" si="6"/>
        <v>791</v>
      </c>
      <c r="V668" s="5">
        <v>791.0</v>
      </c>
    </row>
    <row r="669" ht="22.5" customHeight="1">
      <c r="A669" s="5" t="s">
        <v>2489</v>
      </c>
      <c r="B669" s="5" t="s">
        <v>620</v>
      </c>
      <c r="C669" s="5" t="str">
        <f t="shared" si="1"/>
        <v>Michelle</v>
      </c>
      <c r="D669" s="5" t="s">
        <v>620</v>
      </c>
      <c r="E669" s="5" t="s">
        <v>76</v>
      </c>
      <c r="F669" s="5" t="str">
        <f t="shared" si="2"/>
        <v>Brown</v>
      </c>
      <c r="G669" s="5" t="s">
        <v>76</v>
      </c>
      <c r="H669" s="6">
        <v>87.0</v>
      </c>
      <c r="I669" s="6">
        <f t="shared" si="3"/>
        <v>87</v>
      </c>
      <c r="J669" s="6">
        <v>87.0</v>
      </c>
      <c r="K669" s="6" t="str">
        <f t="shared" si="4"/>
        <v>Senior</v>
      </c>
      <c r="L669" s="6" t="s">
        <v>734</v>
      </c>
      <c r="M669" s="5" t="s">
        <v>45</v>
      </c>
      <c r="N669" s="5" t="str">
        <f t="shared" si="5"/>
        <v>Female</v>
      </c>
      <c r="O669" s="5" t="s">
        <v>105</v>
      </c>
      <c r="P669" s="5" t="s">
        <v>131</v>
      </c>
      <c r="Q669" s="5" t="s">
        <v>439</v>
      </c>
      <c r="R669" s="5" t="s">
        <v>210</v>
      </c>
      <c r="S669" s="5" t="s">
        <v>97</v>
      </c>
      <c r="T669" s="6">
        <v>189.0</v>
      </c>
      <c r="U669" s="5">
        <f t="shared" si="6"/>
        <v>189</v>
      </c>
      <c r="V669" s="5">
        <v>189.0</v>
      </c>
    </row>
    <row r="670" ht="22.5" customHeight="1">
      <c r="A670" s="5" t="s">
        <v>2491</v>
      </c>
      <c r="B670" s="5" t="s">
        <v>2492</v>
      </c>
      <c r="C670" s="5" t="str">
        <f t="shared" si="1"/>
        <v>Justin</v>
      </c>
      <c r="D670" s="5" t="s">
        <v>2492</v>
      </c>
      <c r="E670" s="5" t="s">
        <v>2103</v>
      </c>
      <c r="F670" s="5" t="str">
        <f t="shared" si="2"/>
        <v>Scott</v>
      </c>
      <c r="G670" s="5" t="s">
        <v>2103</v>
      </c>
      <c r="H670" s="6">
        <v>59.0</v>
      </c>
      <c r="I670" s="6">
        <f t="shared" si="3"/>
        <v>59</v>
      </c>
      <c r="J670" s="6">
        <v>59.0</v>
      </c>
      <c r="K670" s="6" t="str">
        <f t="shared" si="4"/>
        <v>Middle Age</v>
      </c>
      <c r="L670" s="6" t="s">
        <v>591</v>
      </c>
      <c r="M670" s="5" t="s">
        <v>1572</v>
      </c>
      <c r="N670" s="5" t="str">
        <f t="shared" si="5"/>
        <v>Male</v>
      </c>
      <c r="O670" s="5" t="s">
        <v>152</v>
      </c>
      <c r="P670" s="5" t="s">
        <v>176</v>
      </c>
      <c r="Q670" s="5" t="s">
        <v>439</v>
      </c>
      <c r="R670" s="5" t="s">
        <v>210</v>
      </c>
      <c r="S670" s="5" t="s">
        <v>52</v>
      </c>
      <c r="T670" s="6">
        <v>998.0</v>
      </c>
      <c r="U670" s="5">
        <f t="shared" si="6"/>
        <v>998</v>
      </c>
      <c r="V670" s="5">
        <v>998.0</v>
      </c>
    </row>
    <row r="671" ht="22.5" customHeight="1">
      <c r="A671" s="5" t="s">
        <v>2495</v>
      </c>
      <c r="B671" s="5" t="s">
        <v>2210</v>
      </c>
      <c r="C671" s="5" t="str">
        <f t="shared" si="1"/>
        <v>Benjamin</v>
      </c>
      <c r="D671" s="5" t="s">
        <v>2210</v>
      </c>
      <c r="E671" s="5" t="s">
        <v>2145</v>
      </c>
      <c r="F671" s="5" t="str">
        <f t="shared" si="2"/>
        <v>Robinson</v>
      </c>
      <c r="G671" s="5" t="s">
        <v>2145</v>
      </c>
      <c r="H671" s="6">
        <v>22.0</v>
      </c>
      <c r="I671" s="6">
        <f t="shared" si="3"/>
        <v>22</v>
      </c>
      <c r="J671" s="6">
        <v>22.0</v>
      </c>
      <c r="K671" s="6" t="str">
        <f t="shared" si="4"/>
        <v>Young Adult</v>
      </c>
      <c r="L671" s="6" t="s">
        <v>528</v>
      </c>
      <c r="M671" s="5" t="s">
        <v>105</v>
      </c>
      <c r="N671" s="5" t="str">
        <f t="shared" si="5"/>
        <v>Female</v>
      </c>
      <c r="O671" s="5" t="s">
        <v>105</v>
      </c>
      <c r="P671" s="5" t="s">
        <v>237</v>
      </c>
      <c r="Q671" s="5" t="s">
        <v>489</v>
      </c>
      <c r="R671" s="5" t="s">
        <v>179</v>
      </c>
      <c r="S671" s="5" t="s">
        <v>52</v>
      </c>
      <c r="T671" s="6">
        <v>3200.0</v>
      </c>
      <c r="U671" s="5">
        <f t="shared" si="6"/>
        <v>3200</v>
      </c>
      <c r="V671" s="5">
        <v>3200.0</v>
      </c>
    </row>
    <row r="672" ht="22.5" customHeight="1">
      <c r="A672" s="5" t="s">
        <v>2497</v>
      </c>
      <c r="B672" s="5" t="s">
        <v>1186</v>
      </c>
      <c r="C672" s="5" t="str">
        <f t="shared" si="1"/>
        <v>Jack</v>
      </c>
      <c r="D672" s="5" t="s">
        <v>1186</v>
      </c>
      <c r="E672" s="5" t="s">
        <v>216</v>
      </c>
      <c r="F672" s="5" t="str">
        <f t="shared" si="2"/>
        <v>Williams</v>
      </c>
      <c r="G672" s="5" t="s">
        <v>216</v>
      </c>
      <c r="H672" s="6">
        <v>67.0</v>
      </c>
      <c r="I672" s="6">
        <f t="shared" si="3"/>
        <v>67</v>
      </c>
      <c r="J672" s="6">
        <v>67.0</v>
      </c>
      <c r="K672" s="6" t="str">
        <f t="shared" si="4"/>
        <v>Senior</v>
      </c>
      <c r="L672" s="6" t="s">
        <v>734</v>
      </c>
      <c r="M672" s="5" t="s">
        <v>1572</v>
      </c>
      <c r="N672" s="5" t="str">
        <f t="shared" si="5"/>
        <v>Male</v>
      </c>
      <c r="O672" s="5" t="s">
        <v>152</v>
      </c>
      <c r="P672" s="5" t="s">
        <v>141</v>
      </c>
      <c r="Q672" s="5" t="s">
        <v>489</v>
      </c>
      <c r="R672" s="5" t="s">
        <v>179</v>
      </c>
      <c r="S672" s="5" t="s">
        <v>97</v>
      </c>
      <c r="T672" s="6">
        <v>1492.0</v>
      </c>
      <c r="U672" s="5">
        <f t="shared" si="6"/>
        <v>1492</v>
      </c>
      <c r="V672" s="5">
        <v>1492.0</v>
      </c>
    </row>
    <row r="673" ht="22.5" customHeight="1">
      <c r="A673" s="5" t="s">
        <v>2500</v>
      </c>
      <c r="B673" s="5" t="s">
        <v>2193</v>
      </c>
      <c r="C673" s="5" t="str">
        <f t="shared" si="1"/>
        <v>Kathleen</v>
      </c>
      <c r="D673" s="5" t="s">
        <v>2193</v>
      </c>
      <c r="E673" s="5" t="s">
        <v>2159</v>
      </c>
      <c r="F673" s="5" t="str">
        <f t="shared" si="2"/>
        <v>Chavez</v>
      </c>
      <c r="G673" s="5" t="s">
        <v>2159</v>
      </c>
      <c r="H673" s="6">
        <v>67.0</v>
      </c>
      <c r="I673" s="6">
        <f t="shared" si="3"/>
        <v>67</v>
      </c>
      <c r="J673" s="6">
        <v>67.0</v>
      </c>
      <c r="K673" s="6" t="str">
        <f t="shared" si="4"/>
        <v>Senior</v>
      </c>
      <c r="L673" s="6" t="s">
        <v>734</v>
      </c>
      <c r="M673" s="5" t="s">
        <v>152</v>
      </c>
      <c r="N673" s="5" t="str">
        <f t="shared" si="5"/>
        <v>Male</v>
      </c>
      <c r="O673" s="5" t="s">
        <v>152</v>
      </c>
      <c r="P673" s="5" t="s">
        <v>268</v>
      </c>
      <c r="Q673" s="5" t="s">
        <v>123</v>
      </c>
      <c r="R673" s="5" t="s">
        <v>83</v>
      </c>
      <c r="S673" s="5" t="s">
        <v>97</v>
      </c>
      <c r="T673" s="6">
        <v>2245.0</v>
      </c>
      <c r="U673" s="5">
        <f t="shared" si="6"/>
        <v>2245</v>
      </c>
      <c r="V673" s="5">
        <v>2245.0</v>
      </c>
    </row>
    <row r="674" ht="22.5" customHeight="1">
      <c r="A674" s="5" t="s">
        <v>2502</v>
      </c>
      <c r="B674" s="5" t="s">
        <v>2112</v>
      </c>
      <c r="C674" s="5" t="str">
        <f t="shared" si="1"/>
        <v>Linda</v>
      </c>
      <c r="D674" s="5" t="s">
        <v>2112</v>
      </c>
      <c r="E674" s="5" t="s">
        <v>2159</v>
      </c>
      <c r="F674" s="5" t="str">
        <f t="shared" si="2"/>
        <v>Chavez</v>
      </c>
      <c r="G674" s="5" t="s">
        <v>2159</v>
      </c>
      <c r="H674" s="6">
        <v>65.0</v>
      </c>
      <c r="I674" s="6">
        <f t="shared" si="3"/>
        <v>65</v>
      </c>
      <c r="J674" s="6">
        <v>65.0</v>
      </c>
      <c r="K674" s="6" t="str">
        <f t="shared" si="4"/>
        <v>Senior</v>
      </c>
      <c r="L674" s="6" t="s">
        <v>734</v>
      </c>
      <c r="M674" s="5" t="s">
        <v>152</v>
      </c>
      <c r="N674" s="5" t="str">
        <f t="shared" si="5"/>
        <v>Male</v>
      </c>
      <c r="O674" s="5" t="s">
        <v>152</v>
      </c>
      <c r="P674" s="5" t="s">
        <v>47</v>
      </c>
      <c r="Q674" s="5" t="s">
        <v>311</v>
      </c>
      <c r="R674" s="5" t="s">
        <v>96</v>
      </c>
      <c r="S674" s="5" t="s">
        <v>97</v>
      </c>
      <c r="T674" s="6">
        <v>842.0</v>
      </c>
      <c r="U674" s="5">
        <f t="shared" si="6"/>
        <v>842</v>
      </c>
      <c r="V674" s="5">
        <v>842.0</v>
      </c>
    </row>
    <row r="675" ht="22.5" customHeight="1">
      <c r="A675" s="5" t="s">
        <v>2505</v>
      </c>
      <c r="B675" s="5" t="s">
        <v>2119</v>
      </c>
      <c r="C675" s="5" t="str">
        <f t="shared" si="1"/>
        <v>Patricia</v>
      </c>
      <c r="D675" s="5" t="s">
        <v>2119</v>
      </c>
      <c r="E675" s="5" t="s">
        <v>2140</v>
      </c>
      <c r="F675" s="5" t="str">
        <f t="shared" si="2"/>
        <v>Roberts</v>
      </c>
      <c r="G675" s="5" t="s">
        <v>2140</v>
      </c>
      <c r="H675" s="6">
        <v>79.0</v>
      </c>
      <c r="I675" s="6">
        <f t="shared" si="3"/>
        <v>79</v>
      </c>
      <c r="J675" s="6">
        <v>79.0</v>
      </c>
      <c r="K675" s="6" t="str">
        <f t="shared" si="4"/>
        <v>Senior</v>
      </c>
      <c r="L675" s="6" t="s">
        <v>734</v>
      </c>
      <c r="M675" s="5" t="s">
        <v>1572</v>
      </c>
      <c r="N675" s="5" t="str">
        <f t="shared" si="5"/>
        <v>Male</v>
      </c>
      <c r="O675" s="5" t="s">
        <v>152</v>
      </c>
      <c r="P675" s="5" t="s">
        <v>47</v>
      </c>
      <c r="Q675" s="5" t="s">
        <v>238</v>
      </c>
      <c r="R675" s="5" t="s">
        <v>533</v>
      </c>
      <c r="S675" s="5" t="s">
        <v>97</v>
      </c>
      <c r="T675" s="6">
        <v>871.0</v>
      </c>
      <c r="U675" s="5">
        <f t="shared" si="6"/>
        <v>871</v>
      </c>
      <c r="V675" s="5">
        <v>871.0</v>
      </c>
    </row>
    <row r="676" ht="22.5" customHeight="1">
      <c r="A676" s="5" t="s">
        <v>2506</v>
      </c>
      <c r="B676" s="5" t="s">
        <v>2507</v>
      </c>
      <c r="C676" s="5" t="str">
        <f t="shared" si="1"/>
        <v>Samuel</v>
      </c>
      <c r="D676" s="5" t="s">
        <v>2507</v>
      </c>
      <c r="E676" s="5" t="s">
        <v>2508</v>
      </c>
      <c r="F676" s="5" t="str">
        <f t="shared" si="2"/>
        <v>Reed</v>
      </c>
      <c r="G676" s="5" t="s">
        <v>2508</v>
      </c>
      <c r="H676" s="6">
        <v>40.0</v>
      </c>
      <c r="I676" s="6">
        <f t="shared" si="3"/>
        <v>40</v>
      </c>
      <c r="J676" s="6">
        <v>40.0</v>
      </c>
      <c r="K676" s="6" t="str">
        <f t="shared" si="4"/>
        <v>Young Adult</v>
      </c>
      <c r="L676" s="6" t="s">
        <v>528</v>
      </c>
      <c r="M676" s="5" t="s">
        <v>1572</v>
      </c>
      <c r="N676" s="5" t="str">
        <f t="shared" si="5"/>
        <v>Male</v>
      </c>
      <c r="O676" s="5" t="s">
        <v>152</v>
      </c>
      <c r="P676" s="5" t="s">
        <v>141</v>
      </c>
      <c r="Q676" s="5" t="s">
        <v>482</v>
      </c>
      <c r="R676" s="5" t="s">
        <v>179</v>
      </c>
      <c r="S676" s="5" t="s">
        <v>559</v>
      </c>
      <c r="T676" s="6">
        <v>4159.0</v>
      </c>
      <c r="U676" s="5">
        <f t="shared" si="6"/>
        <v>4159</v>
      </c>
      <c r="V676" s="5">
        <v>4159.0</v>
      </c>
    </row>
    <row r="677" ht="22.5" customHeight="1">
      <c r="A677" s="5" t="s">
        <v>2511</v>
      </c>
      <c r="B677" s="5" t="s">
        <v>2512</v>
      </c>
      <c r="C677" s="5" t="str">
        <f t="shared" si="1"/>
        <v>Edward</v>
      </c>
      <c r="D677" s="5" t="s">
        <v>2512</v>
      </c>
      <c r="E677" s="5" t="s">
        <v>2266</v>
      </c>
      <c r="F677" s="5" t="str">
        <f t="shared" si="2"/>
        <v>Morgan</v>
      </c>
      <c r="G677" s="5" t="s">
        <v>2266</v>
      </c>
      <c r="H677" s="6">
        <v>90.0</v>
      </c>
      <c r="I677" s="6">
        <f t="shared" si="3"/>
        <v>90</v>
      </c>
      <c r="J677" s="6">
        <v>90.0</v>
      </c>
      <c r="K677" s="6" t="str">
        <f t="shared" si="4"/>
        <v>Senior</v>
      </c>
      <c r="L677" s="6" t="s">
        <v>734</v>
      </c>
      <c r="M677" s="5" t="s">
        <v>28</v>
      </c>
      <c r="N677" s="5" t="str">
        <f t="shared" si="5"/>
        <v>Female</v>
      </c>
      <c r="O677" s="5" t="s">
        <v>105</v>
      </c>
      <c r="P677" s="5" t="s">
        <v>81</v>
      </c>
      <c r="Q677" s="5" t="s">
        <v>418</v>
      </c>
      <c r="R677" s="5" t="s">
        <v>210</v>
      </c>
      <c r="S677" s="5" t="s">
        <v>97</v>
      </c>
      <c r="T677" s="6">
        <v>888.0</v>
      </c>
      <c r="U677" s="5">
        <f t="shared" si="6"/>
        <v>888</v>
      </c>
      <c r="V677" s="5">
        <v>888.0</v>
      </c>
    </row>
    <row r="678" ht="22.5" customHeight="1">
      <c r="A678" s="5" t="s">
        <v>2513</v>
      </c>
      <c r="B678" s="5" t="s">
        <v>2507</v>
      </c>
      <c r="C678" s="5" t="str">
        <f t="shared" si="1"/>
        <v>Samuel</v>
      </c>
      <c r="D678" s="5" t="s">
        <v>2507</v>
      </c>
      <c r="E678" s="5" t="s">
        <v>983</v>
      </c>
      <c r="F678" s="5" t="str">
        <f t="shared" si="2"/>
        <v>Thomas</v>
      </c>
      <c r="G678" s="5" t="s">
        <v>983</v>
      </c>
      <c r="H678" s="6">
        <v>22.0</v>
      </c>
      <c r="I678" s="6">
        <f t="shared" si="3"/>
        <v>22</v>
      </c>
      <c r="J678" s="6">
        <v>22.0</v>
      </c>
      <c r="K678" s="6" t="str">
        <f t="shared" si="4"/>
        <v>Young Adult</v>
      </c>
      <c r="L678" s="6" t="s">
        <v>528</v>
      </c>
      <c r="M678" s="5" t="s">
        <v>105</v>
      </c>
      <c r="N678" s="5" t="str">
        <f t="shared" si="5"/>
        <v>Female</v>
      </c>
      <c r="O678" s="5" t="s">
        <v>105</v>
      </c>
      <c r="P678" s="5" t="s">
        <v>393</v>
      </c>
      <c r="Q678" s="5" t="s">
        <v>311</v>
      </c>
      <c r="R678" s="5" t="s">
        <v>96</v>
      </c>
      <c r="S678" s="5" t="s">
        <v>52</v>
      </c>
      <c r="T678" s="6">
        <v>1007.0</v>
      </c>
      <c r="U678" s="5">
        <f t="shared" si="6"/>
        <v>1007</v>
      </c>
      <c r="V678" s="5">
        <v>1007.0</v>
      </c>
    </row>
    <row r="679" ht="22.5" customHeight="1">
      <c r="A679" s="5" t="s">
        <v>2516</v>
      </c>
      <c r="B679" s="5" t="s">
        <v>2517</v>
      </c>
      <c r="C679" s="5" t="str">
        <f t="shared" si="1"/>
        <v>Sarah</v>
      </c>
      <c r="D679" s="5" t="s">
        <v>2517</v>
      </c>
      <c r="E679" s="5" t="s">
        <v>2518</v>
      </c>
      <c r="F679" s="5" t="str">
        <f t="shared" si="2"/>
        <v>Hernandez</v>
      </c>
      <c r="G679" s="5" t="s">
        <v>2518</v>
      </c>
      <c r="H679" s="6">
        <v>31.0</v>
      </c>
      <c r="I679" s="6">
        <f t="shared" si="3"/>
        <v>31</v>
      </c>
      <c r="J679" s="6">
        <v>31.0</v>
      </c>
      <c r="K679" s="6" t="str">
        <f t="shared" si="4"/>
        <v>Young Adult</v>
      </c>
      <c r="L679" s="6" t="s">
        <v>528</v>
      </c>
      <c r="M679" s="5" t="s">
        <v>28</v>
      </c>
      <c r="N679" s="5" t="str">
        <f t="shared" si="5"/>
        <v>Female</v>
      </c>
      <c r="O679" s="5" t="s">
        <v>105</v>
      </c>
      <c r="P679" s="5" t="s">
        <v>571</v>
      </c>
      <c r="Q679" s="5" t="s">
        <v>418</v>
      </c>
      <c r="R679" s="5" t="s">
        <v>210</v>
      </c>
      <c r="S679" s="5" t="s">
        <v>211</v>
      </c>
      <c r="T679" s="6">
        <v>1457.0</v>
      </c>
      <c r="U679" s="5">
        <f t="shared" si="6"/>
        <v>1457</v>
      </c>
      <c r="V679" s="5">
        <v>1457.0</v>
      </c>
    </row>
    <row r="680" ht="22.5" customHeight="1">
      <c r="A680" s="5" t="s">
        <v>2521</v>
      </c>
      <c r="B680" s="5" t="s">
        <v>2166</v>
      </c>
      <c r="C680" s="5" t="str">
        <f t="shared" si="1"/>
        <v>Mark</v>
      </c>
      <c r="D680" s="5" t="s">
        <v>2166</v>
      </c>
      <c r="E680" s="5" t="s">
        <v>2368</v>
      </c>
      <c r="F680" s="5" t="str">
        <f t="shared" si="2"/>
        <v>Evans</v>
      </c>
      <c r="G680" s="5" t="s">
        <v>2368</v>
      </c>
      <c r="H680" s="6">
        <v>85.0</v>
      </c>
      <c r="I680" s="6">
        <f t="shared" si="3"/>
        <v>85</v>
      </c>
      <c r="J680" s="6">
        <v>85.0</v>
      </c>
      <c r="K680" s="6" t="str">
        <f t="shared" si="4"/>
        <v>Senior</v>
      </c>
      <c r="L680" s="6" t="s">
        <v>734</v>
      </c>
      <c r="M680" s="5" t="s">
        <v>80</v>
      </c>
      <c r="N680" s="5" t="str">
        <f t="shared" si="5"/>
        <v>Male</v>
      </c>
      <c r="O680" s="5" t="s">
        <v>152</v>
      </c>
      <c r="P680" s="5" t="s">
        <v>376</v>
      </c>
      <c r="Q680" s="5" t="s">
        <v>470</v>
      </c>
      <c r="R680" s="5" t="s">
        <v>179</v>
      </c>
      <c r="S680" s="5" t="s">
        <v>97</v>
      </c>
      <c r="T680" s="6">
        <v>3216.0</v>
      </c>
      <c r="U680" s="5">
        <f t="shared" si="6"/>
        <v>3216</v>
      </c>
      <c r="V680" s="5">
        <v>3216.0</v>
      </c>
    </row>
    <row r="681" ht="22.5" customHeight="1">
      <c r="A681" s="5" t="s">
        <v>2523</v>
      </c>
      <c r="B681" s="5" t="s">
        <v>2512</v>
      </c>
      <c r="C681" s="5" t="str">
        <f t="shared" si="1"/>
        <v>Edward</v>
      </c>
      <c r="D681" s="5" t="s">
        <v>2512</v>
      </c>
      <c r="E681" s="5" t="s">
        <v>2368</v>
      </c>
      <c r="F681" s="5" t="str">
        <f t="shared" si="2"/>
        <v>Evans</v>
      </c>
      <c r="G681" s="5" t="s">
        <v>2368</v>
      </c>
      <c r="H681" s="6">
        <v>0.0</v>
      </c>
      <c r="I681" s="6">
        <f t="shared" si="3"/>
        <v>0</v>
      </c>
      <c r="J681" s="6">
        <v>0.0</v>
      </c>
      <c r="K681" s="6" t="str">
        <f t="shared" si="4"/>
        <v>Unknown</v>
      </c>
      <c r="L681" s="6" t="s">
        <v>1081</v>
      </c>
      <c r="M681" s="5" t="s">
        <v>1572</v>
      </c>
      <c r="N681" s="5" t="str">
        <f t="shared" si="5"/>
        <v>Male</v>
      </c>
      <c r="O681" s="5" t="s">
        <v>152</v>
      </c>
      <c r="P681" s="5" t="s">
        <v>131</v>
      </c>
      <c r="Q681" s="5" t="s">
        <v>358</v>
      </c>
      <c r="R681" s="5" t="s">
        <v>561</v>
      </c>
      <c r="S681" s="5" t="s">
        <v>211</v>
      </c>
      <c r="T681" s="6">
        <v>4042.0</v>
      </c>
      <c r="U681" s="5">
        <f t="shared" si="6"/>
        <v>4042</v>
      </c>
      <c r="V681" s="5">
        <v>4042.0</v>
      </c>
    </row>
    <row r="682" ht="22.5" customHeight="1">
      <c r="A682" s="5" t="s">
        <v>2526</v>
      </c>
      <c r="B682" s="5" t="s">
        <v>625</v>
      </c>
      <c r="C682" s="5" t="str">
        <f t="shared" si="1"/>
        <v>Mary</v>
      </c>
      <c r="D682" s="5" t="s">
        <v>625</v>
      </c>
      <c r="E682" s="5" t="s">
        <v>713</v>
      </c>
      <c r="F682" s="5" t="str">
        <f t="shared" si="2"/>
        <v>White</v>
      </c>
      <c r="G682" s="5" t="s">
        <v>713</v>
      </c>
      <c r="H682" s="6">
        <v>74.0</v>
      </c>
      <c r="I682" s="6">
        <f t="shared" si="3"/>
        <v>74</v>
      </c>
      <c r="J682" s="6">
        <v>74.0</v>
      </c>
      <c r="K682" s="6" t="str">
        <f t="shared" si="4"/>
        <v>Senior</v>
      </c>
      <c r="L682" s="6" t="s">
        <v>734</v>
      </c>
      <c r="M682" s="5" t="s">
        <v>152</v>
      </c>
      <c r="N682" s="5" t="str">
        <f t="shared" si="5"/>
        <v>Male</v>
      </c>
      <c r="O682" s="5" t="s">
        <v>152</v>
      </c>
      <c r="P682" s="5" t="s">
        <v>47</v>
      </c>
      <c r="Q682" s="5" t="s">
        <v>311</v>
      </c>
      <c r="R682" s="5" t="s">
        <v>96</v>
      </c>
      <c r="S682" s="5" t="s">
        <v>97</v>
      </c>
      <c r="T682" s="6">
        <v>777.0</v>
      </c>
      <c r="U682" s="5">
        <f t="shared" si="6"/>
        <v>777</v>
      </c>
      <c r="V682" s="5">
        <v>777.0</v>
      </c>
    </row>
    <row r="683" ht="22.5" customHeight="1">
      <c r="A683" s="5" t="s">
        <v>2527</v>
      </c>
      <c r="B683" s="5" t="s">
        <v>2528</v>
      </c>
      <c r="C683" s="5" t="str">
        <f t="shared" si="1"/>
        <v>Melissa</v>
      </c>
      <c r="D683" s="5" t="s">
        <v>2528</v>
      </c>
      <c r="E683" s="5" t="s">
        <v>2159</v>
      </c>
      <c r="F683" s="5" t="str">
        <f t="shared" si="2"/>
        <v>Chavez</v>
      </c>
      <c r="G683" s="5" t="s">
        <v>2159</v>
      </c>
      <c r="H683" s="6">
        <v>77.0</v>
      </c>
      <c r="I683" s="6">
        <f t="shared" si="3"/>
        <v>77</v>
      </c>
      <c r="J683" s="6">
        <v>77.0</v>
      </c>
      <c r="K683" s="6" t="str">
        <f t="shared" si="4"/>
        <v>Senior</v>
      </c>
      <c r="L683" s="6" t="s">
        <v>734</v>
      </c>
      <c r="M683" s="5" t="s">
        <v>80</v>
      </c>
      <c r="N683" s="5" t="str">
        <f t="shared" si="5"/>
        <v>Male</v>
      </c>
      <c r="O683" s="5" t="s">
        <v>152</v>
      </c>
      <c r="P683" s="5" t="s">
        <v>237</v>
      </c>
      <c r="Q683" s="5" t="s">
        <v>576</v>
      </c>
      <c r="R683" s="5" t="s">
        <v>607</v>
      </c>
      <c r="S683" s="5" t="s">
        <v>97</v>
      </c>
      <c r="T683" s="6">
        <v>1747.0</v>
      </c>
      <c r="U683" s="5">
        <f t="shared" si="6"/>
        <v>1747</v>
      </c>
      <c r="V683" s="5">
        <v>1747.0</v>
      </c>
    </row>
    <row r="684" ht="22.5" customHeight="1">
      <c r="A684" s="5" t="s">
        <v>2531</v>
      </c>
      <c r="B684" s="5" t="s">
        <v>2134</v>
      </c>
      <c r="C684" s="5" t="str">
        <f t="shared" si="1"/>
        <v>Catherine</v>
      </c>
      <c r="D684" s="5" t="s">
        <v>2134</v>
      </c>
      <c r="E684" s="5" t="s">
        <v>2095</v>
      </c>
      <c r="F684" s="5" t="str">
        <f t="shared" si="2"/>
        <v>Peterson</v>
      </c>
      <c r="G684" s="5" t="s">
        <v>2095</v>
      </c>
      <c r="H684" s="6">
        <v>37.0</v>
      </c>
      <c r="I684" s="6">
        <f t="shared" si="3"/>
        <v>37</v>
      </c>
      <c r="J684" s="6">
        <v>37.0</v>
      </c>
      <c r="K684" s="6" t="str">
        <f t="shared" si="4"/>
        <v>Young Adult</v>
      </c>
      <c r="L684" s="6" t="s">
        <v>528</v>
      </c>
      <c r="M684" s="5" t="s">
        <v>45</v>
      </c>
      <c r="N684" s="5" t="str">
        <f t="shared" si="5"/>
        <v>Female</v>
      </c>
      <c r="O684" s="5" t="s">
        <v>105</v>
      </c>
      <c r="P684" s="5" t="s">
        <v>30</v>
      </c>
      <c r="Q684" s="5" t="s">
        <v>470</v>
      </c>
      <c r="R684" s="5" t="s">
        <v>179</v>
      </c>
      <c r="S684" s="5" t="s">
        <v>559</v>
      </c>
      <c r="T684" s="6">
        <v>4187.0</v>
      </c>
      <c r="U684" s="5">
        <f t="shared" si="6"/>
        <v>4187</v>
      </c>
      <c r="V684" s="5">
        <v>4187.0</v>
      </c>
    </row>
    <row r="685" ht="22.5" customHeight="1">
      <c r="A685" s="5" t="s">
        <v>2534</v>
      </c>
      <c r="B685" s="5" t="s">
        <v>2198</v>
      </c>
      <c r="C685" s="5" t="str">
        <f t="shared" si="1"/>
        <v>Alexander</v>
      </c>
      <c r="D685" s="5" t="s">
        <v>2198</v>
      </c>
      <c r="E685" s="5" t="s">
        <v>2163</v>
      </c>
      <c r="F685" s="5" t="str">
        <f t="shared" si="2"/>
        <v>Ruiz</v>
      </c>
      <c r="G685" s="5" t="s">
        <v>2163</v>
      </c>
      <c r="H685" s="6">
        <v>35.0</v>
      </c>
      <c r="I685" s="6">
        <f t="shared" si="3"/>
        <v>35</v>
      </c>
      <c r="J685" s="6">
        <v>35.0</v>
      </c>
      <c r="K685" s="6" t="str">
        <f t="shared" si="4"/>
        <v>Young Adult</v>
      </c>
      <c r="L685" s="6" t="s">
        <v>528</v>
      </c>
      <c r="M685" s="5" t="s">
        <v>152</v>
      </c>
      <c r="N685" s="5" t="str">
        <f t="shared" si="5"/>
        <v>Male</v>
      </c>
      <c r="O685" s="5" t="s">
        <v>152</v>
      </c>
      <c r="P685" s="5" t="s">
        <v>393</v>
      </c>
      <c r="Q685" s="5" t="s">
        <v>123</v>
      </c>
      <c r="R685" s="5" t="s">
        <v>83</v>
      </c>
      <c r="S685" s="5" t="s">
        <v>559</v>
      </c>
      <c r="T685" s="6">
        <v>2015.0</v>
      </c>
      <c r="U685" s="5">
        <f t="shared" si="6"/>
        <v>2015</v>
      </c>
      <c r="V685" s="5">
        <v>2015.0</v>
      </c>
    </row>
    <row r="686" ht="22.5" customHeight="1">
      <c r="A686" s="5" t="s">
        <v>2536</v>
      </c>
      <c r="B686" s="5" t="s">
        <v>2198</v>
      </c>
      <c r="C686" s="5" t="str">
        <f t="shared" si="1"/>
        <v>Alexander</v>
      </c>
      <c r="D686" s="5" t="s">
        <v>2198</v>
      </c>
      <c r="E686" s="5" t="s">
        <v>2148</v>
      </c>
      <c r="F686" s="5" t="str">
        <f t="shared" si="2"/>
        <v>Taylor</v>
      </c>
      <c r="G686" s="5" t="s">
        <v>2148</v>
      </c>
      <c r="H686" s="6">
        <v>87.0</v>
      </c>
      <c r="I686" s="6">
        <f t="shared" si="3"/>
        <v>87</v>
      </c>
      <c r="J686" s="6">
        <v>87.0</v>
      </c>
      <c r="K686" s="6" t="str">
        <f t="shared" si="4"/>
        <v>Senior</v>
      </c>
      <c r="L686" s="6" t="s">
        <v>734</v>
      </c>
      <c r="M686" s="5" t="s">
        <v>105</v>
      </c>
      <c r="N686" s="5" t="str">
        <f t="shared" si="5"/>
        <v>Female</v>
      </c>
      <c r="O686" s="5" t="s">
        <v>105</v>
      </c>
      <c r="P686" s="5" t="s">
        <v>30</v>
      </c>
      <c r="Q686" s="5" t="s">
        <v>916</v>
      </c>
      <c r="R686" s="5" t="s">
        <v>402</v>
      </c>
      <c r="S686" s="5" t="s">
        <v>97</v>
      </c>
      <c r="T686" s="6">
        <v>1758.0</v>
      </c>
      <c r="U686" s="5">
        <f t="shared" si="6"/>
        <v>1758</v>
      </c>
      <c r="V686" s="5">
        <v>1758.0</v>
      </c>
    </row>
    <row r="687" ht="22.5" customHeight="1">
      <c r="A687" s="5" t="s">
        <v>2538</v>
      </c>
      <c r="B687" s="5" t="s">
        <v>2539</v>
      </c>
      <c r="C687" s="5" t="str">
        <f t="shared" si="1"/>
        <v>Sharon</v>
      </c>
      <c r="D687" s="5" t="s">
        <v>2539</v>
      </c>
      <c r="E687" s="5" t="s">
        <v>2303</v>
      </c>
      <c r="F687" s="5" t="str">
        <f t="shared" si="2"/>
        <v>Harris</v>
      </c>
      <c r="G687" s="5" t="s">
        <v>2303</v>
      </c>
      <c r="H687" s="6">
        <v>38.0</v>
      </c>
      <c r="I687" s="6">
        <f t="shared" si="3"/>
        <v>38</v>
      </c>
      <c r="J687" s="6">
        <v>38.0</v>
      </c>
      <c r="K687" s="6" t="str">
        <f t="shared" si="4"/>
        <v>Young Adult</v>
      </c>
      <c r="L687" s="6" t="s">
        <v>528</v>
      </c>
      <c r="M687" s="5" t="s">
        <v>1572</v>
      </c>
      <c r="N687" s="5" t="str">
        <f t="shared" si="5"/>
        <v>Male</v>
      </c>
      <c r="O687" s="5" t="s">
        <v>152</v>
      </c>
      <c r="P687" s="5" t="s">
        <v>393</v>
      </c>
      <c r="Q687" s="5" t="s">
        <v>238</v>
      </c>
      <c r="R687" s="5" t="s">
        <v>533</v>
      </c>
      <c r="S687" s="5" t="s">
        <v>559</v>
      </c>
      <c r="T687" s="6">
        <v>1651.0</v>
      </c>
      <c r="U687" s="5">
        <f t="shared" si="6"/>
        <v>1651</v>
      </c>
      <c r="V687" s="5">
        <v>1651.0</v>
      </c>
    </row>
    <row r="688" ht="22.5" customHeight="1">
      <c r="A688" s="5" t="s">
        <v>2541</v>
      </c>
      <c r="B688" s="5" t="s">
        <v>2455</v>
      </c>
      <c r="C688" s="5" t="str">
        <f t="shared" si="1"/>
        <v>Jennifer</v>
      </c>
      <c r="D688" s="5" t="s">
        <v>2455</v>
      </c>
      <c r="E688" s="5" t="s">
        <v>925</v>
      </c>
      <c r="F688" s="5" t="str">
        <f t="shared" si="2"/>
        <v>James</v>
      </c>
      <c r="G688" s="5" t="s">
        <v>925</v>
      </c>
      <c r="H688" s="6">
        <v>28.0</v>
      </c>
      <c r="I688" s="6">
        <f t="shared" si="3"/>
        <v>28</v>
      </c>
      <c r="J688" s="6">
        <v>28.0</v>
      </c>
      <c r="K688" s="6" t="str">
        <f t="shared" si="4"/>
        <v>Young Adult</v>
      </c>
      <c r="L688" s="6" t="s">
        <v>528</v>
      </c>
      <c r="M688" s="5" t="s">
        <v>45</v>
      </c>
      <c r="N688" s="5" t="str">
        <f t="shared" si="5"/>
        <v>Female</v>
      </c>
      <c r="O688" s="5" t="s">
        <v>105</v>
      </c>
      <c r="P688" s="5" t="s">
        <v>107</v>
      </c>
      <c r="Q688" s="5" t="s">
        <v>358</v>
      </c>
      <c r="R688" s="5" t="s">
        <v>561</v>
      </c>
      <c r="S688" s="5" t="s">
        <v>52</v>
      </c>
      <c r="T688" s="6">
        <v>2154.0</v>
      </c>
      <c r="U688" s="5">
        <f t="shared" si="6"/>
        <v>2154</v>
      </c>
      <c r="V688" s="5">
        <v>2154.0</v>
      </c>
    </row>
    <row r="689" ht="22.5" customHeight="1">
      <c r="A689" s="5" t="s">
        <v>2543</v>
      </c>
      <c r="B689" s="5" t="s">
        <v>2544</v>
      </c>
      <c r="C689" s="5" t="str">
        <f t="shared" si="1"/>
        <v>Cynthia</v>
      </c>
      <c r="D689" s="5" t="s">
        <v>2544</v>
      </c>
      <c r="E689" s="5" t="s">
        <v>2230</v>
      </c>
      <c r="F689" s="5" t="str">
        <f t="shared" si="2"/>
        <v>Hall</v>
      </c>
      <c r="G689" s="5" t="s">
        <v>2230</v>
      </c>
      <c r="H689" s="6">
        <v>86.0</v>
      </c>
      <c r="I689" s="6">
        <f t="shared" si="3"/>
        <v>86</v>
      </c>
      <c r="J689" s="6">
        <v>86.0</v>
      </c>
      <c r="K689" s="6" t="str">
        <f t="shared" si="4"/>
        <v>Senior</v>
      </c>
      <c r="L689" s="6" t="s">
        <v>734</v>
      </c>
      <c r="M689" s="5" t="s">
        <v>80</v>
      </c>
      <c r="N689" s="5" t="str">
        <f t="shared" si="5"/>
        <v>Male</v>
      </c>
      <c r="O689" s="5" t="s">
        <v>152</v>
      </c>
      <c r="P689" s="5" t="s">
        <v>237</v>
      </c>
      <c r="Q689" s="5" t="s">
        <v>238</v>
      </c>
      <c r="R689" s="5" t="s">
        <v>533</v>
      </c>
      <c r="S689" s="5" t="s">
        <v>97</v>
      </c>
      <c r="T689" s="6">
        <v>1255.0</v>
      </c>
      <c r="U689" s="5">
        <f t="shared" si="6"/>
        <v>1255</v>
      </c>
      <c r="V689" s="5">
        <v>1255.0</v>
      </c>
    </row>
    <row r="690" ht="22.5" customHeight="1">
      <c r="A690" s="5" t="s">
        <v>2547</v>
      </c>
      <c r="B690" s="5" t="s">
        <v>2548</v>
      </c>
      <c r="C690" s="5" t="str">
        <f t="shared" si="1"/>
        <v>Pamela</v>
      </c>
      <c r="D690" s="5" t="s">
        <v>2548</v>
      </c>
      <c r="E690" s="5" t="s">
        <v>363</v>
      </c>
      <c r="F690" s="5" t="str">
        <f t="shared" si="2"/>
        <v>Smith</v>
      </c>
      <c r="G690" s="5" t="s">
        <v>363</v>
      </c>
      <c r="H690" s="6">
        <v>52.0</v>
      </c>
      <c r="I690" s="6">
        <f t="shared" si="3"/>
        <v>52</v>
      </c>
      <c r="J690" s="6">
        <v>52.0</v>
      </c>
      <c r="K690" s="6" t="str">
        <f t="shared" si="4"/>
        <v>Middle Age</v>
      </c>
      <c r="L690" s="6" t="s">
        <v>591</v>
      </c>
      <c r="M690" s="5" t="s">
        <v>1572</v>
      </c>
      <c r="N690" s="5" t="str">
        <f t="shared" si="5"/>
        <v>Male</v>
      </c>
      <c r="O690" s="5" t="s">
        <v>152</v>
      </c>
      <c r="P690" s="5" t="s">
        <v>393</v>
      </c>
      <c r="Q690" s="5" t="s">
        <v>551</v>
      </c>
      <c r="R690" s="5" t="s">
        <v>96</v>
      </c>
      <c r="S690" s="5" t="s">
        <v>559</v>
      </c>
      <c r="T690" s="6">
        <v>846.0</v>
      </c>
      <c r="U690" s="5">
        <f t="shared" si="6"/>
        <v>846</v>
      </c>
      <c r="V690" s="5">
        <v>846.0</v>
      </c>
    </row>
    <row r="691" ht="22.5" customHeight="1">
      <c r="A691" s="5" t="s">
        <v>2549</v>
      </c>
      <c r="B691" s="5" t="s">
        <v>1788</v>
      </c>
      <c r="C691" s="5" t="str">
        <f t="shared" si="1"/>
        <v>Ashley</v>
      </c>
      <c r="D691" s="5" t="s">
        <v>1788</v>
      </c>
      <c r="E691" s="5" t="s">
        <v>2429</v>
      </c>
      <c r="F691" s="5" t="str">
        <f t="shared" si="2"/>
        <v>Martin</v>
      </c>
      <c r="G691" s="5" t="s">
        <v>2429</v>
      </c>
      <c r="H691" s="6">
        <v>86.0</v>
      </c>
      <c r="I691" s="6">
        <f t="shared" si="3"/>
        <v>86</v>
      </c>
      <c r="J691" s="6">
        <v>86.0</v>
      </c>
      <c r="K691" s="6" t="str">
        <f t="shared" si="4"/>
        <v>Senior</v>
      </c>
      <c r="L691" s="6" t="s">
        <v>734</v>
      </c>
      <c r="M691" s="5" t="s">
        <v>1572</v>
      </c>
      <c r="N691" s="5" t="str">
        <f t="shared" si="5"/>
        <v>Male</v>
      </c>
      <c r="O691" s="5" t="s">
        <v>152</v>
      </c>
      <c r="P691" s="5" t="s">
        <v>81</v>
      </c>
      <c r="Q691" s="5" t="s">
        <v>238</v>
      </c>
      <c r="R691" s="5" t="s">
        <v>533</v>
      </c>
      <c r="S691" s="5" t="s">
        <v>97</v>
      </c>
      <c r="T691" s="6">
        <v>1661.0</v>
      </c>
      <c r="U691" s="5">
        <f t="shared" si="6"/>
        <v>1661</v>
      </c>
      <c r="V691" s="5">
        <v>1661.0</v>
      </c>
    </row>
    <row r="692" ht="22.5" customHeight="1">
      <c r="A692" s="5" t="s">
        <v>2551</v>
      </c>
      <c r="B692" s="5" t="s">
        <v>2008</v>
      </c>
      <c r="C692" s="5" t="str">
        <f t="shared" si="1"/>
        <v>William</v>
      </c>
      <c r="D692" s="5" t="s">
        <v>2008</v>
      </c>
      <c r="E692" s="5" t="s">
        <v>2282</v>
      </c>
      <c r="F692" s="5" t="str">
        <f t="shared" si="2"/>
        <v>Torres</v>
      </c>
      <c r="G692" s="5" t="s">
        <v>2282</v>
      </c>
      <c r="H692" s="6">
        <v>88.0</v>
      </c>
      <c r="I692" s="6">
        <f t="shared" si="3"/>
        <v>88</v>
      </c>
      <c r="J692" s="6">
        <v>88.0</v>
      </c>
      <c r="K692" s="6" t="str">
        <f t="shared" si="4"/>
        <v>Senior</v>
      </c>
      <c r="L692" s="6" t="s">
        <v>734</v>
      </c>
      <c r="M692" s="5" t="s">
        <v>1572</v>
      </c>
      <c r="N692" s="5" t="str">
        <f t="shared" si="5"/>
        <v>Male</v>
      </c>
      <c r="O692" s="5" t="s">
        <v>152</v>
      </c>
      <c r="P692" s="5" t="s">
        <v>81</v>
      </c>
      <c r="Q692" s="5" t="s">
        <v>418</v>
      </c>
      <c r="R692" s="5" t="s">
        <v>210</v>
      </c>
      <c r="S692" s="5" t="s">
        <v>97</v>
      </c>
      <c r="T692" s="6">
        <v>321.0</v>
      </c>
      <c r="U692" s="5">
        <f t="shared" si="6"/>
        <v>321</v>
      </c>
      <c r="V692" s="5">
        <v>321.0</v>
      </c>
    </row>
    <row r="693" ht="22.5" customHeight="1">
      <c r="A693" s="5" t="s">
        <v>2554</v>
      </c>
      <c r="B693" s="5" t="s">
        <v>2555</v>
      </c>
      <c r="C693" s="5" t="str">
        <f t="shared" si="1"/>
        <v>Jonathan</v>
      </c>
      <c r="D693" s="5" t="s">
        <v>2555</v>
      </c>
      <c r="E693" s="5" t="s">
        <v>2424</v>
      </c>
      <c r="F693" s="5" t="str">
        <f t="shared" si="2"/>
        <v>Nelson</v>
      </c>
      <c r="G693" s="5" t="s">
        <v>2424</v>
      </c>
      <c r="H693" s="6">
        <v>28.0</v>
      </c>
      <c r="I693" s="6">
        <f t="shared" si="3"/>
        <v>28</v>
      </c>
      <c r="J693" s="6">
        <v>28.0</v>
      </c>
      <c r="K693" s="6" t="str">
        <f t="shared" si="4"/>
        <v>Young Adult</v>
      </c>
      <c r="L693" s="6" t="s">
        <v>528</v>
      </c>
      <c r="M693" s="5" t="s">
        <v>152</v>
      </c>
      <c r="N693" s="5" t="str">
        <f t="shared" si="5"/>
        <v>Male</v>
      </c>
      <c r="O693" s="5" t="s">
        <v>152</v>
      </c>
      <c r="P693" s="5" t="s">
        <v>393</v>
      </c>
      <c r="Q693" s="5" t="s">
        <v>576</v>
      </c>
      <c r="R693" s="5" t="s">
        <v>607</v>
      </c>
      <c r="S693" s="5" t="s">
        <v>222</v>
      </c>
      <c r="T693" s="6">
        <v>1187.0</v>
      </c>
      <c r="U693" s="5">
        <f t="shared" si="6"/>
        <v>1187</v>
      </c>
      <c r="V693" s="5">
        <v>1187.0</v>
      </c>
    </row>
    <row r="694" ht="22.5" customHeight="1">
      <c r="A694" s="5" t="s">
        <v>2558</v>
      </c>
      <c r="B694" s="5" t="s">
        <v>2302</v>
      </c>
      <c r="C694" s="5" t="str">
        <f t="shared" si="1"/>
        <v>Amanda</v>
      </c>
      <c r="D694" s="5" t="s">
        <v>2302</v>
      </c>
      <c r="E694" s="5" t="s">
        <v>2357</v>
      </c>
      <c r="F694" s="5" t="str">
        <f t="shared" si="2"/>
        <v>Clark</v>
      </c>
      <c r="G694" s="5" t="s">
        <v>2357</v>
      </c>
      <c r="H694" s="6">
        <v>71.0</v>
      </c>
      <c r="I694" s="6">
        <f t="shared" si="3"/>
        <v>71</v>
      </c>
      <c r="J694" s="6">
        <v>71.0</v>
      </c>
      <c r="K694" s="6" t="str">
        <f t="shared" si="4"/>
        <v>Senior</v>
      </c>
      <c r="L694" s="6" t="s">
        <v>734</v>
      </c>
      <c r="M694" s="5" t="s">
        <v>28</v>
      </c>
      <c r="N694" s="5" t="str">
        <f t="shared" si="5"/>
        <v>Female</v>
      </c>
      <c r="O694" s="5" t="s">
        <v>105</v>
      </c>
      <c r="P694" s="5" t="s">
        <v>393</v>
      </c>
      <c r="Q694" s="5" t="s">
        <v>164</v>
      </c>
      <c r="R694" s="5" t="s">
        <v>607</v>
      </c>
      <c r="S694" s="5" t="s">
        <v>97</v>
      </c>
      <c r="T694" s="6">
        <v>3296.0</v>
      </c>
      <c r="U694" s="5">
        <f t="shared" si="6"/>
        <v>3296</v>
      </c>
      <c r="V694" s="5">
        <v>3296.0</v>
      </c>
    </row>
    <row r="695" ht="22.5" customHeight="1">
      <c r="A695" s="5" t="s">
        <v>2560</v>
      </c>
      <c r="B695" s="5" t="s">
        <v>2183</v>
      </c>
      <c r="C695" s="5" t="str">
        <f t="shared" si="1"/>
        <v>Larry</v>
      </c>
      <c r="D695" s="5" t="s">
        <v>2183</v>
      </c>
      <c r="E695" s="5" t="s">
        <v>2518</v>
      </c>
      <c r="F695" s="5" t="str">
        <f t="shared" si="2"/>
        <v>Hernandez</v>
      </c>
      <c r="G695" s="5" t="s">
        <v>2518</v>
      </c>
      <c r="H695" s="6">
        <v>76.0</v>
      </c>
      <c r="I695" s="6">
        <f t="shared" si="3"/>
        <v>76</v>
      </c>
      <c r="J695" s="6">
        <v>76.0</v>
      </c>
      <c r="K695" s="6" t="str">
        <f t="shared" si="4"/>
        <v>Senior</v>
      </c>
      <c r="L695" s="6" t="s">
        <v>734</v>
      </c>
      <c r="M695" s="5" t="s">
        <v>152</v>
      </c>
      <c r="N695" s="5" t="str">
        <f t="shared" si="5"/>
        <v>Male</v>
      </c>
      <c r="O695" s="5" t="s">
        <v>152</v>
      </c>
      <c r="P695" s="5" t="s">
        <v>131</v>
      </c>
      <c r="Q695" s="5" t="s">
        <v>489</v>
      </c>
      <c r="R695" s="5" t="s">
        <v>179</v>
      </c>
      <c r="S695" s="5" t="s">
        <v>97</v>
      </c>
      <c r="T695" s="6">
        <v>3246.0</v>
      </c>
      <c r="U695" s="5">
        <f t="shared" si="6"/>
        <v>3246</v>
      </c>
      <c r="V695" s="5">
        <v>3246.0</v>
      </c>
    </row>
    <row r="696" ht="22.5" customHeight="1">
      <c r="A696" s="5" t="s">
        <v>2563</v>
      </c>
      <c r="B696" s="5" t="s">
        <v>2564</v>
      </c>
      <c r="C696" s="5" t="str">
        <f t="shared" si="1"/>
        <v>Brian</v>
      </c>
      <c r="D696" s="5" t="s">
        <v>2564</v>
      </c>
      <c r="E696" s="5" t="s">
        <v>2565</v>
      </c>
      <c r="F696" s="5" t="str">
        <f t="shared" si="2"/>
        <v>Howard</v>
      </c>
      <c r="G696" s="5" t="s">
        <v>2565</v>
      </c>
      <c r="H696" s="6">
        <v>38.0</v>
      </c>
      <c r="I696" s="6">
        <f t="shared" si="3"/>
        <v>38</v>
      </c>
      <c r="J696" s="6">
        <v>38.0</v>
      </c>
      <c r="K696" s="6" t="str">
        <f t="shared" si="4"/>
        <v>Young Adult</v>
      </c>
      <c r="L696" s="6" t="s">
        <v>528</v>
      </c>
      <c r="M696" s="5" t="s">
        <v>80</v>
      </c>
      <c r="N696" s="5" t="str">
        <f t="shared" si="5"/>
        <v>Male</v>
      </c>
      <c r="O696" s="5" t="s">
        <v>152</v>
      </c>
      <c r="P696" s="5" t="s">
        <v>47</v>
      </c>
      <c r="Q696" s="5" t="s">
        <v>669</v>
      </c>
      <c r="R696" s="5" t="s">
        <v>452</v>
      </c>
      <c r="S696" s="5" t="s">
        <v>222</v>
      </c>
      <c r="T696" s="6">
        <v>3394.0</v>
      </c>
      <c r="U696" s="5">
        <f t="shared" si="6"/>
        <v>3394</v>
      </c>
      <c r="V696" s="5">
        <v>3394.0</v>
      </c>
    </row>
    <row r="697" ht="22.5" customHeight="1">
      <c r="A697" s="5" t="s">
        <v>2567</v>
      </c>
      <c r="B697" s="5" t="s">
        <v>2086</v>
      </c>
      <c r="C697" s="5" t="str">
        <f t="shared" si="1"/>
        <v>Nicole</v>
      </c>
      <c r="D697" s="5" t="s">
        <v>2086</v>
      </c>
      <c r="E697" s="5" t="s">
        <v>2140</v>
      </c>
      <c r="F697" s="5" t="str">
        <f t="shared" si="2"/>
        <v>Roberts</v>
      </c>
      <c r="G697" s="5" t="s">
        <v>2140</v>
      </c>
      <c r="H697" s="6">
        <v>43.0</v>
      </c>
      <c r="I697" s="6">
        <f t="shared" si="3"/>
        <v>43</v>
      </c>
      <c r="J697" s="6">
        <v>43.0</v>
      </c>
      <c r="K697" s="6" t="str">
        <f t="shared" si="4"/>
        <v>Middle Age</v>
      </c>
      <c r="L697" s="6" t="s">
        <v>591</v>
      </c>
      <c r="M697" s="5" t="s">
        <v>152</v>
      </c>
      <c r="N697" s="5" t="str">
        <f t="shared" si="5"/>
        <v>Male</v>
      </c>
      <c r="O697" s="5" t="s">
        <v>152</v>
      </c>
      <c r="P697" s="5" t="s">
        <v>64</v>
      </c>
      <c r="Q697" s="5" t="s">
        <v>164</v>
      </c>
      <c r="R697" s="5" t="s">
        <v>452</v>
      </c>
      <c r="S697" s="5" t="s">
        <v>222</v>
      </c>
      <c r="T697" s="6">
        <v>3117.0</v>
      </c>
      <c r="U697" s="5">
        <f t="shared" si="6"/>
        <v>3117</v>
      </c>
      <c r="V697" s="5">
        <v>3117.0</v>
      </c>
    </row>
    <row r="698" ht="22.5" customHeight="1">
      <c r="A698" s="5" t="s">
        <v>2569</v>
      </c>
      <c r="B698" s="5" t="s">
        <v>2072</v>
      </c>
      <c r="C698" s="5" t="str">
        <f t="shared" si="1"/>
        <v>Steven</v>
      </c>
      <c r="D698" s="5" t="s">
        <v>2072</v>
      </c>
      <c r="E698" s="5" t="s">
        <v>25</v>
      </c>
      <c r="F698" s="5" t="str">
        <f t="shared" si="2"/>
        <v>Garcia</v>
      </c>
      <c r="G698" s="5" t="s">
        <v>25</v>
      </c>
      <c r="H698" s="6">
        <v>54.0</v>
      </c>
      <c r="I698" s="6">
        <f t="shared" si="3"/>
        <v>54</v>
      </c>
      <c r="J698" s="6">
        <v>54.0</v>
      </c>
      <c r="K698" s="6" t="str">
        <f t="shared" si="4"/>
        <v>Middle Age</v>
      </c>
      <c r="L698" s="6" t="s">
        <v>591</v>
      </c>
      <c r="M698" s="5" t="s">
        <v>1572</v>
      </c>
      <c r="N698" s="5" t="str">
        <f t="shared" si="5"/>
        <v>Male</v>
      </c>
      <c r="O698" s="5" t="s">
        <v>152</v>
      </c>
      <c r="P698" s="5" t="s">
        <v>47</v>
      </c>
      <c r="Q698" s="5" t="s">
        <v>377</v>
      </c>
      <c r="R698" s="5" t="s">
        <v>402</v>
      </c>
      <c r="S698" s="5" t="s">
        <v>559</v>
      </c>
      <c r="T698" s="6">
        <v>1344.0</v>
      </c>
      <c r="U698" s="5">
        <f t="shared" si="6"/>
        <v>1344</v>
      </c>
      <c r="V698" s="5">
        <v>1344.0</v>
      </c>
    </row>
    <row r="699" ht="22.5" customHeight="1">
      <c r="A699" s="5" t="s">
        <v>2571</v>
      </c>
      <c r="B699" s="5" t="s">
        <v>2512</v>
      </c>
      <c r="C699" s="5" t="str">
        <f t="shared" si="1"/>
        <v>Edward</v>
      </c>
      <c r="D699" s="5" t="s">
        <v>2512</v>
      </c>
      <c r="E699" s="5" t="s">
        <v>2572</v>
      </c>
      <c r="F699" s="5" t="str">
        <f t="shared" si="2"/>
        <v>Mitchell</v>
      </c>
      <c r="G699" s="5" t="s">
        <v>2572</v>
      </c>
      <c r="H699" s="6">
        <v>35.0</v>
      </c>
      <c r="I699" s="6">
        <f t="shared" si="3"/>
        <v>35</v>
      </c>
      <c r="J699" s="6">
        <v>35.0</v>
      </c>
      <c r="K699" s="6" t="str">
        <f t="shared" si="4"/>
        <v>Young Adult</v>
      </c>
      <c r="L699" s="6" t="s">
        <v>528</v>
      </c>
      <c r="M699" s="5" t="s">
        <v>45</v>
      </c>
      <c r="N699" s="5" t="str">
        <f t="shared" si="5"/>
        <v>Female</v>
      </c>
      <c r="O699" s="5" t="s">
        <v>105</v>
      </c>
      <c r="P699" s="5" t="s">
        <v>376</v>
      </c>
      <c r="Q699" s="5" t="s">
        <v>551</v>
      </c>
      <c r="R699" s="5" t="s">
        <v>96</v>
      </c>
      <c r="S699" s="5" t="s">
        <v>52</v>
      </c>
      <c r="T699" s="6">
        <v>230.0</v>
      </c>
      <c r="U699" s="5">
        <f t="shared" si="6"/>
        <v>230</v>
      </c>
      <c r="V699" s="5">
        <v>230.0</v>
      </c>
    </row>
    <row r="700" ht="22.5" customHeight="1">
      <c r="A700" s="5" t="s">
        <v>2575</v>
      </c>
      <c r="B700" s="5" t="s">
        <v>2302</v>
      </c>
      <c r="C700" s="5" t="str">
        <f t="shared" si="1"/>
        <v>Amanda</v>
      </c>
      <c r="D700" s="5" t="s">
        <v>2302</v>
      </c>
      <c r="E700" s="5" t="s">
        <v>2303</v>
      </c>
      <c r="F700" s="5" t="str">
        <f t="shared" si="2"/>
        <v>Harris</v>
      </c>
      <c r="G700" s="5" t="s">
        <v>2303</v>
      </c>
      <c r="H700" s="6">
        <v>28.0</v>
      </c>
      <c r="I700" s="6">
        <f t="shared" si="3"/>
        <v>28</v>
      </c>
      <c r="J700" s="6">
        <v>28.0</v>
      </c>
      <c r="K700" s="6" t="str">
        <f t="shared" si="4"/>
        <v>Young Adult</v>
      </c>
      <c r="L700" s="6" t="s">
        <v>528</v>
      </c>
      <c r="M700" s="5" t="s">
        <v>152</v>
      </c>
      <c r="N700" s="5" t="str">
        <f t="shared" si="5"/>
        <v>Male</v>
      </c>
      <c r="O700" s="5" t="s">
        <v>152</v>
      </c>
      <c r="P700" s="5" t="s">
        <v>237</v>
      </c>
      <c r="Q700" s="5" t="s">
        <v>358</v>
      </c>
      <c r="R700" s="5" t="s">
        <v>561</v>
      </c>
      <c r="S700" s="5" t="s">
        <v>52</v>
      </c>
      <c r="T700" s="6">
        <v>4646.0</v>
      </c>
      <c r="U700" s="5">
        <f t="shared" si="6"/>
        <v>4646</v>
      </c>
      <c r="V700" s="5">
        <v>4646.0</v>
      </c>
    </row>
    <row r="701" ht="22.5" customHeight="1">
      <c r="A701" s="5" t="s">
        <v>2578</v>
      </c>
      <c r="B701" s="5" t="s">
        <v>1788</v>
      </c>
      <c r="C701" s="5" t="str">
        <f t="shared" si="1"/>
        <v>Ashley</v>
      </c>
      <c r="D701" s="5" t="s">
        <v>1788</v>
      </c>
      <c r="E701" s="5" t="s">
        <v>2175</v>
      </c>
      <c r="F701" s="5" t="str">
        <f t="shared" si="2"/>
        <v>Flores</v>
      </c>
      <c r="G701" s="5" t="s">
        <v>2175</v>
      </c>
      <c r="H701" s="6">
        <v>33.0</v>
      </c>
      <c r="I701" s="6">
        <f t="shared" si="3"/>
        <v>33</v>
      </c>
      <c r="J701" s="6">
        <v>33.0</v>
      </c>
      <c r="K701" s="6" t="str">
        <f t="shared" si="4"/>
        <v>Young Adult</v>
      </c>
      <c r="L701" s="6" t="s">
        <v>528</v>
      </c>
      <c r="M701" s="5" t="s">
        <v>80</v>
      </c>
      <c r="N701" s="5" t="str">
        <f t="shared" si="5"/>
        <v>Male</v>
      </c>
      <c r="O701" s="5" t="s">
        <v>152</v>
      </c>
      <c r="P701" s="5" t="s">
        <v>237</v>
      </c>
      <c r="Q701" s="5" t="s">
        <v>164</v>
      </c>
      <c r="R701" s="5" t="s">
        <v>607</v>
      </c>
      <c r="S701" s="5" t="s">
        <v>222</v>
      </c>
      <c r="T701" s="6">
        <v>2858.0</v>
      </c>
      <c r="U701" s="5">
        <f t="shared" si="6"/>
        <v>2858</v>
      </c>
      <c r="V701" s="5">
        <v>2858.0</v>
      </c>
    </row>
    <row r="702" ht="22.5" customHeight="1">
      <c r="A702" s="5" t="s">
        <v>2579</v>
      </c>
      <c r="B702" s="5" t="s">
        <v>2326</v>
      </c>
      <c r="C702" s="5" t="str">
        <f t="shared" si="1"/>
        <v>Stephanie</v>
      </c>
      <c r="D702" s="5" t="s">
        <v>2326</v>
      </c>
      <c r="E702" s="5" t="s">
        <v>713</v>
      </c>
      <c r="F702" s="5" t="str">
        <f t="shared" si="2"/>
        <v>White</v>
      </c>
      <c r="G702" s="5" t="s">
        <v>713</v>
      </c>
      <c r="H702" s="6">
        <v>21.0</v>
      </c>
      <c r="I702" s="6">
        <f t="shared" si="3"/>
        <v>21</v>
      </c>
      <c r="J702" s="6">
        <v>21.0</v>
      </c>
      <c r="K702" s="6" t="str">
        <f t="shared" si="4"/>
        <v>Young Adult</v>
      </c>
      <c r="L702" s="6" t="s">
        <v>528</v>
      </c>
      <c r="M702" s="5" t="s">
        <v>45</v>
      </c>
      <c r="N702" s="5" t="str">
        <f t="shared" si="5"/>
        <v>Female</v>
      </c>
      <c r="O702" s="5" t="s">
        <v>105</v>
      </c>
      <c r="P702" s="5" t="s">
        <v>759</v>
      </c>
      <c r="Q702" s="5" t="s">
        <v>439</v>
      </c>
      <c r="R702" s="5" t="s">
        <v>210</v>
      </c>
      <c r="S702" s="5" t="s">
        <v>211</v>
      </c>
      <c r="T702" s="6">
        <v>1016.0</v>
      </c>
      <c r="U702" s="5">
        <f t="shared" si="6"/>
        <v>1016</v>
      </c>
      <c r="V702" s="5">
        <v>1016.0</v>
      </c>
    </row>
    <row r="703" ht="22.5" customHeight="1">
      <c r="A703" s="5" t="s">
        <v>2582</v>
      </c>
      <c r="B703" s="5" t="s">
        <v>2492</v>
      </c>
      <c r="C703" s="5" t="str">
        <f t="shared" si="1"/>
        <v>Justin</v>
      </c>
      <c r="D703" s="5" t="s">
        <v>2492</v>
      </c>
      <c r="E703" s="5" t="s">
        <v>2424</v>
      </c>
      <c r="F703" s="5" t="str">
        <f t="shared" si="2"/>
        <v>Nelson</v>
      </c>
      <c r="G703" s="5" t="s">
        <v>2424</v>
      </c>
      <c r="H703" s="6">
        <v>74.0</v>
      </c>
      <c r="I703" s="6">
        <f t="shared" si="3"/>
        <v>74</v>
      </c>
      <c r="J703" s="6">
        <v>74.0</v>
      </c>
      <c r="K703" s="6" t="str">
        <f t="shared" si="4"/>
        <v>Senior</v>
      </c>
      <c r="L703" s="6" t="s">
        <v>734</v>
      </c>
      <c r="M703" s="5" t="s">
        <v>28</v>
      </c>
      <c r="N703" s="5" t="str">
        <f t="shared" si="5"/>
        <v>Female</v>
      </c>
      <c r="O703" s="5" t="s">
        <v>105</v>
      </c>
      <c r="P703" s="5" t="s">
        <v>539</v>
      </c>
      <c r="Q703" s="5" t="s">
        <v>377</v>
      </c>
      <c r="R703" s="5" t="s">
        <v>96</v>
      </c>
      <c r="S703" s="5" t="s">
        <v>97</v>
      </c>
      <c r="T703" s="6">
        <v>890.0</v>
      </c>
      <c r="U703" s="5">
        <f t="shared" si="6"/>
        <v>890</v>
      </c>
      <c r="V703" s="5">
        <v>890.0</v>
      </c>
    </row>
    <row r="704" ht="22.5" customHeight="1">
      <c r="A704" s="5" t="s">
        <v>2584</v>
      </c>
      <c r="B704" s="5" t="s">
        <v>764</v>
      </c>
      <c r="C704" s="5" t="str">
        <f t="shared" si="1"/>
        <v>Nancy</v>
      </c>
      <c r="D704" s="5" t="s">
        <v>764</v>
      </c>
      <c r="E704" s="5" t="s">
        <v>25</v>
      </c>
      <c r="F704" s="5" t="str">
        <f t="shared" si="2"/>
        <v>Garcia</v>
      </c>
      <c r="G704" s="5" t="s">
        <v>25</v>
      </c>
      <c r="H704" s="6">
        <v>42.0</v>
      </c>
      <c r="I704" s="6">
        <f t="shared" si="3"/>
        <v>42</v>
      </c>
      <c r="J704" s="6">
        <v>42.0</v>
      </c>
      <c r="K704" s="6" t="str">
        <f t="shared" si="4"/>
        <v>Middle Age</v>
      </c>
      <c r="L704" s="6" t="s">
        <v>591</v>
      </c>
      <c r="M704" s="5" t="s">
        <v>28</v>
      </c>
      <c r="N704" s="5" t="str">
        <f t="shared" si="5"/>
        <v>Female</v>
      </c>
      <c r="O704" s="5" t="s">
        <v>105</v>
      </c>
      <c r="P704" s="5" t="s">
        <v>81</v>
      </c>
      <c r="Q704" s="5" t="s">
        <v>551</v>
      </c>
      <c r="R704" s="5" t="s">
        <v>96</v>
      </c>
      <c r="S704" s="5" t="s">
        <v>211</v>
      </c>
      <c r="T704" s="6">
        <v>901.0</v>
      </c>
      <c r="U704" s="5">
        <f t="shared" si="6"/>
        <v>901</v>
      </c>
      <c r="V704" s="5">
        <v>901.0</v>
      </c>
    </row>
    <row r="705" ht="22.5" customHeight="1">
      <c r="A705" s="5" t="s">
        <v>2588</v>
      </c>
      <c r="B705" s="5" t="s">
        <v>2237</v>
      </c>
      <c r="C705" s="5" t="str">
        <f t="shared" si="1"/>
        <v>Kimberly</v>
      </c>
      <c r="D705" s="5" t="s">
        <v>2237</v>
      </c>
      <c r="E705" s="5" t="s">
        <v>2154</v>
      </c>
      <c r="F705" s="5" t="str">
        <f t="shared" si="2"/>
        <v>Anderson</v>
      </c>
      <c r="G705" s="5" t="s">
        <v>2154</v>
      </c>
      <c r="H705" s="6">
        <v>54.0</v>
      </c>
      <c r="I705" s="6">
        <f t="shared" si="3"/>
        <v>54</v>
      </c>
      <c r="J705" s="6">
        <v>54.0</v>
      </c>
      <c r="K705" s="6" t="str">
        <f t="shared" si="4"/>
        <v>Middle Age</v>
      </c>
      <c r="L705" s="6" t="s">
        <v>591</v>
      </c>
      <c r="M705" s="5" t="s">
        <v>105</v>
      </c>
      <c r="N705" s="5" t="str">
        <f t="shared" si="5"/>
        <v>Female</v>
      </c>
      <c r="O705" s="5" t="s">
        <v>105</v>
      </c>
      <c r="P705" s="5" t="s">
        <v>141</v>
      </c>
      <c r="Q705" s="5" t="s">
        <v>377</v>
      </c>
      <c r="R705" s="5" t="s">
        <v>402</v>
      </c>
      <c r="S705" s="5" t="s">
        <v>559</v>
      </c>
      <c r="T705" s="6">
        <v>2089.0</v>
      </c>
      <c r="U705" s="5">
        <f t="shared" si="6"/>
        <v>2089</v>
      </c>
      <c r="V705" s="5">
        <v>2089.0</v>
      </c>
    </row>
    <row r="706" ht="22.5" customHeight="1">
      <c r="A706" s="5" t="s">
        <v>2592</v>
      </c>
      <c r="B706" s="5" t="s">
        <v>577</v>
      </c>
      <c r="C706" s="5" t="str">
        <f t="shared" si="1"/>
        <v>Rebecca</v>
      </c>
      <c r="D706" s="5" t="s">
        <v>577</v>
      </c>
      <c r="E706" s="5" t="s">
        <v>2135</v>
      </c>
      <c r="F706" s="5" t="str">
        <f t="shared" si="2"/>
        <v>Gomez</v>
      </c>
      <c r="G706" s="5" t="s">
        <v>2135</v>
      </c>
      <c r="H706" s="6">
        <v>74.0</v>
      </c>
      <c r="I706" s="6">
        <f t="shared" si="3"/>
        <v>74</v>
      </c>
      <c r="J706" s="6">
        <v>74.0</v>
      </c>
      <c r="K706" s="6" t="str">
        <f t="shared" si="4"/>
        <v>Senior</v>
      </c>
      <c r="L706" s="6" t="s">
        <v>734</v>
      </c>
      <c r="M706" s="5" t="s">
        <v>105</v>
      </c>
      <c r="N706" s="5" t="str">
        <f t="shared" si="5"/>
        <v>Female</v>
      </c>
      <c r="O706" s="5" t="s">
        <v>105</v>
      </c>
      <c r="P706" s="5" t="s">
        <v>30</v>
      </c>
      <c r="Q706" s="5" t="s">
        <v>551</v>
      </c>
      <c r="R706" s="5" t="s">
        <v>96</v>
      </c>
      <c r="S706" s="5" t="s">
        <v>97</v>
      </c>
      <c r="T706" s="6">
        <v>467.0</v>
      </c>
      <c r="U706" s="5">
        <f t="shared" si="6"/>
        <v>467</v>
      </c>
      <c r="V706" s="5">
        <v>467.0</v>
      </c>
    </row>
    <row r="707" ht="22.5" customHeight="1">
      <c r="A707" s="5" t="s">
        <v>2594</v>
      </c>
      <c r="B707" s="5" t="s">
        <v>2596</v>
      </c>
      <c r="C707" s="5" t="str">
        <f t="shared" si="1"/>
        <v>Ronald</v>
      </c>
      <c r="D707" s="5" t="s">
        <v>2596</v>
      </c>
      <c r="E707" s="5" t="s">
        <v>352</v>
      </c>
      <c r="F707" s="5" t="str">
        <f t="shared" si="2"/>
        <v>Kim</v>
      </c>
      <c r="G707" s="5" t="s">
        <v>352</v>
      </c>
      <c r="H707" s="6">
        <v>53.0</v>
      </c>
      <c r="I707" s="6">
        <f t="shared" si="3"/>
        <v>53</v>
      </c>
      <c r="J707" s="6">
        <v>53.0</v>
      </c>
      <c r="K707" s="6" t="str">
        <f t="shared" si="4"/>
        <v>Middle Age</v>
      </c>
      <c r="L707" s="6" t="s">
        <v>591</v>
      </c>
      <c r="M707" s="5" t="s">
        <v>105</v>
      </c>
      <c r="N707" s="5" t="str">
        <f t="shared" si="5"/>
        <v>Female</v>
      </c>
      <c r="O707" s="5" t="s">
        <v>105</v>
      </c>
      <c r="P707" s="5" t="s">
        <v>759</v>
      </c>
      <c r="Q707" s="5" t="s">
        <v>358</v>
      </c>
      <c r="R707" s="5" t="s">
        <v>561</v>
      </c>
      <c r="S707" s="5" t="s">
        <v>559</v>
      </c>
      <c r="T707" s="6">
        <v>3520.0</v>
      </c>
      <c r="U707" s="5">
        <f t="shared" si="6"/>
        <v>3520</v>
      </c>
      <c r="V707" s="5">
        <v>3520.0</v>
      </c>
    </row>
    <row r="708" ht="22.5" customHeight="1">
      <c r="A708" s="5" t="s">
        <v>2598</v>
      </c>
      <c r="B708" s="5" t="s">
        <v>2285</v>
      </c>
      <c r="C708" s="5" t="str">
        <f t="shared" si="1"/>
        <v>Donna</v>
      </c>
      <c r="D708" s="5" t="s">
        <v>2285</v>
      </c>
      <c r="E708" s="5" t="s">
        <v>2235</v>
      </c>
      <c r="F708" s="5" t="str">
        <f t="shared" si="2"/>
        <v>Murphy</v>
      </c>
      <c r="G708" s="5" t="s">
        <v>2235</v>
      </c>
      <c r="H708" s="6">
        <v>76.0</v>
      </c>
      <c r="I708" s="6">
        <f t="shared" si="3"/>
        <v>76</v>
      </c>
      <c r="J708" s="6">
        <v>76.0</v>
      </c>
      <c r="K708" s="6" t="str">
        <f t="shared" si="4"/>
        <v>Senior</v>
      </c>
      <c r="L708" s="6" t="s">
        <v>734</v>
      </c>
      <c r="M708" s="5" t="s">
        <v>152</v>
      </c>
      <c r="N708" s="5" t="str">
        <f t="shared" si="5"/>
        <v>Male</v>
      </c>
      <c r="O708" s="5" t="s">
        <v>152</v>
      </c>
      <c r="P708" s="5" t="s">
        <v>539</v>
      </c>
      <c r="Q708" s="5" t="s">
        <v>377</v>
      </c>
      <c r="R708" s="5" t="s">
        <v>96</v>
      </c>
      <c r="S708" s="5" t="s">
        <v>97</v>
      </c>
      <c r="T708" s="6">
        <v>492.0</v>
      </c>
      <c r="U708" s="5">
        <f t="shared" si="6"/>
        <v>492</v>
      </c>
      <c r="V708" s="5">
        <v>492.0</v>
      </c>
    </row>
    <row r="709" ht="22.5" customHeight="1">
      <c r="A709" s="5" t="s">
        <v>2601</v>
      </c>
      <c r="B709" s="5" t="s">
        <v>2306</v>
      </c>
      <c r="C709" s="5" t="str">
        <f t="shared" si="1"/>
        <v>Gregory</v>
      </c>
      <c r="D709" s="5" t="s">
        <v>2306</v>
      </c>
      <c r="E709" s="5" t="s">
        <v>2135</v>
      </c>
      <c r="F709" s="5" t="str">
        <f t="shared" si="2"/>
        <v>Gomez</v>
      </c>
      <c r="G709" s="5" t="s">
        <v>2135</v>
      </c>
      <c r="H709" s="6">
        <v>22.0</v>
      </c>
      <c r="I709" s="6">
        <f t="shared" si="3"/>
        <v>22</v>
      </c>
      <c r="J709" s="6">
        <v>22.0</v>
      </c>
      <c r="K709" s="6" t="str">
        <f t="shared" si="4"/>
        <v>Young Adult</v>
      </c>
      <c r="L709" s="6" t="s">
        <v>528</v>
      </c>
      <c r="M709" s="5" t="s">
        <v>28</v>
      </c>
      <c r="N709" s="5" t="str">
        <f t="shared" si="5"/>
        <v>Female</v>
      </c>
      <c r="O709" s="5" t="s">
        <v>105</v>
      </c>
      <c r="P709" s="5" t="s">
        <v>30</v>
      </c>
      <c r="Q709" s="5" t="s">
        <v>551</v>
      </c>
      <c r="R709" s="5" t="s">
        <v>96</v>
      </c>
      <c r="S709" s="5" t="s">
        <v>222</v>
      </c>
      <c r="T709" s="6">
        <v>571.0</v>
      </c>
      <c r="U709" s="5">
        <f t="shared" si="6"/>
        <v>571</v>
      </c>
      <c r="V709" s="5">
        <v>571.0</v>
      </c>
    </row>
    <row r="710" ht="22.5" customHeight="1">
      <c r="A710" s="5" t="s">
        <v>2602</v>
      </c>
      <c r="B710" s="5" t="s">
        <v>1143</v>
      </c>
      <c r="C710" s="5" t="str">
        <f t="shared" si="1"/>
        <v>Joshua</v>
      </c>
      <c r="D710" s="5" t="s">
        <v>1143</v>
      </c>
      <c r="E710" s="5" t="s">
        <v>301</v>
      </c>
      <c r="F710" s="5" t="str">
        <f t="shared" si="2"/>
        <v>Lee</v>
      </c>
      <c r="G710" s="5" t="s">
        <v>301</v>
      </c>
      <c r="H710" s="6">
        <v>47.0</v>
      </c>
      <c r="I710" s="6">
        <f t="shared" si="3"/>
        <v>47</v>
      </c>
      <c r="J710" s="6">
        <v>47.0</v>
      </c>
      <c r="K710" s="6" t="str">
        <f t="shared" si="4"/>
        <v>Middle Age</v>
      </c>
      <c r="L710" s="6" t="s">
        <v>591</v>
      </c>
      <c r="M710" s="5" t="s">
        <v>80</v>
      </c>
      <c r="N710" s="5" t="str">
        <f t="shared" si="5"/>
        <v>Male</v>
      </c>
      <c r="O710" s="5" t="s">
        <v>152</v>
      </c>
      <c r="P710" s="5" t="s">
        <v>30</v>
      </c>
      <c r="Q710" s="5" t="s">
        <v>238</v>
      </c>
      <c r="R710" s="5" t="s">
        <v>533</v>
      </c>
      <c r="S710" s="5" t="s">
        <v>211</v>
      </c>
      <c r="T710" s="6">
        <v>1892.0</v>
      </c>
      <c r="U710" s="5">
        <f t="shared" si="6"/>
        <v>1892</v>
      </c>
      <c r="V710" s="5">
        <v>1892.0</v>
      </c>
    </row>
    <row r="711" ht="22.5" customHeight="1">
      <c r="A711" s="5" t="s">
        <v>2603</v>
      </c>
      <c r="B711" s="5" t="s">
        <v>2072</v>
      </c>
      <c r="C711" s="5" t="str">
        <f t="shared" si="1"/>
        <v>Steven</v>
      </c>
      <c r="D711" s="5" t="s">
        <v>2072</v>
      </c>
      <c r="E711" s="5" t="s">
        <v>316</v>
      </c>
      <c r="F711" s="5" t="str">
        <f t="shared" si="2"/>
        <v>Baker</v>
      </c>
      <c r="G711" s="5" t="s">
        <v>316</v>
      </c>
      <c r="H711" s="6">
        <v>58.0</v>
      </c>
      <c r="I711" s="6">
        <f t="shared" si="3"/>
        <v>58</v>
      </c>
      <c r="J711" s="6">
        <v>58.0</v>
      </c>
      <c r="K711" s="6" t="str">
        <f t="shared" si="4"/>
        <v>Middle Age</v>
      </c>
      <c r="L711" s="6" t="s">
        <v>591</v>
      </c>
      <c r="M711" s="5" t="s">
        <v>45</v>
      </c>
      <c r="N711" s="5" t="str">
        <f t="shared" si="5"/>
        <v>Female</v>
      </c>
      <c r="O711" s="5" t="s">
        <v>105</v>
      </c>
      <c r="P711" s="5" t="s">
        <v>64</v>
      </c>
      <c r="Q711" s="5" t="s">
        <v>123</v>
      </c>
      <c r="R711" s="5" t="s">
        <v>83</v>
      </c>
      <c r="S711" s="5" t="s">
        <v>211</v>
      </c>
      <c r="T711" s="6">
        <v>2173.0</v>
      </c>
      <c r="U711" s="5">
        <f t="shared" si="6"/>
        <v>2173</v>
      </c>
      <c r="V711" s="5">
        <v>2173.0</v>
      </c>
    </row>
    <row r="712" ht="22.5" customHeight="1">
      <c r="A712" s="5" t="s">
        <v>2605</v>
      </c>
      <c r="B712" s="5" t="s">
        <v>2400</v>
      </c>
      <c r="C712" s="5" t="str">
        <f t="shared" si="1"/>
        <v>Ruth</v>
      </c>
      <c r="D712" s="5" t="s">
        <v>2400</v>
      </c>
      <c r="E712" s="5" t="s">
        <v>2254</v>
      </c>
      <c r="F712" s="5" t="str">
        <f t="shared" si="2"/>
        <v>Allen</v>
      </c>
      <c r="G712" s="5" t="s">
        <v>2254</v>
      </c>
      <c r="H712" s="6">
        <v>31.0</v>
      </c>
      <c r="I712" s="6">
        <f t="shared" si="3"/>
        <v>31</v>
      </c>
      <c r="J712" s="6">
        <v>31.0</v>
      </c>
      <c r="K712" s="6" t="str">
        <f t="shared" si="4"/>
        <v>Young Adult</v>
      </c>
      <c r="L712" s="6" t="s">
        <v>528</v>
      </c>
      <c r="M712" s="5" t="s">
        <v>152</v>
      </c>
      <c r="N712" s="5" t="str">
        <f t="shared" si="5"/>
        <v>Male</v>
      </c>
      <c r="O712" s="5" t="s">
        <v>152</v>
      </c>
      <c r="P712" s="5" t="s">
        <v>208</v>
      </c>
      <c r="Q712" s="5" t="s">
        <v>436</v>
      </c>
      <c r="R712" s="5" t="s">
        <v>561</v>
      </c>
      <c r="S712" s="5" t="s">
        <v>211</v>
      </c>
      <c r="T712" s="6">
        <v>3475.0</v>
      </c>
      <c r="U712" s="5">
        <f t="shared" si="6"/>
        <v>3475</v>
      </c>
      <c r="V712" s="5">
        <v>3475.0</v>
      </c>
    </row>
    <row r="713" ht="22.5" customHeight="1">
      <c r="A713" s="5" t="s">
        <v>2607</v>
      </c>
      <c r="B713" s="5" t="s">
        <v>2183</v>
      </c>
      <c r="C713" s="5" t="str">
        <f t="shared" si="1"/>
        <v>Larry</v>
      </c>
      <c r="D713" s="5" t="s">
        <v>2183</v>
      </c>
      <c r="E713" s="5" t="s">
        <v>2251</v>
      </c>
      <c r="F713" s="5" t="str">
        <f t="shared" si="2"/>
        <v>Adams</v>
      </c>
      <c r="G713" s="5" t="s">
        <v>2251</v>
      </c>
      <c r="H713" s="6">
        <v>43.0</v>
      </c>
      <c r="I713" s="6">
        <f t="shared" si="3"/>
        <v>43</v>
      </c>
      <c r="J713" s="6">
        <v>43.0</v>
      </c>
      <c r="K713" s="6" t="str">
        <f t="shared" si="4"/>
        <v>Middle Age</v>
      </c>
      <c r="L713" s="6" t="s">
        <v>591</v>
      </c>
      <c r="M713" s="5" t="s">
        <v>80</v>
      </c>
      <c r="N713" s="5" t="str">
        <f t="shared" si="5"/>
        <v>Male</v>
      </c>
      <c r="O713" s="5" t="s">
        <v>152</v>
      </c>
      <c r="P713" s="5" t="s">
        <v>64</v>
      </c>
      <c r="Q713" s="5" t="s">
        <v>551</v>
      </c>
      <c r="R713" s="5" t="s">
        <v>83</v>
      </c>
      <c r="S713" s="5" t="s">
        <v>559</v>
      </c>
      <c r="T713" s="6">
        <v>2420.0</v>
      </c>
      <c r="U713" s="5">
        <f t="shared" si="6"/>
        <v>2420</v>
      </c>
      <c r="V713" s="5">
        <v>2420.0</v>
      </c>
    </row>
    <row r="714" ht="22.5" customHeight="1">
      <c r="A714" s="5" t="s">
        <v>2611</v>
      </c>
      <c r="B714" s="5" t="s">
        <v>2008</v>
      </c>
      <c r="C714" s="5" t="str">
        <f t="shared" si="1"/>
        <v>William</v>
      </c>
      <c r="D714" s="5" t="s">
        <v>2008</v>
      </c>
      <c r="E714" s="5" t="s">
        <v>2266</v>
      </c>
      <c r="F714" s="5" t="str">
        <f t="shared" si="2"/>
        <v>Morgan</v>
      </c>
      <c r="G714" s="5" t="s">
        <v>2266</v>
      </c>
      <c r="H714" s="6">
        <v>60.0</v>
      </c>
      <c r="I714" s="6">
        <f t="shared" si="3"/>
        <v>60</v>
      </c>
      <c r="J714" s="6">
        <v>60.0</v>
      </c>
      <c r="K714" s="6" t="str">
        <f t="shared" si="4"/>
        <v>Middle Age</v>
      </c>
      <c r="L714" s="6" t="s">
        <v>591</v>
      </c>
      <c r="M714" s="5" t="s">
        <v>45</v>
      </c>
      <c r="N714" s="5" t="str">
        <f t="shared" si="5"/>
        <v>Female</v>
      </c>
      <c r="O714" s="5" t="s">
        <v>105</v>
      </c>
      <c r="P714" s="5" t="s">
        <v>131</v>
      </c>
      <c r="Q714" s="5" t="s">
        <v>311</v>
      </c>
      <c r="R714" s="5" t="s">
        <v>546</v>
      </c>
      <c r="S714" s="5" t="s">
        <v>559</v>
      </c>
      <c r="T714" s="6">
        <v>1972.0</v>
      </c>
      <c r="U714" s="5">
        <f t="shared" si="6"/>
        <v>1972</v>
      </c>
      <c r="V714" s="5">
        <v>1972.0</v>
      </c>
    </row>
    <row r="715" ht="22.5" customHeight="1">
      <c r="A715" s="5" t="s">
        <v>2613</v>
      </c>
      <c r="B715" s="5" t="s">
        <v>2183</v>
      </c>
      <c r="C715" s="5" t="str">
        <f t="shared" si="1"/>
        <v>Larry</v>
      </c>
      <c r="D715" s="5" t="s">
        <v>2183</v>
      </c>
      <c r="E715" s="5" t="s">
        <v>2518</v>
      </c>
      <c r="F715" s="5" t="str">
        <f t="shared" si="2"/>
        <v>Hernandez</v>
      </c>
      <c r="G715" s="5" t="s">
        <v>2518</v>
      </c>
      <c r="H715" s="6">
        <v>66.0</v>
      </c>
      <c r="I715" s="6">
        <f t="shared" si="3"/>
        <v>66</v>
      </c>
      <c r="J715" s="6">
        <v>66.0</v>
      </c>
      <c r="K715" s="6" t="str">
        <f t="shared" si="4"/>
        <v>Senior</v>
      </c>
      <c r="L715" s="6" t="s">
        <v>734</v>
      </c>
      <c r="M715" s="5" t="s">
        <v>45</v>
      </c>
      <c r="N715" s="5" t="str">
        <f t="shared" si="5"/>
        <v>Female</v>
      </c>
      <c r="O715" s="5" t="s">
        <v>105</v>
      </c>
      <c r="P715" s="5" t="s">
        <v>81</v>
      </c>
      <c r="Q715" s="5" t="s">
        <v>32</v>
      </c>
      <c r="R715" s="5" t="s">
        <v>83</v>
      </c>
      <c r="S715" s="5" t="s">
        <v>97</v>
      </c>
      <c r="T715" s="6">
        <v>2872.0</v>
      </c>
      <c r="U715" s="5">
        <f t="shared" si="6"/>
        <v>2872</v>
      </c>
      <c r="V715" s="5">
        <v>2872.0</v>
      </c>
    </row>
    <row r="716" ht="22.5" customHeight="1">
      <c r="A716" s="5" t="s">
        <v>2616</v>
      </c>
      <c r="B716" s="5" t="s">
        <v>127</v>
      </c>
      <c r="C716" s="5" t="str">
        <f t="shared" si="1"/>
        <v>John</v>
      </c>
      <c r="D716" s="5" t="s">
        <v>127</v>
      </c>
      <c r="E716" s="5" t="s">
        <v>2073</v>
      </c>
      <c r="F716" s="5" t="str">
        <f t="shared" si="2"/>
        <v>Campbell</v>
      </c>
      <c r="G716" s="5" t="s">
        <v>2073</v>
      </c>
      <c r="H716" s="6">
        <v>83.0</v>
      </c>
      <c r="I716" s="6">
        <f t="shared" si="3"/>
        <v>83</v>
      </c>
      <c r="J716" s="6">
        <v>83.0</v>
      </c>
      <c r="K716" s="6" t="str">
        <f t="shared" si="4"/>
        <v>Senior</v>
      </c>
      <c r="L716" s="6" t="s">
        <v>734</v>
      </c>
      <c r="M716" s="5" t="s">
        <v>28</v>
      </c>
      <c r="N716" s="5" t="str">
        <f t="shared" si="5"/>
        <v>Female</v>
      </c>
      <c r="O716" s="5" t="s">
        <v>105</v>
      </c>
      <c r="P716" s="5" t="s">
        <v>47</v>
      </c>
      <c r="Q716" s="5" t="s">
        <v>311</v>
      </c>
      <c r="R716" s="5" t="s">
        <v>96</v>
      </c>
      <c r="S716" s="5" t="s">
        <v>97</v>
      </c>
      <c r="T716" s="6">
        <v>612.0</v>
      </c>
      <c r="U716" s="5">
        <f t="shared" si="6"/>
        <v>612</v>
      </c>
      <c r="V716" s="5">
        <v>612.0</v>
      </c>
    </row>
    <row r="717" ht="22.5" customHeight="1">
      <c r="A717" s="5" t="s">
        <v>2617</v>
      </c>
      <c r="B717" s="5" t="s">
        <v>2618</v>
      </c>
      <c r="C717" s="5" t="str">
        <f t="shared" si="1"/>
        <v>Jeffrey</v>
      </c>
      <c r="D717" s="5" t="s">
        <v>2618</v>
      </c>
      <c r="E717" s="5" t="s">
        <v>2148</v>
      </c>
      <c r="F717" s="5" t="str">
        <f t="shared" si="2"/>
        <v>Taylor</v>
      </c>
      <c r="G717" s="5" t="s">
        <v>2148</v>
      </c>
      <c r="H717" s="6">
        <v>20.0</v>
      </c>
      <c r="I717" s="6">
        <f t="shared" si="3"/>
        <v>20</v>
      </c>
      <c r="J717" s="6">
        <v>20.0</v>
      </c>
      <c r="K717" s="6" t="str">
        <f t="shared" si="4"/>
        <v>Young Adult</v>
      </c>
      <c r="L717" s="6" t="s">
        <v>528</v>
      </c>
      <c r="M717" s="5" t="s">
        <v>1572</v>
      </c>
      <c r="N717" s="5" t="str">
        <f t="shared" si="5"/>
        <v>Male</v>
      </c>
      <c r="O717" s="5" t="s">
        <v>152</v>
      </c>
      <c r="P717" s="5" t="s">
        <v>759</v>
      </c>
      <c r="Q717" s="5" t="s">
        <v>32</v>
      </c>
      <c r="R717" s="5" t="s">
        <v>83</v>
      </c>
      <c r="S717" s="5" t="s">
        <v>52</v>
      </c>
      <c r="T717" s="6">
        <v>3053.0</v>
      </c>
      <c r="U717" s="5">
        <f t="shared" si="6"/>
        <v>3053</v>
      </c>
      <c r="V717" s="5">
        <v>3053.0</v>
      </c>
    </row>
    <row r="718" ht="22.5" customHeight="1">
      <c r="A718" s="5" t="s">
        <v>2620</v>
      </c>
      <c r="B718" s="5" t="s">
        <v>2492</v>
      </c>
      <c r="C718" s="5" t="str">
        <f t="shared" si="1"/>
        <v>Justin</v>
      </c>
      <c r="D718" s="5" t="s">
        <v>2492</v>
      </c>
      <c r="E718" s="5" t="s">
        <v>2254</v>
      </c>
      <c r="F718" s="5" t="str">
        <f t="shared" si="2"/>
        <v>Allen</v>
      </c>
      <c r="G718" s="5" t="s">
        <v>2254</v>
      </c>
      <c r="H718" s="6">
        <v>0.0</v>
      </c>
      <c r="I718" s="6">
        <f t="shared" si="3"/>
        <v>0</v>
      </c>
      <c r="J718" s="6">
        <v>0.0</v>
      </c>
      <c r="K718" s="6" t="str">
        <f t="shared" si="4"/>
        <v>Unknown</v>
      </c>
      <c r="L718" s="6" t="s">
        <v>1081</v>
      </c>
      <c r="M718" s="5" t="s">
        <v>45</v>
      </c>
      <c r="N718" s="5" t="str">
        <f t="shared" si="5"/>
        <v>Female</v>
      </c>
      <c r="O718" s="5" t="s">
        <v>105</v>
      </c>
      <c r="P718" s="5" t="s">
        <v>64</v>
      </c>
      <c r="Q718" s="5" t="s">
        <v>470</v>
      </c>
      <c r="R718" s="5" t="s">
        <v>96</v>
      </c>
      <c r="S718" s="5" t="s">
        <v>211</v>
      </c>
      <c r="T718" s="6">
        <v>866.0</v>
      </c>
      <c r="U718" s="5">
        <f t="shared" si="6"/>
        <v>866</v>
      </c>
      <c r="V718" s="5">
        <v>866.0</v>
      </c>
    </row>
    <row r="719" ht="22.5" customHeight="1">
      <c r="A719" s="5" t="s">
        <v>2623</v>
      </c>
      <c r="B719" s="5" t="s">
        <v>2512</v>
      </c>
      <c r="C719" s="5" t="str">
        <f t="shared" si="1"/>
        <v>Edward</v>
      </c>
      <c r="D719" s="5" t="s">
        <v>2512</v>
      </c>
      <c r="E719" s="5" t="s">
        <v>2624</v>
      </c>
      <c r="F719" s="5" t="str">
        <f t="shared" si="2"/>
        <v>Sanders</v>
      </c>
      <c r="G719" s="5" t="s">
        <v>2624</v>
      </c>
      <c r="H719" s="6">
        <v>37.0</v>
      </c>
      <c r="I719" s="6">
        <f t="shared" si="3"/>
        <v>37</v>
      </c>
      <c r="J719" s="6">
        <v>37.0</v>
      </c>
      <c r="K719" s="6" t="str">
        <f t="shared" si="4"/>
        <v>Young Adult</v>
      </c>
      <c r="L719" s="6" t="s">
        <v>528</v>
      </c>
      <c r="M719" s="5" t="s">
        <v>1572</v>
      </c>
      <c r="N719" s="5" t="str">
        <f t="shared" si="5"/>
        <v>Male</v>
      </c>
      <c r="O719" s="5" t="s">
        <v>152</v>
      </c>
      <c r="P719" s="5" t="s">
        <v>309</v>
      </c>
      <c r="Q719" s="5" t="s">
        <v>311</v>
      </c>
      <c r="R719" s="5" t="s">
        <v>96</v>
      </c>
      <c r="S719" s="5" t="s">
        <v>52</v>
      </c>
      <c r="T719" s="6">
        <v>529.0</v>
      </c>
      <c r="U719" s="5">
        <f t="shared" si="6"/>
        <v>529</v>
      </c>
      <c r="V719" s="5">
        <v>529.0</v>
      </c>
    </row>
    <row r="720" ht="22.5" customHeight="1">
      <c r="A720" s="5" t="s">
        <v>2626</v>
      </c>
      <c r="B720" s="5" t="s">
        <v>2126</v>
      </c>
      <c r="C720" s="5" t="str">
        <f t="shared" si="1"/>
        <v>Carolyn</v>
      </c>
      <c r="D720" s="5" t="s">
        <v>2126</v>
      </c>
      <c r="E720" s="5" t="s">
        <v>2628</v>
      </c>
      <c r="F720" s="5" t="str">
        <f t="shared" si="2"/>
        <v>Foster</v>
      </c>
      <c r="G720" s="5" t="s">
        <v>2628</v>
      </c>
      <c r="H720" s="6">
        <v>27.0</v>
      </c>
      <c r="I720" s="6">
        <f t="shared" si="3"/>
        <v>27</v>
      </c>
      <c r="J720" s="6">
        <v>27.0</v>
      </c>
      <c r="K720" s="6" t="str">
        <f t="shared" si="4"/>
        <v>Young Adult</v>
      </c>
      <c r="L720" s="6" t="s">
        <v>528</v>
      </c>
      <c r="M720" s="5" t="s">
        <v>45</v>
      </c>
      <c r="N720" s="5" t="str">
        <f t="shared" si="5"/>
        <v>Female</v>
      </c>
      <c r="O720" s="5" t="s">
        <v>105</v>
      </c>
      <c r="P720" s="5" t="s">
        <v>539</v>
      </c>
      <c r="Q720" s="5" t="s">
        <v>669</v>
      </c>
      <c r="R720" s="5" t="s">
        <v>452</v>
      </c>
      <c r="S720" s="5" t="s">
        <v>52</v>
      </c>
      <c r="T720" s="6">
        <v>3733.0</v>
      </c>
      <c r="U720" s="5">
        <f t="shared" si="6"/>
        <v>3733</v>
      </c>
      <c r="V720" s="5">
        <v>3733.0</v>
      </c>
    </row>
    <row r="721" ht="22.5" customHeight="1">
      <c r="A721" s="5" t="s">
        <v>2630</v>
      </c>
      <c r="B721" s="5" t="s">
        <v>2250</v>
      </c>
      <c r="C721" s="5" t="str">
        <f t="shared" si="1"/>
        <v>Maria</v>
      </c>
      <c r="D721" s="5" t="s">
        <v>2250</v>
      </c>
      <c r="E721" s="5" t="s">
        <v>2518</v>
      </c>
      <c r="F721" s="5" t="str">
        <f t="shared" si="2"/>
        <v>Hernandez</v>
      </c>
      <c r="G721" s="5" t="s">
        <v>2518</v>
      </c>
      <c r="H721" s="6">
        <v>54.0</v>
      </c>
      <c r="I721" s="6">
        <f t="shared" si="3"/>
        <v>54</v>
      </c>
      <c r="J721" s="6">
        <v>54.0</v>
      </c>
      <c r="K721" s="6" t="str">
        <f t="shared" si="4"/>
        <v>Middle Age</v>
      </c>
      <c r="L721" s="6" t="s">
        <v>591</v>
      </c>
      <c r="M721" s="5" t="s">
        <v>45</v>
      </c>
      <c r="N721" s="5" t="str">
        <f t="shared" si="5"/>
        <v>Female</v>
      </c>
      <c r="O721" s="5" t="s">
        <v>105</v>
      </c>
      <c r="P721" s="5" t="s">
        <v>107</v>
      </c>
      <c r="Q721" s="5" t="s">
        <v>637</v>
      </c>
      <c r="R721" s="5" t="s">
        <v>546</v>
      </c>
      <c r="S721" s="5" t="s">
        <v>211</v>
      </c>
      <c r="T721" s="6">
        <v>1151.0</v>
      </c>
      <c r="U721" s="5">
        <f t="shared" si="6"/>
        <v>1151</v>
      </c>
      <c r="V721" s="5">
        <v>1151.0</v>
      </c>
    </row>
    <row r="722" ht="22.5" customHeight="1">
      <c r="A722" s="5" t="s">
        <v>2632</v>
      </c>
      <c r="B722" s="5" t="s">
        <v>2618</v>
      </c>
      <c r="C722" s="5" t="str">
        <f t="shared" si="1"/>
        <v>Jeffrey</v>
      </c>
      <c r="D722" s="5" t="s">
        <v>2618</v>
      </c>
      <c r="E722" s="5" t="s">
        <v>629</v>
      </c>
      <c r="F722" s="5" t="str">
        <f t="shared" si="2"/>
        <v>Richardson</v>
      </c>
      <c r="G722" s="5" t="s">
        <v>629</v>
      </c>
      <c r="H722" s="6">
        <v>-21.0</v>
      </c>
      <c r="I722" s="6">
        <f t="shared" si="3"/>
        <v>21</v>
      </c>
      <c r="J722" s="6">
        <v>21.0</v>
      </c>
      <c r="K722" s="6" t="str">
        <f t="shared" si="4"/>
        <v>Young Adult</v>
      </c>
      <c r="L722" s="6" t="s">
        <v>528</v>
      </c>
      <c r="M722" s="5" t="s">
        <v>152</v>
      </c>
      <c r="N722" s="5" t="str">
        <f t="shared" si="5"/>
        <v>Male</v>
      </c>
      <c r="O722" s="5" t="s">
        <v>152</v>
      </c>
      <c r="P722" s="5" t="s">
        <v>47</v>
      </c>
      <c r="Q722" s="5" t="s">
        <v>277</v>
      </c>
      <c r="R722" s="5" t="s">
        <v>402</v>
      </c>
      <c r="S722" s="5" t="s">
        <v>211</v>
      </c>
      <c r="T722" s="6">
        <v>1549.0</v>
      </c>
      <c r="U722" s="5">
        <f t="shared" si="6"/>
        <v>1549</v>
      </c>
      <c r="V722" s="5">
        <v>1549.0</v>
      </c>
    </row>
    <row r="723" ht="22.5" customHeight="1">
      <c r="A723" s="5" t="s">
        <v>2634</v>
      </c>
      <c r="B723" s="5" t="s">
        <v>2350</v>
      </c>
      <c r="C723" s="5" t="str">
        <f t="shared" si="1"/>
        <v>Donald</v>
      </c>
      <c r="D723" s="5" t="s">
        <v>2350</v>
      </c>
      <c r="E723" s="5" t="s">
        <v>2179</v>
      </c>
      <c r="F723" s="5" t="str">
        <f t="shared" si="2"/>
        <v>Hill</v>
      </c>
      <c r="G723" s="5" t="s">
        <v>2179</v>
      </c>
      <c r="H723" s="6">
        <v>22.0</v>
      </c>
      <c r="I723" s="6">
        <f t="shared" si="3"/>
        <v>22</v>
      </c>
      <c r="J723" s="6">
        <v>22.0</v>
      </c>
      <c r="K723" s="6" t="str">
        <f t="shared" si="4"/>
        <v>Young Adult</v>
      </c>
      <c r="L723" s="6" t="s">
        <v>528</v>
      </c>
      <c r="M723" s="5" t="s">
        <v>28</v>
      </c>
      <c r="N723" s="5" t="str">
        <f t="shared" si="5"/>
        <v>Female</v>
      </c>
      <c r="O723" s="5" t="s">
        <v>105</v>
      </c>
      <c r="P723" s="5" t="s">
        <v>309</v>
      </c>
      <c r="Q723" s="5" t="s">
        <v>418</v>
      </c>
      <c r="R723" s="5" t="s">
        <v>210</v>
      </c>
      <c r="S723" s="5" t="s">
        <v>52</v>
      </c>
      <c r="T723" s="6">
        <v>1018.0</v>
      </c>
      <c r="U723" s="5">
        <f t="shared" si="6"/>
        <v>1018</v>
      </c>
      <c r="V723" s="5">
        <v>1018.0</v>
      </c>
    </row>
    <row r="724" ht="22.5" customHeight="1">
      <c r="A724" s="5" t="s">
        <v>2637</v>
      </c>
      <c r="B724" s="5" t="s">
        <v>2086</v>
      </c>
      <c r="C724" s="5" t="str">
        <f t="shared" si="1"/>
        <v>Nicole</v>
      </c>
      <c r="D724" s="5" t="s">
        <v>2086</v>
      </c>
      <c r="E724" s="5" t="s">
        <v>42</v>
      </c>
      <c r="F724" s="5" t="str">
        <f t="shared" si="2"/>
        <v>Lopez</v>
      </c>
      <c r="G724" s="5" t="s">
        <v>42</v>
      </c>
      <c r="H724" s="6">
        <v>53.0</v>
      </c>
      <c r="I724" s="6">
        <f t="shared" si="3"/>
        <v>53</v>
      </c>
      <c r="J724" s="6">
        <v>53.0</v>
      </c>
      <c r="K724" s="6" t="str">
        <f t="shared" si="4"/>
        <v>Middle Age</v>
      </c>
      <c r="L724" s="6" t="s">
        <v>591</v>
      </c>
      <c r="M724" s="5" t="s">
        <v>105</v>
      </c>
      <c r="N724" s="5" t="str">
        <f t="shared" si="5"/>
        <v>Female</v>
      </c>
      <c r="O724" s="5" t="s">
        <v>105</v>
      </c>
      <c r="P724" s="5" t="s">
        <v>131</v>
      </c>
      <c r="Q724" s="5" t="s">
        <v>916</v>
      </c>
      <c r="R724" s="5" t="s">
        <v>402</v>
      </c>
      <c r="S724" s="5" t="s">
        <v>211</v>
      </c>
      <c r="T724" s="6">
        <v>2865.0</v>
      </c>
      <c r="U724" s="5">
        <f t="shared" si="6"/>
        <v>2865</v>
      </c>
      <c r="V724" s="5">
        <v>2865.0</v>
      </c>
    </row>
    <row r="725" ht="22.5" customHeight="1">
      <c r="A725" s="5" t="s">
        <v>2639</v>
      </c>
      <c r="B725" s="5" t="s">
        <v>2641</v>
      </c>
      <c r="C725" s="5" t="str">
        <f t="shared" si="1"/>
        <v>Richard</v>
      </c>
      <c r="D725" s="5" t="s">
        <v>2641</v>
      </c>
      <c r="E725" s="5" t="s">
        <v>713</v>
      </c>
      <c r="F725" s="5" t="str">
        <f t="shared" si="2"/>
        <v>White</v>
      </c>
      <c r="G725" s="5" t="s">
        <v>713</v>
      </c>
      <c r="H725" s="6">
        <v>22.0</v>
      </c>
      <c r="I725" s="6">
        <f t="shared" si="3"/>
        <v>22</v>
      </c>
      <c r="J725" s="6">
        <v>22.0</v>
      </c>
      <c r="K725" s="6" t="str">
        <f t="shared" si="4"/>
        <v>Young Adult</v>
      </c>
      <c r="L725" s="6" t="s">
        <v>528</v>
      </c>
      <c r="M725" s="5" t="s">
        <v>28</v>
      </c>
      <c r="N725" s="5" t="str">
        <f t="shared" si="5"/>
        <v>Female</v>
      </c>
      <c r="O725" s="5" t="s">
        <v>105</v>
      </c>
      <c r="P725" s="5" t="s">
        <v>208</v>
      </c>
      <c r="Q725" s="5" t="s">
        <v>1290</v>
      </c>
      <c r="R725" s="5" t="s">
        <v>533</v>
      </c>
      <c r="S725" s="5" t="s">
        <v>559</v>
      </c>
      <c r="T725" s="6">
        <v>1000.0</v>
      </c>
      <c r="U725" s="5">
        <f t="shared" si="6"/>
        <v>1000</v>
      </c>
      <c r="V725" s="5">
        <v>1000.0</v>
      </c>
    </row>
    <row r="726" ht="22.5" customHeight="1">
      <c r="A726" s="5" t="s">
        <v>2643</v>
      </c>
      <c r="B726" s="5" t="s">
        <v>2193</v>
      </c>
      <c r="C726" s="5" t="str">
        <f t="shared" si="1"/>
        <v>Kathleen</v>
      </c>
      <c r="D726" s="5" t="s">
        <v>2193</v>
      </c>
      <c r="E726" s="5" t="s">
        <v>374</v>
      </c>
      <c r="F726" s="5" t="str">
        <f t="shared" si="2"/>
        <v>Miller</v>
      </c>
      <c r="G726" s="5" t="s">
        <v>374</v>
      </c>
      <c r="H726" s="6">
        <v>49.0</v>
      </c>
      <c r="I726" s="6">
        <f t="shared" si="3"/>
        <v>49</v>
      </c>
      <c r="J726" s="6">
        <v>49.0</v>
      </c>
      <c r="K726" s="6" t="str">
        <f t="shared" si="4"/>
        <v>Middle Age</v>
      </c>
      <c r="L726" s="6" t="s">
        <v>591</v>
      </c>
      <c r="M726" s="5" t="s">
        <v>152</v>
      </c>
      <c r="N726" s="5" t="str">
        <f t="shared" si="5"/>
        <v>Male</v>
      </c>
      <c r="O726" s="5" t="s">
        <v>152</v>
      </c>
      <c r="P726" s="5" t="s">
        <v>376</v>
      </c>
      <c r="Q726" s="5" t="s">
        <v>311</v>
      </c>
      <c r="R726" s="5" t="s">
        <v>546</v>
      </c>
      <c r="S726" s="5" t="s">
        <v>222</v>
      </c>
      <c r="T726" s="6">
        <v>982.0</v>
      </c>
      <c r="U726" s="5">
        <f t="shared" si="6"/>
        <v>982</v>
      </c>
      <c r="V726" s="5">
        <v>982.0</v>
      </c>
    </row>
    <row r="727" ht="22.5" customHeight="1">
      <c r="A727" s="5" t="s">
        <v>2646</v>
      </c>
      <c r="B727" s="5" t="s">
        <v>2479</v>
      </c>
      <c r="C727" s="5" t="str">
        <f t="shared" si="1"/>
        <v>Joseph</v>
      </c>
      <c r="D727" s="5" t="s">
        <v>2479</v>
      </c>
      <c r="E727" s="5" t="s">
        <v>2140</v>
      </c>
      <c r="F727" s="5" t="str">
        <f t="shared" si="2"/>
        <v>Roberts</v>
      </c>
      <c r="G727" s="5" t="s">
        <v>2140</v>
      </c>
      <c r="H727" s="6">
        <v>47.0</v>
      </c>
      <c r="I727" s="6">
        <f t="shared" si="3"/>
        <v>47</v>
      </c>
      <c r="J727" s="6">
        <v>47.0</v>
      </c>
      <c r="K727" s="6" t="str">
        <f t="shared" si="4"/>
        <v>Middle Age</v>
      </c>
      <c r="L727" s="6" t="s">
        <v>591</v>
      </c>
      <c r="M727" s="5" t="s">
        <v>1572</v>
      </c>
      <c r="N727" s="5" t="str">
        <f t="shared" si="5"/>
        <v>Male</v>
      </c>
      <c r="O727" s="5" t="s">
        <v>152</v>
      </c>
      <c r="P727" s="5" t="s">
        <v>571</v>
      </c>
      <c r="Q727" s="5" t="s">
        <v>637</v>
      </c>
      <c r="R727" s="5" t="s">
        <v>546</v>
      </c>
      <c r="S727" s="5" t="s">
        <v>52</v>
      </c>
      <c r="T727" s="6">
        <v>1323.0</v>
      </c>
      <c r="U727" s="5">
        <f t="shared" si="6"/>
        <v>1323</v>
      </c>
      <c r="V727" s="5">
        <v>1323.0</v>
      </c>
    </row>
    <row r="728" ht="22.5" customHeight="1">
      <c r="A728" s="5" t="s">
        <v>2649</v>
      </c>
      <c r="B728" s="5" t="s">
        <v>2126</v>
      </c>
      <c r="C728" s="5" t="str">
        <f t="shared" si="1"/>
        <v>Carolyn</v>
      </c>
      <c r="D728" s="5" t="s">
        <v>2126</v>
      </c>
      <c r="E728" s="5" t="s">
        <v>2148</v>
      </c>
      <c r="F728" s="5" t="str">
        <f t="shared" si="2"/>
        <v>Taylor</v>
      </c>
      <c r="G728" s="5" t="s">
        <v>2148</v>
      </c>
      <c r="H728" s="6">
        <v>65.0</v>
      </c>
      <c r="I728" s="6">
        <f t="shared" si="3"/>
        <v>65</v>
      </c>
      <c r="J728" s="6">
        <v>65.0</v>
      </c>
      <c r="K728" s="6" t="str">
        <f t="shared" si="4"/>
        <v>Senior</v>
      </c>
      <c r="L728" s="6" t="s">
        <v>734</v>
      </c>
      <c r="M728" s="5" t="s">
        <v>105</v>
      </c>
      <c r="N728" s="5" t="str">
        <f t="shared" si="5"/>
        <v>Female</v>
      </c>
      <c r="O728" s="5" t="s">
        <v>105</v>
      </c>
      <c r="P728" s="5" t="s">
        <v>30</v>
      </c>
      <c r="Q728" s="5" t="s">
        <v>436</v>
      </c>
      <c r="R728" s="5" t="s">
        <v>561</v>
      </c>
      <c r="S728" s="5" t="s">
        <v>97</v>
      </c>
      <c r="T728" s="6">
        <v>3105.0</v>
      </c>
      <c r="U728" s="5">
        <f t="shared" si="6"/>
        <v>3105</v>
      </c>
      <c r="V728" s="5">
        <v>3105.0</v>
      </c>
    </row>
    <row r="729" ht="22.5" customHeight="1">
      <c r="A729" s="5" t="s">
        <v>2651</v>
      </c>
      <c r="B729" s="5" t="s">
        <v>2363</v>
      </c>
      <c r="C729" s="5" t="str">
        <f t="shared" si="1"/>
        <v>Susan</v>
      </c>
      <c r="D729" s="5" t="s">
        <v>2363</v>
      </c>
      <c r="E729" s="5" t="s">
        <v>2328</v>
      </c>
      <c r="F729" s="5" t="str">
        <f t="shared" si="2"/>
        <v>Ward</v>
      </c>
      <c r="G729" s="5" t="s">
        <v>2328</v>
      </c>
      <c r="H729" s="6">
        <v>35.0</v>
      </c>
      <c r="I729" s="6">
        <f t="shared" si="3"/>
        <v>35</v>
      </c>
      <c r="J729" s="6">
        <v>35.0</v>
      </c>
      <c r="K729" s="6" t="str">
        <f t="shared" si="4"/>
        <v>Young Adult</v>
      </c>
      <c r="L729" s="6" t="s">
        <v>528</v>
      </c>
      <c r="M729" s="5" t="s">
        <v>152</v>
      </c>
      <c r="N729" s="5" t="str">
        <f t="shared" si="5"/>
        <v>Male</v>
      </c>
      <c r="O729" s="5" t="s">
        <v>152</v>
      </c>
      <c r="P729" s="5" t="s">
        <v>47</v>
      </c>
      <c r="Q729" s="5" t="s">
        <v>470</v>
      </c>
      <c r="R729" s="5" t="s">
        <v>96</v>
      </c>
      <c r="S729" s="5" t="s">
        <v>222</v>
      </c>
      <c r="T729" s="6">
        <v>303.0</v>
      </c>
      <c r="U729" s="5">
        <f t="shared" si="6"/>
        <v>303</v>
      </c>
      <c r="V729" s="5">
        <v>303.0</v>
      </c>
    </row>
    <row r="730" ht="22.5" customHeight="1">
      <c r="A730" s="5" t="s">
        <v>2654</v>
      </c>
      <c r="B730" s="5" t="s">
        <v>2350</v>
      </c>
      <c r="C730" s="5" t="str">
        <f t="shared" si="1"/>
        <v>Donald</v>
      </c>
      <c r="D730" s="5" t="s">
        <v>2350</v>
      </c>
      <c r="E730" s="5" t="s">
        <v>2655</v>
      </c>
      <c r="F730" s="5" t="str">
        <f t="shared" si="2"/>
        <v>Long</v>
      </c>
      <c r="G730" s="5" t="s">
        <v>2655</v>
      </c>
      <c r="H730" s="6">
        <v>68.0</v>
      </c>
      <c r="I730" s="6">
        <f t="shared" si="3"/>
        <v>68</v>
      </c>
      <c r="J730" s="6">
        <v>68.0</v>
      </c>
      <c r="K730" s="6" t="str">
        <f t="shared" si="4"/>
        <v>Senior</v>
      </c>
      <c r="L730" s="6" t="s">
        <v>734</v>
      </c>
      <c r="M730" s="5" t="s">
        <v>152</v>
      </c>
      <c r="N730" s="5" t="str">
        <f t="shared" si="5"/>
        <v>Male</v>
      </c>
      <c r="O730" s="5" t="s">
        <v>152</v>
      </c>
      <c r="P730" s="5" t="s">
        <v>64</v>
      </c>
      <c r="Q730" s="5" t="s">
        <v>238</v>
      </c>
      <c r="R730" s="5" t="s">
        <v>533</v>
      </c>
      <c r="S730" s="5" t="s">
        <v>97</v>
      </c>
      <c r="T730" s="6">
        <v>1339.0</v>
      </c>
      <c r="U730" s="5">
        <f t="shared" si="6"/>
        <v>1339</v>
      </c>
      <c r="V730" s="5">
        <v>1339.0</v>
      </c>
    </row>
    <row r="731" ht="22.5" customHeight="1">
      <c r="A731" s="5" t="s">
        <v>2659</v>
      </c>
      <c r="B731" s="5" t="s">
        <v>2126</v>
      </c>
      <c r="C731" s="5" t="str">
        <f t="shared" si="1"/>
        <v>Carolyn</v>
      </c>
      <c r="D731" s="5" t="s">
        <v>2126</v>
      </c>
      <c r="E731" s="5" t="s">
        <v>2332</v>
      </c>
      <c r="F731" s="5" t="str">
        <f t="shared" si="2"/>
        <v>Morales</v>
      </c>
      <c r="G731" s="5" t="s">
        <v>2332</v>
      </c>
      <c r="H731" s="6">
        <v>42.0</v>
      </c>
      <c r="I731" s="6">
        <f t="shared" si="3"/>
        <v>42</v>
      </c>
      <c r="J731" s="6">
        <v>42.0</v>
      </c>
      <c r="K731" s="6" t="str">
        <f t="shared" si="4"/>
        <v>Middle Age</v>
      </c>
      <c r="L731" s="6" t="s">
        <v>591</v>
      </c>
      <c r="M731" s="5" t="s">
        <v>1572</v>
      </c>
      <c r="N731" s="5" t="str">
        <f t="shared" si="5"/>
        <v>Male</v>
      </c>
      <c r="O731" s="5" t="s">
        <v>152</v>
      </c>
      <c r="P731" s="5" t="s">
        <v>208</v>
      </c>
      <c r="Q731" s="5" t="s">
        <v>377</v>
      </c>
      <c r="R731" s="5" t="s">
        <v>96</v>
      </c>
      <c r="S731" s="5" t="s">
        <v>52</v>
      </c>
      <c r="T731" s="6">
        <v>913.0</v>
      </c>
      <c r="U731" s="5">
        <f t="shared" si="6"/>
        <v>913</v>
      </c>
      <c r="V731" s="5">
        <v>913.0</v>
      </c>
    </row>
    <row r="732" ht="22.5" customHeight="1">
      <c r="A732" s="5" t="s">
        <v>2661</v>
      </c>
      <c r="B732" s="5" t="s">
        <v>2166</v>
      </c>
      <c r="C732" s="5" t="str">
        <f t="shared" si="1"/>
        <v>Mark</v>
      </c>
      <c r="D732" s="5" t="s">
        <v>2166</v>
      </c>
      <c r="E732" s="5" t="s">
        <v>2508</v>
      </c>
      <c r="F732" s="5" t="str">
        <f t="shared" si="2"/>
        <v>Reed</v>
      </c>
      <c r="G732" s="5" t="s">
        <v>2508</v>
      </c>
      <c r="H732" s="6">
        <v>78.0</v>
      </c>
      <c r="I732" s="6">
        <f t="shared" si="3"/>
        <v>78</v>
      </c>
      <c r="J732" s="6">
        <v>78.0</v>
      </c>
      <c r="K732" s="6" t="str">
        <f t="shared" si="4"/>
        <v>Senior</v>
      </c>
      <c r="L732" s="6" t="s">
        <v>734</v>
      </c>
      <c r="M732" s="5" t="s">
        <v>152</v>
      </c>
      <c r="N732" s="5" t="str">
        <f t="shared" si="5"/>
        <v>Male</v>
      </c>
      <c r="O732" s="5" t="s">
        <v>152</v>
      </c>
      <c r="P732" s="5" t="s">
        <v>47</v>
      </c>
      <c r="Q732" s="5" t="s">
        <v>277</v>
      </c>
      <c r="R732" s="5" t="s">
        <v>402</v>
      </c>
      <c r="S732" s="5" t="s">
        <v>97</v>
      </c>
      <c r="T732" s="6">
        <v>1481.0</v>
      </c>
      <c r="U732" s="5">
        <f t="shared" si="6"/>
        <v>1481</v>
      </c>
      <c r="V732" s="5">
        <v>1481.0</v>
      </c>
    </row>
    <row r="733" ht="22.5" customHeight="1">
      <c r="A733" s="5" t="s">
        <v>2664</v>
      </c>
      <c r="B733" s="5" t="s">
        <v>2544</v>
      </c>
      <c r="C733" s="5" t="str">
        <f t="shared" si="1"/>
        <v>Cynthia</v>
      </c>
      <c r="D733" s="5" t="s">
        <v>2544</v>
      </c>
      <c r="E733" s="5" t="s">
        <v>2251</v>
      </c>
      <c r="F733" s="5" t="str">
        <f t="shared" si="2"/>
        <v>Adams</v>
      </c>
      <c r="G733" s="5" t="s">
        <v>2251</v>
      </c>
      <c r="H733" s="6">
        <v>75.0</v>
      </c>
      <c r="I733" s="6">
        <f t="shared" si="3"/>
        <v>75</v>
      </c>
      <c r="J733" s="6">
        <v>75.0</v>
      </c>
      <c r="K733" s="6" t="str">
        <f t="shared" si="4"/>
        <v>Senior</v>
      </c>
      <c r="L733" s="6" t="s">
        <v>734</v>
      </c>
      <c r="M733" s="5" t="s">
        <v>45</v>
      </c>
      <c r="N733" s="5" t="str">
        <f t="shared" si="5"/>
        <v>Female</v>
      </c>
      <c r="O733" s="5" t="s">
        <v>105</v>
      </c>
      <c r="P733" s="5" t="s">
        <v>237</v>
      </c>
      <c r="Q733" s="5" t="s">
        <v>238</v>
      </c>
      <c r="R733" s="5" t="s">
        <v>533</v>
      </c>
      <c r="S733" s="5" t="s">
        <v>97</v>
      </c>
      <c r="T733" s="6">
        <v>1858.0</v>
      </c>
      <c r="U733" s="5">
        <f t="shared" si="6"/>
        <v>1858</v>
      </c>
      <c r="V733" s="5">
        <v>1858.0</v>
      </c>
    </row>
    <row r="734" ht="22.5" customHeight="1">
      <c r="A734" s="5" t="s">
        <v>2666</v>
      </c>
      <c r="B734" s="5" t="s">
        <v>2492</v>
      </c>
      <c r="C734" s="5" t="str">
        <f t="shared" si="1"/>
        <v>Justin</v>
      </c>
      <c r="D734" s="5" t="s">
        <v>2492</v>
      </c>
      <c r="E734" s="5" t="s">
        <v>2667</v>
      </c>
      <c r="F734" s="5" t="str">
        <f t="shared" si="2"/>
        <v>Mendoza</v>
      </c>
      <c r="G734" s="5" t="s">
        <v>2667</v>
      </c>
      <c r="H734" s="6">
        <v>999.0</v>
      </c>
      <c r="I734" s="6">
        <f t="shared" si="3"/>
        <v>999</v>
      </c>
      <c r="J734" s="6"/>
      <c r="K734" s="6" t="str">
        <f t="shared" si="4"/>
        <v>Unknown</v>
      </c>
      <c r="L734" s="6" t="s">
        <v>1081</v>
      </c>
      <c r="M734" s="5" t="s">
        <v>80</v>
      </c>
      <c r="N734" s="5" t="str">
        <f t="shared" si="5"/>
        <v>Male</v>
      </c>
      <c r="O734" s="5" t="s">
        <v>152</v>
      </c>
      <c r="P734" s="5" t="s">
        <v>30</v>
      </c>
      <c r="Q734" s="5" t="s">
        <v>470</v>
      </c>
      <c r="R734" s="5" t="s">
        <v>179</v>
      </c>
      <c r="S734" s="5" t="s">
        <v>97</v>
      </c>
      <c r="T734" s="6">
        <v>3831.0</v>
      </c>
      <c r="U734" s="5">
        <f t="shared" si="6"/>
        <v>3831</v>
      </c>
      <c r="V734" s="5">
        <v>3831.0</v>
      </c>
    </row>
    <row r="735" ht="22.5" customHeight="1">
      <c r="A735" s="5" t="s">
        <v>2669</v>
      </c>
      <c r="B735" s="5" t="s">
        <v>2350</v>
      </c>
      <c r="C735" s="5" t="str">
        <f t="shared" si="1"/>
        <v>Donald</v>
      </c>
      <c r="D735" s="5" t="s">
        <v>2350</v>
      </c>
      <c r="E735" s="5" t="s">
        <v>2336</v>
      </c>
      <c r="F735" s="5" t="str">
        <f t="shared" si="2"/>
        <v>Cook</v>
      </c>
      <c r="G735" s="5" t="s">
        <v>2336</v>
      </c>
      <c r="H735" s="6">
        <v>29.0</v>
      </c>
      <c r="I735" s="6">
        <f t="shared" si="3"/>
        <v>29</v>
      </c>
      <c r="J735" s="6">
        <v>29.0</v>
      </c>
      <c r="K735" s="6" t="str">
        <f t="shared" si="4"/>
        <v>Young Adult</v>
      </c>
      <c r="L735" s="6" t="s">
        <v>528</v>
      </c>
      <c r="M735" s="5" t="s">
        <v>80</v>
      </c>
      <c r="N735" s="5" t="str">
        <f t="shared" si="5"/>
        <v>Male</v>
      </c>
      <c r="O735" s="5" t="s">
        <v>152</v>
      </c>
      <c r="P735" s="5" t="s">
        <v>393</v>
      </c>
      <c r="Q735" s="5" t="s">
        <v>482</v>
      </c>
      <c r="R735" s="5" t="s">
        <v>179</v>
      </c>
      <c r="S735" s="5" t="s">
        <v>559</v>
      </c>
      <c r="T735" s="6">
        <v>4371.0</v>
      </c>
      <c r="U735" s="5">
        <f t="shared" si="6"/>
        <v>4371</v>
      </c>
      <c r="V735" s="5">
        <v>4371.0</v>
      </c>
    </row>
    <row r="736" ht="22.5" customHeight="1">
      <c r="A736" s="5" t="s">
        <v>2672</v>
      </c>
      <c r="B736" s="5" t="s">
        <v>2507</v>
      </c>
      <c r="C736" s="5" t="str">
        <f t="shared" si="1"/>
        <v>Samuel</v>
      </c>
      <c r="D736" s="5" t="s">
        <v>2507</v>
      </c>
      <c r="E736" s="5" t="s">
        <v>2217</v>
      </c>
      <c r="F736" s="5" t="str">
        <f t="shared" si="2"/>
        <v>Bennett</v>
      </c>
      <c r="G736" s="5" t="s">
        <v>2217</v>
      </c>
      <c r="H736" s="6">
        <v>77.0</v>
      </c>
      <c r="I736" s="6">
        <f t="shared" si="3"/>
        <v>77</v>
      </c>
      <c r="J736" s="6">
        <v>77.0</v>
      </c>
      <c r="K736" s="6" t="str">
        <f t="shared" si="4"/>
        <v>Senior</v>
      </c>
      <c r="L736" s="6" t="s">
        <v>734</v>
      </c>
      <c r="M736" s="5" t="s">
        <v>1572</v>
      </c>
      <c r="N736" s="5" t="str">
        <f t="shared" si="5"/>
        <v>Male</v>
      </c>
      <c r="O736" s="5" t="s">
        <v>152</v>
      </c>
      <c r="P736" s="5" t="s">
        <v>256</v>
      </c>
      <c r="Q736" s="5" t="s">
        <v>164</v>
      </c>
      <c r="R736" s="5" t="s">
        <v>96</v>
      </c>
      <c r="S736" s="5" t="s">
        <v>97</v>
      </c>
      <c r="T736" s="6">
        <v>656.0</v>
      </c>
      <c r="U736" s="5">
        <f t="shared" si="6"/>
        <v>656</v>
      </c>
      <c r="V736" s="5">
        <v>656.0</v>
      </c>
    </row>
    <row r="737" ht="22.5" customHeight="1">
      <c r="A737" s="5" t="s">
        <v>2675</v>
      </c>
      <c r="B737" s="5" t="s">
        <v>577</v>
      </c>
      <c r="C737" s="5" t="str">
        <f t="shared" si="1"/>
        <v>Rebecca</v>
      </c>
      <c r="D737" s="5" t="s">
        <v>577</v>
      </c>
      <c r="E737" s="5" t="s">
        <v>2154</v>
      </c>
      <c r="F737" s="5" t="str">
        <f t="shared" si="2"/>
        <v>Anderson</v>
      </c>
      <c r="G737" s="5" t="s">
        <v>2154</v>
      </c>
      <c r="H737" s="6">
        <v>55.0</v>
      </c>
      <c r="I737" s="6">
        <f t="shared" si="3"/>
        <v>55</v>
      </c>
      <c r="J737" s="6">
        <v>55.0</v>
      </c>
      <c r="K737" s="6" t="str">
        <f t="shared" si="4"/>
        <v>Middle Age</v>
      </c>
      <c r="L737" s="6" t="s">
        <v>591</v>
      </c>
      <c r="M737" s="5" t="s">
        <v>105</v>
      </c>
      <c r="N737" s="5" t="str">
        <f t="shared" si="5"/>
        <v>Female</v>
      </c>
      <c r="O737" s="5" t="s">
        <v>105</v>
      </c>
      <c r="P737" s="5" t="s">
        <v>376</v>
      </c>
      <c r="Q737" s="5" t="s">
        <v>470</v>
      </c>
      <c r="R737" s="5" t="s">
        <v>179</v>
      </c>
      <c r="S737" s="5" t="s">
        <v>222</v>
      </c>
      <c r="T737" s="6">
        <v>3510.0</v>
      </c>
      <c r="U737" s="5">
        <f t="shared" si="6"/>
        <v>3510</v>
      </c>
      <c r="V737" s="5">
        <v>3510.0</v>
      </c>
    </row>
    <row r="738" ht="22.5" customHeight="1">
      <c r="A738" s="5" t="s">
        <v>2677</v>
      </c>
      <c r="B738" s="5" t="s">
        <v>1237</v>
      </c>
      <c r="C738" s="5" t="str">
        <f t="shared" si="1"/>
        <v>Charles</v>
      </c>
      <c r="D738" s="5" t="s">
        <v>1237</v>
      </c>
      <c r="E738" s="5" t="s">
        <v>2145</v>
      </c>
      <c r="F738" s="5" t="str">
        <f t="shared" si="2"/>
        <v>Robinson</v>
      </c>
      <c r="G738" s="5" t="s">
        <v>2145</v>
      </c>
      <c r="H738" s="6">
        <v>40.0</v>
      </c>
      <c r="I738" s="6">
        <f t="shared" si="3"/>
        <v>40</v>
      </c>
      <c r="J738" s="6">
        <v>40.0</v>
      </c>
      <c r="K738" s="6" t="str">
        <f t="shared" si="4"/>
        <v>Young Adult</v>
      </c>
      <c r="L738" s="6" t="s">
        <v>528</v>
      </c>
      <c r="M738" s="5" t="s">
        <v>45</v>
      </c>
      <c r="N738" s="5" t="str">
        <f t="shared" si="5"/>
        <v>Female</v>
      </c>
      <c r="O738" s="5" t="s">
        <v>105</v>
      </c>
      <c r="P738" s="5" t="s">
        <v>131</v>
      </c>
      <c r="Q738" s="5" t="s">
        <v>164</v>
      </c>
      <c r="R738" s="5" t="s">
        <v>96</v>
      </c>
      <c r="S738" s="5" t="s">
        <v>222</v>
      </c>
      <c r="T738" s="6">
        <v>296.0</v>
      </c>
      <c r="U738" s="5">
        <f t="shared" si="6"/>
        <v>296</v>
      </c>
      <c r="V738" s="5">
        <v>296.0</v>
      </c>
    </row>
    <row r="739" ht="22.5" customHeight="1">
      <c r="A739" s="5" t="s">
        <v>2680</v>
      </c>
      <c r="B739" s="5" t="s">
        <v>2681</v>
      </c>
      <c r="C739" s="5" t="str">
        <f t="shared" si="1"/>
        <v>Raymond</v>
      </c>
      <c r="D739" s="5" t="s">
        <v>2681</v>
      </c>
      <c r="E739" s="5" t="s">
        <v>2159</v>
      </c>
      <c r="F739" s="5" t="str">
        <f t="shared" si="2"/>
        <v>Chavez</v>
      </c>
      <c r="G739" s="5" t="s">
        <v>2159</v>
      </c>
      <c r="H739" s="6">
        <v>999.0</v>
      </c>
      <c r="I739" s="6">
        <f t="shared" si="3"/>
        <v>999</v>
      </c>
      <c r="J739" s="6"/>
      <c r="K739" s="6" t="str">
        <f t="shared" si="4"/>
        <v>Unknown</v>
      </c>
      <c r="L739" s="6" t="s">
        <v>1081</v>
      </c>
      <c r="M739" s="5" t="s">
        <v>28</v>
      </c>
      <c r="N739" s="5" t="str">
        <f t="shared" si="5"/>
        <v>Female</v>
      </c>
      <c r="O739" s="5" t="s">
        <v>105</v>
      </c>
      <c r="P739" s="5" t="s">
        <v>393</v>
      </c>
      <c r="Q739" s="5" t="s">
        <v>164</v>
      </c>
      <c r="R739" s="5" t="s">
        <v>607</v>
      </c>
      <c r="S739" s="5" t="s">
        <v>97</v>
      </c>
      <c r="T739" s="6">
        <v>2298.0</v>
      </c>
      <c r="U739" s="5">
        <f t="shared" si="6"/>
        <v>2298</v>
      </c>
      <c r="V739" s="5">
        <v>2298.0</v>
      </c>
    </row>
    <row r="740" ht="22.5" customHeight="1">
      <c r="A740" s="5" t="s">
        <v>2683</v>
      </c>
      <c r="B740" s="5" t="s">
        <v>2126</v>
      </c>
      <c r="C740" s="5" t="str">
        <f t="shared" si="1"/>
        <v>Carolyn</v>
      </c>
      <c r="D740" s="5" t="s">
        <v>2126</v>
      </c>
      <c r="E740" s="5" t="s">
        <v>2684</v>
      </c>
      <c r="F740" s="5" t="str">
        <f t="shared" si="2"/>
        <v>Nguyen</v>
      </c>
      <c r="G740" s="5" t="s">
        <v>2684</v>
      </c>
      <c r="H740" s="6">
        <v>67.0</v>
      </c>
      <c r="I740" s="6">
        <f t="shared" si="3"/>
        <v>67</v>
      </c>
      <c r="J740" s="6">
        <v>67.0</v>
      </c>
      <c r="K740" s="6" t="str">
        <f t="shared" si="4"/>
        <v>Senior</v>
      </c>
      <c r="L740" s="6" t="s">
        <v>734</v>
      </c>
      <c r="M740" s="5" t="s">
        <v>105</v>
      </c>
      <c r="N740" s="5" t="str">
        <f t="shared" si="5"/>
        <v>Female</v>
      </c>
      <c r="O740" s="5" t="s">
        <v>105</v>
      </c>
      <c r="P740" s="5" t="s">
        <v>176</v>
      </c>
      <c r="Q740" s="5" t="s">
        <v>311</v>
      </c>
      <c r="R740" s="5" t="s">
        <v>546</v>
      </c>
      <c r="S740" s="5" t="s">
        <v>97</v>
      </c>
      <c r="T740" s="6">
        <v>2095.0</v>
      </c>
      <c r="U740" s="5">
        <f t="shared" si="6"/>
        <v>2095</v>
      </c>
      <c r="V740" s="5">
        <v>2095.0</v>
      </c>
    </row>
    <row r="741" ht="22.5" customHeight="1">
      <c r="A741" s="5" t="s">
        <v>2687</v>
      </c>
      <c r="B741" s="5" t="s">
        <v>2072</v>
      </c>
      <c r="C741" s="5" t="str">
        <f t="shared" si="1"/>
        <v>Steven</v>
      </c>
      <c r="D741" s="5" t="s">
        <v>2072</v>
      </c>
      <c r="E741" s="5" t="s">
        <v>2667</v>
      </c>
      <c r="F741" s="5" t="str">
        <f t="shared" si="2"/>
        <v>Mendoza</v>
      </c>
      <c r="G741" s="5" t="s">
        <v>2667</v>
      </c>
      <c r="H741" s="6">
        <v>76.0</v>
      </c>
      <c r="I741" s="6">
        <f t="shared" si="3"/>
        <v>76</v>
      </c>
      <c r="J741" s="6">
        <v>76.0</v>
      </c>
      <c r="K741" s="6" t="str">
        <f t="shared" si="4"/>
        <v>Senior</v>
      </c>
      <c r="L741" s="6" t="s">
        <v>734</v>
      </c>
      <c r="M741" s="5" t="s">
        <v>105</v>
      </c>
      <c r="N741" s="5" t="str">
        <f t="shared" si="5"/>
        <v>Female</v>
      </c>
      <c r="O741" s="5" t="s">
        <v>105</v>
      </c>
      <c r="P741" s="5" t="s">
        <v>30</v>
      </c>
      <c r="Q741" s="5" t="s">
        <v>439</v>
      </c>
      <c r="R741" s="5" t="s">
        <v>210</v>
      </c>
      <c r="S741" s="5" t="s">
        <v>97</v>
      </c>
      <c r="T741" s="6">
        <v>2040.0</v>
      </c>
      <c r="U741" s="5">
        <f t="shared" si="6"/>
        <v>2040</v>
      </c>
      <c r="V741" s="5">
        <v>2040.0</v>
      </c>
    </row>
    <row r="742" ht="22.5" customHeight="1">
      <c r="A742" s="5" t="s">
        <v>2689</v>
      </c>
      <c r="B742" s="5" t="s">
        <v>577</v>
      </c>
      <c r="C742" s="5" t="str">
        <f t="shared" si="1"/>
        <v>Rebecca</v>
      </c>
      <c r="D742" s="5" t="s">
        <v>577</v>
      </c>
      <c r="E742" s="5" t="s">
        <v>2336</v>
      </c>
      <c r="F742" s="5" t="str">
        <f t="shared" si="2"/>
        <v>Cook</v>
      </c>
      <c r="G742" s="5" t="s">
        <v>2336</v>
      </c>
      <c r="H742" s="6">
        <v>71.0</v>
      </c>
      <c r="I742" s="6">
        <f t="shared" si="3"/>
        <v>71</v>
      </c>
      <c r="J742" s="6">
        <v>71.0</v>
      </c>
      <c r="K742" s="6" t="str">
        <f t="shared" si="4"/>
        <v>Senior</v>
      </c>
      <c r="L742" s="6" t="s">
        <v>734</v>
      </c>
      <c r="M742" s="5" t="s">
        <v>45</v>
      </c>
      <c r="N742" s="5" t="str">
        <f t="shared" si="5"/>
        <v>Female</v>
      </c>
      <c r="O742" s="5" t="s">
        <v>105</v>
      </c>
      <c r="P742" s="5" t="s">
        <v>571</v>
      </c>
      <c r="Q742" s="5" t="s">
        <v>436</v>
      </c>
      <c r="R742" s="5" t="s">
        <v>561</v>
      </c>
      <c r="S742" s="5" t="s">
        <v>97</v>
      </c>
      <c r="T742" s="6">
        <v>2405.0</v>
      </c>
      <c r="U742" s="5">
        <f t="shared" si="6"/>
        <v>2405</v>
      </c>
      <c r="V742" s="5">
        <v>2405.0</v>
      </c>
    </row>
    <row r="743" ht="22.5" customHeight="1">
      <c r="A743" s="5" t="s">
        <v>2692</v>
      </c>
      <c r="B743" s="5" t="s">
        <v>2237</v>
      </c>
      <c r="C743" s="5" t="str">
        <f t="shared" si="1"/>
        <v>Kimberly</v>
      </c>
      <c r="D743" s="5" t="s">
        <v>2237</v>
      </c>
      <c r="E743" s="5" t="s">
        <v>2277</v>
      </c>
      <c r="F743" s="5" t="str">
        <f t="shared" si="2"/>
        <v>Watson</v>
      </c>
      <c r="G743" s="5" t="s">
        <v>2277</v>
      </c>
      <c r="H743" s="6">
        <v>39.0</v>
      </c>
      <c r="I743" s="6">
        <f t="shared" si="3"/>
        <v>39</v>
      </c>
      <c r="J743" s="6">
        <v>39.0</v>
      </c>
      <c r="K743" s="6" t="str">
        <f t="shared" si="4"/>
        <v>Young Adult</v>
      </c>
      <c r="L743" s="6" t="s">
        <v>528</v>
      </c>
      <c r="M743" s="5" t="s">
        <v>80</v>
      </c>
      <c r="N743" s="5" t="str">
        <f t="shared" si="5"/>
        <v>Male</v>
      </c>
      <c r="O743" s="5" t="s">
        <v>152</v>
      </c>
      <c r="P743" s="5" t="s">
        <v>364</v>
      </c>
      <c r="Q743" s="5" t="s">
        <v>551</v>
      </c>
      <c r="R743" s="5" t="s">
        <v>83</v>
      </c>
      <c r="S743" s="5" t="s">
        <v>222</v>
      </c>
      <c r="T743" s="6">
        <v>2193.0</v>
      </c>
      <c r="U743" s="5">
        <f t="shared" si="6"/>
        <v>2193</v>
      </c>
      <c r="V743" s="5">
        <v>2193.0</v>
      </c>
    </row>
    <row r="744" ht="22.5" customHeight="1">
      <c r="A744" s="5" t="s">
        <v>2694</v>
      </c>
      <c r="B744" s="5" t="s">
        <v>2326</v>
      </c>
      <c r="C744" s="5" t="str">
        <f t="shared" si="1"/>
        <v>Stephanie</v>
      </c>
      <c r="D744" s="5" t="s">
        <v>2326</v>
      </c>
      <c r="E744" s="5" t="s">
        <v>2416</v>
      </c>
      <c r="F744" s="5" t="str">
        <f t="shared" si="2"/>
        <v>Gonzalez</v>
      </c>
      <c r="G744" s="5" t="s">
        <v>2416</v>
      </c>
      <c r="H744" s="6">
        <v>56.0</v>
      </c>
      <c r="I744" s="6">
        <f t="shared" si="3"/>
        <v>56</v>
      </c>
      <c r="J744" s="6">
        <v>56.0</v>
      </c>
      <c r="K744" s="6" t="str">
        <f t="shared" si="4"/>
        <v>Middle Age</v>
      </c>
      <c r="L744" s="6" t="s">
        <v>591</v>
      </c>
      <c r="M744" s="5" t="s">
        <v>28</v>
      </c>
      <c r="N744" s="5" t="str">
        <f t="shared" si="5"/>
        <v>Female</v>
      </c>
      <c r="O744" s="5" t="s">
        <v>105</v>
      </c>
      <c r="P744" s="5" t="s">
        <v>30</v>
      </c>
      <c r="Q744" s="5" t="s">
        <v>311</v>
      </c>
      <c r="R744" s="5" t="s">
        <v>96</v>
      </c>
      <c r="S744" s="5" t="s">
        <v>222</v>
      </c>
      <c r="T744" s="6">
        <v>1035.0</v>
      </c>
      <c r="U744" s="5">
        <f t="shared" si="6"/>
        <v>1035</v>
      </c>
      <c r="V744" s="5">
        <v>1035.0</v>
      </c>
    </row>
    <row r="745" ht="22.5" customHeight="1">
      <c r="A745" s="5" t="s">
        <v>2695</v>
      </c>
      <c r="B745" s="5" t="s">
        <v>2312</v>
      </c>
      <c r="C745" s="5" t="str">
        <f t="shared" si="1"/>
        <v>Gary</v>
      </c>
      <c r="D745" s="5" t="s">
        <v>2312</v>
      </c>
      <c r="E745" s="5" t="s">
        <v>2113</v>
      </c>
      <c r="F745" s="5" t="str">
        <f t="shared" si="2"/>
        <v>Wilson</v>
      </c>
      <c r="G745" s="5" t="s">
        <v>2113</v>
      </c>
      <c r="H745" s="6">
        <v>54.0</v>
      </c>
      <c r="I745" s="6">
        <f t="shared" si="3"/>
        <v>54</v>
      </c>
      <c r="J745" s="6">
        <v>54.0</v>
      </c>
      <c r="K745" s="6" t="str">
        <f t="shared" si="4"/>
        <v>Middle Age</v>
      </c>
      <c r="L745" s="6" t="s">
        <v>591</v>
      </c>
      <c r="M745" s="5" t="s">
        <v>105</v>
      </c>
      <c r="N745" s="5" t="str">
        <f t="shared" si="5"/>
        <v>Female</v>
      </c>
      <c r="O745" s="5" t="s">
        <v>105</v>
      </c>
      <c r="P745" s="5" t="s">
        <v>237</v>
      </c>
      <c r="Q745" s="5" t="s">
        <v>576</v>
      </c>
      <c r="R745" s="5" t="s">
        <v>607</v>
      </c>
      <c r="S745" s="5" t="s">
        <v>211</v>
      </c>
      <c r="T745" s="6">
        <v>2504.0</v>
      </c>
      <c r="U745" s="5">
        <f t="shared" si="6"/>
        <v>2504</v>
      </c>
      <c r="V745" s="5">
        <v>2504.0</v>
      </c>
    </row>
    <row r="746" ht="22.5" customHeight="1">
      <c r="A746" s="5" t="s">
        <v>2697</v>
      </c>
      <c r="B746" s="5" t="s">
        <v>2077</v>
      </c>
      <c r="C746" s="5" t="str">
        <f t="shared" si="1"/>
        <v>Deborah</v>
      </c>
      <c r="D746" s="5" t="s">
        <v>2077</v>
      </c>
      <c r="E746" s="5" t="s">
        <v>2226</v>
      </c>
      <c r="F746" s="5" t="str">
        <f t="shared" si="2"/>
        <v>Hughes</v>
      </c>
      <c r="G746" s="5" t="s">
        <v>2226</v>
      </c>
      <c r="H746" s="6">
        <v>27.0</v>
      </c>
      <c r="I746" s="6">
        <f t="shared" si="3"/>
        <v>27</v>
      </c>
      <c r="J746" s="6">
        <v>27.0</v>
      </c>
      <c r="K746" s="6" t="str">
        <f t="shared" si="4"/>
        <v>Young Adult</v>
      </c>
      <c r="L746" s="6" t="s">
        <v>528</v>
      </c>
      <c r="M746" s="5" t="s">
        <v>45</v>
      </c>
      <c r="N746" s="5" t="str">
        <f t="shared" si="5"/>
        <v>Female</v>
      </c>
      <c r="O746" s="5" t="s">
        <v>105</v>
      </c>
      <c r="P746" s="5" t="s">
        <v>256</v>
      </c>
      <c r="Q746" s="5" t="s">
        <v>482</v>
      </c>
      <c r="R746" s="5" t="s">
        <v>179</v>
      </c>
      <c r="S746" s="5" t="s">
        <v>559</v>
      </c>
      <c r="T746" s="6">
        <v>2838.0</v>
      </c>
      <c r="U746" s="5">
        <f t="shared" si="6"/>
        <v>2838</v>
      </c>
      <c r="V746" s="5">
        <v>2838.0</v>
      </c>
    </row>
    <row r="747" ht="22.5" customHeight="1">
      <c r="A747" s="5" t="s">
        <v>2698</v>
      </c>
      <c r="B747" s="5" t="s">
        <v>2134</v>
      </c>
      <c r="C747" s="5" t="str">
        <f t="shared" si="1"/>
        <v>Catherine</v>
      </c>
      <c r="D747" s="5" t="s">
        <v>2134</v>
      </c>
      <c r="E747" s="5" t="s">
        <v>2377</v>
      </c>
      <c r="F747" s="5" t="str">
        <f t="shared" si="2"/>
        <v>Lewis</v>
      </c>
      <c r="G747" s="5" t="s">
        <v>2377</v>
      </c>
      <c r="H747" s="6">
        <v>77.0</v>
      </c>
      <c r="I747" s="6">
        <f t="shared" si="3"/>
        <v>77</v>
      </c>
      <c r="J747" s="6">
        <v>77.0</v>
      </c>
      <c r="K747" s="6" t="str">
        <f t="shared" si="4"/>
        <v>Senior</v>
      </c>
      <c r="L747" s="6" t="s">
        <v>734</v>
      </c>
      <c r="M747" s="5" t="s">
        <v>28</v>
      </c>
      <c r="N747" s="5" t="str">
        <f t="shared" si="5"/>
        <v>Female</v>
      </c>
      <c r="O747" s="5" t="s">
        <v>105</v>
      </c>
      <c r="P747" s="5" t="s">
        <v>237</v>
      </c>
      <c r="Q747" s="5" t="s">
        <v>32</v>
      </c>
      <c r="R747" s="5" t="s">
        <v>83</v>
      </c>
      <c r="S747" s="5" t="s">
        <v>97</v>
      </c>
      <c r="T747" s="6">
        <v>2093.0</v>
      </c>
      <c r="U747" s="5">
        <f t="shared" si="6"/>
        <v>2093</v>
      </c>
      <c r="V747" s="5">
        <v>2093.0</v>
      </c>
    </row>
    <row r="748" ht="22.5" customHeight="1">
      <c r="A748" s="5" t="s">
        <v>2700</v>
      </c>
      <c r="B748" s="5" t="s">
        <v>536</v>
      </c>
      <c r="C748" s="5" t="str">
        <f t="shared" si="1"/>
        <v>Christopher</v>
      </c>
      <c r="D748" s="5" t="s">
        <v>536</v>
      </c>
      <c r="E748" s="5" t="s">
        <v>2368</v>
      </c>
      <c r="F748" s="5" t="str">
        <f t="shared" si="2"/>
        <v>Evans</v>
      </c>
      <c r="G748" s="5" t="s">
        <v>2368</v>
      </c>
      <c r="H748" s="6">
        <v>84.0</v>
      </c>
      <c r="I748" s="6">
        <f t="shared" si="3"/>
        <v>84</v>
      </c>
      <c r="J748" s="6">
        <v>84.0</v>
      </c>
      <c r="K748" s="6" t="str">
        <f t="shared" si="4"/>
        <v>Senior</v>
      </c>
      <c r="L748" s="6" t="s">
        <v>734</v>
      </c>
      <c r="M748" s="5" t="s">
        <v>1572</v>
      </c>
      <c r="N748" s="5" t="str">
        <f t="shared" si="5"/>
        <v>Male</v>
      </c>
      <c r="O748" s="5" t="s">
        <v>152</v>
      </c>
      <c r="P748" s="5" t="s">
        <v>176</v>
      </c>
      <c r="Q748" s="5" t="s">
        <v>277</v>
      </c>
      <c r="R748" s="5" t="s">
        <v>402</v>
      </c>
      <c r="S748" s="5" t="s">
        <v>97</v>
      </c>
      <c r="T748" s="6">
        <v>1509.0</v>
      </c>
      <c r="U748" s="5">
        <f t="shared" si="6"/>
        <v>1509</v>
      </c>
      <c r="V748" s="5">
        <v>1509.0</v>
      </c>
    </row>
    <row r="749" ht="22.5" customHeight="1">
      <c r="A749" s="5" t="s">
        <v>2703</v>
      </c>
      <c r="B749" s="5" t="s">
        <v>2281</v>
      </c>
      <c r="C749" s="5" t="str">
        <f t="shared" si="1"/>
        <v>Barbara</v>
      </c>
      <c r="D749" s="5" t="s">
        <v>2281</v>
      </c>
      <c r="E749" s="5" t="s">
        <v>2167</v>
      </c>
      <c r="F749" s="5" t="str">
        <f t="shared" si="2"/>
        <v>Rogers</v>
      </c>
      <c r="G749" s="5" t="s">
        <v>2167</v>
      </c>
      <c r="H749" s="6">
        <v>19.0</v>
      </c>
      <c r="I749" s="6">
        <f t="shared" si="3"/>
        <v>19</v>
      </c>
      <c r="J749" s="6">
        <v>19.0</v>
      </c>
      <c r="K749" s="6" t="str">
        <f t="shared" si="4"/>
        <v>Young Adult</v>
      </c>
      <c r="L749" s="6" t="s">
        <v>528</v>
      </c>
      <c r="M749" s="5" t="s">
        <v>28</v>
      </c>
      <c r="N749" s="5" t="str">
        <f t="shared" si="5"/>
        <v>Female</v>
      </c>
      <c r="O749" s="5" t="s">
        <v>105</v>
      </c>
      <c r="P749" s="5" t="s">
        <v>131</v>
      </c>
      <c r="Q749" s="5" t="s">
        <v>32</v>
      </c>
      <c r="R749" s="5" t="s">
        <v>83</v>
      </c>
      <c r="S749" s="5" t="s">
        <v>52</v>
      </c>
      <c r="T749" s="6">
        <v>2598.0</v>
      </c>
      <c r="U749" s="5">
        <f t="shared" si="6"/>
        <v>2598</v>
      </c>
      <c r="V749" s="5">
        <v>2598.0</v>
      </c>
    </row>
    <row r="750" ht="22.5" customHeight="1">
      <c r="A750" s="5" t="s">
        <v>2705</v>
      </c>
      <c r="B750" s="5" t="s">
        <v>2244</v>
      </c>
      <c r="C750" s="5" t="str">
        <f t="shared" si="1"/>
        <v>Anthony</v>
      </c>
      <c r="D750" s="5" t="s">
        <v>2244</v>
      </c>
      <c r="E750" s="5" t="s">
        <v>2251</v>
      </c>
      <c r="F750" s="5" t="str">
        <f t="shared" si="2"/>
        <v>Adams</v>
      </c>
      <c r="G750" s="5" t="s">
        <v>2251</v>
      </c>
      <c r="H750" s="6">
        <v>27.0</v>
      </c>
      <c r="I750" s="6">
        <f t="shared" si="3"/>
        <v>27</v>
      </c>
      <c r="J750" s="6">
        <v>27.0</v>
      </c>
      <c r="K750" s="6" t="str">
        <f t="shared" si="4"/>
        <v>Young Adult</v>
      </c>
      <c r="L750" s="6" t="s">
        <v>528</v>
      </c>
      <c r="M750" s="5" t="s">
        <v>28</v>
      </c>
      <c r="N750" s="5" t="str">
        <f t="shared" si="5"/>
        <v>Female</v>
      </c>
      <c r="O750" s="5" t="s">
        <v>105</v>
      </c>
      <c r="P750" s="5" t="s">
        <v>30</v>
      </c>
      <c r="Q750" s="5" t="s">
        <v>32</v>
      </c>
      <c r="R750" s="5" t="s">
        <v>83</v>
      </c>
      <c r="S750" s="5" t="s">
        <v>559</v>
      </c>
      <c r="T750" s="6">
        <v>1496.0</v>
      </c>
      <c r="U750" s="5">
        <f t="shared" si="6"/>
        <v>1496</v>
      </c>
      <c r="V750" s="5">
        <v>1496.0</v>
      </c>
    </row>
    <row r="751" ht="22.5" customHeight="1">
      <c r="A751" s="5" t="s">
        <v>2707</v>
      </c>
      <c r="B751" s="5" t="s">
        <v>2517</v>
      </c>
      <c r="C751" s="5" t="str">
        <f t="shared" si="1"/>
        <v>Sarah</v>
      </c>
      <c r="D751" s="5" t="s">
        <v>2517</v>
      </c>
      <c r="E751" s="5" t="s">
        <v>2194</v>
      </c>
      <c r="F751" s="5" t="str">
        <f t="shared" si="2"/>
        <v>Kelly</v>
      </c>
      <c r="G751" s="5" t="s">
        <v>2194</v>
      </c>
      <c r="H751" s="6">
        <v>69.0</v>
      </c>
      <c r="I751" s="6">
        <f t="shared" si="3"/>
        <v>69</v>
      </c>
      <c r="J751" s="6">
        <v>69.0</v>
      </c>
      <c r="K751" s="6" t="str">
        <f t="shared" si="4"/>
        <v>Senior</v>
      </c>
      <c r="L751" s="6" t="s">
        <v>734</v>
      </c>
      <c r="M751" s="5" t="s">
        <v>80</v>
      </c>
      <c r="N751" s="5" t="str">
        <f t="shared" si="5"/>
        <v>Male</v>
      </c>
      <c r="O751" s="5" t="s">
        <v>152</v>
      </c>
      <c r="P751" s="5" t="s">
        <v>376</v>
      </c>
      <c r="Q751" s="5" t="s">
        <v>277</v>
      </c>
      <c r="R751" s="5" t="s">
        <v>402</v>
      </c>
      <c r="S751" s="5" t="s">
        <v>97</v>
      </c>
      <c r="T751" s="6">
        <v>1661.0</v>
      </c>
      <c r="U751" s="5">
        <f t="shared" si="6"/>
        <v>1661</v>
      </c>
      <c r="V751" s="5">
        <v>1661.0</v>
      </c>
    </row>
    <row r="752" ht="22.5" customHeight="1">
      <c r="A752" s="5" t="s">
        <v>2708</v>
      </c>
      <c r="B752" s="5" t="s">
        <v>1237</v>
      </c>
      <c r="C752" s="5" t="str">
        <f t="shared" si="1"/>
        <v>Charles</v>
      </c>
      <c r="D752" s="5" t="s">
        <v>1237</v>
      </c>
      <c r="E752" s="5" t="s">
        <v>159</v>
      </c>
      <c r="F752" s="5" t="str">
        <f t="shared" si="2"/>
        <v>Young</v>
      </c>
      <c r="G752" s="5" t="s">
        <v>159</v>
      </c>
      <c r="H752" s="6">
        <v>28.0</v>
      </c>
      <c r="I752" s="6">
        <f t="shared" si="3"/>
        <v>28</v>
      </c>
      <c r="J752" s="6">
        <v>28.0</v>
      </c>
      <c r="K752" s="6" t="str">
        <f t="shared" si="4"/>
        <v>Young Adult</v>
      </c>
      <c r="L752" s="6" t="s">
        <v>528</v>
      </c>
      <c r="M752" s="5" t="s">
        <v>80</v>
      </c>
      <c r="N752" s="5" t="str">
        <f t="shared" si="5"/>
        <v>Male</v>
      </c>
      <c r="O752" s="5" t="s">
        <v>152</v>
      </c>
      <c r="P752" s="5" t="s">
        <v>309</v>
      </c>
      <c r="Q752" s="5" t="s">
        <v>123</v>
      </c>
      <c r="R752" s="5" t="s">
        <v>83</v>
      </c>
      <c r="S752" s="5" t="s">
        <v>52</v>
      </c>
      <c r="T752" s="6">
        <v>3050.0</v>
      </c>
      <c r="U752" s="5">
        <f t="shared" si="6"/>
        <v>3050</v>
      </c>
      <c r="V752" s="5">
        <v>3050.0</v>
      </c>
    </row>
    <row r="753" ht="22.5" customHeight="1">
      <c r="A753" s="5" t="s">
        <v>2710</v>
      </c>
      <c r="B753" s="5" t="s">
        <v>2471</v>
      </c>
      <c r="C753" s="5" t="str">
        <f t="shared" si="1"/>
        <v>Eric</v>
      </c>
      <c r="D753" s="5" t="s">
        <v>2471</v>
      </c>
      <c r="E753" s="5" t="s">
        <v>2368</v>
      </c>
      <c r="F753" s="5" t="str">
        <f t="shared" si="2"/>
        <v>Evans</v>
      </c>
      <c r="G753" s="5" t="s">
        <v>2368</v>
      </c>
      <c r="H753" s="6">
        <v>36.0</v>
      </c>
      <c r="I753" s="6">
        <f t="shared" si="3"/>
        <v>36</v>
      </c>
      <c r="J753" s="6">
        <v>36.0</v>
      </c>
      <c r="K753" s="6" t="str">
        <f t="shared" si="4"/>
        <v>Young Adult</v>
      </c>
      <c r="L753" s="6" t="s">
        <v>528</v>
      </c>
      <c r="M753" s="5" t="s">
        <v>45</v>
      </c>
      <c r="N753" s="5" t="str">
        <f t="shared" si="5"/>
        <v>Female</v>
      </c>
      <c r="O753" s="5" t="s">
        <v>105</v>
      </c>
      <c r="P753" s="5" t="s">
        <v>268</v>
      </c>
      <c r="Q753" s="5" t="s">
        <v>311</v>
      </c>
      <c r="R753" s="5" t="s">
        <v>96</v>
      </c>
      <c r="S753" s="5" t="s">
        <v>222</v>
      </c>
      <c r="T753" s="6">
        <v>410.0</v>
      </c>
      <c r="U753" s="5">
        <f t="shared" si="6"/>
        <v>410</v>
      </c>
      <c r="V753" s="5">
        <v>410.0</v>
      </c>
    </row>
    <row r="754" ht="22.5" customHeight="1">
      <c r="A754" s="5" t="s">
        <v>2712</v>
      </c>
      <c r="B754" s="5" t="s">
        <v>2713</v>
      </c>
      <c r="C754" s="5" t="str">
        <f t="shared" si="1"/>
        <v>Michael</v>
      </c>
      <c r="D754" s="5" t="s">
        <v>2713</v>
      </c>
      <c r="E754" s="5" t="s">
        <v>629</v>
      </c>
      <c r="F754" s="5" t="str">
        <f t="shared" si="2"/>
        <v>Richardson</v>
      </c>
      <c r="G754" s="5" t="s">
        <v>629</v>
      </c>
      <c r="H754" s="6">
        <v>89.0</v>
      </c>
      <c r="I754" s="6">
        <f t="shared" si="3"/>
        <v>89</v>
      </c>
      <c r="J754" s="6">
        <v>89.0</v>
      </c>
      <c r="K754" s="6" t="str">
        <f t="shared" si="4"/>
        <v>Senior</v>
      </c>
      <c r="L754" s="6" t="s">
        <v>734</v>
      </c>
      <c r="M754" s="5" t="s">
        <v>80</v>
      </c>
      <c r="N754" s="5" t="str">
        <f t="shared" si="5"/>
        <v>Male</v>
      </c>
      <c r="O754" s="5" t="s">
        <v>152</v>
      </c>
      <c r="P754" s="5" t="s">
        <v>64</v>
      </c>
      <c r="Q754" s="5" t="s">
        <v>916</v>
      </c>
      <c r="R754" s="5" t="s">
        <v>402</v>
      </c>
      <c r="S754" s="5" t="s">
        <v>97</v>
      </c>
      <c r="T754" s="6">
        <v>1800.0</v>
      </c>
      <c r="U754" s="5">
        <f t="shared" si="6"/>
        <v>1800</v>
      </c>
      <c r="V754" s="5">
        <v>1800.0</v>
      </c>
    </row>
    <row r="755" ht="22.5" customHeight="1">
      <c r="A755" s="5" t="s">
        <v>2715</v>
      </c>
      <c r="B755" s="5" t="s">
        <v>2123</v>
      </c>
      <c r="C755" s="5" t="str">
        <f t="shared" si="1"/>
        <v>Brenda</v>
      </c>
      <c r="D755" s="5" t="s">
        <v>2123</v>
      </c>
      <c r="E755" s="5" t="s">
        <v>2203</v>
      </c>
      <c r="F755" s="5" t="str">
        <f t="shared" si="2"/>
        <v>Gutierrez</v>
      </c>
      <c r="G755" s="5" t="s">
        <v>2203</v>
      </c>
      <c r="H755" s="6">
        <v>25.0</v>
      </c>
      <c r="I755" s="6">
        <f t="shared" si="3"/>
        <v>25</v>
      </c>
      <c r="J755" s="6">
        <v>25.0</v>
      </c>
      <c r="K755" s="6" t="str">
        <f t="shared" si="4"/>
        <v>Young Adult</v>
      </c>
      <c r="L755" s="6" t="s">
        <v>528</v>
      </c>
      <c r="M755" s="5" t="s">
        <v>1572</v>
      </c>
      <c r="N755" s="5" t="str">
        <f t="shared" si="5"/>
        <v>Male</v>
      </c>
      <c r="O755" s="5" t="s">
        <v>152</v>
      </c>
      <c r="P755" s="5" t="s">
        <v>176</v>
      </c>
      <c r="Q755" s="5" t="s">
        <v>489</v>
      </c>
      <c r="R755" s="5" t="s">
        <v>179</v>
      </c>
      <c r="S755" s="5" t="s">
        <v>559</v>
      </c>
      <c r="T755" s="6">
        <v>2108.0</v>
      </c>
      <c r="U755" s="5">
        <f t="shared" si="6"/>
        <v>2108</v>
      </c>
      <c r="V755" s="5">
        <v>2108.0</v>
      </c>
    </row>
    <row r="756" ht="22.5" customHeight="1">
      <c r="A756" s="5" t="s">
        <v>2717</v>
      </c>
      <c r="B756" s="5" t="s">
        <v>2641</v>
      </c>
      <c r="C756" s="5" t="str">
        <f t="shared" si="1"/>
        <v>Richard</v>
      </c>
      <c r="D756" s="5" t="s">
        <v>2641</v>
      </c>
      <c r="E756" s="5" t="s">
        <v>2203</v>
      </c>
      <c r="F756" s="5" t="str">
        <f t="shared" si="2"/>
        <v>Gutierrez</v>
      </c>
      <c r="G756" s="5" t="s">
        <v>2203</v>
      </c>
      <c r="H756" s="6">
        <v>80.0</v>
      </c>
      <c r="I756" s="6">
        <f t="shared" si="3"/>
        <v>80</v>
      </c>
      <c r="J756" s="6">
        <v>80.0</v>
      </c>
      <c r="K756" s="6" t="str">
        <f t="shared" si="4"/>
        <v>Senior</v>
      </c>
      <c r="L756" s="6" t="s">
        <v>734</v>
      </c>
      <c r="M756" s="5" t="s">
        <v>1572</v>
      </c>
      <c r="N756" s="5" t="str">
        <f t="shared" si="5"/>
        <v>Male</v>
      </c>
      <c r="O756" s="5" t="s">
        <v>152</v>
      </c>
      <c r="P756" s="5" t="s">
        <v>256</v>
      </c>
      <c r="Q756" s="5" t="s">
        <v>439</v>
      </c>
      <c r="R756" s="5" t="s">
        <v>210</v>
      </c>
      <c r="S756" s="5" t="s">
        <v>97</v>
      </c>
      <c r="T756" s="6">
        <v>813.0</v>
      </c>
      <c r="U756" s="5">
        <f t="shared" si="6"/>
        <v>813</v>
      </c>
      <c r="V756" s="5">
        <v>813.0</v>
      </c>
    </row>
    <row r="757" ht="22.5" customHeight="1">
      <c r="A757" s="5" t="s">
        <v>2720</v>
      </c>
      <c r="B757" s="5" t="s">
        <v>2721</v>
      </c>
      <c r="C757" s="5" t="str">
        <f t="shared" si="1"/>
        <v>Jerry</v>
      </c>
      <c r="D757" s="5" t="s">
        <v>2721</v>
      </c>
      <c r="E757" s="5" t="s">
        <v>2277</v>
      </c>
      <c r="F757" s="5" t="str">
        <f t="shared" si="2"/>
        <v>Watson</v>
      </c>
      <c r="G757" s="5" t="s">
        <v>2277</v>
      </c>
      <c r="H757" s="6">
        <v>29.0</v>
      </c>
      <c r="I757" s="6">
        <f t="shared" si="3"/>
        <v>29</v>
      </c>
      <c r="J757" s="6">
        <v>29.0</v>
      </c>
      <c r="K757" s="6" t="str">
        <f t="shared" si="4"/>
        <v>Young Adult</v>
      </c>
      <c r="L757" s="6" t="s">
        <v>528</v>
      </c>
      <c r="M757" s="5" t="s">
        <v>45</v>
      </c>
      <c r="N757" s="5" t="str">
        <f t="shared" si="5"/>
        <v>Female</v>
      </c>
      <c r="O757" s="5" t="s">
        <v>105</v>
      </c>
      <c r="P757" s="5" t="s">
        <v>47</v>
      </c>
      <c r="Q757" s="5" t="s">
        <v>377</v>
      </c>
      <c r="R757" s="5" t="s">
        <v>402</v>
      </c>
      <c r="S757" s="5" t="s">
        <v>211</v>
      </c>
      <c r="T757" s="6">
        <v>2228.0</v>
      </c>
      <c r="U757" s="5">
        <f t="shared" si="6"/>
        <v>2228</v>
      </c>
      <c r="V757" s="5">
        <v>2228.0</v>
      </c>
    </row>
    <row r="758" ht="22.5" customHeight="1">
      <c r="A758" s="5" t="s">
        <v>2724</v>
      </c>
      <c r="B758" s="5" t="s">
        <v>2296</v>
      </c>
      <c r="C758" s="5" t="str">
        <f t="shared" si="1"/>
        <v>Anna</v>
      </c>
      <c r="D758" s="5" t="s">
        <v>2296</v>
      </c>
      <c r="E758" s="5" t="s">
        <v>2416</v>
      </c>
      <c r="F758" s="5" t="str">
        <f t="shared" si="2"/>
        <v>Gonzalez</v>
      </c>
      <c r="G758" s="5" t="s">
        <v>2416</v>
      </c>
      <c r="H758" s="6">
        <v>75.0</v>
      </c>
      <c r="I758" s="6">
        <f t="shared" si="3"/>
        <v>75</v>
      </c>
      <c r="J758" s="6">
        <v>75.0</v>
      </c>
      <c r="K758" s="6" t="str">
        <f t="shared" si="4"/>
        <v>Senior</v>
      </c>
      <c r="L758" s="6" t="s">
        <v>734</v>
      </c>
      <c r="M758" s="5" t="s">
        <v>152</v>
      </c>
      <c r="N758" s="5" t="str">
        <f t="shared" si="5"/>
        <v>Male</v>
      </c>
      <c r="O758" s="5" t="s">
        <v>152</v>
      </c>
      <c r="P758" s="5" t="s">
        <v>30</v>
      </c>
      <c r="Q758" s="5" t="s">
        <v>238</v>
      </c>
      <c r="R758" s="5" t="s">
        <v>533</v>
      </c>
      <c r="S758" s="5" t="s">
        <v>97</v>
      </c>
      <c r="T758" s="6">
        <v>1795.0</v>
      </c>
      <c r="U758" s="5">
        <f t="shared" si="6"/>
        <v>1795</v>
      </c>
      <c r="V758" s="5">
        <v>1795.0</v>
      </c>
    </row>
    <row r="759" ht="22.5" customHeight="1">
      <c r="A759" s="5" t="s">
        <v>2726</v>
      </c>
      <c r="B759" s="5" t="s">
        <v>2564</v>
      </c>
      <c r="C759" s="5" t="str">
        <f t="shared" si="1"/>
        <v>Brian</v>
      </c>
      <c r="D759" s="5" t="s">
        <v>2564</v>
      </c>
      <c r="E759" s="5" t="s">
        <v>128</v>
      </c>
      <c r="F759" s="5" t="str">
        <f t="shared" si="2"/>
        <v>Rodriguez</v>
      </c>
      <c r="G759" s="5" t="s">
        <v>128</v>
      </c>
      <c r="H759" s="6">
        <v>39.0</v>
      </c>
      <c r="I759" s="6">
        <f t="shared" si="3"/>
        <v>39</v>
      </c>
      <c r="J759" s="6">
        <v>39.0</v>
      </c>
      <c r="K759" s="6" t="str">
        <f t="shared" si="4"/>
        <v>Young Adult</v>
      </c>
      <c r="L759" s="6" t="s">
        <v>528</v>
      </c>
      <c r="M759" s="5" t="s">
        <v>28</v>
      </c>
      <c r="N759" s="5" t="str">
        <f t="shared" si="5"/>
        <v>Female</v>
      </c>
      <c r="O759" s="5" t="s">
        <v>105</v>
      </c>
      <c r="P759" s="5" t="s">
        <v>256</v>
      </c>
      <c r="Q759" s="5" t="s">
        <v>482</v>
      </c>
      <c r="R759" s="5" t="s">
        <v>179</v>
      </c>
      <c r="S759" s="5" t="s">
        <v>559</v>
      </c>
      <c r="T759" s="6">
        <v>4100.0</v>
      </c>
      <c r="U759" s="5">
        <f t="shared" si="6"/>
        <v>4100</v>
      </c>
      <c r="V759" s="5">
        <v>4100.0</v>
      </c>
    </row>
    <row r="760" ht="22.5" customHeight="1">
      <c r="A760" s="5" t="s">
        <v>2729</v>
      </c>
      <c r="B760" s="5" t="s">
        <v>2258</v>
      </c>
      <c r="C760" s="5" t="str">
        <f t="shared" si="1"/>
        <v>Sandra</v>
      </c>
      <c r="D760" s="5" t="s">
        <v>2258</v>
      </c>
      <c r="E760" s="5" t="s">
        <v>2230</v>
      </c>
      <c r="F760" s="5" t="str">
        <f t="shared" si="2"/>
        <v>Hall</v>
      </c>
      <c r="G760" s="5" t="s">
        <v>2230</v>
      </c>
      <c r="H760" s="6">
        <v>23.0</v>
      </c>
      <c r="I760" s="6">
        <f t="shared" si="3"/>
        <v>23</v>
      </c>
      <c r="J760" s="6">
        <v>23.0</v>
      </c>
      <c r="K760" s="6" t="str">
        <f t="shared" si="4"/>
        <v>Young Adult</v>
      </c>
      <c r="L760" s="6" t="s">
        <v>528</v>
      </c>
      <c r="M760" s="5" t="s">
        <v>1572</v>
      </c>
      <c r="N760" s="5" t="str">
        <f t="shared" si="5"/>
        <v>Male</v>
      </c>
      <c r="O760" s="5" t="s">
        <v>152</v>
      </c>
      <c r="P760" s="5" t="s">
        <v>309</v>
      </c>
      <c r="Q760" s="5" t="s">
        <v>164</v>
      </c>
      <c r="R760" s="5" t="s">
        <v>607</v>
      </c>
      <c r="S760" s="5" t="s">
        <v>211</v>
      </c>
      <c r="T760" s="6">
        <v>2884.0</v>
      </c>
      <c r="U760" s="5">
        <f t="shared" si="6"/>
        <v>2884</v>
      </c>
      <c r="V760" s="5">
        <v>2884.0</v>
      </c>
    </row>
    <row r="761" ht="22.5" customHeight="1">
      <c r="A761" s="5" t="s">
        <v>2731</v>
      </c>
      <c r="B761" s="5" t="s">
        <v>2539</v>
      </c>
      <c r="C761" s="5" t="str">
        <f t="shared" si="1"/>
        <v>Sharon</v>
      </c>
      <c r="D761" s="5" t="s">
        <v>2539</v>
      </c>
      <c r="E761" s="5" t="s">
        <v>2187</v>
      </c>
      <c r="F761" s="5" t="str">
        <f t="shared" si="2"/>
        <v>Bailey</v>
      </c>
      <c r="G761" s="5" t="s">
        <v>2187</v>
      </c>
      <c r="H761" s="6">
        <v>76.0</v>
      </c>
      <c r="I761" s="6">
        <f t="shared" si="3"/>
        <v>76</v>
      </c>
      <c r="J761" s="6">
        <v>76.0</v>
      </c>
      <c r="K761" s="6" t="str">
        <f t="shared" si="4"/>
        <v>Senior</v>
      </c>
      <c r="L761" s="6" t="s">
        <v>734</v>
      </c>
      <c r="M761" s="5" t="s">
        <v>28</v>
      </c>
      <c r="N761" s="5" t="str">
        <f t="shared" si="5"/>
        <v>Female</v>
      </c>
      <c r="O761" s="5" t="s">
        <v>105</v>
      </c>
      <c r="P761" s="5" t="s">
        <v>47</v>
      </c>
      <c r="Q761" s="5" t="s">
        <v>164</v>
      </c>
      <c r="R761" s="5" t="s">
        <v>607</v>
      </c>
      <c r="S761" s="5" t="s">
        <v>97</v>
      </c>
      <c r="T761" s="6">
        <v>2411.0</v>
      </c>
      <c r="U761" s="5">
        <f t="shared" si="6"/>
        <v>2411</v>
      </c>
      <c r="V761" s="5">
        <v>2411.0</v>
      </c>
    </row>
    <row r="762" ht="22.5" customHeight="1">
      <c r="A762" s="5" t="s">
        <v>2734</v>
      </c>
      <c r="B762" s="5" t="s">
        <v>536</v>
      </c>
      <c r="C762" s="5" t="str">
        <f t="shared" si="1"/>
        <v>Christopher</v>
      </c>
      <c r="D762" s="5" t="s">
        <v>536</v>
      </c>
      <c r="E762" s="5" t="s">
        <v>556</v>
      </c>
      <c r="F762" s="5" t="str">
        <f t="shared" si="2"/>
        <v>Jones</v>
      </c>
      <c r="G762" s="5" t="s">
        <v>556</v>
      </c>
      <c r="H762" s="6">
        <v>71.0</v>
      </c>
      <c r="I762" s="6">
        <f t="shared" si="3"/>
        <v>71</v>
      </c>
      <c r="J762" s="6">
        <v>71.0</v>
      </c>
      <c r="K762" s="6" t="str">
        <f t="shared" si="4"/>
        <v>Senior</v>
      </c>
      <c r="L762" s="6" t="s">
        <v>734</v>
      </c>
      <c r="M762" s="5" t="s">
        <v>1572</v>
      </c>
      <c r="N762" s="5" t="str">
        <f t="shared" si="5"/>
        <v>Male</v>
      </c>
      <c r="O762" s="5" t="s">
        <v>152</v>
      </c>
      <c r="P762" s="5" t="s">
        <v>64</v>
      </c>
      <c r="Q762" s="5" t="s">
        <v>916</v>
      </c>
      <c r="R762" s="5" t="s">
        <v>402</v>
      </c>
      <c r="S762" s="5" t="s">
        <v>97</v>
      </c>
      <c r="T762" s="6">
        <v>2671.0</v>
      </c>
      <c r="U762" s="5">
        <f t="shared" si="6"/>
        <v>2671</v>
      </c>
      <c r="V762" s="5">
        <v>2671.0</v>
      </c>
    </row>
    <row r="763" ht="22.5" customHeight="1">
      <c r="A763" s="5" t="s">
        <v>2736</v>
      </c>
      <c r="B763" s="5" t="s">
        <v>2475</v>
      </c>
      <c r="C763" s="5" t="str">
        <f t="shared" si="1"/>
        <v>George</v>
      </c>
      <c r="D763" s="5" t="s">
        <v>2475</v>
      </c>
      <c r="E763" s="5" t="s">
        <v>2313</v>
      </c>
      <c r="F763" s="5" t="str">
        <f t="shared" si="2"/>
        <v>Phillips</v>
      </c>
      <c r="G763" s="5" t="s">
        <v>2313</v>
      </c>
      <c r="H763" s="6">
        <v>56.0</v>
      </c>
      <c r="I763" s="6">
        <f t="shared" si="3"/>
        <v>56</v>
      </c>
      <c r="J763" s="6">
        <v>56.0</v>
      </c>
      <c r="K763" s="6" t="str">
        <f t="shared" si="4"/>
        <v>Middle Age</v>
      </c>
      <c r="L763" s="6" t="s">
        <v>591</v>
      </c>
      <c r="M763" s="5" t="s">
        <v>152</v>
      </c>
      <c r="N763" s="5" t="str">
        <f t="shared" si="5"/>
        <v>Male</v>
      </c>
      <c r="O763" s="5" t="s">
        <v>152</v>
      </c>
      <c r="P763" s="5" t="s">
        <v>107</v>
      </c>
      <c r="Q763" s="5" t="s">
        <v>164</v>
      </c>
      <c r="R763" s="5" t="s">
        <v>607</v>
      </c>
      <c r="S763" s="5" t="s">
        <v>211</v>
      </c>
      <c r="T763" s="6">
        <v>3643.0</v>
      </c>
      <c r="U763" s="5">
        <f t="shared" si="6"/>
        <v>3643</v>
      </c>
      <c r="V763" s="5">
        <v>3643.0</v>
      </c>
    </row>
    <row r="764" ht="22.5" customHeight="1">
      <c r="A764" s="5" t="s">
        <v>2739</v>
      </c>
      <c r="B764" s="5" t="s">
        <v>2479</v>
      </c>
      <c r="C764" s="5" t="str">
        <f t="shared" si="1"/>
        <v>Joseph</v>
      </c>
      <c r="D764" s="5" t="s">
        <v>2479</v>
      </c>
      <c r="E764" s="5" t="s">
        <v>2442</v>
      </c>
      <c r="F764" s="5" t="str">
        <f t="shared" si="2"/>
        <v>Castillo</v>
      </c>
      <c r="G764" s="5" t="s">
        <v>2442</v>
      </c>
      <c r="H764" s="6">
        <v>89.0</v>
      </c>
      <c r="I764" s="6">
        <f t="shared" si="3"/>
        <v>89</v>
      </c>
      <c r="J764" s="6">
        <v>89.0</v>
      </c>
      <c r="K764" s="6" t="str">
        <f t="shared" si="4"/>
        <v>Senior</v>
      </c>
      <c r="L764" s="6" t="s">
        <v>734</v>
      </c>
      <c r="M764" s="5" t="s">
        <v>45</v>
      </c>
      <c r="N764" s="5" t="str">
        <f t="shared" si="5"/>
        <v>Female</v>
      </c>
      <c r="O764" s="5" t="s">
        <v>105</v>
      </c>
      <c r="P764" s="5" t="s">
        <v>237</v>
      </c>
      <c r="Q764" s="5" t="s">
        <v>439</v>
      </c>
      <c r="R764" s="5" t="s">
        <v>210</v>
      </c>
      <c r="S764" s="5" t="s">
        <v>97</v>
      </c>
      <c r="T764" s="6">
        <v>560.0</v>
      </c>
      <c r="U764" s="5">
        <f t="shared" si="6"/>
        <v>560</v>
      </c>
      <c r="V764" s="5">
        <v>560.0</v>
      </c>
    </row>
    <row r="765" ht="22.5" customHeight="1">
      <c r="A765" s="5" t="s">
        <v>2743</v>
      </c>
      <c r="B765" s="5" t="s">
        <v>983</v>
      </c>
      <c r="C765" s="5" t="str">
        <f t="shared" si="1"/>
        <v>Thomas</v>
      </c>
      <c r="D765" s="5" t="s">
        <v>983</v>
      </c>
      <c r="E765" s="5" t="s">
        <v>2416</v>
      </c>
      <c r="F765" s="5" t="str">
        <f t="shared" si="2"/>
        <v>Gonzalez</v>
      </c>
      <c r="G765" s="5" t="s">
        <v>2416</v>
      </c>
      <c r="H765" s="6">
        <v>74.0</v>
      </c>
      <c r="I765" s="6">
        <f t="shared" si="3"/>
        <v>74</v>
      </c>
      <c r="J765" s="6">
        <v>74.0</v>
      </c>
      <c r="K765" s="6" t="str">
        <f t="shared" si="4"/>
        <v>Senior</v>
      </c>
      <c r="L765" s="6" t="s">
        <v>734</v>
      </c>
      <c r="M765" s="5" t="s">
        <v>1572</v>
      </c>
      <c r="N765" s="5" t="str">
        <f t="shared" si="5"/>
        <v>Male</v>
      </c>
      <c r="O765" s="5" t="s">
        <v>152</v>
      </c>
      <c r="P765" s="5" t="s">
        <v>30</v>
      </c>
      <c r="Q765" s="5" t="s">
        <v>277</v>
      </c>
      <c r="R765" s="5" t="s">
        <v>402</v>
      </c>
      <c r="S765" s="5" t="s">
        <v>97</v>
      </c>
      <c r="T765" s="6">
        <v>2499.0</v>
      </c>
      <c r="U765" s="5">
        <f t="shared" si="6"/>
        <v>2499</v>
      </c>
      <c r="V765" s="5">
        <v>2499.0</v>
      </c>
    </row>
    <row r="766" ht="22.5" customHeight="1">
      <c r="A766" s="5" t="s">
        <v>2746</v>
      </c>
      <c r="B766" s="5" t="s">
        <v>2099</v>
      </c>
      <c r="C766" s="5" t="str">
        <f t="shared" si="1"/>
        <v>Kenneth</v>
      </c>
      <c r="D766" s="5" t="s">
        <v>2099</v>
      </c>
      <c r="E766" s="5" t="s">
        <v>2135</v>
      </c>
      <c r="F766" s="5" t="str">
        <f t="shared" si="2"/>
        <v>Gomez</v>
      </c>
      <c r="G766" s="5" t="s">
        <v>2135</v>
      </c>
      <c r="H766" s="6">
        <v>90.0</v>
      </c>
      <c r="I766" s="6">
        <f t="shared" si="3"/>
        <v>90</v>
      </c>
      <c r="J766" s="6">
        <v>90.0</v>
      </c>
      <c r="K766" s="6" t="str">
        <f t="shared" si="4"/>
        <v>Senior</v>
      </c>
      <c r="L766" s="6" t="s">
        <v>734</v>
      </c>
      <c r="M766" s="5" t="s">
        <v>45</v>
      </c>
      <c r="N766" s="5" t="str">
        <f t="shared" si="5"/>
        <v>Female</v>
      </c>
      <c r="O766" s="5" t="s">
        <v>105</v>
      </c>
      <c r="P766" s="5" t="s">
        <v>256</v>
      </c>
      <c r="Q766" s="5" t="s">
        <v>164</v>
      </c>
      <c r="R766" s="5" t="s">
        <v>607</v>
      </c>
      <c r="S766" s="5" t="s">
        <v>97</v>
      </c>
      <c r="T766" s="6">
        <v>1954.0</v>
      </c>
      <c r="U766" s="5">
        <f t="shared" si="6"/>
        <v>1954</v>
      </c>
      <c r="V766" s="5">
        <v>1954.0</v>
      </c>
    </row>
    <row r="767" ht="22.5" customHeight="1">
      <c r="A767" s="5" t="s">
        <v>2747</v>
      </c>
      <c r="B767" s="5" t="s">
        <v>2086</v>
      </c>
      <c r="C767" s="5" t="str">
        <f t="shared" si="1"/>
        <v>Nicole</v>
      </c>
      <c r="D767" s="5" t="s">
        <v>2086</v>
      </c>
      <c r="E767" s="5" t="s">
        <v>25</v>
      </c>
      <c r="F767" s="5" t="str">
        <f t="shared" si="2"/>
        <v>Garcia</v>
      </c>
      <c r="G767" s="5" t="s">
        <v>25</v>
      </c>
      <c r="H767" s="6">
        <v>49.0</v>
      </c>
      <c r="I767" s="6">
        <f t="shared" si="3"/>
        <v>49</v>
      </c>
      <c r="J767" s="6">
        <v>49.0</v>
      </c>
      <c r="K767" s="6" t="str">
        <f t="shared" si="4"/>
        <v>Middle Age</v>
      </c>
      <c r="L767" s="6" t="s">
        <v>591</v>
      </c>
      <c r="M767" s="5" t="s">
        <v>1572</v>
      </c>
      <c r="N767" s="5" t="str">
        <f t="shared" si="5"/>
        <v>Male</v>
      </c>
      <c r="O767" s="5" t="s">
        <v>152</v>
      </c>
      <c r="P767" s="5" t="s">
        <v>107</v>
      </c>
      <c r="Q767" s="5" t="s">
        <v>311</v>
      </c>
      <c r="R767" s="5" t="s">
        <v>96</v>
      </c>
      <c r="S767" s="5" t="s">
        <v>211</v>
      </c>
      <c r="T767" s="6">
        <v>465.0</v>
      </c>
      <c r="U767" s="5">
        <f t="shared" si="6"/>
        <v>465</v>
      </c>
      <c r="V767" s="5">
        <v>465.0</v>
      </c>
    </row>
    <row r="768" ht="22.5" customHeight="1">
      <c r="A768" s="5" t="s">
        <v>2750</v>
      </c>
      <c r="B768" s="5" t="s">
        <v>2153</v>
      </c>
      <c r="C768" s="5" t="str">
        <f t="shared" si="1"/>
        <v>Amy</v>
      </c>
      <c r="D768" s="5" t="s">
        <v>2153</v>
      </c>
      <c r="E768" s="5" t="s">
        <v>2624</v>
      </c>
      <c r="F768" s="5" t="str">
        <f t="shared" si="2"/>
        <v>Sanders</v>
      </c>
      <c r="G768" s="5" t="s">
        <v>2624</v>
      </c>
      <c r="H768" s="6">
        <v>40.0</v>
      </c>
      <c r="I768" s="6">
        <f t="shared" si="3"/>
        <v>40</v>
      </c>
      <c r="J768" s="6">
        <v>40.0</v>
      </c>
      <c r="K768" s="6" t="str">
        <f t="shared" si="4"/>
        <v>Young Adult</v>
      </c>
      <c r="L768" s="6" t="s">
        <v>528</v>
      </c>
      <c r="M768" s="5" t="s">
        <v>28</v>
      </c>
      <c r="N768" s="5" t="str">
        <f t="shared" si="5"/>
        <v>Female</v>
      </c>
      <c r="O768" s="5" t="s">
        <v>105</v>
      </c>
      <c r="P768" s="5" t="s">
        <v>47</v>
      </c>
      <c r="Q768" s="5" t="s">
        <v>164</v>
      </c>
      <c r="R768" s="5" t="s">
        <v>96</v>
      </c>
      <c r="S768" s="5" t="s">
        <v>559</v>
      </c>
      <c r="T768" s="6">
        <v>936.0</v>
      </c>
      <c r="U768" s="5">
        <f t="shared" si="6"/>
        <v>936</v>
      </c>
      <c r="V768" s="5">
        <v>936.0</v>
      </c>
    </row>
    <row r="769" ht="22.5" customHeight="1">
      <c r="A769" s="5" t="s">
        <v>2752</v>
      </c>
      <c r="B769" s="5" t="s">
        <v>2103</v>
      </c>
      <c r="C769" s="5" t="str">
        <f t="shared" si="1"/>
        <v>Scott</v>
      </c>
      <c r="D769" s="5" t="s">
        <v>2103</v>
      </c>
      <c r="E769" s="5" t="s">
        <v>2753</v>
      </c>
      <c r="F769" s="5" t="str">
        <f t="shared" si="2"/>
        <v>Brooks</v>
      </c>
      <c r="G769" s="5" t="s">
        <v>2753</v>
      </c>
      <c r="H769" s="6">
        <v>54.0</v>
      </c>
      <c r="I769" s="6">
        <f t="shared" si="3"/>
        <v>54</v>
      </c>
      <c r="J769" s="6">
        <v>54.0</v>
      </c>
      <c r="K769" s="6" t="str">
        <f t="shared" si="4"/>
        <v>Middle Age</v>
      </c>
      <c r="L769" s="6" t="s">
        <v>591</v>
      </c>
      <c r="M769" s="5" t="s">
        <v>105</v>
      </c>
      <c r="N769" s="5" t="str">
        <f t="shared" si="5"/>
        <v>Female</v>
      </c>
      <c r="O769" s="5" t="s">
        <v>105</v>
      </c>
      <c r="P769" s="5" t="s">
        <v>107</v>
      </c>
      <c r="Q769" s="5" t="s">
        <v>311</v>
      </c>
      <c r="R769" s="5" t="s">
        <v>96</v>
      </c>
      <c r="S769" s="5" t="s">
        <v>211</v>
      </c>
      <c r="T769" s="6">
        <v>482.0</v>
      </c>
      <c r="U769" s="5">
        <f t="shared" si="6"/>
        <v>482</v>
      </c>
      <c r="V769" s="5">
        <v>482.0</v>
      </c>
    </row>
    <row r="770" ht="22.5" customHeight="1">
      <c r="A770" s="5" t="s">
        <v>2755</v>
      </c>
      <c r="B770" s="5" t="s">
        <v>2281</v>
      </c>
      <c r="C770" s="5" t="str">
        <f t="shared" si="1"/>
        <v>Barbara</v>
      </c>
      <c r="D770" s="5" t="s">
        <v>2281</v>
      </c>
      <c r="E770" s="5" t="s">
        <v>2299</v>
      </c>
      <c r="F770" s="5" t="str">
        <f t="shared" si="2"/>
        <v>Moore</v>
      </c>
      <c r="G770" s="5" t="s">
        <v>2299</v>
      </c>
      <c r="H770" s="6">
        <v>79.0</v>
      </c>
      <c r="I770" s="6">
        <f t="shared" si="3"/>
        <v>79</v>
      </c>
      <c r="J770" s="6">
        <v>79.0</v>
      </c>
      <c r="K770" s="6" t="str">
        <f t="shared" si="4"/>
        <v>Senior</v>
      </c>
      <c r="L770" s="6" t="s">
        <v>734</v>
      </c>
      <c r="M770" s="5" t="s">
        <v>152</v>
      </c>
      <c r="N770" s="5" t="str">
        <f t="shared" si="5"/>
        <v>Male</v>
      </c>
      <c r="O770" s="5" t="s">
        <v>152</v>
      </c>
      <c r="P770" s="5" t="s">
        <v>237</v>
      </c>
      <c r="Q770" s="5" t="s">
        <v>230</v>
      </c>
      <c r="R770" s="5" t="s">
        <v>452</v>
      </c>
      <c r="S770" s="5" t="s">
        <v>97</v>
      </c>
      <c r="T770" s="6">
        <v>4428.0</v>
      </c>
      <c r="U770" s="5">
        <f t="shared" si="6"/>
        <v>4428</v>
      </c>
      <c r="V770" s="5">
        <v>4428.0</v>
      </c>
    </row>
    <row r="771" ht="22.5" customHeight="1">
      <c r="A771" s="5" t="s">
        <v>2757</v>
      </c>
      <c r="B771" s="5" t="s">
        <v>2758</v>
      </c>
      <c r="C771" s="5" t="str">
        <f t="shared" si="1"/>
        <v>Emma</v>
      </c>
      <c r="D771" s="5" t="s">
        <v>2758</v>
      </c>
      <c r="E771" s="5" t="s">
        <v>2351</v>
      </c>
      <c r="F771" s="5" t="str">
        <f t="shared" si="2"/>
        <v>Ramos</v>
      </c>
      <c r="G771" s="5" t="s">
        <v>2351</v>
      </c>
      <c r="H771" s="6">
        <v>18.0</v>
      </c>
      <c r="I771" s="6">
        <f t="shared" si="3"/>
        <v>18</v>
      </c>
      <c r="J771" s="6">
        <v>18.0</v>
      </c>
      <c r="K771" s="6" t="str">
        <f t="shared" si="4"/>
        <v>Young Adult</v>
      </c>
      <c r="L771" s="6" t="s">
        <v>528</v>
      </c>
      <c r="M771" s="5" t="s">
        <v>45</v>
      </c>
      <c r="N771" s="5" t="str">
        <f t="shared" si="5"/>
        <v>Female</v>
      </c>
      <c r="O771" s="5" t="s">
        <v>105</v>
      </c>
      <c r="P771" s="5" t="s">
        <v>237</v>
      </c>
      <c r="Q771" s="5" t="s">
        <v>576</v>
      </c>
      <c r="R771" s="5" t="s">
        <v>607</v>
      </c>
      <c r="S771" s="5" t="s">
        <v>559</v>
      </c>
      <c r="T771" s="6">
        <v>3308.0</v>
      </c>
      <c r="U771" s="5">
        <f t="shared" si="6"/>
        <v>3308</v>
      </c>
      <c r="V771" s="5">
        <v>3308.0</v>
      </c>
    </row>
    <row r="772" ht="22.5" customHeight="1">
      <c r="A772" s="5" t="s">
        <v>2760</v>
      </c>
      <c r="B772" s="5" t="s">
        <v>577</v>
      </c>
      <c r="C772" s="5" t="str">
        <f t="shared" si="1"/>
        <v>Rebecca</v>
      </c>
      <c r="D772" s="5" t="s">
        <v>577</v>
      </c>
      <c r="E772" s="5" t="s">
        <v>2761</v>
      </c>
      <c r="F772" s="5" t="str">
        <f t="shared" si="2"/>
        <v>Stewart</v>
      </c>
      <c r="G772" s="5" t="s">
        <v>2761</v>
      </c>
      <c r="H772" s="6">
        <v>60.0</v>
      </c>
      <c r="I772" s="6">
        <f t="shared" si="3"/>
        <v>60</v>
      </c>
      <c r="J772" s="6">
        <v>60.0</v>
      </c>
      <c r="K772" s="6" t="str">
        <f t="shared" si="4"/>
        <v>Middle Age</v>
      </c>
      <c r="L772" s="6" t="s">
        <v>591</v>
      </c>
      <c r="M772" s="5" t="s">
        <v>80</v>
      </c>
      <c r="N772" s="5" t="str">
        <f t="shared" si="5"/>
        <v>Male</v>
      </c>
      <c r="O772" s="5" t="s">
        <v>152</v>
      </c>
      <c r="P772" s="5" t="s">
        <v>47</v>
      </c>
      <c r="Q772" s="5" t="s">
        <v>436</v>
      </c>
      <c r="R772" s="5" t="s">
        <v>561</v>
      </c>
      <c r="S772" s="5" t="s">
        <v>222</v>
      </c>
      <c r="T772" s="6">
        <v>3225.0</v>
      </c>
      <c r="U772" s="5">
        <f t="shared" si="6"/>
        <v>3225</v>
      </c>
      <c r="V772" s="5">
        <v>3225.0</v>
      </c>
    </row>
    <row r="773" ht="22.5" customHeight="1">
      <c r="A773" s="5" t="s">
        <v>2763</v>
      </c>
      <c r="B773" s="5" t="s">
        <v>2198</v>
      </c>
      <c r="C773" s="5" t="str">
        <f t="shared" si="1"/>
        <v>Alexander</v>
      </c>
      <c r="D773" s="5" t="s">
        <v>2198</v>
      </c>
      <c r="E773" s="5" t="s">
        <v>2753</v>
      </c>
      <c r="F773" s="5" t="str">
        <f t="shared" si="2"/>
        <v>Brooks</v>
      </c>
      <c r="G773" s="5" t="s">
        <v>2753</v>
      </c>
      <c r="H773" s="6">
        <v>-21.0</v>
      </c>
      <c r="I773" s="6">
        <f t="shared" si="3"/>
        <v>21</v>
      </c>
      <c r="J773" s="6">
        <v>21.0</v>
      </c>
      <c r="K773" s="6" t="str">
        <f t="shared" si="4"/>
        <v>Young Adult</v>
      </c>
      <c r="L773" s="6" t="s">
        <v>528</v>
      </c>
      <c r="M773" s="5" t="s">
        <v>28</v>
      </c>
      <c r="N773" s="5" t="str">
        <f t="shared" si="5"/>
        <v>Female</v>
      </c>
      <c r="O773" s="5" t="s">
        <v>105</v>
      </c>
      <c r="P773" s="5" t="s">
        <v>47</v>
      </c>
      <c r="Q773" s="5" t="s">
        <v>439</v>
      </c>
      <c r="R773" s="5" t="s">
        <v>210</v>
      </c>
      <c r="S773" s="5" t="s">
        <v>211</v>
      </c>
      <c r="T773" s="6">
        <v>325.0</v>
      </c>
      <c r="U773" s="5">
        <f t="shared" si="6"/>
        <v>325</v>
      </c>
      <c r="V773" s="5">
        <v>325.0</v>
      </c>
    </row>
    <row r="774" ht="22.5" customHeight="1">
      <c r="A774" s="5" t="s">
        <v>2766</v>
      </c>
      <c r="B774" s="5" t="s">
        <v>323</v>
      </c>
      <c r="C774" s="5" t="str">
        <f t="shared" si="1"/>
        <v>Betty</v>
      </c>
      <c r="D774" s="5" t="s">
        <v>323</v>
      </c>
      <c r="E774" s="5" t="s">
        <v>2486</v>
      </c>
      <c r="F774" s="5" t="str">
        <f t="shared" si="2"/>
        <v>Jimenez</v>
      </c>
      <c r="G774" s="5" t="s">
        <v>2486</v>
      </c>
      <c r="H774" s="6">
        <v>86.0</v>
      </c>
      <c r="I774" s="6">
        <f t="shared" si="3"/>
        <v>86</v>
      </c>
      <c r="J774" s="6">
        <v>86.0</v>
      </c>
      <c r="K774" s="6" t="str">
        <f t="shared" si="4"/>
        <v>Senior</v>
      </c>
      <c r="L774" s="6" t="s">
        <v>734</v>
      </c>
      <c r="M774" s="5" t="s">
        <v>45</v>
      </c>
      <c r="N774" s="5" t="str">
        <f t="shared" si="5"/>
        <v>Female</v>
      </c>
      <c r="O774" s="5" t="s">
        <v>105</v>
      </c>
      <c r="P774" s="5" t="s">
        <v>47</v>
      </c>
      <c r="Q774" s="5" t="s">
        <v>277</v>
      </c>
      <c r="R774" s="5" t="s">
        <v>402</v>
      </c>
      <c r="S774" s="5" t="s">
        <v>97</v>
      </c>
      <c r="T774" s="6">
        <v>1302.0</v>
      </c>
      <c r="U774" s="5">
        <f t="shared" si="6"/>
        <v>1302</v>
      </c>
      <c r="V774" s="5">
        <v>1302.0</v>
      </c>
    </row>
    <row r="775" ht="22.5" customHeight="1">
      <c r="A775" s="5" t="s">
        <v>2769</v>
      </c>
      <c r="B775" s="5" t="s">
        <v>1143</v>
      </c>
      <c r="C775" s="5" t="str">
        <f t="shared" si="1"/>
        <v>Joshua</v>
      </c>
      <c r="D775" s="5" t="s">
        <v>1143</v>
      </c>
      <c r="E775" s="5" t="s">
        <v>1187</v>
      </c>
      <c r="F775" s="5" t="str">
        <f t="shared" si="2"/>
        <v>Martinez</v>
      </c>
      <c r="G775" s="5" t="s">
        <v>1187</v>
      </c>
      <c r="H775" s="6">
        <v>59.0</v>
      </c>
      <c r="I775" s="6">
        <f t="shared" si="3"/>
        <v>59</v>
      </c>
      <c r="J775" s="6">
        <v>59.0</v>
      </c>
      <c r="K775" s="6" t="str">
        <f t="shared" si="4"/>
        <v>Middle Age</v>
      </c>
      <c r="L775" s="6" t="s">
        <v>591</v>
      </c>
      <c r="M775" s="5" t="s">
        <v>1572</v>
      </c>
      <c r="N775" s="5" t="str">
        <f t="shared" si="5"/>
        <v>Male</v>
      </c>
      <c r="O775" s="5" t="s">
        <v>152</v>
      </c>
      <c r="P775" s="5" t="s">
        <v>571</v>
      </c>
      <c r="Q775" s="5" t="s">
        <v>470</v>
      </c>
      <c r="R775" s="5" t="s">
        <v>96</v>
      </c>
      <c r="S775" s="5" t="s">
        <v>559</v>
      </c>
      <c r="T775" s="6">
        <v>924.0</v>
      </c>
      <c r="U775" s="5">
        <f t="shared" si="6"/>
        <v>924</v>
      </c>
      <c r="V775" s="5">
        <v>924.0</v>
      </c>
    </row>
    <row r="776" ht="22.5" customHeight="1">
      <c r="A776" s="5" t="s">
        <v>2771</v>
      </c>
      <c r="B776" s="5" t="s">
        <v>2428</v>
      </c>
      <c r="C776" s="5" t="str">
        <f t="shared" si="1"/>
        <v>Jacob</v>
      </c>
      <c r="D776" s="5" t="s">
        <v>2428</v>
      </c>
      <c r="E776" s="5" t="s">
        <v>2351</v>
      </c>
      <c r="F776" s="5" t="str">
        <f t="shared" si="2"/>
        <v>Ramos</v>
      </c>
      <c r="G776" s="5" t="s">
        <v>2351</v>
      </c>
      <c r="H776" s="6">
        <v>30.0</v>
      </c>
      <c r="I776" s="6">
        <f t="shared" si="3"/>
        <v>30</v>
      </c>
      <c r="J776" s="6">
        <v>30.0</v>
      </c>
      <c r="K776" s="6" t="str">
        <f t="shared" si="4"/>
        <v>Young Adult</v>
      </c>
      <c r="L776" s="6" t="s">
        <v>528</v>
      </c>
      <c r="M776" s="5" t="s">
        <v>28</v>
      </c>
      <c r="N776" s="5" t="str">
        <f t="shared" si="5"/>
        <v>Female</v>
      </c>
      <c r="O776" s="5" t="s">
        <v>105</v>
      </c>
      <c r="P776" s="5" t="s">
        <v>539</v>
      </c>
      <c r="Q776" s="5" t="s">
        <v>123</v>
      </c>
      <c r="R776" s="5" t="s">
        <v>83</v>
      </c>
      <c r="S776" s="5" t="s">
        <v>222</v>
      </c>
      <c r="T776" s="6">
        <v>2208.0</v>
      </c>
      <c r="U776" s="5">
        <f t="shared" si="6"/>
        <v>2208</v>
      </c>
      <c r="V776" s="5">
        <v>2208.0</v>
      </c>
    </row>
    <row r="777" ht="22.5" customHeight="1">
      <c r="A777" s="5" t="s">
        <v>2774</v>
      </c>
      <c r="B777" s="5" t="s">
        <v>2193</v>
      </c>
      <c r="C777" s="5" t="str">
        <f t="shared" si="1"/>
        <v>Kathleen</v>
      </c>
      <c r="D777" s="5" t="s">
        <v>2193</v>
      </c>
      <c r="E777" s="5" t="s">
        <v>2303</v>
      </c>
      <c r="F777" s="5" t="str">
        <f t="shared" si="2"/>
        <v>Harris</v>
      </c>
      <c r="G777" s="5" t="s">
        <v>2303</v>
      </c>
      <c r="H777" s="6">
        <v>39.0</v>
      </c>
      <c r="I777" s="6">
        <f t="shared" si="3"/>
        <v>39</v>
      </c>
      <c r="J777" s="6">
        <v>39.0</v>
      </c>
      <c r="K777" s="6" t="str">
        <f t="shared" si="4"/>
        <v>Young Adult</v>
      </c>
      <c r="L777" s="6" t="s">
        <v>528</v>
      </c>
      <c r="M777" s="5" t="s">
        <v>28</v>
      </c>
      <c r="N777" s="5" t="str">
        <f t="shared" si="5"/>
        <v>Female</v>
      </c>
      <c r="O777" s="5" t="s">
        <v>105</v>
      </c>
      <c r="P777" s="5" t="s">
        <v>237</v>
      </c>
      <c r="Q777" s="5" t="s">
        <v>418</v>
      </c>
      <c r="R777" s="5" t="s">
        <v>210</v>
      </c>
      <c r="S777" s="5" t="s">
        <v>222</v>
      </c>
      <c r="T777" s="6">
        <v>427.0</v>
      </c>
      <c r="U777" s="5">
        <f t="shared" si="6"/>
        <v>427</v>
      </c>
      <c r="V777" s="5">
        <v>427.0</v>
      </c>
    </row>
    <row r="778" ht="22.5" customHeight="1">
      <c r="A778" s="5" t="s">
        <v>2776</v>
      </c>
      <c r="B778" s="5" t="s">
        <v>2225</v>
      </c>
      <c r="C778" s="5" t="str">
        <f t="shared" si="1"/>
        <v>Rachel</v>
      </c>
      <c r="D778" s="5" t="s">
        <v>2225</v>
      </c>
      <c r="E778" s="5" t="s">
        <v>2667</v>
      </c>
      <c r="F778" s="5" t="str">
        <f t="shared" si="2"/>
        <v>Mendoza</v>
      </c>
      <c r="G778" s="5" t="s">
        <v>2667</v>
      </c>
      <c r="H778" s="6">
        <v>24.0</v>
      </c>
      <c r="I778" s="6">
        <f t="shared" si="3"/>
        <v>24</v>
      </c>
      <c r="J778" s="6">
        <v>24.0</v>
      </c>
      <c r="K778" s="6" t="str">
        <f t="shared" si="4"/>
        <v>Young Adult</v>
      </c>
      <c r="L778" s="6" t="s">
        <v>528</v>
      </c>
      <c r="M778" s="5" t="s">
        <v>80</v>
      </c>
      <c r="N778" s="5" t="str">
        <f t="shared" si="5"/>
        <v>Male</v>
      </c>
      <c r="O778" s="5" t="s">
        <v>152</v>
      </c>
      <c r="P778" s="5" t="s">
        <v>401</v>
      </c>
      <c r="Q778" s="5" t="s">
        <v>32</v>
      </c>
      <c r="R778" s="5" t="s">
        <v>83</v>
      </c>
      <c r="S778" s="5" t="s">
        <v>222</v>
      </c>
      <c r="T778" s="6">
        <v>2520.0</v>
      </c>
      <c r="U778" s="5">
        <f t="shared" si="6"/>
        <v>2520</v>
      </c>
      <c r="V778" s="5">
        <v>2520.0</v>
      </c>
    </row>
    <row r="779" ht="22.5" customHeight="1">
      <c r="A779" s="5" t="s">
        <v>2777</v>
      </c>
      <c r="B779" s="5" t="s">
        <v>2183</v>
      </c>
      <c r="C779" s="5" t="str">
        <f t="shared" si="1"/>
        <v>Larry</v>
      </c>
      <c r="D779" s="5" t="s">
        <v>2183</v>
      </c>
      <c r="E779" s="5" t="s">
        <v>2684</v>
      </c>
      <c r="F779" s="5" t="str">
        <f t="shared" si="2"/>
        <v>Nguyen</v>
      </c>
      <c r="G779" s="5" t="s">
        <v>2684</v>
      </c>
      <c r="H779" s="6">
        <v>53.0</v>
      </c>
      <c r="I779" s="6">
        <f t="shared" si="3"/>
        <v>53</v>
      </c>
      <c r="J779" s="6">
        <v>53.0</v>
      </c>
      <c r="K779" s="6" t="str">
        <f t="shared" si="4"/>
        <v>Middle Age</v>
      </c>
      <c r="L779" s="6" t="s">
        <v>591</v>
      </c>
      <c r="M779" s="5" t="s">
        <v>152</v>
      </c>
      <c r="N779" s="5" t="str">
        <f t="shared" si="5"/>
        <v>Male</v>
      </c>
      <c r="O779" s="5" t="s">
        <v>152</v>
      </c>
      <c r="P779" s="5" t="s">
        <v>47</v>
      </c>
      <c r="Q779" s="5" t="s">
        <v>377</v>
      </c>
      <c r="R779" s="5" t="s">
        <v>402</v>
      </c>
      <c r="S779" s="5" t="s">
        <v>222</v>
      </c>
      <c r="T779" s="6">
        <v>2842.0</v>
      </c>
      <c r="U779" s="5">
        <f t="shared" si="6"/>
        <v>2842</v>
      </c>
      <c r="V779" s="5">
        <v>2842.0</v>
      </c>
    </row>
    <row r="780" ht="22.5" customHeight="1">
      <c r="A780" s="5" t="s">
        <v>2779</v>
      </c>
      <c r="B780" s="5" t="s">
        <v>2780</v>
      </c>
      <c r="C780" s="5" t="str">
        <f t="shared" si="1"/>
        <v>Stephen</v>
      </c>
      <c r="D780" s="5" t="s">
        <v>2780</v>
      </c>
      <c r="E780" s="5" t="s">
        <v>2179</v>
      </c>
      <c r="F780" s="5" t="str">
        <f t="shared" si="2"/>
        <v>Hill</v>
      </c>
      <c r="G780" s="5" t="s">
        <v>2179</v>
      </c>
      <c r="H780" s="6">
        <v>36.0</v>
      </c>
      <c r="I780" s="6">
        <f t="shared" si="3"/>
        <v>36</v>
      </c>
      <c r="J780" s="6">
        <v>36.0</v>
      </c>
      <c r="K780" s="6" t="str">
        <f t="shared" si="4"/>
        <v>Young Adult</v>
      </c>
      <c r="L780" s="6" t="s">
        <v>528</v>
      </c>
      <c r="M780" s="5" t="s">
        <v>80</v>
      </c>
      <c r="N780" s="5" t="str">
        <f t="shared" si="5"/>
        <v>Male</v>
      </c>
      <c r="O780" s="5" t="s">
        <v>152</v>
      </c>
      <c r="P780" s="5" t="s">
        <v>107</v>
      </c>
      <c r="Q780" s="5" t="s">
        <v>482</v>
      </c>
      <c r="R780" s="5" t="s">
        <v>179</v>
      </c>
      <c r="S780" s="5" t="s">
        <v>222</v>
      </c>
      <c r="T780" s="6">
        <v>4011.0</v>
      </c>
      <c r="U780" s="5">
        <f t="shared" si="6"/>
        <v>4011</v>
      </c>
      <c r="V780" s="5">
        <v>4011.0</v>
      </c>
    </row>
    <row r="781" ht="22.5" customHeight="1">
      <c r="A781" s="5" t="s">
        <v>2783</v>
      </c>
      <c r="B781" s="5" t="s">
        <v>2479</v>
      </c>
      <c r="C781" s="5" t="str">
        <f t="shared" si="1"/>
        <v>Joseph</v>
      </c>
      <c r="D781" s="5" t="s">
        <v>2479</v>
      </c>
      <c r="E781" s="5" t="s">
        <v>2217</v>
      </c>
      <c r="F781" s="5" t="str">
        <f t="shared" si="2"/>
        <v>Bennett</v>
      </c>
      <c r="G781" s="5" t="s">
        <v>2217</v>
      </c>
      <c r="H781" s="6">
        <v>68.0</v>
      </c>
      <c r="I781" s="6">
        <f t="shared" si="3"/>
        <v>68</v>
      </c>
      <c r="J781" s="6">
        <v>68.0</v>
      </c>
      <c r="K781" s="6" t="str">
        <f t="shared" si="4"/>
        <v>Senior</v>
      </c>
      <c r="L781" s="6" t="s">
        <v>734</v>
      </c>
      <c r="M781" s="5" t="s">
        <v>28</v>
      </c>
      <c r="N781" s="5" t="str">
        <f t="shared" si="5"/>
        <v>Female</v>
      </c>
      <c r="O781" s="5" t="s">
        <v>105</v>
      </c>
      <c r="P781" s="5" t="s">
        <v>47</v>
      </c>
      <c r="Q781" s="5" t="s">
        <v>482</v>
      </c>
      <c r="R781" s="5" t="s">
        <v>179</v>
      </c>
      <c r="S781" s="5" t="s">
        <v>97</v>
      </c>
      <c r="T781" s="6">
        <v>3051.0</v>
      </c>
      <c r="U781" s="5">
        <f t="shared" si="6"/>
        <v>3051</v>
      </c>
      <c r="V781" s="5">
        <v>3051.0</v>
      </c>
    </row>
    <row r="782" ht="22.5" customHeight="1">
      <c r="A782" s="5" t="s">
        <v>2785</v>
      </c>
      <c r="B782" s="5" t="s">
        <v>2410</v>
      </c>
      <c r="C782" s="5" t="str">
        <f t="shared" si="1"/>
        <v>Andrew</v>
      </c>
      <c r="D782" s="5" t="s">
        <v>2410</v>
      </c>
      <c r="E782" s="5" t="s">
        <v>2435</v>
      </c>
      <c r="F782" s="5" t="str">
        <f t="shared" si="2"/>
        <v>Green</v>
      </c>
      <c r="G782" s="5" t="s">
        <v>2435</v>
      </c>
      <c r="H782" s="6">
        <v>38.0</v>
      </c>
      <c r="I782" s="6">
        <f t="shared" si="3"/>
        <v>38</v>
      </c>
      <c r="J782" s="6">
        <v>38.0</v>
      </c>
      <c r="K782" s="6" t="str">
        <f t="shared" si="4"/>
        <v>Young Adult</v>
      </c>
      <c r="L782" s="6" t="s">
        <v>528</v>
      </c>
      <c r="M782" s="5" t="s">
        <v>1572</v>
      </c>
      <c r="N782" s="5" t="str">
        <f t="shared" si="5"/>
        <v>Male</v>
      </c>
      <c r="O782" s="5" t="s">
        <v>152</v>
      </c>
      <c r="P782" s="5" t="s">
        <v>64</v>
      </c>
      <c r="Q782" s="5" t="s">
        <v>1290</v>
      </c>
      <c r="R782" s="5" t="s">
        <v>533</v>
      </c>
      <c r="S782" s="5" t="s">
        <v>211</v>
      </c>
      <c r="T782" s="6">
        <v>1848.0</v>
      </c>
      <c r="U782" s="5">
        <f t="shared" si="6"/>
        <v>1848</v>
      </c>
      <c r="V782" s="5">
        <v>1848.0</v>
      </c>
    </row>
    <row r="783" ht="22.5" customHeight="1">
      <c r="A783" s="5" t="s">
        <v>2787</v>
      </c>
      <c r="B783" s="5" t="s">
        <v>2108</v>
      </c>
      <c r="C783" s="5" t="str">
        <f t="shared" si="1"/>
        <v>Angela</v>
      </c>
      <c r="D783" s="5" t="s">
        <v>2108</v>
      </c>
      <c r="E783" s="5" t="s">
        <v>2332</v>
      </c>
      <c r="F783" s="5" t="str">
        <f t="shared" si="2"/>
        <v>Morales</v>
      </c>
      <c r="G783" s="5" t="s">
        <v>2332</v>
      </c>
      <c r="H783" s="6">
        <v>54.0</v>
      </c>
      <c r="I783" s="6">
        <f t="shared" si="3"/>
        <v>54</v>
      </c>
      <c r="J783" s="6">
        <v>54.0</v>
      </c>
      <c r="K783" s="6" t="str">
        <f t="shared" si="4"/>
        <v>Middle Age</v>
      </c>
      <c r="L783" s="6" t="s">
        <v>591</v>
      </c>
      <c r="M783" s="5" t="s">
        <v>28</v>
      </c>
      <c r="N783" s="5" t="str">
        <f t="shared" si="5"/>
        <v>Female</v>
      </c>
      <c r="O783" s="5" t="s">
        <v>105</v>
      </c>
      <c r="P783" s="5" t="s">
        <v>539</v>
      </c>
      <c r="Q783" s="5" t="s">
        <v>238</v>
      </c>
      <c r="R783" s="5" t="s">
        <v>533</v>
      </c>
      <c r="S783" s="5" t="s">
        <v>559</v>
      </c>
      <c r="T783" s="6">
        <v>1731.0</v>
      </c>
      <c r="U783" s="5">
        <f t="shared" si="6"/>
        <v>1731</v>
      </c>
      <c r="V783" s="5">
        <v>1731.0</v>
      </c>
    </row>
    <row r="784" ht="22.5" customHeight="1">
      <c r="A784" s="5" t="s">
        <v>2789</v>
      </c>
      <c r="B784" s="5" t="s">
        <v>2363</v>
      </c>
      <c r="C784" s="5" t="str">
        <f t="shared" si="1"/>
        <v>Susan</v>
      </c>
      <c r="D784" s="5" t="s">
        <v>2363</v>
      </c>
      <c r="E784" s="5" t="s">
        <v>2429</v>
      </c>
      <c r="F784" s="5" t="str">
        <f t="shared" si="2"/>
        <v>Martin</v>
      </c>
      <c r="G784" s="5" t="s">
        <v>2429</v>
      </c>
      <c r="H784" s="6">
        <v>43.0</v>
      </c>
      <c r="I784" s="6">
        <f t="shared" si="3"/>
        <v>43</v>
      </c>
      <c r="J784" s="6">
        <v>43.0</v>
      </c>
      <c r="K784" s="6" t="str">
        <f t="shared" si="4"/>
        <v>Middle Age</v>
      </c>
      <c r="L784" s="6" t="s">
        <v>591</v>
      </c>
      <c r="M784" s="5" t="s">
        <v>105</v>
      </c>
      <c r="N784" s="5" t="str">
        <f t="shared" si="5"/>
        <v>Female</v>
      </c>
      <c r="O784" s="5" t="s">
        <v>105</v>
      </c>
      <c r="P784" s="5" t="s">
        <v>268</v>
      </c>
      <c r="Q784" s="5" t="s">
        <v>377</v>
      </c>
      <c r="R784" s="5" t="s">
        <v>96</v>
      </c>
      <c r="S784" s="5" t="s">
        <v>222</v>
      </c>
      <c r="T784" s="6">
        <v>569.0</v>
      </c>
      <c r="U784" s="5">
        <f t="shared" si="6"/>
        <v>569</v>
      </c>
      <c r="V784" s="5">
        <v>569.0</v>
      </c>
    </row>
    <row r="785" ht="22.5" customHeight="1">
      <c r="A785" s="5" t="s">
        <v>2792</v>
      </c>
      <c r="B785" s="5" t="s">
        <v>2193</v>
      </c>
      <c r="C785" s="5" t="str">
        <f t="shared" si="1"/>
        <v>Kathleen</v>
      </c>
      <c r="D785" s="5" t="s">
        <v>2193</v>
      </c>
      <c r="E785" s="5" t="s">
        <v>128</v>
      </c>
      <c r="F785" s="5" t="str">
        <f t="shared" si="2"/>
        <v>Rodriguez</v>
      </c>
      <c r="G785" s="5" t="s">
        <v>128</v>
      </c>
      <c r="H785" s="6">
        <v>79.0</v>
      </c>
      <c r="I785" s="6">
        <f t="shared" si="3"/>
        <v>79</v>
      </c>
      <c r="J785" s="6">
        <v>79.0</v>
      </c>
      <c r="K785" s="6" t="str">
        <f t="shared" si="4"/>
        <v>Senior</v>
      </c>
      <c r="L785" s="6" t="s">
        <v>734</v>
      </c>
      <c r="M785" s="5" t="s">
        <v>105</v>
      </c>
      <c r="N785" s="5" t="str">
        <f t="shared" si="5"/>
        <v>Female</v>
      </c>
      <c r="O785" s="5" t="s">
        <v>105</v>
      </c>
      <c r="P785" s="5" t="s">
        <v>176</v>
      </c>
      <c r="Q785" s="5" t="s">
        <v>439</v>
      </c>
      <c r="R785" s="5" t="s">
        <v>210</v>
      </c>
      <c r="S785" s="5" t="s">
        <v>97</v>
      </c>
      <c r="T785" s="6">
        <v>382.0</v>
      </c>
      <c r="U785" s="5">
        <f t="shared" si="6"/>
        <v>382</v>
      </c>
      <c r="V785" s="5">
        <v>382.0</v>
      </c>
    </row>
    <row r="786" ht="22.5" customHeight="1">
      <c r="A786" s="5" t="s">
        <v>2795</v>
      </c>
      <c r="B786" s="5" t="s">
        <v>983</v>
      </c>
      <c r="C786" s="5" t="str">
        <f t="shared" si="1"/>
        <v>Thomas</v>
      </c>
      <c r="D786" s="5" t="s">
        <v>983</v>
      </c>
      <c r="E786" s="5" t="s">
        <v>556</v>
      </c>
      <c r="F786" s="5" t="str">
        <f t="shared" si="2"/>
        <v>Jones</v>
      </c>
      <c r="G786" s="5" t="s">
        <v>556</v>
      </c>
      <c r="H786" s="6">
        <v>24.0</v>
      </c>
      <c r="I786" s="6">
        <f t="shared" si="3"/>
        <v>24</v>
      </c>
      <c r="J786" s="6">
        <v>24.0</v>
      </c>
      <c r="K786" s="6" t="str">
        <f t="shared" si="4"/>
        <v>Young Adult</v>
      </c>
      <c r="L786" s="6" t="s">
        <v>528</v>
      </c>
      <c r="M786" s="5" t="s">
        <v>152</v>
      </c>
      <c r="N786" s="5" t="str">
        <f t="shared" si="5"/>
        <v>Male</v>
      </c>
      <c r="O786" s="5" t="s">
        <v>152</v>
      </c>
      <c r="P786" s="5" t="s">
        <v>364</v>
      </c>
      <c r="Q786" s="5" t="s">
        <v>164</v>
      </c>
      <c r="R786" s="5" t="s">
        <v>452</v>
      </c>
      <c r="S786" s="5" t="s">
        <v>222</v>
      </c>
      <c r="T786" s="6">
        <v>4950.0</v>
      </c>
      <c r="U786" s="5">
        <f t="shared" si="6"/>
        <v>4950</v>
      </c>
      <c r="V786" s="5">
        <v>4950.0</v>
      </c>
    </row>
    <row r="787" ht="22.5" customHeight="1">
      <c r="A787" s="5" t="s">
        <v>2797</v>
      </c>
      <c r="B787" s="5" t="s">
        <v>2548</v>
      </c>
      <c r="C787" s="5" t="str">
        <f t="shared" si="1"/>
        <v>Pamela</v>
      </c>
      <c r="D787" s="5" t="s">
        <v>2548</v>
      </c>
      <c r="E787" s="5" t="s">
        <v>2087</v>
      </c>
      <c r="F787" s="5" t="str">
        <f t="shared" si="2"/>
        <v>Diaz</v>
      </c>
      <c r="G787" s="5" t="s">
        <v>2087</v>
      </c>
      <c r="H787" s="6">
        <v>150.0</v>
      </c>
      <c r="I787" s="6">
        <f t="shared" si="3"/>
        <v>150</v>
      </c>
      <c r="J787" s="6"/>
      <c r="K787" s="6" t="str">
        <f t="shared" si="4"/>
        <v>Unknown</v>
      </c>
      <c r="L787" s="6" t="s">
        <v>1081</v>
      </c>
      <c r="M787" s="5" t="s">
        <v>1572</v>
      </c>
      <c r="N787" s="5" t="str">
        <f t="shared" si="5"/>
        <v>Male</v>
      </c>
      <c r="O787" s="5" t="s">
        <v>152</v>
      </c>
      <c r="P787" s="5" t="s">
        <v>107</v>
      </c>
      <c r="Q787" s="5" t="s">
        <v>164</v>
      </c>
      <c r="R787" s="5" t="s">
        <v>607</v>
      </c>
      <c r="S787" s="5" t="s">
        <v>97</v>
      </c>
      <c r="T787" s="6">
        <v>2761.0</v>
      </c>
      <c r="U787" s="5">
        <f t="shared" si="6"/>
        <v>2761</v>
      </c>
      <c r="V787" s="5">
        <v>2761.0</v>
      </c>
    </row>
    <row r="788" ht="22.5" customHeight="1">
      <c r="A788" s="5" t="s">
        <v>2800</v>
      </c>
      <c r="B788" s="5" t="s">
        <v>827</v>
      </c>
      <c r="C788" s="5" t="str">
        <f t="shared" si="1"/>
        <v>Ryan</v>
      </c>
      <c r="D788" s="5" t="s">
        <v>827</v>
      </c>
      <c r="E788" s="5" t="s">
        <v>2266</v>
      </c>
      <c r="F788" s="5" t="str">
        <f t="shared" si="2"/>
        <v>Morgan</v>
      </c>
      <c r="G788" s="5" t="s">
        <v>2266</v>
      </c>
      <c r="H788" s="6">
        <v>39.0</v>
      </c>
      <c r="I788" s="6">
        <f t="shared" si="3"/>
        <v>39</v>
      </c>
      <c r="J788" s="6">
        <v>39.0</v>
      </c>
      <c r="K788" s="6" t="str">
        <f t="shared" si="4"/>
        <v>Young Adult</v>
      </c>
      <c r="L788" s="6" t="s">
        <v>528</v>
      </c>
      <c r="M788" s="5" t="s">
        <v>1572</v>
      </c>
      <c r="N788" s="5" t="str">
        <f t="shared" si="5"/>
        <v>Male</v>
      </c>
      <c r="O788" s="5" t="s">
        <v>152</v>
      </c>
      <c r="P788" s="5" t="s">
        <v>30</v>
      </c>
      <c r="Q788" s="5" t="s">
        <v>164</v>
      </c>
      <c r="R788" s="5" t="s">
        <v>96</v>
      </c>
      <c r="S788" s="5" t="s">
        <v>222</v>
      </c>
      <c r="T788" s="6">
        <v>50.0</v>
      </c>
      <c r="U788" s="5">
        <f t="shared" si="6"/>
        <v>50</v>
      </c>
      <c r="V788" s="5">
        <v>50.0</v>
      </c>
    </row>
    <row r="789" ht="22.5" customHeight="1">
      <c r="A789" s="5" t="s">
        <v>2801</v>
      </c>
      <c r="B789" s="5" t="s">
        <v>1237</v>
      </c>
      <c r="C789" s="5" t="str">
        <f t="shared" si="1"/>
        <v>Charles</v>
      </c>
      <c r="D789" s="5" t="s">
        <v>1237</v>
      </c>
      <c r="E789" s="5" t="s">
        <v>2332</v>
      </c>
      <c r="F789" s="5" t="str">
        <f t="shared" si="2"/>
        <v>Morales</v>
      </c>
      <c r="G789" s="5" t="s">
        <v>2332</v>
      </c>
      <c r="H789" s="6">
        <v>43.0</v>
      </c>
      <c r="I789" s="6">
        <f t="shared" si="3"/>
        <v>43</v>
      </c>
      <c r="J789" s="6">
        <v>43.0</v>
      </c>
      <c r="K789" s="6" t="str">
        <f t="shared" si="4"/>
        <v>Middle Age</v>
      </c>
      <c r="L789" s="6" t="s">
        <v>591</v>
      </c>
      <c r="M789" s="5" t="s">
        <v>1572</v>
      </c>
      <c r="N789" s="5" t="str">
        <f t="shared" si="5"/>
        <v>Male</v>
      </c>
      <c r="O789" s="5" t="s">
        <v>152</v>
      </c>
      <c r="P789" s="5" t="s">
        <v>571</v>
      </c>
      <c r="Q789" s="5" t="s">
        <v>436</v>
      </c>
      <c r="R789" s="5" t="s">
        <v>561</v>
      </c>
      <c r="S789" s="5" t="s">
        <v>211</v>
      </c>
      <c r="T789" s="6">
        <v>2282.0</v>
      </c>
      <c r="U789" s="5">
        <f t="shared" si="6"/>
        <v>2282</v>
      </c>
      <c r="V789" s="5">
        <v>2282.0</v>
      </c>
    </row>
    <row r="790" ht="22.5" customHeight="1">
      <c r="A790" s="5" t="s">
        <v>2803</v>
      </c>
      <c r="B790" s="5" t="s">
        <v>2410</v>
      </c>
      <c r="C790" s="5" t="str">
        <f t="shared" si="1"/>
        <v>Andrew</v>
      </c>
      <c r="D790" s="5" t="s">
        <v>2410</v>
      </c>
      <c r="E790" s="5" t="s">
        <v>2371</v>
      </c>
      <c r="F790" s="5" t="str">
        <f t="shared" si="2"/>
        <v>Walker</v>
      </c>
      <c r="G790" s="5" t="s">
        <v>2371</v>
      </c>
      <c r="H790" s="6">
        <v>47.0</v>
      </c>
      <c r="I790" s="6">
        <f t="shared" si="3"/>
        <v>47</v>
      </c>
      <c r="J790" s="6">
        <v>47.0</v>
      </c>
      <c r="K790" s="6" t="str">
        <f t="shared" si="4"/>
        <v>Middle Age</v>
      </c>
      <c r="L790" s="6" t="s">
        <v>591</v>
      </c>
      <c r="M790" s="5" t="s">
        <v>28</v>
      </c>
      <c r="N790" s="5" t="str">
        <f t="shared" si="5"/>
        <v>Female</v>
      </c>
      <c r="O790" s="5" t="s">
        <v>105</v>
      </c>
      <c r="P790" s="5" t="s">
        <v>759</v>
      </c>
      <c r="Q790" s="5" t="s">
        <v>436</v>
      </c>
      <c r="R790" s="5" t="s">
        <v>561</v>
      </c>
      <c r="S790" s="5" t="s">
        <v>52</v>
      </c>
      <c r="T790" s="6">
        <v>3865.0</v>
      </c>
      <c r="U790" s="5">
        <f t="shared" si="6"/>
        <v>3865</v>
      </c>
      <c r="V790" s="5">
        <v>3865.0</v>
      </c>
    </row>
    <row r="791" ht="22.5" customHeight="1">
      <c r="A791" s="5" t="s">
        <v>2806</v>
      </c>
      <c r="B791" s="5" t="s">
        <v>1583</v>
      </c>
      <c r="C791" s="5" t="str">
        <f t="shared" si="1"/>
        <v>Lisa</v>
      </c>
      <c r="D791" s="5" t="s">
        <v>1583</v>
      </c>
      <c r="E791" s="5" t="s">
        <v>2368</v>
      </c>
      <c r="F791" s="5" t="str">
        <f t="shared" si="2"/>
        <v>Evans</v>
      </c>
      <c r="G791" s="5" t="s">
        <v>2368</v>
      </c>
      <c r="H791" s="6">
        <v>27.0</v>
      </c>
      <c r="I791" s="6">
        <f t="shared" si="3"/>
        <v>27</v>
      </c>
      <c r="J791" s="6">
        <v>27.0</v>
      </c>
      <c r="K791" s="6" t="str">
        <f t="shared" si="4"/>
        <v>Young Adult</v>
      </c>
      <c r="L791" s="6" t="s">
        <v>528</v>
      </c>
      <c r="M791" s="5" t="s">
        <v>80</v>
      </c>
      <c r="N791" s="5" t="str">
        <f t="shared" si="5"/>
        <v>Male</v>
      </c>
      <c r="O791" s="5" t="s">
        <v>152</v>
      </c>
      <c r="P791" s="5" t="s">
        <v>47</v>
      </c>
      <c r="Q791" s="5" t="s">
        <v>164</v>
      </c>
      <c r="R791" s="5" t="s">
        <v>96</v>
      </c>
      <c r="S791" s="5" t="s">
        <v>211</v>
      </c>
      <c r="T791" s="6">
        <v>1414.0</v>
      </c>
      <c r="U791" s="5">
        <f t="shared" si="6"/>
        <v>1414</v>
      </c>
      <c r="V791" s="5">
        <v>1414.0</v>
      </c>
    </row>
    <row r="792" ht="22.5" customHeight="1">
      <c r="A792" s="5" t="s">
        <v>2809</v>
      </c>
      <c r="B792" s="5" t="s">
        <v>1583</v>
      </c>
      <c r="C792" s="5" t="str">
        <f t="shared" si="1"/>
        <v>Lisa</v>
      </c>
      <c r="D792" s="5" t="s">
        <v>1583</v>
      </c>
      <c r="E792" s="5" t="s">
        <v>2217</v>
      </c>
      <c r="F792" s="5" t="str">
        <f t="shared" si="2"/>
        <v>Bennett</v>
      </c>
      <c r="G792" s="5" t="s">
        <v>2217</v>
      </c>
      <c r="H792" s="6">
        <v>58.0</v>
      </c>
      <c r="I792" s="6">
        <f t="shared" si="3"/>
        <v>58</v>
      </c>
      <c r="J792" s="6">
        <v>58.0</v>
      </c>
      <c r="K792" s="6" t="str">
        <f t="shared" si="4"/>
        <v>Middle Age</v>
      </c>
      <c r="L792" s="6" t="s">
        <v>591</v>
      </c>
      <c r="M792" s="5" t="s">
        <v>80</v>
      </c>
      <c r="N792" s="5" t="str">
        <f t="shared" si="5"/>
        <v>Male</v>
      </c>
      <c r="O792" s="5" t="s">
        <v>152</v>
      </c>
      <c r="P792" s="5" t="s">
        <v>256</v>
      </c>
      <c r="Q792" s="5" t="s">
        <v>238</v>
      </c>
      <c r="R792" s="5" t="s">
        <v>533</v>
      </c>
      <c r="S792" s="5" t="s">
        <v>559</v>
      </c>
      <c r="T792" s="6">
        <v>470.0</v>
      </c>
      <c r="U792" s="5">
        <f t="shared" si="6"/>
        <v>470</v>
      </c>
      <c r="V792" s="5">
        <v>470.0</v>
      </c>
    </row>
    <row r="793" ht="22.5" customHeight="1">
      <c r="A793" s="5" t="s">
        <v>2811</v>
      </c>
      <c r="B793" s="5" t="s">
        <v>2291</v>
      </c>
      <c r="C793" s="5" t="str">
        <f t="shared" si="1"/>
        <v>Elizabeth</v>
      </c>
      <c r="D793" s="5" t="s">
        <v>2291</v>
      </c>
      <c r="E793" s="5" t="s">
        <v>2127</v>
      </c>
      <c r="F793" s="5" t="str">
        <f t="shared" si="2"/>
        <v>Parker</v>
      </c>
      <c r="G793" s="5" t="s">
        <v>2127</v>
      </c>
      <c r="H793" s="6">
        <v>60.0</v>
      </c>
      <c r="I793" s="6">
        <f t="shared" si="3"/>
        <v>60</v>
      </c>
      <c r="J793" s="6">
        <v>60.0</v>
      </c>
      <c r="K793" s="6" t="str">
        <f t="shared" si="4"/>
        <v>Middle Age</v>
      </c>
      <c r="L793" s="6" t="s">
        <v>591</v>
      </c>
      <c r="M793" s="5" t="s">
        <v>1572</v>
      </c>
      <c r="N793" s="5" t="str">
        <f t="shared" si="5"/>
        <v>Male</v>
      </c>
      <c r="O793" s="5" t="s">
        <v>152</v>
      </c>
      <c r="P793" s="5" t="s">
        <v>208</v>
      </c>
      <c r="Q793" s="5" t="s">
        <v>439</v>
      </c>
      <c r="R793" s="5" t="s">
        <v>210</v>
      </c>
      <c r="S793" s="5" t="s">
        <v>52</v>
      </c>
      <c r="T793" s="6">
        <v>514.0</v>
      </c>
      <c r="U793" s="5">
        <f t="shared" si="6"/>
        <v>514</v>
      </c>
      <c r="V793" s="5">
        <v>514.0</v>
      </c>
    </row>
    <row r="794" ht="22.5" customHeight="1">
      <c r="A794" s="5" t="s">
        <v>2814</v>
      </c>
      <c r="B794" s="5" t="s">
        <v>2350</v>
      </c>
      <c r="C794" s="5" t="str">
        <f t="shared" si="1"/>
        <v>Donald</v>
      </c>
      <c r="D794" s="5" t="s">
        <v>2350</v>
      </c>
      <c r="E794" s="5" t="s">
        <v>2486</v>
      </c>
      <c r="F794" s="5" t="str">
        <f t="shared" si="2"/>
        <v>Jimenez</v>
      </c>
      <c r="G794" s="5" t="s">
        <v>2486</v>
      </c>
      <c r="H794" s="6">
        <v>68.0</v>
      </c>
      <c r="I794" s="6">
        <f t="shared" si="3"/>
        <v>68</v>
      </c>
      <c r="J794" s="6">
        <v>68.0</v>
      </c>
      <c r="K794" s="6" t="str">
        <f t="shared" si="4"/>
        <v>Senior</v>
      </c>
      <c r="L794" s="6" t="s">
        <v>734</v>
      </c>
      <c r="M794" s="5" t="s">
        <v>105</v>
      </c>
      <c r="N794" s="5" t="str">
        <f t="shared" si="5"/>
        <v>Female</v>
      </c>
      <c r="O794" s="5" t="s">
        <v>105</v>
      </c>
      <c r="P794" s="5" t="s">
        <v>47</v>
      </c>
      <c r="Q794" s="5" t="s">
        <v>164</v>
      </c>
      <c r="R794" s="5" t="s">
        <v>607</v>
      </c>
      <c r="S794" s="5" t="s">
        <v>97</v>
      </c>
      <c r="T794" s="15">
        <v>3148.0</v>
      </c>
      <c r="U794" s="5">
        <f t="shared" si="6"/>
        <v>3148</v>
      </c>
      <c r="V794" s="5">
        <v>3148.0</v>
      </c>
    </row>
    <row r="795" ht="22.5" customHeight="1">
      <c r="A795" s="5" t="s">
        <v>2817</v>
      </c>
      <c r="B795" s="5" t="s">
        <v>2250</v>
      </c>
      <c r="C795" s="5" t="str">
        <f t="shared" si="1"/>
        <v>Maria</v>
      </c>
      <c r="D795" s="5" t="s">
        <v>2250</v>
      </c>
      <c r="E795" s="5" t="s">
        <v>128</v>
      </c>
      <c r="F795" s="5" t="str">
        <f t="shared" si="2"/>
        <v>Rodriguez</v>
      </c>
      <c r="G795" s="5" t="s">
        <v>128</v>
      </c>
      <c r="H795" s="6">
        <v>32.0</v>
      </c>
      <c r="I795" s="6">
        <f t="shared" si="3"/>
        <v>32</v>
      </c>
      <c r="J795" s="6">
        <v>32.0</v>
      </c>
      <c r="K795" s="6" t="str">
        <f t="shared" si="4"/>
        <v>Young Adult</v>
      </c>
      <c r="L795" s="6" t="s">
        <v>528</v>
      </c>
      <c r="M795" s="5" t="s">
        <v>105</v>
      </c>
      <c r="N795" s="5" t="str">
        <f t="shared" si="5"/>
        <v>Female</v>
      </c>
      <c r="O795" s="5" t="s">
        <v>105</v>
      </c>
      <c r="P795" s="5" t="s">
        <v>237</v>
      </c>
      <c r="Q795" s="5" t="s">
        <v>377</v>
      </c>
      <c r="R795" s="5" t="s">
        <v>96</v>
      </c>
      <c r="S795" s="5" t="s">
        <v>222</v>
      </c>
      <c r="T795" s="15">
        <v>746.0</v>
      </c>
      <c r="U795" s="5">
        <f t="shared" si="6"/>
        <v>746</v>
      </c>
      <c r="V795" s="5">
        <v>746.0</v>
      </c>
    </row>
    <row r="796" ht="22.5" customHeight="1">
      <c r="A796" s="5" t="s">
        <v>2819</v>
      </c>
      <c r="B796" s="5" t="s">
        <v>2008</v>
      </c>
      <c r="C796" s="5" t="str">
        <f t="shared" si="1"/>
        <v>William</v>
      </c>
      <c r="D796" s="5" t="s">
        <v>2008</v>
      </c>
      <c r="E796" s="5" t="s">
        <v>2405</v>
      </c>
      <c r="F796" s="5" t="str">
        <f t="shared" si="2"/>
        <v>Edwards</v>
      </c>
      <c r="G796" s="5" t="s">
        <v>2405</v>
      </c>
      <c r="H796" s="6">
        <v>50.0</v>
      </c>
      <c r="I796" s="6">
        <f t="shared" si="3"/>
        <v>50</v>
      </c>
      <c r="J796" s="6">
        <v>50.0</v>
      </c>
      <c r="K796" s="6" t="str">
        <f t="shared" si="4"/>
        <v>Middle Age</v>
      </c>
      <c r="L796" s="6" t="s">
        <v>591</v>
      </c>
      <c r="M796" s="5" t="s">
        <v>45</v>
      </c>
      <c r="N796" s="5" t="str">
        <f t="shared" si="5"/>
        <v>Female</v>
      </c>
      <c r="O796" s="5" t="s">
        <v>105</v>
      </c>
      <c r="P796" s="5" t="s">
        <v>237</v>
      </c>
      <c r="Q796" s="5" t="s">
        <v>238</v>
      </c>
      <c r="R796" s="5" t="s">
        <v>533</v>
      </c>
      <c r="S796" s="5" t="s">
        <v>559</v>
      </c>
      <c r="T796" s="15">
        <v>119.0</v>
      </c>
      <c r="U796" s="5">
        <f t="shared" si="6"/>
        <v>119</v>
      </c>
      <c r="V796" s="5">
        <v>119.0</v>
      </c>
    </row>
    <row r="797" ht="22.5" customHeight="1">
      <c r="A797" s="5" t="s">
        <v>2822</v>
      </c>
      <c r="B797" s="5" t="s">
        <v>2086</v>
      </c>
      <c r="C797" s="5" t="str">
        <f t="shared" si="1"/>
        <v>Nicole</v>
      </c>
      <c r="D797" s="5" t="s">
        <v>2086</v>
      </c>
      <c r="E797" s="5" t="s">
        <v>2217</v>
      </c>
      <c r="F797" s="5" t="str">
        <f t="shared" si="2"/>
        <v>Bennett</v>
      </c>
      <c r="G797" s="5" t="s">
        <v>2217</v>
      </c>
      <c r="H797" s="6">
        <v>70.0</v>
      </c>
      <c r="I797" s="6">
        <f t="shared" si="3"/>
        <v>70</v>
      </c>
      <c r="J797" s="6">
        <v>70.0</v>
      </c>
      <c r="K797" s="6" t="str">
        <f t="shared" si="4"/>
        <v>Senior</v>
      </c>
      <c r="L797" s="6" t="s">
        <v>734</v>
      </c>
      <c r="M797" s="5" t="s">
        <v>28</v>
      </c>
      <c r="N797" s="5" t="str">
        <f t="shared" si="5"/>
        <v>Female</v>
      </c>
      <c r="O797" s="5" t="s">
        <v>105</v>
      </c>
      <c r="P797" s="5" t="s">
        <v>47</v>
      </c>
      <c r="Q797" s="5" t="s">
        <v>470</v>
      </c>
      <c r="R797" s="5" t="s">
        <v>96</v>
      </c>
      <c r="S797" s="5" t="s">
        <v>97</v>
      </c>
      <c r="T797" s="15">
        <v>794.0</v>
      </c>
      <c r="U797" s="5">
        <f t="shared" si="6"/>
        <v>794</v>
      </c>
      <c r="V797" s="5">
        <v>794.0</v>
      </c>
    </row>
    <row r="798" ht="22.5" customHeight="1">
      <c r="A798" s="5" t="s">
        <v>2823</v>
      </c>
      <c r="B798" s="5" t="s">
        <v>620</v>
      </c>
      <c r="C798" s="5" t="str">
        <f t="shared" si="1"/>
        <v>Michelle</v>
      </c>
      <c r="D798" s="5" t="s">
        <v>620</v>
      </c>
      <c r="E798" s="5" t="s">
        <v>2824</v>
      </c>
      <c r="F798" s="5" t="str">
        <f t="shared" si="2"/>
        <v>Wright</v>
      </c>
      <c r="G798" s="5" t="s">
        <v>2824</v>
      </c>
      <c r="H798" s="6">
        <v>64.0</v>
      </c>
      <c r="I798" s="6">
        <f t="shared" si="3"/>
        <v>64</v>
      </c>
      <c r="J798" s="6">
        <v>64.0</v>
      </c>
      <c r="K798" s="6" t="str">
        <f t="shared" si="4"/>
        <v>Senior</v>
      </c>
      <c r="L798" s="6" t="s">
        <v>734</v>
      </c>
      <c r="M798" s="5" t="s">
        <v>1572</v>
      </c>
      <c r="N798" s="5" t="str">
        <f t="shared" si="5"/>
        <v>Male</v>
      </c>
      <c r="O798" s="5" t="s">
        <v>152</v>
      </c>
      <c r="P798" s="5" t="s">
        <v>364</v>
      </c>
      <c r="Q798" s="5" t="s">
        <v>311</v>
      </c>
      <c r="R798" s="5" t="s">
        <v>546</v>
      </c>
      <c r="S798" s="5" t="s">
        <v>97</v>
      </c>
      <c r="T798" s="15">
        <v>1206.0</v>
      </c>
      <c r="U798" s="5">
        <f t="shared" si="6"/>
        <v>1206</v>
      </c>
      <c r="V798" s="5">
        <v>1206.0</v>
      </c>
    </row>
    <row r="799" ht="22.5" customHeight="1">
      <c r="A799" s="5" t="s">
        <v>2826</v>
      </c>
      <c r="B799" s="5" t="s">
        <v>2758</v>
      </c>
      <c r="C799" s="5" t="str">
        <f t="shared" si="1"/>
        <v>Emma</v>
      </c>
      <c r="D799" s="5" t="s">
        <v>2758</v>
      </c>
      <c r="E799" s="5" t="s">
        <v>2336</v>
      </c>
      <c r="F799" s="5" t="str">
        <f t="shared" si="2"/>
        <v>Cook</v>
      </c>
      <c r="G799" s="5" t="s">
        <v>2336</v>
      </c>
      <c r="H799" s="6">
        <v>46.0</v>
      </c>
      <c r="I799" s="6">
        <f t="shared" si="3"/>
        <v>46</v>
      </c>
      <c r="J799" s="6">
        <v>46.0</v>
      </c>
      <c r="K799" s="6" t="str">
        <f t="shared" si="4"/>
        <v>Middle Age</v>
      </c>
      <c r="L799" s="6" t="s">
        <v>591</v>
      </c>
      <c r="M799" s="5" t="s">
        <v>105</v>
      </c>
      <c r="N799" s="5" t="str">
        <f t="shared" si="5"/>
        <v>Female</v>
      </c>
      <c r="O799" s="5" t="s">
        <v>105</v>
      </c>
      <c r="P799" s="5" t="s">
        <v>571</v>
      </c>
      <c r="Q799" s="5" t="s">
        <v>669</v>
      </c>
      <c r="R799" s="5" t="s">
        <v>452</v>
      </c>
      <c r="S799" s="5" t="s">
        <v>52</v>
      </c>
      <c r="T799" s="15">
        <v>4142.0</v>
      </c>
      <c r="U799" s="5">
        <f t="shared" si="6"/>
        <v>4142</v>
      </c>
      <c r="V799" s="5">
        <v>4142.0</v>
      </c>
    </row>
    <row r="800" ht="22.5" customHeight="1">
      <c r="A800" s="5" t="s">
        <v>2829</v>
      </c>
      <c r="B800" s="5" t="s">
        <v>2326</v>
      </c>
      <c r="C800" s="5" t="str">
        <f t="shared" si="1"/>
        <v>Stephanie</v>
      </c>
      <c r="D800" s="5" t="s">
        <v>2326</v>
      </c>
      <c r="E800" s="5" t="s">
        <v>2179</v>
      </c>
      <c r="F800" s="5" t="str">
        <f t="shared" si="2"/>
        <v>Hill</v>
      </c>
      <c r="G800" s="5" t="s">
        <v>2179</v>
      </c>
      <c r="H800" s="6">
        <v>79.0</v>
      </c>
      <c r="I800" s="6">
        <f t="shared" si="3"/>
        <v>79</v>
      </c>
      <c r="J800" s="6">
        <v>79.0</v>
      </c>
      <c r="K800" s="6" t="str">
        <f t="shared" si="4"/>
        <v>Senior</v>
      </c>
      <c r="L800" s="6" t="s">
        <v>734</v>
      </c>
      <c r="M800" s="5" t="s">
        <v>152</v>
      </c>
      <c r="N800" s="5" t="str">
        <f t="shared" si="5"/>
        <v>Male</v>
      </c>
      <c r="O800" s="5" t="s">
        <v>152</v>
      </c>
      <c r="P800" s="5" t="s">
        <v>571</v>
      </c>
      <c r="Q800" s="5" t="s">
        <v>637</v>
      </c>
      <c r="R800" s="5" t="s">
        <v>546</v>
      </c>
      <c r="S800" s="5" t="s">
        <v>97</v>
      </c>
      <c r="T800" s="15">
        <v>2791.0</v>
      </c>
      <c r="U800" s="5">
        <f t="shared" si="6"/>
        <v>2791</v>
      </c>
      <c r="V800" s="5">
        <v>2791.0</v>
      </c>
    </row>
    <row r="801" ht="22.5" customHeight="1">
      <c r="A801" s="5" t="s">
        <v>2831</v>
      </c>
      <c r="B801" s="5" t="s">
        <v>2206</v>
      </c>
      <c r="C801" s="5" t="str">
        <f t="shared" si="1"/>
        <v>Nicholas</v>
      </c>
      <c r="D801" s="5" t="s">
        <v>2206</v>
      </c>
      <c r="E801" s="5" t="s">
        <v>2145</v>
      </c>
      <c r="F801" s="5" t="str">
        <f t="shared" si="2"/>
        <v>Robinson</v>
      </c>
      <c r="G801" s="5" t="s">
        <v>2145</v>
      </c>
      <c r="H801" s="6">
        <v>66.0</v>
      </c>
      <c r="I801" s="6">
        <f t="shared" si="3"/>
        <v>66</v>
      </c>
      <c r="J801" s="6">
        <v>66.0</v>
      </c>
      <c r="K801" s="6" t="str">
        <f t="shared" si="4"/>
        <v>Senior</v>
      </c>
      <c r="L801" s="6" t="s">
        <v>734</v>
      </c>
      <c r="M801" s="5" t="s">
        <v>45</v>
      </c>
      <c r="N801" s="5" t="str">
        <f t="shared" si="5"/>
        <v>Female</v>
      </c>
      <c r="O801" s="5" t="s">
        <v>105</v>
      </c>
      <c r="P801" s="5" t="s">
        <v>64</v>
      </c>
      <c r="Q801" s="5" t="s">
        <v>377</v>
      </c>
      <c r="R801" s="5" t="s">
        <v>402</v>
      </c>
      <c r="S801" s="5" t="s">
        <v>97</v>
      </c>
      <c r="T801" s="15">
        <v>1323.0</v>
      </c>
      <c r="U801" s="5">
        <f t="shared" si="6"/>
        <v>1323</v>
      </c>
      <c r="V801" s="5">
        <v>1323.0</v>
      </c>
    </row>
    <row r="802" ht="22.5" customHeight="1">
      <c r="A802" s="5" t="s">
        <v>2833</v>
      </c>
      <c r="B802" s="5" t="s">
        <v>2618</v>
      </c>
      <c r="C802" s="5" t="str">
        <f t="shared" si="1"/>
        <v>Jeffrey</v>
      </c>
      <c r="D802" s="5" t="s">
        <v>2618</v>
      </c>
      <c r="E802" s="5" t="s">
        <v>2187</v>
      </c>
      <c r="F802" s="5" t="str">
        <f t="shared" si="2"/>
        <v>Bailey</v>
      </c>
      <c r="G802" s="5" t="s">
        <v>2187</v>
      </c>
      <c r="H802" s="6">
        <v>60.0</v>
      </c>
      <c r="I802" s="6">
        <f t="shared" si="3"/>
        <v>60</v>
      </c>
      <c r="J802" s="6">
        <v>60.0</v>
      </c>
      <c r="K802" s="6" t="str">
        <f t="shared" si="4"/>
        <v>Middle Age</v>
      </c>
      <c r="L802" s="6" t="s">
        <v>591</v>
      </c>
      <c r="M802" s="5" t="s">
        <v>152</v>
      </c>
      <c r="N802" s="5" t="str">
        <f t="shared" si="5"/>
        <v>Male</v>
      </c>
      <c r="O802" s="5" t="s">
        <v>152</v>
      </c>
      <c r="P802" s="5" t="s">
        <v>107</v>
      </c>
      <c r="Q802" s="5" t="s">
        <v>551</v>
      </c>
      <c r="R802" s="5" t="s">
        <v>83</v>
      </c>
      <c r="S802" s="5" t="s">
        <v>559</v>
      </c>
      <c r="T802" s="15">
        <v>1273.0</v>
      </c>
      <c r="U802" s="5">
        <f t="shared" si="6"/>
        <v>1273</v>
      </c>
      <c r="V802" s="5">
        <v>1273.0</v>
      </c>
    </row>
    <row r="803" ht="22.5" customHeight="1">
      <c r="A803" s="5" t="s">
        <v>2835</v>
      </c>
      <c r="B803" s="5" t="s">
        <v>2123</v>
      </c>
      <c r="C803" s="5" t="str">
        <f t="shared" si="1"/>
        <v>Brenda</v>
      </c>
      <c r="D803" s="5" t="s">
        <v>2123</v>
      </c>
      <c r="E803" s="5" t="s">
        <v>713</v>
      </c>
      <c r="F803" s="5" t="str">
        <f t="shared" si="2"/>
        <v>White</v>
      </c>
      <c r="G803" s="5" t="s">
        <v>713</v>
      </c>
      <c r="H803" s="6">
        <v>76.0</v>
      </c>
      <c r="I803" s="6">
        <f t="shared" si="3"/>
        <v>76</v>
      </c>
      <c r="J803" s="6">
        <v>76.0</v>
      </c>
      <c r="K803" s="6" t="str">
        <f t="shared" si="4"/>
        <v>Senior</v>
      </c>
      <c r="L803" s="6" t="s">
        <v>734</v>
      </c>
      <c r="M803" s="5" t="s">
        <v>152</v>
      </c>
      <c r="N803" s="5" t="str">
        <f t="shared" si="5"/>
        <v>Male</v>
      </c>
      <c r="O803" s="5" t="s">
        <v>152</v>
      </c>
      <c r="P803" s="5" t="s">
        <v>208</v>
      </c>
      <c r="Q803" s="5" t="s">
        <v>439</v>
      </c>
      <c r="R803" s="5" t="s">
        <v>210</v>
      </c>
      <c r="S803" s="5" t="s">
        <v>97</v>
      </c>
      <c r="T803" s="15">
        <v>723.0</v>
      </c>
      <c r="U803" s="5">
        <f t="shared" si="6"/>
        <v>723</v>
      </c>
      <c r="V803" s="5">
        <v>723.0</v>
      </c>
    </row>
    <row r="804" ht="22.5" customHeight="1">
      <c r="A804" s="5" t="s">
        <v>2837</v>
      </c>
      <c r="B804" s="5" t="s">
        <v>925</v>
      </c>
      <c r="C804" s="5" t="str">
        <f t="shared" si="1"/>
        <v>James</v>
      </c>
      <c r="D804" s="5" t="s">
        <v>925</v>
      </c>
      <c r="E804" s="5" t="s">
        <v>2163</v>
      </c>
      <c r="F804" s="5" t="str">
        <f t="shared" si="2"/>
        <v>Ruiz</v>
      </c>
      <c r="G804" s="5" t="s">
        <v>2163</v>
      </c>
      <c r="H804" s="6">
        <v>31.0</v>
      </c>
      <c r="I804" s="6">
        <f t="shared" si="3"/>
        <v>31</v>
      </c>
      <c r="J804" s="6">
        <v>31.0</v>
      </c>
      <c r="K804" s="6" t="str">
        <f t="shared" si="4"/>
        <v>Young Adult</v>
      </c>
      <c r="L804" s="6" t="s">
        <v>528</v>
      </c>
      <c r="M804" s="5" t="s">
        <v>45</v>
      </c>
      <c r="N804" s="5" t="str">
        <f t="shared" si="5"/>
        <v>Female</v>
      </c>
      <c r="O804" s="5" t="s">
        <v>105</v>
      </c>
      <c r="P804" s="5" t="s">
        <v>47</v>
      </c>
      <c r="Q804" s="5" t="s">
        <v>377</v>
      </c>
      <c r="R804" s="5" t="s">
        <v>402</v>
      </c>
      <c r="S804" s="5" t="s">
        <v>211</v>
      </c>
      <c r="T804" s="15">
        <v>2222.0</v>
      </c>
      <c r="U804" s="5">
        <f t="shared" si="6"/>
        <v>2222</v>
      </c>
      <c r="V804" s="5">
        <v>2222.0</v>
      </c>
    </row>
    <row r="805" ht="22.5" customHeight="1">
      <c r="A805" s="5" t="s">
        <v>2838</v>
      </c>
      <c r="B805" s="5" t="s">
        <v>2681</v>
      </c>
      <c r="C805" s="5" t="str">
        <f t="shared" si="1"/>
        <v>Raymond</v>
      </c>
      <c r="D805" s="5" t="s">
        <v>2681</v>
      </c>
      <c r="E805" s="5" t="s">
        <v>2154</v>
      </c>
      <c r="F805" s="5" t="str">
        <f t="shared" si="2"/>
        <v>Anderson</v>
      </c>
      <c r="G805" s="5" t="s">
        <v>2154</v>
      </c>
      <c r="H805" s="6">
        <v>90.0</v>
      </c>
      <c r="I805" s="6">
        <f t="shared" si="3"/>
        <v>90</v>
      </c>
      <c r="J805" s="6">
        <v>90.0</v>
      </c>
      <c r="K805" s="6" t="str">
        <f t="shared" si="4"/>
        <v>Senior</v>
      </c>
      <c r="L805" s="6" t="s">
        <v>734</v>
      </c>
      <c r="M805" s="5" t="s">
        <v>105</v>
      </c>
      <c r="N805" s="5" t="str">
        <f t="shared" si="5"/>
        <v>Female</v>
      </c>
      <c r="O805" s="5" t="s">
        <v>105</v>
      </c>
      <c r="P805" s="5" t="s">
        <v>364</v>
      </c>
      <c r="Q805" s="5" t="s">
        <v>637</v>
      </c>
      <c r="R805" s="5" t="s">
        <v>546</v>
      </c>
      <c r="S805" s="5" t="s">
        <v>97</v>
      </c>
      <c r="T805" s="15">
        <v>2382.0</v>
      </c>
      <c r="U805" s="5">
        <f t="shared" si="6"/>
        <v>2382</v>
      </c>
      <c r="V805" s="5">
        <v>2382.0</v>
      </c>
    </row>
    <row r="806" ht="22.5" customHeight="1">
      <c r="A806" s="5" t="s">
        <v>2840</v>
      </c>
      <c r="B806" s="5" t="s">
        <v>2455</v>
      </c>
      <c r="C806" s="5" t="str">
        <f t="shared" si="1"/>
        <v>Jennifer</v>
      </c>
      <c r="D806" s="5" t="s">
        <v>2455</v>
      </c>
      <c r="E806" s="5" t="s">
        <v>2203</v>
      </c>
      <c r="F806" s="5" t="str">
        <f t="shared" si="2"/>
        <v>Gutierrez</v>
      </c>
      <c r="G806" s="5" t="s">
        <v>2203</v>
      </c>
      <c r="H806" s="6">
        <v>43.0</v>
      </c>
      <c r="I806" s="6">
        <f t="shared" si="3"/>
        <v>43</v>
      </c>
      <c r="J806" s="6">
        <v>43.0</v>
      </c>
      <c r="K806" s="6" t="str">
        <f t="shared" si="4"/>
        <v>Middle Age</v>
      </c>
      <c r="L806" s="6" t="s">
        <v>591</v>
      </c>
      <c r="M806" s="5" t="s">
        <v>80</v>
      </c>
      <c r="N806" s="5" t="str">
        <f t="shared" si="5"/>
        <v>Male</v>
      </c>
      <c r="O806" s="5" t="s">
        <v>152</v>
      </c>
      <c r="P806" s="5" t="s">
        <v>256</v>
      </c>
      <c r="Q806" s="5" t="s">
        <v>164</v>
      </c>
      <c r="R806" s="5" t="s">
        <v>452</v>
      </c>
      <c r="S806" s="5" t="s">
        <v>52</v>
      </c>
      <c r="T806" s="15">
        <v>3409.0</v>
      </c>
      <c r="U806" s="5">
        <f t="shared" si="6"/>
        <v>3409</v>
      </c>
      <c r="V806" s="5">
        <v>3409.0</v>
      </c>
    </row>
  </sheetData>
  <dataValidations>
    <dataValidation type="custom" allowBlank="1" showDropDown="1" sqref="H2:H806 T2:T806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4.0"/>
    <col customWidth="1" min="3" max="3" width="13.88"/>
    <col customWidth="1" min="4" max="4" width="8.5"/>
    <col customWidth="1" min="5" max="5" width="14.63"/>
    <col customWidth="1" min="6" max="6" width="10.88"/>
    <col customWidth="1" min="8" max="8" width="19.38"/>
    <col customWidth="1" min="9" max="9" width="21.75"/>
    <col customWidth="1" min="10" max="10" width="19.63"/>
    <col customWidth="1" min="11" max="11" width="20.25"/>
  </cols>
  <sheetData>
    <row r="1" ht="22.5" customHeight="1">
      <c r="A1" s="3" t="s">
        <v>0</v>
      </c>
      <c r="B1" s="3" t="s">
        <v>2</v>
      </c>
      <c r="C1" s="3" t="s">
        <v>4</v>
      </c>
      <c r="D1" s="3" t="s">
        <v>6</v>
      </c>
      <c r="E1" s="4" t="s">
        <v>453</v>
      </c>
      <c r="F1" s="3" t="s">
        <v>8</v>
      </c>
      <c r="G1" s="3" t="s">
        <v>11</v>
      </c>
      <c r="H1" s="3" t="s">
        <v>13</v>
      </c>
      <c r="I1" s="3" t="s">
        <v>15</v>
      </c>
      <c r="J1" s="3" t="s">
        <v>18</v>
      </c>
      <c r="K1" s="3" t="s">
        <v>20</v>
      </c>
    </row>
    <row r="2" ht="22.5" customHeight="1">
      <c r="A2" s="5" t="s">
        <v>21</v>
      </c>
      <c r="B2" s="5" t="s">
        <v>24</v>
      </c>
      <c r="C2" s="5" t="s">
        <v>25</v>
      </c>
      <c r="D2" s="6">
        <v>32.0</v>
      </c>
      <c r="E2" s="6" t="s">
        <v>528</v>
      </c>
      <c r="F2" s="5" t="s">
        <v>105</v>
      </c>
      <c r="G2" s="5" t="s">
        <v>30</v>
      </c>
      <c r="H2" s="5" t="s">
        <v>32</v>
      </c>
      <c r="I2" s="5" t="s">
        <v>83</v>
      </c>
      <c r="J2" s="5" t="s">
        <v>559</v>
      </c>
      <c r="K2" s="5">
        <v>1804.0</v>
      </c>
    </row>
    <row r="3" ht="22.5" customHeight="1">
      <c r="A3" s="5" t="s">
        <v>40</v>
      </c>
      <c r="B3" s="5" t="s">
        <v>577</v>
      </c>
      <c r="C3" s="5" t="s">
        <v>42</v>
      </c>
      <c r="D3" s="6">
        <v>45.0</v>
      </c>
      <c r="E3" s="6" t="s">
        <v>591</v>
      </c>
      <c r="F3" s="5" t="s">
        <v>105</v>
      </c>
      <c r="G3" s="5" t="s">
        <v>47</v>
      </c>
      <c r="H3" s="5" t="s">
        <v>576</v>
      </c>
      <c r="I3" s="5" t="s">
        <v>607</v>
      </c>
      <c r="J3" s="5" t="s">
        <v>52</v>
      </c>
      <c r="K3" s="5">
        <v>2858.0</v>
      </c>
    </row>
    <row r="4" ht="22.5" customHeight="1">
      <c r="A4" s="5" t="s">
        <v>57</v>
      </c>
      <c r="B4" s="5" t="s">
        <v>625</v>
      </c>
      <c r="C4" s="5" t="s">
        <v>301</v>
      </c>
      <c r="D4" s="6">
        <v>50.0</v>
      </c>
      <c r="E4" s="6" t="s">
        <v>591</v>
      </c>
      <c r="F4" s="5" t="s">
        <v>105</v>
      </c>
      <c r="G4" s="5" t="s">
        <v>64</v>
      </c>
      <c r="H4" s="5" t="s">
        <v>669</v>
      </c>
      <c r="I4" s="5" t="s">
        <v>452</v>
      </c>
      <c r="J4" s="5" t="s">
        <v>52</v>
      </c>
      <c r="K4" s="5">
        <v>2524.0</v>
      </c>
    </row>
    <row r="5" ht="22.5" customHeight="1">
      <c r="A5" s="5" t="s">
        <v>72</v>
      </c>
      <c r="B5" s="5" t="s">
        <v>689</v>
      </c>
      <c r="C5" s="5" t="s">
        <v>76</v>
      </c>
      <c r="D5" s="6">
        <v>21.0</v>
      </c>
      <c r="E5" s="6" t="s">
        <v>528</v>
      </c>
      <c r="F5" s="5" t="s">
        <v>152</v>
      </c>
      <c r="G5" s="5" t="s">
        <v>81</v>
      </c>
      <c r="H5" s="5" t="s">
        <v>32</v>
      </c>
      <c r="I5" s="5" t="s">
        <v>83</v>
      </c>
      <c r="J5" s="5" t="s">
        <v>52</v>
      </c>
      <c r="K5" s="5">
        <v>2429.0</v>
      </c>
    </row>
    <row r="6" ht="22.5" customHeight="1">
      <c r="A6" s="5" t="s">
        <v>87</v>
      </c>
      <c r="B6" s="5" t="s">
        <v>89</v>
      </c>
      <c r="C6" s="5" t="s">
        <v>90</v>
      </c>
      <c r="D6" s="6">
        <v>63.0</v>
      </c>
      <c r="E6" s="6" t="s">
        <v>734</v>
      </c>
      <c r="F6" s="5" t="s">
        <v>105</v>
      </c>
      <c r="G6" s="5" t="s">
        <v>64</v>
      </c>
      <c r="H6" s="5" t="s">
        <v>164</v>
      </c>
      <c r="I6" s="5" t="s">
        <v>96</v>
      </c>
      <c r="J6" s="5" t="s">
        <v>97</v>
      </c>
      <c r="K6" s="5">
        <v>1269.0</v>
      </c>
    </row>
    <row r="7" ht="22.5" customHeight="1">
      <c r="A7" s="5" t="s">
        <v>99</v>
      </c>
      <c r="B7" s="5" t="s">
        <v>764</v>
      </c>
      <c r="C7" s="5" t="s">
        <v>101</v>
      </c>
      <c r="D7" s="6">
        <v>69.0</v>
      </c>
      <c r="E7" s="6" t="s">
        <v>734</v>
      </c>
      <c r="F7" s="5" t="s">
        <v>105</v>
      </c>
      <c r="G7" s="5" t="s">
        <v>107</v>
      </c>
      <c r="H7" s="5" t="s">
        <v>482</v>
      </c>
      <c r="I7" s="5" t="s">
        <v>179</v>
      </c>
      <c r="J7" s="5" t="s">
        <v>97</v>
      </c>
      <c r="K7" s="5">
        <v>3839.0</v>
      </c>
    </row>
    <row r="8" ht="22.5" customHeight="1">
      <c r="A8" s="5" t="s">
        <v>119</v>
      </c>
      <c r="B8" s="5" t="s">
        <v>802</v>
      </c>
      <c r="C8" s="5" t="s">
        <v>806</v>
      </c>
      <c r="D8" s="6">
        <v>48.0</v>
      </c>
      <c r="E8" s="6" t="s">
        <v>591</v>
      </c>
      <c r="F8" s="5" t="s">
        <v>105</v>
      </c>
      <c r="G8" s="5" t="s">
        <v>107</v>
      </c>
      <c r="H8" s="5" t="s">
        <v>123</v>
      </c>
      <c r="I8" s="5" t="s">
        <v>83</v>
      </c>
      <c r="J8" s="5" t="s">
        <v>52</v>
      </c>
      <c r="K8" s="5">
        <v>1819.0</v>
      </c>
    </row>
    <row r="9" ht="22.5" customHeight="1">
      <c r="A9" s="5" t="s">
        <v>126</v>
      </c>
      <c r="B9" s="5" t="s">
        <v>127</v>
      </c>
      <c r="C9" s="5" t="s">
        <v>128</v>
      </c>
      <c r="D9" s="6">
        <v>65.0</v>
      </c>
      <c r="E9" s="6" t="s">
        <v>734</v>
      </c>
      <c r="F9" s="5" t="s">
        <v>152</v>
      </c>
      <c r="G9" s="5" t="s">
        <v>131</v>
      </c>
      <c r="H9" s="5" t="s">
        <v>164</v>
      </c>
      <c r="I9" s="5" t="s">
        <v>452</v>
      </c>
      <c r="J9" s="5" t="s">
        <v>97</v>
      </c>
      <c r="K9" s="5">
        <v>3827.0</v>
      </c>
    </row>
    <row r="10" ht="22.5" customHeight="1">
      <c r="A10" s="5" t="s">
        <v>134</v>
      </c>
      <c r="B10" s="5" t="s">
        <v>136</v>
      </c>
      <c r="C10" s="5" t="s">
        <v>515</v>
      </c>
      <c r="D10" s="6">
        <v>68.0</v>
      </c>
      <c r="E10" s="6" t="s">
        <v>734</v>
      </c>
      <c r="F10" s="5" t="s">
        <v>105</v>
      </c>
      <c r="G10" s="5" t="s">
        <v>141</v>
      </c>
      <c r="H10" s="5" t="s">
        <v>470</v>
      </c>
      <c r="I10" s="5" t="s">
        <v>96</v>
      </c>
      <c r="J10" s="5" t="s">
        <v>97</v>
      </c>
      <c r="K10" s="5">
        <v>454.0</v>
      </c>
    </row>
    <row r="11" ht="22.5" customHeight="1">
      <c r="A11" s="5" t="s">
        <v>145</v>
      </c>
      <c r="B11" s="5" t="s">
        <v>147</v>
      </c>
      <c r="C11" s="5" t="s">
        <v>148</v>
      </c>
      <c r="D11" s="6">
        <v>71.0</v>
      </c>
      <c r="E11" s="6" t="s">
        <v>734</v>
      </c>
      <c r="F11" s="5" t="s">
        <v>152</v>
      </c>
      <c r="G11" s="5" t="s">
        <v>81</v>
      </c>
      <c r="H11" s="5" t="s">
        <v>482</v>
      </c>
      <c r="I11" s="5" t="s">
        <v>179</v>
      </c>
      <c r="J11" s="5" t="s">
        <v>97</v>
      </c>
      <c r="K11" s="5">
        <v>4437.0</v>
      </c>
    </row>
    <row r="12" ht="22.5" customHeight="1">
      <c r="A12" s="5" t="s">
        <v>156</v>
      </c>
      <c r="B12" s="5" t="s">
        <v>158</v>
      </c>
      <c r="C12" s="5" t="s">
        <v>159</v>
      </c>
      <c r="D12" s="6">
        <v>56.0</v>
      </c>
      <c r="E12" s="6" t="s">
        <v>591</v>
      </c>
      <c r="F12" s="5" t="s">
        <v>105</v>
      </c>
      <c r="G12" s="5" t="s">
        <v>47</v>
      </c>
      <c r="H12" s="5" t="s">
        <v>164</v>
      </c>
      <c r="I12" s="5" t="s">
        <v>607</v>
      </c>
      <c r="J12" s="5" t="s">
        <v>559</v>
      </c>
      <c r="K12" s="5">
        <v>2421.0</v>
      </c>
    </row>
    <row r="13" ht="22.5" customHeight="1">
      <c r="A13" s="5" t="s">
        <v>169</v>
      </c>
      <c r="B13" s="5" t="s">
        <v>171</v>
      </c>
      <c r="C13" s="5" t="s">
        <v>172</v>
      </c>
      <c r="D13" s="6">
        <v>73.0</v>
      </c>
      <c r="E13" s="6" t="s">
        <v>734</v>
      </c>
      <c r="F13" s="5" t="s">
        <v>152</v>
      </c>
      <c r="G13" s="5" t="s">
        <v>176</v>
      </c>
      <c r="H13" s="5" t="s">
        <v>470</v>
      </c>
      <c r="I13" s="5" t="s">
        <v>179</v>
      </c>
      <c r="J13" s="5" t="s">
        <v>97</v>
      </c>
      <c r="K13" s="5">
        <v>3557.0</v>
      </c>
    </row>
    <row r="14" ht="22.5" customHeight="1">
      <c r="A14" s="5" t="s">
        <v>182</v>
      </c>
      <c r="B14" s="5" t="s">
        <v>183</v>
      </c>
      <c r="C14" s="5" t="s">
        <v>469</v>
      </c>
      <c r="D14" s="6">
        <v>90.0</v>
      </c>
      <c r="E14" s="6" t="s">
        <v>734</v>
      </c>
      <c r="F14" s="5" t="s">
        <v>152</v>
      </c>
      <c r="G14" s="5" t="s">
        <v>141</v>
      </c>
      <c r="H14" s="5" t="s">
        <v>439</v>
      </c>
      <c r="I14" s="5" t="s">
        <v>210</v>
      </c>
      <c r="J14" s="5" t="s">
        <v>97</v>
      </c>
      <c r="K14" s="5">
        <v>962.0</v>
      </c>
    </row>
    <row r="15" ht="22.5" customHeight="1">
      <c r="A15" s="5" t="s">
        <v>192</v>
      </c>
      <c r="B15" s="5" t="s">
        <v>193</v>
      </c>
      <c r="C15" s="5" t="s">
        <v>194</v>
      </c>
      <c r="D15" s="6">
        <v>81.0</v>
      </c>
      <c r="E15" s="6" t="s">
        <v>734</v>
      </c>
      <c r="F15" s="5" t="s">
        <v>105</v>
      </c>
      <c r="G15" s="5" t="s">
        <v>30</v>
      </c>
      <c r="H15" s="5" t="s">
        <v>916</v>
      </c>
      <c r="I15" s="5" t="s">
        <v>402</v>
      </c>
      <c r="J15" s="5" t="s">
        <v>97</v>
      </c>
      <c r="K15" s="5">
        <v>2711.0</v>
      </c>
    </row>
    <row r="16" ht="22.5" customHeight="1">
      <c r="A16" s="5" t="s">
        <v>202</v>
      </c>
      <c r="B16" s="5" t="s">
        <v>898</v>
      </c>
      <c r="C16" s="5" t="s">
        <v>1078</v>
      </c>
      <c r="D16" s="6">
        <v>0.0</v>
      </c>
      <c r="E16" s="6" t="s">
        <v>1081</v>
      </c>
      <c r="F16" s="5" t="s">
        <v>105</v>
      </c>
      <c r="G16" s="5" t="s">
        <v>208</v>
      </c>
      <c r="H16" s="5" t="s">
        <v>418</v>
      </c>
      <c r="I16" s="5" t="s">
        <v>210</v>
      </c>
      <c r="J16" s="5" t="s">
        <v>211</v>
      </c>
      <c r="K16" s="5">
        <v>1062.0</v>
      </c>
    </row>
    <row r="17" ht="22.5" customHeight="1">
      <c r="A17" s="5" t="s">
        <v>214</v>
      </c>
      <c r="B17" s="5" t="s">
        <v>127</v>
      </c>
      <c r="C17" s="5" t="s">
        <v>216</v>
      </c>
      <c r="D17" s="6">
        <v>57.0</v>
      </c>
      <c r="E17" s="6" t="s">
        <v>591</v>
      </c>
      <c r="F17" s="5" t="s">
        <v>152</v>
      </c>
      <c r="G17" s="5" t="s">
        <v>47</v>
      </c>
      <c r="H17" s="5" t="s">
        <v>358</v>
      </c>
      <c r="I17" s="5" t="s">
        <v>561</v>
      </c>
      <c r="J17" s="5" t="s">
        <v>222</v>
      </c>
      <c r="K17" s="5">
        <v>2057.0</v>
      </c>
    </row>
    <row r="18" ht="22.5" customHeight="1">
      <c r="A18" s="5" t="s">
        <v>225</v>
      </c>
      <c r="B18" s="5" t="s">
        <v>227</v>
      </c>
      <c r="C18" s="5" t="s">
        <v>128</v>
      </c>
      <c r="D18" s="6">
        <v>66.0</v>
      </c>
      <c r="E18" s="6" t="s">
        <v>734</v>
      </c>
      <c r="F18" s="5" t="s">
        <v>152</v>
      </c>
      <c r="G18" s="5" t="s">
        <v>47</v>
      </c>
      <c r="H18" s="5" t="s">
        <v>230</v>
      </c>
      <c r="I18" s="5" t="s">
        <v>452</v>
      </c>
      <c r="J18" s="5" t="s">
        <v>97</v>
      </c>
      <c r="K18" s="5">
        <v>2822.0</v>
      </c>
    </row>
    <row r="19" ht="22.5" customHeight="1">
      <c r="A19" s="5" t="s">
        <v>233</v>
      </c>
      <c r="B19" s="5" t="s">
        <v>1177</v>
      </c>
      <c r="C19" s="5" t="s">
        <v>515</v>
      </c>
      <c r="D19" s="6">
        <v>55.0</v>
      </c>
      <c r="E19" s="6" t="s">
        <v>591</v>
      </c>
      <c r="F19" s="5" t="s">
        <v>105</v>
      </c>
      <c r="G19" s="5" t="s">
        <v>237</v>
      </c>
      <c r="H19" s="5" t="s">
        <v>238</v>
      </c>
      <c r="I19" s="5" t="s">
        <v>533</v>
      </c>
      <c r="J19" s="5" t="s">
        <v>52</v>
      </c>
      <c r="K19" s="5">
        <v>923.0</v>
      </c>
    </row>
    <row r="20" ht="22.5" customHeight="1">
      <c r="A20" s="5" t="s">
        <v>242</v>
      </c>
      <c r="B20" s="5" t="s">
        <v>1219</v>
      </c>
      <c r="C20" s="5" t="s">
        <v>244</v>
      </c>
      <c r="D20" s="6">
        <v>18.0</v>
      </c>
      <c r="E20" s="6" t="s">
        <v>528</v>
      </c>
      <c r="F20" s="5" t="s">
        <v>152</v>
      </c>
      <c r="G20" s="5" t="s">
        <v>30</v>
      </c>
      <c r="H20" s="5" t="s">
        <v>32</v>
      </c>
      <c r="I20" s="5" t="s">
        <v>83</v>
      </c>
      <c r="J20" s="5" t="s">
        <v>559</v>
      </c>
      <c r="K20" s="5">
        <v>2187.0</v>
      </c>
    </row>
    <row r="21" ht="22.5" customHeight="1">
      <c r="A21" s="5" t="s">
        <v>253</v>
      </c>
      <c r="B21" s="5" t="s">
        <v>171</v>
      </c>
      <c r="C21" s="5" t="s">
        <v>254</v>
      </c>
      <c r="D21" s="6"/>
      <c r="E21" s="6" t="s">
        <v>1081</v>
      </c>
      <c r="F21" s="5" t="s">
        <v>152</v>
      </c>
      <c r="G21" s="5" t="s">
        <v>256</v>
      </c>
      <c r="H21" s="5" t="s">
        <v>311</v>
      </c>
      <c r="I21" s="5" t="s">
        <v>546</v>
      </c>
      <c r="J21" s="5" t="s">
        <v>97</v>
      </c>
      <c r="K21" s="5">
        <v>2932.0</v>
      </c>
    </row>
    <row r="22" ht="22.5" customHeight="1">
      <c r="A22" s="5" t="s">
        <v>262</v>
      </c>
      <c r="B22" s="5" t="s">
        <v>1278</v>
      </c>
      <c r="C22" s="5" t="s">
        <v>264</v>
      </c>
      <c r="D22" s="6">
        <v>64.0</v>
      </c>
      <c r="E22" s="6" t="s">
        <v>734</v>
      </c>
      <c r="F22" s="5" t="s">
        <v>105</v>
      </c>
      <c r="G22" s="5" t="s">
        <v>268</v>
      </c>
      <c r="H22" s="5" t="s">
        <v>230</v>
      </c>
      <c r="I22" s="5" t="s">
        <v>452</v>
      </c>
      <c r="J22" s="5" t="s">
        <v>97</v>
      </c>
      <c r="K22" s="5">
        <v>3324.0</v>
      </c>
    </row>
    <row r="23" ht="22.5" customHeight="1">
      <c r="A23" s="5" t="s">
        <v>274</v>
      </c>
      <c r="B23" s="5" t="s">
        <v>275</v>
      </c>
      <c r="C23" s="5" t="s">
        <v>128</v>
      </c>
      <c r="D23" s="6">
        <v>21.0</v>
      </c>
      <c r="E23" s="6" t="s">
        <v>528</v>
      </c>
      <c r="F23" s="5" t="s">
        <v>105</v>
      </c>
      <c r="G23" s="5" t="s">
        <v>237</v>
      </c>
      <c r="H23" s="5" t="s">
        <v>277</v>
      </c>
      <c r="I23" s="5" t="s">
        <v>402</v>
      </c>
      <c r="J23" s="5" t="s">
        <v>52</v>
      </c>
      <c r="K23" s="5">
        <v>1756.0</v>
      </c>
    </row>
    <row r="24" ht="22.5" customHeight="1">
      <c r="A24" s="5" t="s">
        <v>281</v>
      </c>
      <c r="B24" s="5" t="s">
        <v>183</v>
      </c>
      <c r="C24" s="5" t="s">
        <v>284</v>
      </c>
      <c r="D24" s="6">
        <v>88.0</v>
      </c>
      <c r="E24" s="6" t="s">
        <v>734</v>
      </c>
      <c r="F24" s="5" t="s">
        <v>152</v>
      </c>
      <c r="G24" s="5" t="s">
        <v>237</v>
      </c>
      <c r="H24" s="5" t="s">
        <v>576</v>
      </c>
      <c r="I24" s="5" t="s">
        <v>607</v>
      </c>
      <c r="J24" s="5" t="s">
        <v>97</v>
      </c>
      <c r="K24" s="5">
        <v>2527.0</v>
      </c>
    </row>
    <row r="25" ht="22.5" customHeight="1">
      <c r="A25" s="5" t="s">
        <v>291</v>
      </c>
      <c r="B25" s="5" t="s">
        <v>865</v>
      </c>
      <c r="C25" s="5" t="s">
        <v>293</v>
      </c>
      <c r="D25" s="6">
        <v>85.0</v>
      </c>
      <c r="E25" s="6" t="s">
        <v>734</v>
      </c>
      <c r="F25" s="5" t="s">
        <v>105</v>
      </c>
      <c r="G25" s="5" t="s">
        <v>47</v>
      </c>
      <c r="H25" s="5" t="s">
        <v>439</v>
      </c>
      <c r="I25" s="5" t="s">
        <v>210</v>
      </c>
      <c r="J25" s="5" t="s">
        <v>97</v>
      </c>
      <c r="K25" s="5">
        <v>1111.0</v>
      </c>
    </row>
    <row r="26" ht="22.5" customHeight="1">
      <c r="A26" s="5" t="s">
        <v>298</v>
      </c>
      <c r="B26" s="5" t="s">
        <v>299</v>
      </c>
      <c r="C26" s="5" t="s">
        <v>301</v>
      </c>
      <c r="D26" s="6"/>
      <c r="E26" s="6" t="s">
        <v>1081</v>
      </c>
      <c r="F26" s="5" t="s">
        <v>152</v>
      </c>
      <c r="G26" s="5" t="s">
        <v>47</v>
      </c>
      <c r="H26" s="5" t="s">
        <v>311</v>
      </c>
      <c r="I26" s="5" t="s">
        <v>546</v>
      </c>
      <c r="J26" s="5" t="s">
        <v>97</v>
      </c>
      <c r="K26" s="5">
        <v>3007.0</v>
      </c>
    </row>
    <row r="27" ht="22.5" customHeight="1">
      <c r="A27" s="5" t="s">
        <v>306</v>
      </c>
      <c r="B27" s="5" t="s">
        <v>307</v>
      </c>
      <c r="C27" s="5" t="s">
        <v>25</v>
      </c>
      <c r="D27" s="6">
        <v>76.0</v>
      </c>
      <c r="E27" s="6" t="s">
        <v>734</v>
      </c>
      <c r="F27" s="5" t="s">
        <v>105</v>
      </c>
      <c r="G27" s="5" t="s">
        <v>309</v>
      </c>
      <c r="H27" s="5" t="s">
        <v>311</v>
      </c>
      <c r="I27" s="5" t="s">
        <v>96</v>
      </c>
      <c r="J27" s="5" t="s">
        <v>211</v>
      </c>
      <c r="K27" s="5">
        <v>573.0</v>
      </c>
    </row>
    <row r="28" ht="22.5" customHeight="1">
      <c r="A28" s="5" t="s">
        <v>314</v>
      </c>
      <c r="B28" s="5" t="s">
        <v>1431</v>
      </c>
      <c r="C28" s="5" t="s">
        <v>316</v>
      </c>
      <c r="D28" s="6">
        <v>86.0</v>
      </c>
      <c r="E28" s="6" t="s">
        <v>734</v>
      </c>
      <c r="F28" s="5" t="s">
        <v>105</v>
      </c>
      <c r="G28" s="5" t="s">
        <v>208</v>
      </c>
      <c r="H28" s="5" t="s">
        <v>916</v>
      </c>
      <c r="I28" s="5" t="s">
        <v>402</v>
      </c>
      <c r="J28" s="5" t="s">
        <v>97</v>
      </c>
      <c r="K28" s="5">
        <v>1950.0</v>
      </c>
    </row>
    <row r="29" ht="22.5" customHeight="1">
      <c r="A29" s="5" t="s">
        <v>321</v>
      </c>
      <c r="B29" s="5" t="s">
        <v>323</v>
      </c>
      <c r="C29" s="5" t="s">
        <v>324</v>
      </c>
      <c r="D29" s="6">
        <v>46.0</v>
      </c>
      <c r="E29" s="6" t="s">
        <v>591</v>
      </c>
      <c r="F29" s="5" t="s">
        <v>105</v>
      </c>
      <c r="G29" s="5" t="s">
        <v>47</v>
      </c>
      <c r="H29" s="5" t="s">
        <v>489</v>
      </c>
      <c r="I29" s="5" t="s">
        <v>179</v>
      </c>
      <c r="J29" s="5" t="s">
        <v>211</v>
      </c>
      <c r="K29" s="5">
        <v>4247.0</v>
      </c>
    </row>
    <row r="30" ht="22.5" customHeight="1">
      <c r="A30" s="5" t="s">
        <v>329</v>
      </c>
      <c r="B30" s="5" t="s">
        <v>1492</v>
      </c>
      <c r="C30" s="5" t="s">
        <v>172</v>
      </c>
      <c r="D30" s="6">
        <v>52.0</v>
      </c>
      <c r="E30" s="6" t="s">
        <v>591</v>
      </c>
      <c r="F30" s="5" t="s">
        <v>105</v>
      </c>
      <c r="G30" s="5" t="s">
        <v>107</v>
      </c>
      <c r="H30" s="5" t="s">
        <v>669</v>
      </c>
      <c r="I30" s="5" t="s">
        <v>452</v>
      </c>
      <c r="J30" s="5" t="s">
        <v>559</v>
      </c>
      <c r="K30" s="5">
        <v>4451.0</v>
      </c>
    </row>
    <row r="31" ht="22.5" customHeight="1">
      <c r="A31" s="5" t="s">
        <v>335</v>
      </c>
      <c r="B31" s="5" t="s">
        <v>127</v>
      </c>
      <c r="C31" s="5" t="s">
        <v>148</v>
      </c>
      <c r="D31" s="6">
        <v>79.0</v>
      </c>
      <c r="E31" s="6" t="s">
        <v>734</v>
      </c>
      <c r="F31" s="5" t="s">
        <v>152</v>
      </c>
      <c r="G31" s="5" t="s">
        <v>64</v>
      </c>
      <c r="H31" s="5" t="s">
        <v>164</v>
      </c>
      <c r="I31" s="5" t="s">
        <v>96</v>
      </c>
      <c r="J31" s="5" t="s">
        <v>97</v>
      </c>
      <c r="K31" s="5">
        <v>546.0</v>
      </c>
    </row>
    <row r="32" ht="22.5" customHeight="1">
      <c r="A32" s="5" t="s">
        <v>341</v>
      </c>
      <c r="B32" s="5" t="s">
        <v>343</v>
      </c>
      <c r="C32" s="5" t="s">
        <v>128</v>
      </c>
      <c r="D32" s="6">
        <v>40.0</v>
      </c>
      <c r="E32" s="6" t="s">
        <v>528</v>
      </c>
      <c r="F32" s="5" t="s">
        <v>152</v>
      </c>
      <c r="G32" s="5" t="s">
        <v>141</v>
      </c>
      <c r="H32" s="5" t="s">
        <v>377</v>
      </c>
      <c r="I32" s="5" t="s">
        <v>96</v>
      </c>
      <c r="J32" s="5" t="s">
        <v>52</v>
      </c>
      <c r="K32" s="5">
        <v>1021.0</v>
      </c>
    </row>
    <row r="33" ht="22.5" customHeight="1">
      <c r="A33" s="5" t="s">
        <v>349</v>
      </c>
      <c r="B33" s="5" t="s">
        <v>1583</v>
      </c>
      <c r="C33" s="5" t="s">
        <v>352</v>
      </c>
      <c r="D33" s="6">
        <v>38.0</v>
      </c>
      <c r="E33" s="6" t="s">
        <v>528</v>
      </c>
      <c r="F33" s="5" t="s">
        <v>105</v>
      </c>
      <c r="G33" s="5" t="s">
        <v>81</v>
      </c>
      <c r="H33" s="5" t="s">
        <v>230</v>
      </c>
      <c r="I33" s="5" t="s">
        <v>452</v>
      </c>
      <c r="J33" s="5" t="s">
        <v>222</v>
      </c>
      <c r="K33" s="5">
        <v>3750.0</v>
      </c>
    </row>
    <row r="34" ht="22.5" customHeight="1">
      <c r="A34" s="5" t="s">
        <v>356</v>
      </c>
      <c r="B34" s="5" t="s">
        <v>127</v>
      </c>
      <c r="C34" s="5" t="s">
        <v>76</v>
      </c>
      <c r="D34" s="6">
        <v>40.0</v>
      </c>
      <c r="E34" s="6" t="s">
        <v>528</v>
      </c>
      <c r="F34" s="5" t="s">
        <v>152</v>
      </c>
      <c r="G34" s="5" t="s">
        <v>208</v>
      </c>
      <c r="H34" s="5" t="s">
        <v>358</v>
      </c>
      <c r="I34" s="5" t="s">
        <v>561</v>
      </c>
      <c r="J34" s="5" t="s">
        <v>559</v>
      </c>
      <c r="K34" s="5">
        <v>4906.0</v>
      </c>
    </row>
    <row r="35" ht="22.5" customHeight="1">
      <c r="A35" s="5" t="s">
        <v>362</v>
      </c>
      <c r="B35" s="5" t="s">
        <v>147</v>
      </c>
      <c r="C35" s="5" t="s">
        <v>363</v>
      </c>
      <c r="D35" s="6">
        <v>40.0</v>
      </c>
      <c r="E35" s="6" t="s">
        <v>528</v>
      </c>
      <c r="F35" s="5" t="s">
        <v>152</v>
      </c>
      <c r="G35" s="5" t="s">
        <v>364</v>
      </c>
      <c r="H35" s="5" t="s">
        <v>164</v>
      </c>
      <c r="I35" s="5" t="s">
        <v>96</v>
      </c>
      <c r="J35" s="5" t="s">
        <v>211</v>
      </c>
      <c r="K35" s="5">
        <v>1225.0</v>
      </c>
    </row>
    <row r="36" ht="22.5" customHeight="1">
      <c r="A36" s="5" t="s">
        <v>367</v>
      </c>
      <c r="B36" s="5" t="s">
        <v>368</v>
      </c>
      <c r="C36" s="5" t="s">
        <v>128</v>
      </c>
      <c r="D36" s="6">
        <v>79.0</v>
      </c>
      <c r="E36" s="6" t="s">
        <v>734</v>
      </c>
      <c r="F36" s="5" t="s">
        <v>105</v>
      </c>
      <c r="G36" s="5" t="s">
        <v>131</v>
      </c>
      <c r="H36" s="5" t="s">
        <v>277</v>
      </c>
      <c r="I36" s="5" t="s">
        <v>402</v>
      </c>
      <c r="J36" s="5" t="s">
        <v>97</v>
      </c>
      <c r="K36" s="5">
        <v>1667.0</v>
      </c>
    </row>
    <row r="37" ht="22.5" customHeight="1">
      <c r="A37" s="5" t="s">
        <v>373</v>
      </c>
      <c r="B37" s="5" t="s">
        <v>343</v>
      </c>
      <c r="C37" s="5" t="s">
        <v>374</v>
      </c>
      <c r="D37" s="8"/>
      <c r="E37" s="8" t="s">
        <v>1081</v>
      </c>
      <c r="F37" s="5" t="s">
        <v>152</v>
      </c>
      <c r="G37" s="5" t="s">
        <v>376</v>
      </c>
      <c r="H37" s="5" t="s">
        <v>377</v>
      </c>
      <c r="I37" s="5" t="s">
        <v>402</v>
      </c>
      <c r="J37" s="5" t="s">
        <v>559</v>
      </c>
      <c r="K37" s="5">
        <v>2788.0</v>
      </c>
    </row>
    <row r="38" ht="22.5" customHeight="1">
      <c r="A38" s="5" t="s">
        <v>380</v>
      </c>
      <c r="B38" s="5" t="s">
        <v>1729</v>
      </c>
      <c r="C38" s="5" t="s">
        <v>382</v>
      </c>
      <c r="D38" s="6">
        <v>49.0</v>
      </c>
      <c r="E38" s="6" t="s">
        <v>591</v>
      </c>
      <c r="F38" s="5" t="s">
        <v>152</v>
      </c>
      <c r="G38" s="5" t="s">
        <v>237</v>
      </c>
      <c r="H38" s="5" t="s">
        <v>439</v>
      </c>
      <c r="I38" s="5" t="s">
        <v>210</v>
      </c>
      <c r="J38" s="5" t="s">
        <v>52</v>
      </c>
      <c r="K38" s="5">
        <v>446.0</v>
      </c>
    </row>
    <row r="39" ht="22.5" customHeight="1">
      <c r="A39" s="5" t="s">
        <v>389</v>
      </c>
      <c r="B39" s="5" t="s">
        <v>1143</v>
      </c>
      <c r="C39" s="5" t="s">
        <v>128</v>
      </c>
      <c r="D39" s="6">
        <v>43.0</v>
      </c>
      <c r="E39" s="6" t="s">
        <v>591</v>
      </c>
      <c r="F39" s="5" t="s">
        <v>152</v>
      </c>
      <c r="G39" s="5" t="s">
        <v>393</v>
      </c>
      <c r="H39" s="5" t="s">
        <v>439</v>
      </c>
      <c r="I39" s="5" t="s">
        <v>210</v>
      </c>
      <c r="J39" s="5" t="s">
        <v>559</v>
      </c>
      <c r="K39" s="5">
        <v>1336.0</v>
      </c>
    </row>
    <row r="40" ht="22.5" customHeight="1">
      <c r="A40" s="5" t="s">
        <v>398</v>
      </c>
      <c r="B40" s="5" t="s">
        <v>872</v>
      </c>
      <c r="C40" s="5" t="s">
        <v>244</v>
      </c>
      <c r="D40" s="6">
        <v>88.0</v>
      </c>
      <c r="E40" s="6" t="s">
        <v>734</v>
      </c>
      <c r="F40" s="5" t="s">
        <v>152</v>
      </c>
      <c r="G40" s="5" t="s">
        <v>401</v>
      </c>
      <c r="H40" s="5" t="s">
        <v>277</v>
      </c>
      <c r="I40" s="5" t="s">
        <v>402</v>
      </c>
      <c r="J40" s="5" t="s">
        <v>97</v>
      </c>
      <c r="K40" s="5">
        <v>2235.0</v>
      </c>
    </row>
    <row r="41" ht="22.5" customHeight="1">
      <c r="A41" s="5" t="s">
        <v>404</v>
      </c>
      <c r="B41" s="5" t="s">
        <v>136</v>
      </c>
      <c r="C41" s="5" t="s">
        <v>128</v>
      </c>
      <c r="D41" s="6">
        <v>75.0</v>
      </c>
      <c r="E41" s="6" t="s">
        <v>734</v>
      </c>
      <c r="F41" s="5" t="s">
        <v>105</v>
      </c>
      <c r="G41" s="5" t="s">
        <v>47</v>
      </c>
      <c r="H41" s="5" t="s">
        <v>436</v>
      </c>
      <c r="I41" s="5" t="s">
        <v>561</v>
      </c>
      <c r="J41" s="5" t="s">
        <v>97</v>
      </c>
      <c r="K41" s="5">
        <v>3247.0</v>
      </c>
    </row>
    <row r="42" ht="22.5" customHeight="1">
      <c r="A42" s="5" t="s">
        <v>410</v>
      </c>
      <c r="B42" s="5" t="s">
        <v>411</v>
      </c>
      <c r="C42" s="5" t="s">
        <v>148</v>
      </c>
      <c r="D42" s="6">
        <v>73.0</v>
      </c>
      <c r="E42" s="6" t="s">
        <v>734</v>
      </c>
      <c r="F42" s="5" t="s">
        <v>105</v>
      </c>
      <c r="G42" s="5" t="s">
        <v>237</v>
      </c>
      <c r="H42" s="5" t="s">
        <v>164</v>
      </c>
      <c r="I42" s="5" t="s">
        <v>607</v>
      </c>
      <c r="J42" s="5" t="s">
        <v>97</v>
      </c>
      <c r="K42" s="5">
        <v>3298.0</v>
      </c>
    </row>
    <row r="43" ht="22.5" customHeight="1">
      <c r="A43" s="5" t="s">
        <v>415</v>
      </c>
      <c r="B43" s="5" t="s">
        <v>1873</v>
      </c>
      <c r="C43" s="5" t="s">
        <v>301</v>
      </c>
      <c r="D43" s="6">
        <v>55.0</v>
      </c>
      <c r="E43" s="6" t="s">
        <v>591</v>
      </c>
      <c r="F43" s="5" t="s">
        <v>105</v>
      </c>
      <c r="G43" s="5" t="s">
        <v>47</v>
      </c>
      <c r="H43" s="5" t="s">
        <v>418</v>
      </c>
      <c r="I43" s="5" t="s">
        <v>210</v>
      </c>
      <c r="J43" s="5" t="s">
        <v>52</v>
      </c>
      <c r="K43" s="5">
        <v>596.0</v>
      </c>
    </row>
    <row r="44" ht="22.5" customHeight="1">
      <c r="A44" s="5" t="s">
        <v>421</v>
      </c>
      <c r="B44" s="5" t="s">
        <v>1149</v>
      </c>
      <c r="C44" s="5" t="s">
        <v>374</v>
      </c>
      <c r="D44" s="6">
        <v>62.0</v>
      </c>
      <c r="E44" s="6" t="s">
        <v>734</v>
      </c>
      <c r="F44" s="5" t="s">
        <v>105</v>
      </c>
      <c r="G44" s="5" t="s">
        <v>237</v>
      </c>
      <c r="H44" s="5" t="s">
        <v>489</v>
      </c>
      <c r="I44" s="5" t="s">
        <v>179</v>
      </c>
      <c r="J44" s="5" t="s">
        <v>97</v>
      </c>
      <c r="K44" s="5">
        <v>4542.0</v>
      </c>
    </row>
    <row r="45" ht="22.5" customHeight="1">
      <c r="A45" s="5" t="s">
        <v>426</v>
      </c>
      <c r="B45" s="5" t="s">
        <v>136</v>
      </c>
      <c r="C45" s="5" t="s">
        <v>428</v>
      </c>
      <c r="D45" s="6">
        <v>41.0</v>
      </c>
      <c r="E45" s="6" t="s">
        <v>591</v>
      </c>
      <c r="F45" s="5" t="s">
        <v>105</v>
      </c>
      <c r="G45" s="5" t="s">
        <v>47</v>
      </c>
      <c r="H45" s="5" t="s">
        <v>439</v>
      </c>
      <c r="I45" s="5" t="s">
        <v>210</v>
      </c>
      <c r="J45" s="5" t="s">
        <v>559</v>
      </c>
      <c r="K45" s="5">
        <v>1126.0</v>
      </c>
    </row>
    <row r="46" ht="22.5" customHeight="1">
      <c r="A46" s="5" t="s">
        <v>431</v>
      </c>
      <c r="B46" s="5" t="s">
        <v>1525</v>
      </c>
      <c r="C46" s="5" t="s">
        <v>433</v>
      </c>
      <c r="D46" s="6">
        <v>80.0</v>
      </c>
      <c r="E46" s="6" t="s">
        <v>734</v>
      </c>
      <c r="F46" s="5" t="s">
        <v>152</v>
      </c>
      <c r="G46" s="5" t="s">
        <v>393</v>
      </c>
      <c r="H46" s="5" t="s">
        <v>436</v>
      </c>
      <c r="I46" s="5" t="s">
        <v>561</v>
      </c>
      <c r="J46" s="5" t="s">
        <v>97</v>
      </c>
      <c r="K46" s="5">
        <v>3207.0</v>
      </c>
    </row>
    <row r="47" ht="22.5" customHeight="1">
      <c r="A47" s="5" t="s">
        <v>438</v>
      </c>
      <c r="B47" s="5" t="s">
        <v>171</v>
      </c>
      <c r="C47" s="5" t="s">
        <v>76</v>
      </c>
      <c r="D47" s="6">
        <v>75.0</v>
      </c>
      <c r="E47" s="6" t="s">
        <v>734</v>
      </c>
      <c r="F47" s="5" t="s">
        <v>152</v>
      </c>
      <c r="G47" s="5" t="s">
        <v>401</v>
      </c>
      <c r="H47" s="5" t="s">
        <v>439</v>
      </c>
      <c r="I47" s="5" t="s">
        <v>210</v>
      </c>
      <c r="J47" s="5" t="s">
        <v>97</v>
      </c>
      <c r="K47" s="5">
        <v>825.0</v>
      </c>
    </row>
    <row r="48" ht="22.5" customHeight="1">
      <c r="A48" s="5" t="s">
        <v>443</v>
      </c>
      <c r="B48" s="5" t="s">
        <v>2008</v>
      </c>
      <c r="C48" s="5" t="s">
        <v>90</v>
      </c>
      <c r="D48" s="6">
        <v>74.0</v>
      </c>
      <c r="E48" s="6" t="s">
        <v>734</v>
      </c>
      <c r="F48" s="5" t="s">
        <v>152</v>
      </c>
      <c r="G48" s="5" t="s">
        <v>176</v>
      </c>
      <c r="H48" s="5" t="s">
        <v>311</v>
      </c>
      <c r="I48" s="5" t="s">
        <v>546</v>
      </c>
      <c r="J48" s="5" t="s">
        <v>97</v>
      </c>
      <c r="K48" s="5">
        <v>1751.0</v>
      </c>
    </row>
    <row r="49" ht="22.5" customHeight="1">
      <c r="A49" s="5" t="s">
        <v>450</v>
      </c>
      <c r="B49" s="5" t="s">
        <v>158</v>
      </c>
      <c r="C49" s="5" t="s">
        <v>363</v>
      </c>
      <c r="D49" s="6">
        <v>68.0</v>
      </c>
      <c r="E49" s="6" t="s">
        <v>734</v>
      </c>
      <c r="F49" s="5" t="s">
        <v>105</v>
      </c>
      <c r="G49" s="5" t="s">
        <v>401</v>
      </c>
      <c r="H49" s="5" t="s">
        <v>230</v>
      </c>
      <c r="I49" s="5" t="s">
        <v>452</v>
      </c>
      <c r="J49" s="5" t="s">
        <v>97</v>
      </c>
      <c r="K49" s="5">
        <v>4316.0</v>
      </c>
    </row>
    <row r="50" ht="22.5" customHeight="1">
      <c r="A50" s="5" t="s">
        <v>455</v>
      </c>
      <c r="B50" s="5" t="s">
        <v>898</v>
      </c>
      <c r="C50" s="5" t="s">
        <v>458</v>
      </c>
      <c r="D50" s="6">
        <v>76.0</v>
      </c>
      <c r="E50" s="6" t="s">
        <v>734</v>
      </c>
      <c r="F50" s="5" t="s">
        <v>105</v>
      </c>
      <c r="G50" s="5" t="s">
        <v>364</v>
      </c>
      <c r="H50" s="5" t="s">
        <v>230</v>
      </c>
      <c r="I50" s="5" t="s">
        <v>452</v>
      </c>
      <c r="J50" s="5" t="s">
        <v>97</v>
      </c>
      <c r="K50" s="5">
        <v>4999.0</v>
      </c>
    </row>
    <row r="51" ht="22.5" customHeight="1">
      <c r="A51" s="5" t="s">
        <v>467</v>
      </c>
      <c r="B51" s="5" t="s">
        <v>1875</v>
      </c>
      <c r="C51" s="5" t="s">
        <v>469</v>
      </c>
      <c r="D51" s="6">
        <v>65.0</v>
      </c>
      <c r="E51" s="6" t="s">
        <v>734</v>
      </c>
      <c r="F51" s="5" t="s">
        <v>152</v>
      </c>
      <c r="G51" s="5" t="s">
        <v>208</v>
      </c>
      <c r="H51" s="5" t="s">
        <v>470</v>
      </c>
      <c r="I51" s="5" t="s">
        <v>96</v>
      </c>
      <c r="J51" s="5" t="s">
        <v>97</v>
      </c>
      <c r="K51" s="5">
        <v>1309.0</v>
      </c>
    </row>
    <row r="52" ht="22.5" customHeight="1">
      <c r="A52" s="5" t="s">
        <v>472</v>
      </c>
      <c r="B52" s="5" t="s">
        <v>473</v>
      </c>
      <c r="C52" s="5" t="s">
        <v>474</v>
      </c>
      <c r="D52" s="6">
        <v>64.0</v>
      </c>
      <c r="E52" s="6" t="s">
        <v>734</v>
      </c>
      <c r="F52" s="5" t="s">
        <v>105</v>
      </c>
      <c r="G52" s="5" t="s">
        <v>237</v>
      </c>
      <c r="H52" s="5" t="s">
        <v>482</v>
      </c>
      <c r="I52" s="5" t="s">
        <v>179</v>
      </c>
      <c r="J52" s="5" t="s">
        <v>97</v>
      </c>
      <c r="K52" s="5">
        <v>3805.0</v>
      </c>
    </row>
    <row r="53" ht="22.5" customHeight="1">
      <c r="A53" s="5" t="s">
        <v>479</v>
      </c>
      <c r="B53" s="5" t="s">
        <v>127</v>
      </c>
      <c r="C53" s="5" t="s">
        <v>90</v>
      </c>
      <c r="D53" s="6">
        <v>27.0</v>
      </c>
      <c r="E53" s="6" t="s">
        <v>528</v>
      </c>
      <c r="F53" s="5" t="s">
        <v>152</v>
      </c>
      <c r="G53" s="5" t="s">
        <v>30</v>
      </c>
      <c r="H53" s="5" t="s">
        <v>482</v>
      </c>
      <c r="I53" s="5" t="s">
        <v>179</v>
      </c>
      <c r="J53" s="5" t="s">
        <v>222</v>
      </c>
      <c r="K53" s="5">
        <v>4065.0</v>
      </c>
    </row>
    <row r="54" ht="22.5" customHeight="1">
      <c r="A54" s="5" t="s">
        <v>484</v>
      </c>
      <c r="B54" s="5" t="s">
        <v>620</v>
      </c>
      <c r="C54" s="5" t="s">
        <v>148</v>
      </c>
      <c r="D54" s="6">
        <v>77.0</v>
      </c>
      <c r="E54" s="6" t="s">
        <v>734</v>
      </c>
      <c r="F54" s="5" t="s">
        <v>105</v>
      </c>
      <c r="G54" s="5" t="s">
        <v>64</v>
      </c>
      <c r="H54" s="5" t="s">
        <v>489</v>
      </c>
      <c r="I54" s="5" t="s">
        <v>179</v>
      </c>
      <c r="J54" s="5" t="s">
        <v>97</v>
      </c>
      <c r="K54" s="5">
        <v>3502.0</v>
      </c>
    </row>
    <row r="55" ht="22.5" customHeight="1">
      <c r="A55" s="5" t="s">
        <v>493</v>
      </c>
      <c r="B55" s="5" t="s">
        <v>171</v>
      </c>
      <c r="C55" s="5" t="s">
        <v>495</v>
      </c>
      <c r="D55" s="6">
        <v>41.0</v>
      </c>
      <c r="E55" s="6" t="s">
        <v>591</v>
      </c>
      <c r="F55" s="5" t="s">
        <v>152</v>
      </c>
      <c r="G55" s="5" t="s">
        <v>81</v>
      </c>
      <c r="H55" s="5" t="s">
        <v>1290</v>
      </c>
      <c r="I55" s="5" t="s">
        <v>533</v>
      </c>
      <c r="J55" s="5" t="s">
        <v>211</v>
      </c>
      <c r="K55" s="5">
        <v>1567.0</v>
      </c>
    </row>
    <row r="56" ht="22.5" customHeight="1">
      <c r="A56" s="5" t="s">
        <v>502</v>
      </c>
      <c r="B56" s="5" t="s">
        <v>2259</v>
      </c>
      <c r="C56" s="5" t="s">
        <v>148</v>
      </c>
      <c r="D56" s="6">
        <v>63.0</v>
      </c>
      <c r="E56" s="6" t="s">
        <v>734</v>
      </c>
      <c r="F56" s="5" t="s">
        <v>105</v>
      </c>
      <c r="G56" s="5" t="s">
        <v>47</v>
      </c>
      <c r="H56" s="5" t="s">
        <v>164</v>
      </c>
      <c r="I56" s="5" t="s">
        <v>96</v>
      </c>
      <c r="J56" s="5" t="s">
        <v>97</v>
      </c>
      <c r="K56" s="5">
        <v>100.0</v>
      </c>
    </row>
    <row r="57" ht="22.5" customHeight="1">
      <c r="A57" s="5" t="s">
        <v>507</v>
      </c>
      <c r="B57" s="5" t="s">
        <v>1873</v>
      </c>
      <c r="C57" s="5" t="s">
        <v>352</v>
      </c>
      <c r="D57" s="6">
        <v>60.0</v>
      </c>
      <c r="E57" s="6" t="s">
        <v>591</v>
      </c>
      <c r="F57" s="5" t="s">
        <v>152</v>
      </c>
      <c r="G57" s="5" t="s">
        <v>47</v>
      </c>
      <c r="H57" s="5" t="s">
        <v>637</v>
      </c>
      <c r="I57" s="5" t="s">
        <v>546</v>
      </c>
      <c r="J57" s="5" t="s">
        <v>211</v>
      </c>
      <c r="K57" s="5">
        <v>2538.0</v>
      </c>
    </row>
    <row r="58" ht="22.5" customHeight="1">
      <c r="A58" s="5" t="s">
        <v>513</v>
      </c>
      <c r="B58" s="5" t="s">
        <v>1149</v>
      </c>
      <c r="C58" s="5" t="s">
        <v>515</v>
      </c>
      <c r="D58" s="6">
        <v>46.0</v>
      </c>
      <c r="E58" s="6" t="s">
        <v>591</v>
      </c>
      <c r="F58" s="5" t="s">
        <v>152</v>
      </c>
      <c r="G58" s="5" t="s">
        <v>256</v>
      </c>
      <c r="H58" s="5" t="s">
        <v>551</v>
      </c>
      <c r="I58" s="5" t="s">
        <v>83</v>
      </c>
      <c r="J58" s="5" t="s">
        <v>222</v>
      </c>
      <c r="K58" s="5">
        <v>1705.0</v>
      </c>
    </row>
    <row r="59" ht="22.5" customHeight="1">
      <c r="A59" s="5" t="s">
        <v>519</v>
      </c>
      <c r="B59" s="5" t="s">
        <v>127</v>
      </c>
      <c r="C59" s="5" t="s">
        <v>556</v>
      </c>
      <c r="D59" s="6">
        <v>53.0</v>
      </c>
      <c r="E59" s="6" t="s">
        <v>591</v>
      </c>
      <c r="F59" s="5" t="s">
        <v>152</v>
      </c>
      <c r="G59" s="5" t="s">
        <v>393</v>
      </c>
      <c r="H59" s="5" t="s">
        <v>277</v>
      </c>
      <c r="I59" s="5" t="s">
        <v>402</v>
      </c>
      <c r="J59" s="5" t="s">
        <v>52</v>
      </c>
      <c r="K59" s="5">
        <v>3009.0</v>
      </c>
    </row>
    <row r="60" ht="22.5" customHeight="1">
      <c r="A60" s="5" t="s">
        <v>524</v>
      </c>
      <c r="B60" s="5" t="s">
        <v>343</v>
      </c>
      <c r="C60" s="5" t="s">
        <v>526</v>
      </c>
      <c r="D60" s="6">
        <v>74.0</v>
      </c>
      <c r="E60" s="6" t="s">
        <v>734</v>
      </c>
      <c r="F60" s="5" t="s">
        <v>152</v>
      </c>
      <c r="G60" s="5" t="s">
        <v>309</v>
      </c>
      <c r="H60" s="5" t="s">
        <v>489</v>
      </c>
      <c r="I60" s="5" t="s">
        <v>179</v>
      </c>
      <c r="J60" s="5" t="s">
        <v>97</v>
      </c>
      <c r="K60" s="5">
        <v>2920.0</v>
      </c>
    </row>
    <row r="61" ht="22.5" customHeight="1">
      <c r="A61" s="5" t="s">
        <v>530</v>
      </c>
      <c r="B61" s="5" t="s">
        <v>1945</v>
      </c>
      <c r="C61" s="5" t="s">
        <v>76</v>
      </c>
      <c r="D61" s="6">
        <v>80.0</v>
      </c>
      <c r="E61" s="6" t="s">
        <v>734</v>
      </c>
      <c r="F61" s="5" t="s">
        <v>105</v>
      </c>
      <c r="G61" s="5" t="s">
        <v>81</v>
      </c>
      <c r="H61" s="5" t="s">
        <v>1290</v>
      </c>
      <c r="I61" s="5" t="s">
        <v>533</v>
      </c>
      <c r="J61" s="5" t="s">
        <v>97</v>
      </c>
      <c r="K61" s="5">
        <v>1124.0</v>
      </c>
    </row>
    <row r="62" ht="22.5" customHeight="1">
      <c r="A62" s="5" t="s">
        <v>535</v>
      </c>
      <c r="B62" s="5" t="s">
        <v>536</v>
      </c>
      <c r="C62" s="5" t="s">
        <v>244</v>
      </c>
      <c r="D62" s="8"/>
      <c r="E62" s="8" t="s">
        <v>1081</v>
      </c>
      <c r="F62" s="5" t="s">
        <v>152</v>
      </c>
      <c r="G62" s="5" t="s">
        <v>539</v>
      </c>
      <c r="H62" s="5" t="s">
        <v>123</v>
      </c>
      <c r="I62" s="5" t="s">
        <v>83</v>
      </c>
      <c r="J62" s="5" t="s">
        <v>559</v>
      </c>
      <c r="K62" s="5">
        <v>2899.0</v>
      </c>
    </row>
    <row r="63" ht="22.5" customHeight="1">
      <c r="A63" s="5" t="s">
        <v>541</v>
      </c>
      <c r="B63" s="5" t="s">
        <v>542</v>
      </c>
      <c r="C63" s="5" t="s">
        <v>25</v>
      </c>
      <c r="D63" s="6">
        <v>86.0</v>
      </c>
      <c r="E63" s="6" t="s">
        <v>734</v>
      </c>
      <c r="F63" s="5" t="s">
        <v>152</v>
      </c>
      <c r="G63" s="5" t="s">
        <v>64</v>
      </c>
      <c r="H63" s="5" t="s">
        <v>637</v>
      </c>
      <c r="I63" s="5" t="s">
        <v>546</v>
      </c>
      <c r="J63" s="5" t="s">
        <v>97</v>
      </c>
      <c r="K63" s="5">
        <v>2231.0</v>
      </c>
    </row>
    <row r="64" ht="22.5" customHeight="1">
      <c r="A64" s="5" t="s">
        <v>548</v>
      </c>
      <c r="B64" s="5" t="s">
        <v>549</v>
      </c>
      <c r="C64" s="5" t="s">
        <v>363</v>
      </c>
      <c r="D64" s="6">
        <v>84.0</v>
      </c>
      <c r="E64" s="6" t="s">
        <v>734</v>
      </c>
      <c r="F64" s="5" t="s">
        <v>105</v>
      </c>
      <c r="G64" s="5" t="s">
        <v>237</v>
      </c>
      <c r="H64" s="5" t="s">
        <v>551</v>
      </c>
      <c r="I64" s="5" t="s">
        <v>83</v>
      </c>
      <c r="J64" s="5" t="s">
        <v>97</v>
      </c>
      <c r="K64" s="5">
        <v>2560.0</v>
      </c>
    </row>
    <row r="65" ht="22.5" customHeight="1">
      <c r="A65" s="5" t="s">
        <v>554</v>
      </c>
      <c r="B65" s="5" t="s">
        <v>368</v>
      </c>
      <c r="C65" s="5" t="s">
        <v>556</v>
      </c>
      <c r="D65" s="6">
        <v>82.0</v>
      </c>
      <c r="E65" s="6" t="s">
        <v>734</v>
      </c>
      <c r="F65" s="5" t="s">
        <v>105</v>
      </c>
      <c r="G65" s="5" t="s">
        <v>401</v>
      </c>
      <c r="H65" s="5" t="s">
        <v>436</v>
      </c>
      <c r="I65" s="5" t="s">
        <v>561</v>
      </c>
      <c r="J65" s="5" t="s">
        <v>97</v>
      </c>
      <c r="K65" s="5">
        <v>3039.0</v>
      </c>
    </row>
    <row r="66" ht="22.5" customHeight="1">
      <c r="A66" s="5" t="s">
        <v>563</v>
      </c>
      <c r="B66" s="5" t="s">
        <v>411</v>
      </c>
      <c r="C66" s="5" t="s">
        <v>128</v>
      </c>
      <c r="D66" s="6">
        <v>22.0</v>
      </c>
      <c r="E66" s="6" t="s">
        <v>528</v>
      </c>
      <c r="F66" s="5" t="s">
        <v>105</v>
      </c>
      <c r="G66" s="5" t="s">
        <v>256</v>
      </c>
      <c r="H66" s="5" t="s">
        <v>576</v>
      </c>
      <c r="I66" s="5" t="s">
        <v>607</v>
      </c>
      <c r="J66" s="5" t="s">
        <v>222</v>
      </c>
      <c r="K66" s="5">
        <v>2552.0</v>
      </c>
    </row>
    <row r="67" ht="22.5" customHeight="1">
      <c r="A67" s="5" t="s">
        <v>568</v>
      </c>
      <c r="B67" s="5" t="s">
        <v>2589</v>
      </c>
      <c r="C67" s="5" t="s">
        <v>76</v>
      </c>
      <c r="D67" s="6">
        <v>84.0</v>
      </c>
      <c r="E67" s="6" t="s">
        <v>734</v>
      </c>
      <c r="F67" s="5" t="s">
        <v>105</v>
      </c>
      <c r="G67" s="5" t="s">
        <v>571</v>
      </c>
      <c r="H67" s="5" t="s">
        <v>123</v>
      </c>
      <c r="I67" s="5" t="s">
        <v>83</v>
      </c>
      <c r="J67" s="5" t="s">
        <v>97</v>
      </c>
      <c r="K67" s="5">
        <v>1688.0</v>
      </c>
    </row>
    <row r="68" ht="22.5" customHeight="1">
      <c r="A68" s="5" t="s">
        <v>574</v>
      </c>
      <c r="B68" s="5" t="s">
        <v>127</v>
      </c>
      <c r="C68" s="5" t="s">
        <v>90</v>
      </c>
      <c r="D68" s="6">
        <v>73.0</v>
      </c>
      <c r="E68" s="6" t="s">
        <v>734</v>
      </c>
      <c r="F68" s="5" t="s">
        <v>152</v>
      </c>
      <c r="G68" s="5" t="s">
        <v>401</v>
      </c>
      <c r="H68" s="5" t="s">
        <v>576</v>
      </c>
      <c r="I68" s="5" t="s">
        <v>607</v>
      </c>
      <c r="J68" s="5" t="s">
        <v>97</v>
      </c>
      <c r="K68" s="5">
        <v>3794.0</v>
      </c>
    </row>
    <row r="69" ht="22.5" customHeight="1">
      <c r="A69" s="5" t="s">
        <v>580</v>
      </c>
      <c r="B69" s="5" t="s">
        <v>2645</v>
      </c>
      <c r="C69" s="5" t="s">
        <v>244</v>
      </c>
      <c r="D69" s="6">
        <v>44.0</v>
      </c>
      <c r="E69" s="6" t="s">
        <v>591</v>
      </c>
      <c r="F69" s="5" t="s">
        <v>105</v>
      </c>
      <c r="G69" s="5" t="s">
        <v>571</v>
      </c>
      <c r="H69" s="5" t="s">
        <v>377</v>
      </c>
      <c r="I69" s="5" t="s">
        <v>402</v>
      </c>
      <c r="J69" s="5" t="s">
        <v>222</v>
      </c>
      <c r="K69" s="5">
        <v>2531.0</v>
      </c>
    </row>
    <row r="70" ht="22.5" customHeight="1">
      <c r="A70" s="5" t="s">
        <v>586</v>
      </c>
      <c r="B70" s="5" t="s">
        <v>542</v>
      </c>
      <c r="C70" s="5" t="s">
        <v>254</v>
      </c>
      <c r="D70" s="6">
        <v>62.0</v>
      </c>
      <c r="E70" s="6" t="s">
        <v>734</v>
      </c>
      <c r="F70" s="5" t="s">
        <v>152</v>
      </c>
      <c r="G70" s="5" t="s">
        <v>131</v>
      </c>
      <c r="H70" s="5" t="s">
        <v>164</v>
      </c>
      <c r="I70" s="5" t="s">
        <v>96</v>
      </c>
      <c r="J70" s="5" t="s">
        <v>97</v>
      </c>
      <c r="K70" s="5">
        <v>601.0</v>
      </c>
    </row>
    <row r="71" ht="22.5" customHeight="1">
      <c r="A71" s="5" t="s">
        <v>589</v>
      </c>
      <c r="B71" s="5" t="s">
        <v>590</v>
      </c>
      <c r="C71" s="5" t="s">
        <v>216</v>
      </c>
      <c r="D71" s="6">
        <v>21.0</v>
      </c>
      <c r="E71" s="6" t="s">
        <v>528</v>
      </c>
      <c r="F71" s="5" t="s">
        <v>152</v>
      </c>
      <c r="G71" s="5" t="s">
        <v>237</v>
      </c>
      <c r="H71" s="5" t="s">
        <v>164</v>
      </c>
      <c r="I71" s="5" t="s">
        <v>96</v>
      </c>
      <c r="J71" s="5" t="s">
        <v>52</v>
      </c>
      <c r="K71" s="5">
        <v>929.0</v>
      </c>
    </row>
    <row r="72" ht="22.5" customHeight="1">
      <c r="A72" s="5" t="s">
        <v>595</v>
      </c>
      <c r="B72" s="5" t="s">
        <v>596</v>
      </c>
      <c r="C72" s="5" t="s">
        <v>597</v>
      </c>
      <c r="D72" s="6">
        <v>21.0</v>
      </c>
      <c r="E72" s="6" t="s">
        <v>528</v>
      </c>
      <c r="F72" s="5" t="s">
        <v>105</v>
      </c>
      <c r="G72" s="5" t="s">
        <v>81</v>
      </c>
      <c r="H72" s="5" t="s">
        <v>637</v>
      </c>
      <c r="I72" s="5" t="s">
        <v>546</v>
      </c>
      <c r="J72" s="5" t="s">
        <v>52</v>
      </c>
      <c r="K72" s="5">
        <v>1683.0</v>
      </c>
    </row>
    <row r="73" ht="22.5" customHeight="1">
      <c r="A73" s="5" t="s">
        <v>600</v>
      </c>
      <c r="B73" s="5" t="s">
        <v>368</v>
      </c>
      <c r="C73" s="5" t="s">
        <v>25</v>
      </c>
      <c r="D73" s="8"/>
      <c r="E73" s="8" t="s">
        <v>1081</v>
      </c>
      <c r="F73" s="5" t="s">
        <v>105</v>
      </c>
      <c r="G73" s="5" t="s">
        <v>131</v>
      </c>
      <c r="H73" s="5" t="s">
        <v>230</v>
      </c>
      <c r="I73" s="5" t="s">
        <v>452</v>
      </c>
      <c r="J73" s="5" t="s">
        <v>222</v>
      </c>
      <c r="K73" s="5">
        <v>4399.0</v>
      </c>
    </row>
    <row r="74" ht="22.5" customHeight="1">
      <c r="A74" s="5" t="s">
        <v>603</v>
      </c>
      <c r="B74" s="5" t="s">
        <v>411</v>
      </c>
      <c r="C74" s="5" t="s">
        <v>284</v>
      </c>
      <c r="D74" s="6">
        <v>36.0</v>
      </c>
      <c r="E74" s="6" t="s">
        <v>528</v>
      </c>
      <c r="F74" s="5" t="s">
        <v>105</v>
      </c>
      <c r="G74" s="5" t="s">
        <v>237</v>
      </c>
      <c r="H74" s="5" t="s">
        <v>164</v>
      </c>
      <c r="I74" s="5" t="s">
        <v>452</v>
      </c>
      <c r="J74" s="5" t="s">
        <v>559</v>
      </c>
      <c r="K74" s="5">
        <v>4230.0</v>
      </c>
    </row>
    <row r="75" ht="22.5" customHeight="1">
      <c r="A75" s="5" t="s">
        <v>606</v>
      </c>
      <c r="B75" s="5" t="s">
        <v>193</v>
      </c>
      <c r="C75" s="5" t="s">
        <v>363</v>
      </c>
      <c r="D75" s="6">
        <v>74.0</v>
      </c>
      <c r="E75" s="6" t="s">
        <v>734</v>
      </c>
      <c r="F75" s="5" t="s">
        <v>105</v>
      </c>
      <c r="G75" s="5" t="s">
        <v>208</v>
      </c>
      <c r="H75" s="5" t="s">
        <v>470</v>
      </c>
      <c r="I75" s="5" t="s">
        <v>179</v>
      </c>
      <c r="J75" s="5" t="s">
        <v>97</v>
      </c>
      <c r="K75" s="5">
        <v>2646.0</v>
      </c>
    </row>
    <row r="76" ht="22.5" customHeight="1">
      <c r="A76" s="5" t="s">
        <v>610</v>
      </c>
      <c r="B76" s="5" t="s">
        <v>764</v>
      </c>
      <c r="C76" s="5" t="s">
        <v>244</v>
      </c>
      <c r="D76" s="6">
        <v>76.0</v>
      </c>
      <c r="E76" s="6" t="s">
        <v>734</v>
      </c>
      <c r="F76" s="5" t="s">
        <v>105</v>
      </c>
      <c r="G76" s="5" t="s">
        <v>237</v>
      </c>
      <c r="H76" s="5" t="s">
        <v>238</v>
      </c>
      <c r="I76" s="5" t="s">
        <v>533</v>
      </c>
      <c r="J76" s="5" t="s">
        <v>97</v>
      </c>
      <c r="K76" s="5">
        <v>1637.0</v>
      </c>
    </row>
    <row r="77" ht="22.5" customHeight="1">
      <c r="A77" s="5" t="s">
        <v>615</v>
      </c>
      <c r="B77" s="5" t="s">
        <v>89</v>
      </c>
      <c r="C77" s="5" t="s">
        <v>515</v>
      </c>
      <c r="D77" s="6">
        <v>63.0</v>
      </c>
      <c r="E77" s="6" t="s">
        <v>734</v>
      </c>
      <c r="F77" s="5" t="s">
        <v>105</v>
      </c>
      <c r="G77" s="5" t="s">
        <v>64</v>
      </c>
      <c r="H77" s="5" t="s">
        <v>238</v>
      </c>
      <c r="I77" s="5" t="s">
        <v>533</v>
      </c>
      <c r="J77" s="5" t="s">
        <v>97</v>
      </c>
      <c r="K77" s="5">
        <v>1874.0</v>
      </c>
    </row>
    <row r="78" ht="22.5" customHeight="1">
      <c r="A78" s="5" t="s">
        <v>619</v>
      </c>
      <c r="B78" s="5" t="s">
        <v>620</v>
      </c>
      <c r="C78" s="5" t="s">
        <v>352</v>
      </c>
      <c r="D78" s="6">
        <v>90.0</v>
      </c>
      <c r="E78" s="6" t="s">
        <v>734</v>
      </c>
      <c r="F78" s="5" t="s">
        <v>105</v>
      </c>
      <c r="G78" s="5" t="s">
        <v>47</v>
      </c>
      <c r="H78" s="5" t="s">
        <v>470</v>
      </c>
      <c r="I78" s="5" t="s">
        <v>179</v>
      </c>
      <c r="J78" s="5" t="s">
        <v>97</v>
      </c>
      <c r="K78" s="5">
        <v>3612.0</v>
      </c>
    </row>
    <row r="79" ht="22.5" customHeight="1">
      <c r="A79" s="5" t="s">
        <v>623</v>
      </c>
      <c r="B79" s="5" t="s">
        <v>624</v>
      </c>
      <c r="C79" s="5" t="s">
        <v>301</v>
      </c>
      <c r="D79" s="6">
        <v>82.0</v>
      </c>
      <c r="E79" s="6" t="s">
        <v>734</v>
      </c>
      <c r="F79" s="5" t="s">
        <v>105</v>
      </c>
      <c r="G79" s="5" t="s">
        <v>47</v>
      </c>
      <c r="H79" s="5" t="s">
        <v>439</v>
      </c>
      <c r="I79" s="5" t="s">
        <v>210</v>
      </c>
      <c r="J79" s="5" t="s">
        <v>97</v>
      </c>
      <c r="K79" s="5">
        <v>365.0</v>
      </c>
    </row>
    <row r="80" ht="22.5" customHeight="1">
      <c r="A80" s="5" t="s">
        <v>628</v>
      </c>
      <c r="B80" s="5" t="s">
        <v>542</v>
      </c>
      <c r="C80" s="5" t="s">
        <v>629</v>
      </c>
      <c r="D80" s="6">
        <v>87.0</v>
      </c>
      <c r="E80" s="6" t="s">
        <v>734</v>
      </c>
      <c r="F80" s="5" t="s">
        <v>152</v>
      </c>
      <c r="G80" s="5" t="s">
        <v>256</v>
      </c>
      <c r="H80" s="5" t="s">
        <v>164</v>
      </c>
      <c r="I80" s="5" t="s">
        <v>96</v>
      </c>
      <c r="J80" s="5" t="s">
        <v>97</v>
      </c>
      <c r="K80" s="5">
        <v>698.0</v>
      </c>
    </row>
    <row r="81" ht="22.5" customHeight="1">
      <c r="A81" s="5" t="s">
        <v>633</v>
      </c>
      <c r="B81" s="5" t="s">
        <v>473</v>
      </c>
      <c r="C81" s="5" t="s">
        <v>128</v>
      </c>
      <c r="D81" s="6">
        <v>36.0</v>
      </c>
      <c r="E81" s="6" t="s">
        <v>528</v>
      </c>
      <c r="F81" s="5" t="s">
        <v>105</v>
      </c>
      <c r="G81" s="5" t="s">
        <v>64</v>
      </c>
      <c r="H81" s="5" t="s">
        <v>470</v>
      </c>
      <c r="I81" s="5" t="s">
        <v>96</v>
      </c>
      <c r="J81" s="5" t="s">
        <v>52</v>
      </c>
      <c r="K81" s="5">
        <v>786.0</v>
      </c>
    </row>
    <row r="82" ht="22.5" customHeight="1">
      <c r="A82" s="5" t="s">
        <v>636</v>
      </c>
      <c r="B82" s="5" t="s">
        <v>343</v>
      </c>
      <c r="C82" s="5" t="s">
        <v>90</v>
      </c>
      <c r="D82" s="6">
        <v>77.0</v>
      </c>
      <c r="E82" s="6" t="s">
        <v>734</v>
      </c>
      <c r="F82" s="5" t="s">
        <v>105</v>
      </c>
      <c r="G82" s="5" t="s">
        <v>81</v>
      </c>
      <c r="H82" s="5" t="s">
        <v>637</v>
      </c>
      <c r="I82" s="5" t="s">
        <v>546</v>
      </c>
      <c r="J82" s="5" t="s">
        <v>97</v>
      </c>
      <c r="K82" s="5">
        <v>3127.0</v>
      </c>
    </row>
    <row r="83" ht="22.5" customHeight="1">
      <c r="A83" s="5" t="s">
        <v>640</v>
      </c>
      <c r="B83" s="5" t="s">
        <v>411</v>
      </c>
      <c r="C83" s="5" t="s">
        <v>128</v>
      </c>
      <c r="D83" s="6">
        <v>77.0</v>
      </c>
      <c r="E83" s="6" t="s">
        <v>734</v>
      </c>
      <c r="F83" s="5" t="s">
        <v>105</v>
      </c>
      <c r="G83" s="5" t="s">
        <v>64</v>
      </c>
      <c r="H83" s="5" t="s">
        <v>311</v>
      </c>
      <c r="I83" s="5" t="s">
        <v>546</v>
      </c>
      <c r="J83" s="5" t="s">
        <v>97</v>
      </c>
      <c r="K83" s="5">
        <v>1665.0</v>
      </c>
    </row>
    <row r="84" ht="22.5" customHeight="1">
      <c r="A84" s="5" t="s">
        <v>644</v>
      </c>
      <c r="B84" s="5" t="s">
        <v>1939</v>
      </c>
      <c r="C84" s="5" t="s">
        <v>363</v>
      </c>
      <c r="D84" s="6">
        <v>66.0</v>
      </c>
      <c r="E84" s="6" t="s">
        <v>734</v>
      </c>
      <c r="F84" s="5" t="s">
        <v>105</v>
      </c>
      <c r="G84" s="5" t="s">
        <v>237</v>
      </c>
      <c r="H84" s="5" t="s">
        <v>358</v>
      </c>
      <c r="I84" s="5" t="s">
        <v>561</v>
      </c>
      <c r="J84" s="5" t="s">
        <v>97</v>
      </c>
      <c r="K84" s="5">
        <v>2580.0</v>
      </c>
    </row>
    <row r="85" ht="22.5" customHeight="1">
      <c r="A85" s="5" t="s">
        <v>649</v>
      </c>
      <c r="B85" s="5" t="s">
        <v>865</v>
      </c>
      <c r="C85" s="5" t="s">
        <v>25</v>
      </c>
      <c r="D85" s="6">
        <v>52.0</v>
      </c>
      <c r="E85" s="6" t="s">
        <v>591</v>
      </c>
      <c r="F85" s="5" t="s">
        <v>105</v>
      </c>
      <c r="G85" s="5" t="s">
        <v>30</v>
      </c>
      <c r="H85" s="5" t="s">
        <v>377</v>
      </c>
      <c r="I85" s="5" t="s">
        <v>402</v>
      </c>
      <c r="J85" s="5" t="s">
        <v>559</v>
      </c>
      <c r="K85" s="5">
        <v>956.0</v>
      </c>
    </row>
    <row r="86" ht="22.5" customHeight="1">
      <c r="A86" s="5" t="s">
        <v>653</v>
      </c>
      <c r="B86" s="5" t="s">
        <v>1525</v>
      </c>
      <c r="C86" s="5" t="s">
        <v>301</v>
      </c>
      <c r="D86" s="6">
        <v>54.0</v>
      </c>
      <c r="E86" s="6" t="s">
        <v>591</v>
      </c>
      <c r="F86" s="5" t="s">
        <v>152</v>
      </c>
      <c r="G86" s="5" t="s">
        <v>401</v>
      </c>
      <c r="H86" s="5" t="s">
        <v>470</v>
      </c>
      <c r="I86" s="5" t="s">
        <v>179</v>
      </c>
      <c r="J86" s="5" t="s">
        <v>52</v>
      </c>
      <c r="K86" s="5">
        <v>2558.0</v>
      </c>
    </row>
    <row r="87" ht="22.5" customHeight="1">
      <c r="A87" s="5" t="s">
        <v>657</v>
      </c>
      <c r="B87" s="5" t="s">
        <v>1329</v>
      </c>
      <c r="C87" s="5" t="s">
        <v>526</v>
      </c>
      <c r="D87" s="8"/>
      <c r="E87" s="8" t="s">
        <v>1081</v>
      </c>
      <c r="F87" s="5" t="s">
        <v>152</v>
      </c>
      <c r="G87" s="5" t="s">
        <v>268</v>
      </c>
      <c r="H87" s="5" t="s">
        <v>551</v>
      </c>
      <c r="I87" s="5" t="s">
        <v>83</v>
      </c>
      <c r="J87" s="5" t="s">
        <v>222</v>
      </c>
      <c r="K87" s="5">
        <v>2010.0</v>
      </c>
    </row>
    <row r="88" ht="22.5" customHeight="1">
      <c r="A88" s="5" t="s">
        <v>661</v>
      </c>
      <c r="B88" s="5" t="s">
        <v>662</v>
      </c>
      <c r="C88" s="5" t="s">
        <v>556</v>
      </c>
      <c r="D88" s="6"/>
      <c r="E88" s="6" t="s">
        <v>1081</v>
      </c>
      <c r="F88" s="5" t="s">
        <v>152</v>
      </c>
      <c r="G88" s="5" t="s">
        <v>81</v>
      </c>
      <c r="H88" s="5" t="s">
        <v>164</v>
      </c>
      <c r="I88" s="5" t="s">
        <v>96</v>
      </c>
      <c r="J88" s="5" t="s">
        <v>97</v>
      </c>
      <c r="K88" s="5">
        <v>1214.0</v>
      </c>
    </row>
    <row r="89" ht="22.5" customHeight="1">
      <c r="A89" s="5" t="s">
        <v>665</v>
      </c>
      <c r="B89" s="5" t="s">
        <v>590</v>
      </c>
      <c r="C89" s="5" t="s">
        <v>216</v>
      </c>
      <c r="D89" s="6">
        <v>39.0</v>
      </c>
      <c r="E89" s="6" t="s">
        <v>528</v>
      </c>
      <c r="F89" s="5" t="s">
        <v>152</v>
      </c>
      <c r="G89" s="5" t="s">
        <v>141</v>
      </c>
      <c r="H89" s="5" t="s">
        <v>439</v>
      </c>
      <c r="I89" s="5" t="s">
        <v>210</v>
      </c>
      <c r="J89" s="5" t="s">
        <v>222</v>
      </c>
      <c r="K89" s="5">
        <v>1065.0</v>
      </c>
    </row>
    <row r="90" ht="22.5" customHeight="1">
      <c r="A90" s="5" t="s">
        <v>671</v>
      </c>
      <c r="B90" s="5" t="s">
        <v>171</v>
      </c>
      <c r="C90" s="5" t="s">
        <v>254</v>
      </c>
      <c r="D90" s="6">
        <v>76.0</v>
      </c>
      <c r="E90" s="6" t="s">
        <v>734</v>
      </c>
      <c r="F90" s="5" t="s">
        <v>152</v>
      </c>
      <c r="G90" s="5" t="s">
        <v>571</v>
      </c>
      <c r="H90" s="5" t="s">
        <v>277</v>
      </c>
      <c r="I90" s="5" t="s">
        <v>402</v>
      </c>
      <c r="J90" s="5" t="s">
        <v>97</v>
      </c>
      <c r="K90" s="5">
        <v>2621.0</v>
      </c>
    </row>
    <row r="91" ht="22.5" customHeight="1">
      <c r="A91" s="5" t="s">
        <v>674</v>
      </c>
      <c r="B91" s="5" t="s">
        <v>542</v>
      </c>
      <c r="C91" s="5" t="s">
        <v>254</v>
      </c>
      <c r="D91" s="6">
        <v>34.0</v>
      </c>
      <c r="E91" s="6" t="s">
        <v>528</v>
      </c>
      <c r="F91" s="5" t="s">
        <v>152</v>
      </c>
      <c r="G91" s="5" t="s">
        <v>309</v>
      </c>
      <c r="H91" s="5" t="s">
        <v>551</v>
      </c>
      <c r="I91" s="5" t="s">
        <v>83</v>
      </c>
      <c r="J91" s="5" t="s">
        <v>52</v>
      </c>
      <c r="K91" s="5">
        <v>3312.0</v>
      </c>
    </row>
    <row r="92" ht="22.5" customHeight="1">
      <c r="A92" s="5" t="s">
        <v>679</v>
      </c>
      <c r="B92" s="5" t="s">
        <v>171</v>
      </c>
      <c r="C92" s="5" t="s">
        <v>713</v>
      </c>
      <c r="D92" s="6">
        <v>84.0</v>
      </c>
      <c r="E92" s="6" t="s">
        <v>734</v>
      </c>
      <c r="F92" s="5" t="s">
        <v>152</v>
      </c>
      <c r="G92" s="5" t="s">
        <v>30</v>
      </c>
      <c r="H92" s="5" t="s">
        <v>230</v>
      </c>
      <c r="I92" s="5" t="s">
        <v>452</v>
      </c>
      <c r="J92" s="5" t="s">
        <v>97</v>
      </c>
      <c r="K92" s="5">
        <v>3442.0</v>
      </c>
    </row>
    <row r="93" ht="22.5" customHeight="1">
      <c r="A93" s="5" t="s">
        <v>683</v>
      </c>
      <c r="B93" s="5" t="s">
        <v>368</v>
      </c>
      <c r="C93" s="5" t="s">
        <v>159</v>
      </c>
      <c r="D93" s="6">
        <v>50.0</v>
      </c>
      <c r="E93" s="6" t="s">
        <v>591</v>
      </c>
      <c r="F93" s="5" t="s">
        <v>105</v>
      </c>
      <c r="G93" s="5" t="s">
        <v>256</v>
      </c>
      <c r="H93" s="5" t="s">
        <v>164</v>
      </c>
      <c r="I93" s="5" t="s">
        <v>452</v>
      </c>
      <c r="J93" s="5" t="s">
        <v>211</v>
      </c>
      <c r="K93" s="5">
        <v>120.0</v>
      </c>
    </row>
    <row r="94" ht="22.5" customHeight="1">
      <c r="A94" s="5" t="s">
        <v>687</v>
      </c>
      <c r="B94" s="5" t="s">
        <v>2950</v>
      </c>
      <c r="C94" s="5" t="s">
        <v>172</v>
      </c>
      <c r="D94" s="8"/>
      <c r="E94" s="8" t="s">
        <v>1081</v>
      </c>
      <c r="F94" s="5" t="s">
        <v>152</v>
      </c>
      <c r="G94" s="5" t="s">
        <v>237</v>
      </c>
      <c r="H94" s="5" t="s">
        <v>238</v>
      </c>
      <c r="I94" s="5" t="s">
        <v>533</v>
      </c>
      <c r="J94" s="5" t="s">
        <v>211</v>
      </c>
      <c r="K94" s="5">
        <v>1189.0</v>
      </c>
    </row>
    <row r="95" ht="22.5" customHeight="1">
      <c r="A95" s="5" t="s">
        <v>693</v>
      </c>
      <c r="B95" s="5" t="s">
        <v>2008</v>
      </c>
      <c r="C95" s="5" t="s">
        <v>374</v>
      </c>
      <c r="D95" s="6">
        <v>84.0</v>
      </c>
      <c r="E95" s="6" t="s">
        <v>734</v>
      </c>
      <c r="F95" s="5" t="s">
        <v>105</v>
      </c>
      <c r="G95" s="5" t="s">
        <v>64</v>
      </c>
      <c r="H95" s="5" t="s">
        <v>436</v>
      </c>
      <c r="I95" s="5" t="s">
        <v>561</v>
      </c>
      <c r="J95" s="5" t="s">
        <v>97</v>
      </c>
      <c r="K95" s="5">
        <v>4999.0</v>
      </c>
    </row>
    <row r="96" ht="22.5" customHeight="1">
      <c r="A96" s="5" t="s">
        <v>695</v>
      </c>
      <c r="B96" s="5" t="s">
        <v>696</v>
      </c>
      <c r="C96" s="5" t="s">
        <v>76</v>
      </c>
      <c r="D96" s="6">
        <v>87.0</v>
      </c>
      <c r="E96" s="6" t="s">
        <v>734</v>
      </c>
      <c r="F96" s="5" t="s">
        <v>152</v>
      </c>
      <c r="G96" s="5" t="s">
        <v>237</v>
      </c>
      <c r="H96" s="5" t="s">
        <v>551</v>
      </c>
      <c r="I96" s="5" t="s">
        <v>83</v>
      </c>
      <c r="J96" s="5" t="s">
        <v>97</v>
      </c>
      <c r="K96" s="5">
        <v>1903.0</v>
      </c>
    </row>
    <row r="97" ht="22.5" customHeight="1">
      <c r="A97" s="5" t="s">
        <v>701</v>
      </c>
      <c r="B97" s="5" t="s">
        <v>343</v>
      </c>
      <c r="C97" s="5" t="s">
        <v>301</v>
      </c>
      <c r="D97" s="8"/>
      <c r="E97" s="8" t="s">
        <v>1081</v>
      </c>
      <c r="F97" s="5" t="s">
        <v>152</v>
      </c>
      <c r="G97" s="5" t="s">
        <v>364</v>
      </c>
      <c r="H97" s="5" t="s">
        <v>551</v>
      </c>
      <c r="I97" s="5" t="s">
        <v>83</v>
      </c>
      <c r="J97" s="5" t="s">
        <v>211</v>
      </c>
      <c r="K97" s="5">
        <v>1528.0</v>
      </c>
    </row>
    <row r="98" ht="22.5" customHeight="1">
      <c r="A98" s="5" t="s">
        <v>704</v>
      </c>
      <c r="B98" s="5" t="s">
        <v>368</v>
      </c>
      <c r="C98" s="5" t="s">
        <v>25</v>
      </c>
      <c r="D98" s="6">
        <v>90.0</v>
      </c>
      <c r="E98" s="6" t="s">
        <v>734</v>
      </c>
      <c r="F98" s="5" t="s">
        <v>105</v>
      </c>
      <c r="G98" s="5" t="s">
        <v>571</v>
      </c>
      <c r="H98" s="5" t="s">
        <v>238</v>
      </c>
      <c r="I98" s="5" t="s">
        <v>533</v>
      </c>
      <c r="J98" s="5" t="s">
        <v>97</v>
      </c>
      <c r="K98" s="5">
        <v>1631.0</v>
      </c>
    </row>
    <row r="99" ht="22.5" customHeight="1">
      <c r="A99" s="5" t="s">
        <v>707</v>
      </c>
      <c r="B99" s="5" t="s">
        <v>872</v>
      </c>
      <c r="C99" s="5" t="s">
        <v>363</v>
      </c>
      <c r="D99" s="6"/>
      <c r="E99" s="6" t="s">
        <v>1081</v>
      </c>
      <c r="F99" s="5" t="s">
        <v>152</v>
      </c>
      <c r="G99" s="5" t="s">
        <v>364</v>
      </c>
      <c r="H99" s="5" t="s">
        <v>377</v>
      </c>
      <c r="I99" s="5" t="s">
        <v>96</v>
      </c>
      <c r="J99" s="5" t="s">
        <v>97</v>
      </c>
      <c r="K99" s="5">
        <v>993.0</v>
      </c>
    </row>
    <row r="100" ht="22.5" customHeight="1">
      <c r="A100" s="5" t="s">
        <v>712</v>
      </c>
      <c r="B100" s="5" t="s">
        <v>127</v>
      </c>
      <c r="C100" s="5" t="s">
        <v>713</v>
      </c>
      <c r="D100" s="6">
        <v>24.0</v>
      </c>
      <c r="E100" s="6" t="s">
        <v>528</v>
      </c>
      <c r="F100" s="5" t="s">
        <v>152</v>
      </c>
      <c r="G100" s="5" t="s">
        <v>237</v>
      </c>
      <c r="H100" s="5" t="s">
        <v>1290</v>
      </c>
      <c r="I100" s="5" t="s">
        <v>533</v>
      </c>
      <c r="J100" s="5" t="s">
        <v>222</v>
      </c>
      <c r="K100" s="5">
        <v>1623.0</v>
      </c>
    </row>
    <row r="101" ht="22.5" customHeight="1">
      <c r="A101" s="5" t="s">
        <v>717</v>
      </c>
      <c r="B101" s="5" t="s">
        <v>2991</v>
      </c>
      <c r="C101" s="5" t="s">
        <v>101</v>
      </c>
      <c r="D101" s="6">
        <v>38.0</v>
      </c>
      <c r="E101" s="6" t="s">
        <v>528</v>
      </c>
      <c r="F101" s="5" t="s">
        <v>105</v>
      </c>
      <c r="G101" s="5" t="s">
        <v>30</v>
      </c>
      <c r="H101" s="5" t="s">
        <v>311</v>
      </c>
      <c r="I101" s="5" t="s">
        <v>546</v>
      </c>
      <c r="J101" s="5" t="s">
        <v>211</v>
      </c>
      <c r="K101" s="5">
        <v>2135.0</v>
      </c>
    </row>
    <row r="102" ht="22.5" customHeight="1">
      <c r="A102" s="5" t="s">
        <v>722</v>
      </c>
      <c r="B102" s="5" t="s">
        <v>624</v>
      </c>
      <c r="C102" s="5" t="s">
        <v>324</v>
      </c>
      <c r="D102" s="6">
        <v>65.0</v>
      </c>
      <c r="E102" s="6" t="s">
        <v>734</v>
      </c>
      <c r="F102" s="5" t="s">
        <v>105</v>
      </c>
      <c r="G102" s="5" t="s">
        <v>268</v>
      </c>
      <c r="H102" s="5" t="s">
        <v>164</v>
      </c>
      <c r="I102" s="5" t="s">
        <v>607</v>
      </c>
      <c r="J102" s="5" t="s">
        <v>97</v>
      </c>
      <c r="K102" s="5">
        <v>1523.0</v>
      </c>
    </row>
    <row r="103" ht="22.5" customHeight="1">
      <c r="A103" s="5" t="s">
        <v>727</v>
      </c>
      <c r="B103" s="5" t="s">
        <v>171</v>
      </c>
      <c r="C103" s="5" t="s">
        <v>148</v>
      </c>
      <c r="D103" s="6">
        <v>18.0</v>
      </c>
      <c r="E103" s="6" t="s">
        <v>528</v>
      </c>
      <c r="F103" s="5" t="s">
        <v>152</v>
      </c>
      <c r="G103" s="5" t="s">
        <v>393</v>
      </c>
      <c r="H103" s="5" t="s">
        <v>164</v>
      </c>
      <c r="I103" s="5" t="s">
        <v>96</v>
      </c>
      <c r="J103" s="5" t="s">
        <v>559</v>
      </c>
      <c r="K103" s="5">
        <v>586.0</v>
      </c>
    </row>
    <row r="104" ht="22.5" customHeight="1">
      <c r="A104" s="5" t="s">
        <v>730</v>
      </c>
      <c r="B104" s="5" t="s">
        <v>158</v>
      </c>
      <c r="C104" s="5" t="s">
        <v>363</v>
      </c>
      <c r="D104" s="6">
        <v>47.0</v>
      </c>
      <c r="E104" s="6" t="s">
        <v>591</v>
      </c>
      <c r="F104" s="5" t="s">
        <v>105</v>
      </c>
      <c r="G104" s="5" t="s">
        <v>64</v>
      </c>
      <c r="H104" s="5" t="s">
        <v>470</v>
      </c>
      <c r="I104" s="5" t="s">
        <v>96</v>
      </c>
      <c r="J104" s="5" t="s">
        <v>222</v>
      </c>
      <c r="K104" s="5">
        <v>1027.0</v>
      </c>
    </row>
    <row r="105" ht="22.5" customHeight="1">
      <c r="A105" s="5" t="s">
        <v>737</v>
      </c>
      <c r="B105" s="5" t="s">
        <v>127</v>
      </c>
      <c r="C105" s="5" t="s">
        <v>128</v>
      </c>
      <c r="D105" s="6">
        <v>30.0</v>
      </c>
      <c r="E105" s="6" t="s">
        <v>528</v>
      </c>
      <c r="F105" s="5" t="s">
        <v>152</v>
      </c>
      <c r="G105" s="5" t="s">
        <v>47</v>
      </c>
      <c r="H105" s="5" t="s">
        <v>470</v>
      </c>
      <c r="I105" s="5" t="s">
        <v>179</v>
      </c>
      <c r="J105" s="5" t="s">
        <v>222</v>
      </c>
      <c r="K105" s="5">
        <v>3840.0</v>
      </c>
    </row>
    <row r="106" ht="22.5" customHeight="1">
      <c r="A106" s="5" t="s">
        <v>741</v>
      </c>
      <c r="B106" s="5" t="s">
        <v>1149</v>
      </c>
      <c r="C106" s="5" t="s">
        <v>363</v>
      </c>
      <c r="D106" s="6">
        <v>79.0</v>
      </c>
      <c r="E106" s="6" t="s">
        <v>734</v>
      </c>
      <c r="F106" s="5" t="s">
        <v>105</v>
      </c>
      <c r="G106" s="5" t="s">
        <v>393</v>
      </c>
      <c r="H106" s="5" t="s">
        <v>311</v>
      </c>
      <c r="I106" s="5" t="s">
        <v>96</v>
      </c>
      <c r="J106" s="5" t="s">
        <v>97</v>
      </c>
      <c r="K106" s="5">
        <v>947.0</v>
      </c>
    </row>
    <row r="107" ht="22.5" customHeight="1">
      <c r="A107" s="5" t="s">
        <v>744</v>
      </c>
      <c r="B107" s="5" t="s">
        <v>299</v>
      </c>
      <c r="C107" s="5" t="s">
        <v>128</v>
      </c>
      <c r="D107" s="6">
        <v>41.0</v>
      </c>
      <c r="E107" s="6" t="s">
        <v>591</v>
      </c>
      <c r="F107" s="5" t="s">
        <v>152</v>
      </c>
      <c r="G107" s="5" t="s">
        <v>47</v>
      </c>
      <c r="H107" s="5" t="s">
        <v>439</v>
      </c>
      <c r="I107" s="5" t="s">
        <v>210</v>
      </c>
      <c r="J107" s="5" t="s">
        <v>559</v>
      </c>
      <c r="K107" s="5">
        <v>1848.0</v>
      </c>
    </row>
    <row r="108" ht="22.5" customHeight="1">
      <c r="A108" s="5" t="s">
        <v>749</v>
      </c>
      <c r="B108" s="5" t="s">
        <v>307</v>
      </c>
      <c r="C108" s="5" t="s">
        <v>90</v>
      </c>
      <c r="D108" s="6">
        <v>32.0</v>
      </c>
      <c r="E108" s="6" t="s">
        <v>528</v>
      </c>
      <c r="F108" s="5" t="s">
        <v>105</v>
      </c>
      <c r="G108" s="5" t="s">
        <v>237</v>
      </c>
      <c r="H108" s="5" t="s">
        <v>164</v>
      </c>
      <c r="I108" s="5" t="s">
        <v>452</v>
      </c>
      <c r="J108" s="5" t="s">
        <v>211</v>
      </c>
      <c r="K108" s="5">
        <v>2931.0</v>
      </c>
    </row>
    <row r="109" ht="22.5" customHeight="1">
      <c r="A109" s="5" t="s">
        <v>751</v>
      </c>
      <c r="B109" s="5" t="s">
        <v>827</v>
      </c>
      <c r="C109" s="5" t="s">
        <v>352</v>
      </c>
      <c r="D109" s="6"/>
      <c r="E109" s="6" t="s">
        <v>1081</v>
      </c>
      <c r="F109" s="5" t="s">
        <v>152</v>
      </c>
      <c r="G109" s="5" t="s">
        <v>309</v>
      </c>
      <c r="H109" s="5" t="s">
        <v>377</v>
      </c>
      <c r="I109" s="5" t="s">
        <v>402</v>
      </c>
      <c r="J109" s="5" t="s">
        <v>97</v>
      </c>
      <c r="K109" s="5">
        <v>1862.0</v>
      </c>
    </row>
    <row r="110" ht="22.5" customHeight="1">
      <c r="A110" s="5" t="s">
        <v>756</v>
      </c>
      <c r="B110" s="5" t="s">
        <v>2094</v>
      </c>
      <c r="C110" s="5" t="s">
        <v>316</v>
      </c>
      <c r="D110" s="6">
        <v>38.0</v>
      </c>
      <c r="E110" s="6" t="s">
        <v>528</v>
      </c>
      <c r="F110" s="5" t="s">
        <v>105</v>
      </c>
      <c r="G110" s="5" t="s">
        <v>759</v>
      </c>
      <c r="H110" s="5" t="s">
        <v>123</v>
      </c>
      <c r="I110" s="5" t="s">
        <v>83</v>
      </c>
      <c r="J110" s="5" t="s">
        <v>52</v>
      </c>
      <c r="K110" s="5">
        <v>1139.0</v>
      </c>
    </row>
    <row r="111" ht="22.5" customHeight="1">
      <c r="A111" s="5" t="s">
        <v>762</v>
      </c>
      <c r="B111" s="5" t="s">
        <v>820</v>
      </c>
      <c r="C111" s="5" t="s">
        <v>159</v>
      </c>
      <c r="D111" s="6">
        <v>81.0</v>
      </c>
      <c r="E111" s="6" t="s">
        <v>734</v>
      </c>
      <c r="F111" s="5" t="s">
        <v>105</v>
      </c>
      <c r="G111" s="5" t="s">
        <v>208</v>
      </c>
      <c r="H111" s="5" t="s">
        <v>489</v>
      </c>
      <c r="I111" s="5" t="s">
        <v>179</v>
      </c>
      <c r="J111" s="5" t="s">
        <v>97</v>
      </c>
      <c r="K111" s="5">
        <v>2144.0</v>
      </c>
    </row>
    <row r="112" ht="22.5" customHeight="1">
      <c r="A112" s="5" t="s">
        <v>766</v>
      </c>
      <c r="B112" s="5" t="s">
        <v>689</v>
      </c>
      <c r="C112" s="5" t="s">
        <v>42</v>
      </c>
      <c r="D112" s="6">
        <v>56.0</v>
      </c>
      <c r="E112" s="6" t="s">
        <v>591</v>
      </c>
      <c r="F112" s="5" t="s">
        <v>152</v>
      </c>
      <c r="G112" s="5" t="s">
        <v>393</v>
      </c>
      <c r="H112" s="5" t="s">
        <v>470</v>
      </c>
      <c r="I112" s="5" t="s">
        <v>96</v>
      </c>
      <c r="J112" s="5" t="s">
        <v>52</v>
      </c>
      <c r="K112" s="5">
        <v>1142.0</v>
      </c>
    </row>
    <row r="113" ht="22.5" customHeight="1">
      <c r="A113" s="5" t="s">
        <v>768</v>
      </c>
      <c r="B113" s="5" t="s">
        <v>542</v>
      </c>
      <c r="C113" s="5" t="s">
        <v>469</v>
      </c>
      <c r="D113" s="6">
        <v>77.0</v>
      </c>
      <c r="E113" s="6" t="s">
        <v>734</v>
      </c>
      <c r="F113" s="5" t="s">
        <v>152</v>
      </c>
      <c r="G113" s="5" t="s">
        <v>571</v>
      </c>
      <c r="H113" s="5" t="s">
        <v>1290</v>
      </c>
      <c r="I113" s="5" t="s">
        <v>533</v>
      </c>
      <c r="J113" s="5" t="s">
        <v>97</v>
      </c>
      <c r="K113" s="5">
        <v>793.0</v>
      </c>
    </row>
    <row r="114" ht="22.5" customHeight="1">
      <c r="A114" s="5" t="s">
        <v>771</v>
      </c>
      <c r="B114" s="5" t="s">
        <v>877</v>
      </c>
      <c r="C114" s="5" t="s">
        <v>556</v>
      </c>
      <c r="D114" s="6">
        <v>36.0</v>
      </c>
      <c r="E114" s="6" t="s">
        <v>528</v>
      </c>
      <c r="F114" s="5" t="s">
        <v>152</v>
      </c>
      <c r="G114" s="5" t="s">
        <v>208</v>
      </c>
      <c r="H114" s="5" t="s">
        <v>311</v>
      </c>
      <c r="I114" s="5" t="s">
        <v>546</v>
      </c>
      <c r="J114" s="5" t="s">
        <v>52</v>
      </c>
      <c r="K114" s="5">
        <v>1799.0</v>
      </c>
    </row>
    <row r="115" ht="22.5" customHeight="1">
      <c r="A115" s="5" t="s">
        <v>775</v>
      </c>
      <c r="B115" s="5" t="s">
        <v>620</v>
      </c>
      <c r="C115" s="5" t="s">
        <v>301</v>
      </c>
      <c r="D115" s="6">
        <v>23.0</v>
      </c>
      <c r="E115" s="6" t="s">
        <v>528</v>
      </c>
      <c r="F115" s="5" t="s">
        <v>105</v>
      </c>
      <c r="G115" s="5" t="s">
        <v>268</v>
      </c>
      <c r="H115" s="5" t="s">
        <v>164</v>
      </c>
      <c r="I115" s="5" t="s">
        <v>607</v>
      </c>
      <c r="J115" s="5" t="s">
        <v>211</v>
      </c>
      <c r="K115" s="5">
        <v>3358.0</v>
      </c>
    </row>
    <row r="116" ht="22.5" customHeight="1">
      <c r="A116" s="5" t="s">
        <v>780</v>
      </c>
      <c r="B116" s="5" t="s">
        <v>89</v>
      </c>
      <c r="C116" s="5" t="s">
        <v>254</v>
      </c>
      <c r="D116" s="6">
        <v>18.0</v>
      </c>
      <c r="E116" s="6" t="s">
        <v>528</v>
      </c>
      <c r="F116" s="5" t="s">
        <v>105</v>
      </c>
      <c r="G116" s="5" t="s">
        <v>364</v>
      </c>
      <c r="H116" s="5" t="s">
        <v>489</v>
      </c>
      <c r="I116" s="5" t="s">
        <v>179</v>
      </c>
      <c r="J116" s="5" t="s">
        <v>52</v>
      </c>
      <c r="K116" s="5">
        <v>1954.0</v>
      </c>
    </row>
    <row r="117" ht="22.5" customHeight="1">
      <c r="A117" s="5" t="s">
        <v>783</v>
      </c>
      <c r="B117" s="5" t="s">
        <v>1656</v>
      </c>
      <c r="C117" s="5" t="s">
        <v>284</v>
      </c>
      <c r="D117" s="6">
        <v>27.0</v>
      </c>
      <c r="E117" s="6" t="s">
        <v>528</v>
      </c>
      <c r="F117" s="5" t="s">
        <v>152</v>
      </c>
      <c r="G117" s="5" t="s">
        <v>539</v>
      </c>
      <c r="H117" s="5" t="s">
        <v>377</v>
      </c>
      <c r="I117" s="5" t="s">
        <v>402</v>
      </c>
      <c r="J117" s="5" t="s">
        <v>211</v>
      </c>
      <c r="K117" s="5">
        <v>2503.0</v>
      </c>
    </row>
    <row r="118" ht="22.5" customHeight="1">
      <c r="A118" s="5" t="s">
        <v>786</v>
      </c>
      <c r="B118" s="5" t="s">
        <v>136</v>
      </c>
      <c r="C118" s="5" t="s">
        <v>526</v>
      </c>
      <c r="D118" s="6">
        <v>90.0</v>
      </c>
      <c r="E118" s="6" t="s">
        <v>734</v>
      </c>
      <c r="F118" s="5" t="s">
        <v>105</v>
      </c>
      <c r="G118" s="5" t="s">
        <v>64</v>
      </c>
      <c r="H118" s="5" t="s">
        <v>576</v>
      </c>
      <c r="I118" s="5" t="s">
        <v>607</v>
      </c>
      <c r="J118" s="5" t="s">
        <v>97</v>
      </c>
      <c r="K118" s="5">
        <v>2165.0</v>
      </c>
    </row>
    <row r="119" ht="22.5" customHeight="1">
      <c r="A119" s="5" t="s">
        <v>791</v>
      </c>
      <c r="B119" s="5" t="s">
        <v>343</v>
      </c>
      <c r="C119" s="5" t="s">
        <v>159</v>
      </c>
      <c r="D119" s="6"/>
      <c r="E119" s="6" t="s">
        <v>1081</v>
      </c>
      <c r="F119" s="5" t="s">
        <v>152</v>
      </c>
      <c r="G119" s="5" t="s">
        <v>393</v>
      </c>
      <c r="H119" s="5" t="s">
        <v>311</v>
      </c>
      <c r="I119" s="5" t="s">
        <v>96</v>
      </c>
      <c r="J119" s="5" t="s">
        <v>97</v>
      </c>
      <c r="K119" s="5">
        <v>439.0</v>
      </c>
    </row>
    <row r="120" ht="22.5" customHeight="1">
      <c r="A120" s="5" t="s">
        <v>795</v>
      </c>
      <c r="B120" s="5" t="s">
        <v>299</v>
      </c>
      <c r="C120" s="5" t="s">
        <v>148</v>
      </c>
      <c r="D120" s="6">
        <v>39.0</v>
      </c>
      <c r="E120" s="6" t="s">
        <v>528</v>
      </c>
      <c r="F120" s="5" t="s">
        <v>105</v>
      </c>
      <c r="G120" s="5" t="s">
        <v>107</v>
      </c>
      <c r="H120" s="5" t="s">
        <v>470</v>
      </c>
      <c r="I120" s="5" t="s">
        <v>179</v>
      </c>
      <c r="J120" s="5" t="s">
        <v>52</v>
      </c>
      <c r="K120" s="5">
        <v>4536.0</v>
      </c>
    </row>
    <row r="121" ht="22.5" customHeight="1">
      <c r="A121" s="5" t="s">
        <v>798</v>
      </c>
      <c r="B121" s="5" t="s">
        <v>877</v>
      </c>
      <c r="C121" s="5" t="s">
        <v>128</v>
      </c>
      <c r="D121" s="6">
        <v>57.0</v>
      </c>
      <c r="E121" s="6" t="s">
        <v>591</v>
      </c>
      <c r="F121" s="5" t="s">
        <v>152</v>
      </c>
      <c r="G121" s="5" t="s">
        <v>539</v>
      </c>
      <c r="H121" s="5" t="s">
        <v>358</v>
      </c>
      <c r="I121" s="5" t="s">
        <v>561</v>
      </c>
      <c r="J121" s="5" t="s">
        <v>52</v>
      </c>
      <c r="K121" s="5">
        <v>2838.0</v>
      </c>
    </row>
    <row r="122" ht="22.5" customHeight="1">
      <c r="A122" s="5" t="s">
        <v>801</v>
      </c>
      <c r="B122" s="5" t="s">
        <v>1160</v>
      </c>
      <c r="C122" s="5" t="s">
        <v>433</v>
      </c>
      <c r="D122" s="6">
        <v>39.0</v>
      </c>
      <c r="E122" s="6" t="s">
        <v>528</v>
      </c>
      <c r="F122" s="5" t="s">
        <v>152</v>
      </c>
      <c r="G122" s="5" t="s">
        <v>81</v>
      </c>
      <c r="H122" s="5" t="s">
        <v>436</v>
      </c>
      <c r="I122" s="5" t="s">
        <v>561</v>
      </c>
      <c r="J122" s="5" t="s">
        <v>559</v>
      </c>
      <c r="K122" s="5">
        <v>3378.0</v>
      </c>
    </row>
    <row r="123" ht="22.5" customHeight="1">
      <c r="A123" s="5" t="s">
        <v>805</v>
      </c>
      <c r="B123" s="5" t="s">
        <v>1329</v>
      </c>
      <c r="C123" s="5" t="s">
        <v>25</v>
      </c>
      <c r="D123" s="6">
        <v>30.0</v>
      </c>
      <c r="E123" s="6" t="s">
        <v>528</v>
      </c>
      <c r="F123" s="5" t="s">
        <v>152</v>
      </c>
      <c r="G123" s="5" t="s">
        <v>107</v>
      </c>
      <c r="H123" s="5" t="s">
        <v>164</v>
      </c>
      <c r="I123" s="5" t="s">
        <v>96</v>
      </c>
      <c r="J123" s="5" t="s">
        <v>52</v>
      </c>
      <c r="K123" s="5">
        <v>1160.0</v>
      </c>
    </row>
    <row r="124" ht="22.5" customHeight="1">
      <c r="A124" s="5" t="s">
        <v>811</v>
      </c>
      <c r="B124" s="5" t="s">
        <v>812</v>
      </c>
      <c r="C124" s="5" t="s">
        <v>216</v>
      </c>
      <c r="D124" s="6">
        <v>34.0</v>
      </c>
      <c r="E124" s="6" t="s">
        <v>528</v>
      </c>
      <c r="F124" s="5" t="s">
        <v>152</v>
      </c>
      <c r="G124" s="5" t="s">
        <v>107</v>
      </c>
      <c r="H124" s="5" t="s">
        <v>482</v>
      </c>
      <c r="I124" s="5" t="s">
        <v>179</v>
      </c>
      <c r="J124" s="5" t="s">
        <v>222</v>
      </c>
      <c r="K124" s="5">
        <v>4153.0</v>
      </c>
    </row>
    <row r="125" ht="22.5" customHeight="1">
      <c r="A125" s="5" t="s">
        <v>815</v>
      </c>
      <c r="B125" s="5" t="s">
        <v>193</v>
      </c>
      <c r="C125" s="5" t="s">
        <v>363</v>
      </c>
      <c r="D125" s="6">
        <v>88.0</v>
      </c>
      <c r="E125" s="6" t="s">
        <v>734</v>
      </c>
      <c r="F125" s="5" t="s">
        <v>105</v>
      </c>
      <c r="G125" s="5" t="s">
        <v>571</v>
      </c>
      <c r="H125" s="5" t="s">
        <v>576</v>
      </c>
      <c r="I125" s="5" t="s">
        <v>607</v>
      </c>
      <c r="J125" s="5" t="s">
        <v>97</v>
      </c>
      <c r="K125" s="5">
        <v>4277.0</v>
      </c>
    </row>
    <row r="126" ht="22.5" customHeight="1">
      <c r="A126" s="5" t="s">
        <v>819</v>
      </c>
      <c r="B126" s="5" t="s">
        <v>820</v>
      </c>
      <c r="C126" s="5" t="s">
        <v>76</v>
      </c>
      <c r="D126" s="6">
        <v>56.0</v>
      </c>
      <c r="E126" s="6" t="s">
        <v>591</v>
      </c>
      <c r="F126" s="5" t="s">
        <v>105</v>
      </c>
      <c r="G126" s="5" t="s">
        <v>64</v>
      </c>
      <c r="H126" s="5" t="s">
        <v>551</v>
      </c>
      <c r="I126" s="5" t="s">
        <v>83</v>
      </c>
      <c r="J126" s="5" t="s">
        <v>559</v>
      </c>
      <c r="K126" s="5">
        <v>2382.0</v>
      </c>
    </row>
    <row r="127" ht="22.5" customHeight="1">
      <c r="A127" s="5" t="s">
        <v>822</v>
      </c>
      <c r="B127" s="5" t="s">
        <v>542</v>
      </c>
      <c r="C127" s="5" t="s">
        <v>264</v>
      </c>
      <c r="D127" s="6">
        <v>26.0</v>
      </c>
      <c r="E127" s="6" t="s">
        <v>528</v>
      </c>
      <c r="F127" s="5" t="s">
        <v>152</v>
      </c>
      <c r="G127" s="5" t="s">
        <v>364</v>
      </c>
      <c r="H127" s="5" t="s">
        <v>637</v>
      </c>
      <c r="I127" s="5" t="s">
        <v>546</v>
      </c>
      <c r="J127" s="5" t="s">
        <v>559</v>
      </c>
      <c r="K127" s="5">
        <v>2510.0</v>
      </c>
    </row>
    <row r="128" ht="22.5" customHeight="1">
      <c r="A128" s="5" t="s">
        <v>826</v>
      </c>
      <c r="B128" s="5" t="s">
        <v>827</v>
      </c>
      <c r="C128" s="5" t="s">
        <v>828</v>
      </c>
      <c r="D128" s="6">
        <v>90.0</v>
      </c>
      <c r="E128" s="6" t="s">
        <v>734</v>
      </c>
      <c r="F128" s="5" t="s">
        <v>152</v>
      </c>
      <c r="G128" s="5" t="s">
        <v>759</v>
      </c>
      <c r="H128" s="5" t="s">
        <v>418</v>
      </c>
      <c r="I128" s="5" t="s">
        <v>210</v>
      </c>
      <c r="J128" s="5" t="s">
        <v>97</v>
      </c>
      <c r="K128" s="5">
        <v>715.0</v>
      </c>
    </row>
    <row r="129" ht="22.5" customHeight="1">
      <c r="A129" s="5" t="s">
        <v>830</v>
      </c>
      <c r="B129" s="5" t="s">
        <v>831</v>
      </c>
      <c r="C129" s="5" t="s">
        <v>254</v>
      </c>
      <c r="D129" s="6">
        <v>54.0</v>
      </c>
      <c r="E129" s="6" t="s">
        <v>591</v>
      </c>
      <c r="F129" s="5" t="s">
        <v>105</v>
      </c>
      <c r="G129" s="5" t="s">
        <v>539</v>
      </c>
      <c r="H129" s="5" t="s">
        <v>311</v>
      </c>
      <c r="I129" s="5" t="s">
        <v>546</v>
      </c>
      <c r="J129" s="5" t="s">
        <v>52</v>
      </c>
      <c r="K129" s="5">
        <v>2258.0</v>
      </c>
    </row>
    <row r="130" ht="22.5" customHeight="1">
      <c r="A130" s="5" t="s">
        <v>834</v>
      </c>
      <c r="B130" s="5" t="s">
        <v>542</v>
      </c>
      <c r="C130" s="5" t="s">
        <v>713</v>
      </c>
      <c r="D130" s="6">
        <v>62.0</v>
      </c>
      <c r="E130" s="6" t="s">
        <v>734</v>
      </c>
      <c r="F130" s="5" t="s">
        <v>152</v>
      </c>
      <c r="G130" s="5" t="s">
        <v>268</v>
      </c>
      <c r="H130" s="5" t="s">
        <v>439</v>
      </c>
      <c r="I130" s="5" t="s">
        <v>210</v>
      </c>
      <c r="J130" s="5" t="s">
        <v>97</v>
      </c>
      <c r="K130" s="5">
        <v>504.0</v>
      </c>
    </row>
    <row r="131" ht="22.5" customHeight="1">
      <c r="A131" s="5" t="s">
        <v>837</v>
      </c>
      <c r="B131" s="5" t="s">
        <v>1186</v>
      </c>
      <c r="C131" s="5" t="s">
        <v>76</v>
      </c>
      <c r="D131" s="6"/>
      <c r="E131" s="6" t="s">
        <v>1081</v>
      </c>
      <c r="F131" s="5" t="s">
        <v>152</v>
      </c>
      <c r="G131" s="5" t="s">
        <v>30</v>
      </c>
      <c r="H131" s="5" t="s">
        <v>470</v>
      </c>
      <c r="I131" s="5" t="s">
        <v>96</v>
      </c>
      <c r="J131" s="5" t="s">
        <v>97</v>
      </c>
      <c r="K131" s="5">
        <v>161.0</v>
      </c>
    </row>
    <row r="132" ht="22.5" customHeight="1">
      <c r="A132" s="5" t="s">
        <v>841</v>
      </c>
      <c r="B132" s="5" t="s">
        <v>171</v>
      </c>
      <c r="C132" s="5" t="s">
        <v>316</v>
      </c>
      <c r="D132" s="6">
        <v>36.0</v>
      </c>
      <c r="E132" s="6" t="s">
        <v>528</v>
      </c>
      <c r="F132" s="5" t="s">
        <v>152</v>
      </c>
      <c r="G132" s="5" t="s">
        <v>364</v>
      </c>
      <c r="H132" s="5" t="s">
        <v>470</v>
      </c>
      <c r="I132" s="5" t="s">
        <v>179</v>
      </c>
      <c r="J132" s="5" t="s">
        <v>222</v>
      </c>
      <c r="K132" s="5">
        <v>4381.0</v>
      </c>
    </row>
    <row r="133" ht="22.5" customHeight="1">
      <c r="A133" s="5" t="s">
        <v>845</v>
      </c>
      <c r="B133" s="5" t="s">
        <v>158</v>
      </c>
      <c r="C133" s="5" t="s">
        <v>148</v>
      </c>
      <c r="D133" s="8"/>
      <c r="E133" s="8" t="s">
        <v>1081</v>
      </c>
      <c r="F133" s="5" t="s">
        <v>105</v>
      </c>
      <c r="G133" s="5" t="s">
        <v>237</v>
      </c>
      <c r="H133" s="5" t="s">
        <v>482</v>
      </c>
      <c r="I133" s="5" t="s">
        <v>179</v>
      </c>
      <c r="J133" s="5" t="s">
        <v>211</v>
      </c>
      <c r="K133" s="5">
        <v>3979.0</v>
      </c>
    </row>
    <row r="134" ht="22.5" customHeight="1">
      <c r="A134" s="5" t="s">
        <v>849</v>
      </c>
      <c r="B134" s="5" t="s">
        <v>136</v>
      </c>
      <c r="C134" s="5" t="s">
        <v>128</v>
      </c>
      <c r="D134" s="6">
        <v>83.0</v>
      </c>
      <c r="E134" s="6" t="s">
        <v>734</v>
      </c>
      <c r="F134" s="5" t="s">
        <v>105</v>
      </c>
      <c r="G134" s="5" t="s">
        <v>539</v>
      </c>
      <c r="H134" s="5" t="s">
        <v>436</v>
      </c>
      <c r="I134" s="5" t="s">
        <v>561</v>
      </c>
      <c r="J134" s="5" t="s">
        <v>97</v>
      </c>
      <c r="K134" s="5">
        <v>3092.0</v>
      </c>
    </row>
    <row r="135" ht="22.5" customHeight="1">
      <c r="A135" s="5" t="s">
        <v>854</v>
      </c>
      <c r="B135" s="5" t="s">
        <v>764</v>
      </c>
      <c r="C135" s="5" t="s">
        <v>374</v>
      </c>
      <c r="D135" s="6"/>
      <c r="E135" s="6" t="s">
        <v>1081</v>
      </c>
      <c r="F135" s="5" t="s">
        <v>105</v>
      </c>
      <c r="G135" s="5" t="s">
        <v>393</v>
      </c>
      <c r="H135" s="5" t="s">
        <v>916</v>
      </c>
      <c r="I135" s="5" t="s">
        <v>402</v>
      </c>
      <c r="J135" s="5" t="s">
        <v>97</v>
      </c>
      <c r="K135" s="5">
        <v>2079.0</v>
      </c>
    </row>
    <row r="136" ht="22.5" customHeight="1">
      <c r="A136" s="5" t="s">
        <v>857</v>
      </c>
      <c r="B136" s="5" t="s">
        <v>3104</v>
      </c>
      <c r="C136" s="5" t="s">
        <v>352</v>
      </c>
      <c r="D136" s="6">
        <v>49.0</v>
      </c>
      <c r="E136" s="6" t="s">
        <v>591</v>
      </c>
      <c r="F136" s="5" t="s">
        <v>152</v>
      </c>
      <c r="G136" s="5" t="s">
        <v>539</v>
      </c>
      <c r="H136" s="5" t="s">
        <v>377</v>
      </c>
      <c r="I136" s="5" t="s">
        <v>96</v>
      </c>
      <c r="J136" s="5" t="s">
        <v>559</v>
      </c>
      <c r="K136" s="5">
        <v>481.0</v>
      </c>
    </row>
    <row r="137" ht="22.5" customHeight="1">
      <c r="A137" s="5" t="s">
        <v>861</v>
      </c>
      <c r="B137" s="5" t="s">
        <v>411</v>
      </c>
      <c r="C137" s="5" t="s">
        <v>324</v>
      </c>
      <c r="D137" s="6">
        <v>32.0</v>
      </c>
      <c r="E137" s="6" t="s">
        <v>528</v>
      </c>
      <c r="F137" s="5" t="s">
        <v>105</v>
      </c>
      <c r="G137" s="5" t="s">
        <v>393</v>
      </c>
      <c r="H137" s="5" t="s">
        <v>32</v>
      </c>
      <c r="I137" s="5" t="s">
        <v>83</v>
      </c>
      <c r="J137" s="5" t="s">
        <v>52</v>
      </c>
      <c r="K137" s="5">
        <v>2263.0</v>
      </c>
    </row>
    <row r="138" ht="22.5" customHeight="1">
      <c r="A138" s="5" t="s">
        <v>864</v>
      </c>
      <c r="B138" s="5" t="s">
        <v>865</v>
      </c>
      <c r="C138" s="5" t="s">
        <v>244</v>
      </c>
      <c r="D138" s="6">
        <v>25.0</v>
      </c>
      <c r="E138" s="6" t="s">
        <v>528</v>
      </c>
      <c r="F138" s="5" t="s">
        <v>105</v>
      </c>
      <c r="G138" s="5" t="s">
        <v>64</v>
      </c>
      <c r="H138" s="5" t="s">
        <v>238</v>
      </c>
      <c r="I138" s="5" t="s">
        <v>533</v>
      </c>
      <c r="J138" s="5" t="s">
        <v>222</v>
      </c>
      <c r="K138" s="5">
        <v>1108.0</v>
      </c>
    </row>
    <row r="139" ht="22.5" customHeight="1">
      <c r="A139" s="5" t="s">
        <v>871</v>
      </c>
      <c r="B139" s="5" t="s">
        <v>872</v>
      </c>
      <c r="C139" s="5" t="s">
        <v>42</v>
      </c>
      <c r="D139" s="6">
        <v>42.0</v>
      </c>
      <c r="E139" s="6" t="s">
        <v>591</v>
      </c>
      <c r="F139" s="5" t="s">
        <v>152</v>
      </c>
      <c r="G139" s="5" t="s">
        <v>759</v>
      </c>
      <c r="H139" s="5" t="s">
        <v>277</v>
      </c>
      <c r="I139" s="5" t="s">
        <v>402</v>
      </c>
      <c r="J139" s="5" t="s">
        <v>52</v>
      </c>
      <c r="K139" s="5">
        <v>922.0</v>
      </c>
    </row>
    <row r="140" ht="22.5" customHeight="1">
      <c r="A140" s="5" t="s">
        <v>876</v>
      </c>
      <c r="B140" s="5" t="s">
        <v>877</v>
      </c>
      <c r="C140" s="5" t="s">
        <v>316</v>
      </c>
      <c r="D140" s="6">
        <v>59.0</v>
      </c>
      <c r="E140" s="6" t="s">
        <v>591</v>
      </c>
      <c r="F140" s="5" t="s">
        <v>152</v>
      </c>
      <c r="G140" s="5" t="s">
        <v>208</v>
      </c>
      <c r="H140" s="5" t="s">
        <v>123</v>
      </c>
      <c r="I140" s="5" t="s">
        <v>83</v>
      </c>
      <c r="J140" s="5" t="s">
        <v>222</v>
      </c>
      <c r="K140" s="5">
        <v>2110.0</v>
      </c>
    </row>
    <row r="141" ht="22.5" customHeight="1">
      <c r="A141" s="5" t="s">
        <v>881</v>
      </c>
      <c r="B141" s="5" t="s">
        <v>411</v>
      </c>
      <c r="C141" s="5" t="s">
        <v>90</v>
      </c>
      <c r="D141" s="6">
        <v>43.0</v>
      </c>
      <c r="E141" s="6" t="s">
        <v>591</v>
      </c>
      <c r="F141" s="5" t="s">
        <v>105</v>
      </c>
      <c r="G141" s="5" t="s">
        <v>539</v>
      </c>
      <c r="H141" s="5" t="s">
        <v>311</v>
      </c>
      <c r="I141" s="5" t="s">
        <v>546</v>
      </c>
      <c r="J141" s="5" t="s">
        <v>52</v>
      </c>
      <c r="K141" s="5">
        <v>3101.0</v>
      </c>
    </row>
    <row r="142" ht="22.5" customHeight="1">
      <c r="A142" s="5" t="s">
        <v>884</v>
      </c>
      <c r="B142" s="5" t="s">
        <v>136</v>
      </c>
      <c r="C142" s="5" t="s">
        <v>90</v>
      </c>
      <c r="D142" s="6">
        <v>33.0</v>
      </c>
      <c r="E142" s="6" t="s">
        <v>528</v>
      </c>
      <c r="F142" s="5" t="s">
        <v>105</v>
      </c>
      <c r="G142" s="5" t="s">
        <v>364</v>
      </c>
      <c r="H142" s="5" t="s">
        <v>470</v>
      </c>
      <c r="I142" s="5" t="s">
        <v>179</v>
      </c>
      <c r="J142" s="5" t="s">
        <v>222</v>
      </c>
      <c r="K142" s="5">
        <v>2483.0</v>
      </c>
    </row>
    <row r="143" ht="22.5" customHeight="1">
      <c r="A143" s="5" t="s">
        <v>889</v>
      </c>
      <c r="B143" s="5" t="s">
        <v>764</v>
      </c>
      <c r="C143" s="5" t="s">
        <v>316</v>
      </c>
      <c r="D143" s="6">
        <v>57.0</v>
      </c>
      <c r="E143" s="6" t="s">
        <v>591</v>
      </c>
      <c r="F143" s="5" t="s">
        <v>105</v>
      </c>
      <c r="G143" s="5" t="s">
        <v>393</v>
      </c>
      <c r="H143" s="5" t="s">
        <v>238</v>
      </c>
      <c r="I143" s="5" t="s">
        <v>533</v>
      </c>
      <c r="J143" s="5" t="s">
        <v>559</v>
      </c>
      <c r="K143" s="5">
        <v>1554.0</v>
      </c>
    </row>
    <row r="144" ht="22.5" customHeight="1">
      <c r="A144" s="5" t="s">
        <v>892</v>
      </c>
      <c r="B144" s="5" t="s">
        <v>536</v>
      </c>
      <c r="C144" s="5" t="s">
        <v>25</v>
      </c>
      <c r="D144" s="6">
        <v>19.0</v>
      </c>
      <c r="E144" s="6" t="s">
        <v>528</v>
      </c>
      <c r="F144" s="5" t="s">
        <v>152</v>
      </c>
      <c r="G144" s="5" t="s">
        <v>309</v>
      </c>
      <c r="H144" s="5" t="s">
        <v>238</v>
      </c>
      <c r="I144" s="5" t="s">
        <v>533</v>
      </c>
      <c r="J144" s="5" t="s">
        <v>52</v>
      </c>
      <c r="K144" s="5">
        <v>982.0</v>
      </c>
    </row>
    <row r="145" ht="22.5" customHeight="1">
      <c r="A145" s="5" t="s">
        <v>897</v>
      </c>
      <c r="B145" s="5" t="s">
        <v>898</v>
      </c>
      <c r="C145" s="5" t="s">
        <v>128</v>
      </c>
      <c r="D145" s="6">
        <v>52.0</v>
      </c>
      <c r="E145" s="6" t="s">
        <v>591</v>
      </c>
      <c r="F145" s="5" t="s">
        <v>105</v>
      </c>
      <c r="G145" s="5" t="s">
        <v>107</v>
      </c>
      <c r="H145" s="5" t="s">
        <v>551</v>
      </c>
      <c r="I145" s="5" t="s">
        <v>83</v>
      </c>
      <c r="J145" s="5" t="s">
        <v>211</v>
      </c>
      <c r="K145" s="5">
        <v>1658.0</v>
      </c>
    </row>
    <row r="146" ht="22.5" customHeight="1">
      <c r="A146" s="5" t="s">
        <v>901</v>
      </c>
      <c r="B146" s="5" t="s">
        <v>902</v>
      </c>
      <c r="C146" s="5" t="s">
        <v>556</v>
      </c>
      <c r="D146" s="6">
        <v>78.0</v>
      </c>
      <c r="E146" s="6" t="s">
        <v>734</v>
      </c>
      <c r="F146" s="5" t="s">
        <v>152</v>
      </c>
      <c r="G146" s="5" t="s">
        <v>107</v>
      </c>
      <c r="H146" s="5" t="s">
        <v>482</v>
      </c>
      <c r="I146" s="5" t="s">
        <v>179</v>
      </c>
      <c r="J146" s="5" t="s">
        <v>97</v>
      </c>
      <c r="K146" s="5">
        <v>3584.0</v>
      </c>
    </row>
    <row r="147" ht="22.5" customHeight="1">
      <c r="A147" s="5" t="s">
        <v>906</v>
      </c>
      <c r="B147" s="5" t="s">
        <v>1656</v>
      </c>
      <c r="C147" s="5" t="s">
        <v>128</v>
      </c>
      <c r="D147" s="6">
        <v>57.0</v>
      </c>
      <c r="E147" s="6" t="s">
        <v>591</v>
      </c>
      <c r="F147" s="5" t="s">
        <v>152</v>
      </c>
      <c r="G147" s="5" t="s">
        <v>30</v>
      </c>
      <c r="H147" s="5" t="s">
        <v>470</v>
      </c>
      <c r="I147" s="5" t="s">
        <v>179</v>
      </c>
      <c r="J147" s="5" t="s">
        <v>52</v>
      </c>
      <c r="K147" s="5">
        <v>4742.0</v>
      </c>
    </row>
    <row r="148" ht="22.5" customHeight="1">
      <c r="A148" s="5" t="s">
        <v>910</v>
      </c>
      <c r="B148" s="5" t="s">
        <v>193</v>
      </c>
      <c r="C148" s="5" t="s">
        <v>216</v>
      </c>
      <c r="D148" s="6">
        <v>51.0</v>
      </c>
      <c r="E148" s="6" t="s">
        <v>591</v>
      </c>
      <c r="F148" s="5" t="s">
        <v>105</v>
      </c>
      <c r="G148" s="5" t="s">
        <v>30</v>
      </c>
      <c r="H148" s="5" t="s">
        <v>418</v>
      </c>
      <c r="I148" s="5" t="s">
        <v>210</v>
      </c>
      <c r="J148" s="5" t="s">
        <v>52</v>
      </c>
      <c r="K148" s="5">
        <v>1012.0</v>
      </c>
    </row>
    <row r="149" ht="22.5" customHeight="1">
      <c r="A149" s="5" t="s">
        <v>915</v>
      </c>
      <c r="B149" s="5" t="s">
        <v>696</v>
      </c>
      <c r="C149" s="5" t="s">
        <v>254</v>
      </c>
      <c r="D149" s="6">
        <v>59.0</v>
      </c>
      <c r="E149" s="6" t="s">
        <v>591</v>
      </c>
      <c r="F149" s="5" t="s">
        <v>152</v>
      </c>
      <c r="G149" s="5" t="s">
        <v>539</v>
      </c>
      <c r="H149" s="5" t="s">
        <v>916</v>
      </c>
      <c r="I149" s="5" t="s">
        <v>402</v>
      </c>
      <c r="J149" s="5" t="s">
        <v>52</v>
      </c>
      <c r="K149" s="5">
        <v>999.0</v>
      </c>
    </row>
    <row r="150" ht="22.5" customHeight="1">
      <c r="A150" s="5" t="s">
        <v>919</v>
      </c>
      <c r="B150" s="5" t="s">
        <v>368</v>
      </c>
      <c r="C150" s="5" t="s">
        <v>128</v>
      </c>
      <c r="D150" s="6">
        <v>59.0</v>
      </c>
      <c r="E150" s="6" t="s">
        <v>591</v>
      </c>
      <c r="F150" s="5" t="s">
        <v>105</v>
      </c>
      <c r="G150" s="5" t="s">
        <v>131</v>
      </c>
      <c r="H150" s="5" t="s">
        <v>238</v>
      </c>
      <c r="I150" s="5" t="s">
        <v>533</v>
      </c>
      <c r="J150" s="5" t="s">
        <v>211</v>
      </c>
      <c r="K150" s="5">
        <v>1755.0</v>
      </c>
    </row>
    <row r="151" ht="22.5" customHeight="1">
      <c r="A151" s="5" t="s">
        <v>922</v>
      </c>
      <c r="B151" s="5" t="s">
        <v>542</v>
      </c>
      <c r="C151" s="5" t="s">
        <v>194</v>
      </c>
      <c r="D151" s="6">
        <v>24.0</v>
      </c>
      <c r="E151" s="6" t="s">
        <v>528</v>
      </c>
      <c r="F151" s="5" t="s">
        <v>152</v>
      </c>
      <c r="G151" s="5" t="s">
        <v>759</v>
      </c>
      <c r="H151" s="5" t="s">
        <v>470</v>
      </c>
      <c r="I151" s="5" t="s">
        <v>96</v>
      </c>
      <c r="J151" s="5" t="s">
        <v>222</v>
      </c>
      <c r="K151" s="5">
        <v>690.0</v>
      </c>
    </row>
    <row r="152" ht="22.5" customHeight="1">
      <c r="A152" s="5" t="s">
        <v>924</v>
      </c>
      <c r="B152" s="5" t="s">
        <v>925</v>
      </c>
      <c r="C152" s="5" t="s">
        <v>301</v>
      </c>
      <c r="D152" s="6">
        <v>60.0</v>
      </c>
      <c r="E152" s="6" t="s">
        <v>591</v>
      </c>
      <c r="F152" s="5" t="s">
        <v>152</v>
      </c>
      <c r="G152" s="5" t="s">
        <v>237</v>
      </c>
      <c r="H152" s="5" t="s">
        <v>358</v>
      </c>
      <c r="I152" s="5" t="s">
        <v>561</v>
      </c>
      <c r="J152" s="5" t="s">
        <v>211</v>
      </c>
      <c r="K152" s="5">
        <v>3293.0</v>
      </c>
    </row>
    <row r="153" ht="22.5" customHeight="1">
      <c r="A153" s="5" t="s">
        <v>928</v>
      </c>
      <c r="B153" s="5" t="s">
        <v>820</v>
      </c>
      <c r="C153" s="5" t="s">
        <v>374</v>
      </c>
      <c r="D153" s="8"/>
      <c r="E153" s="8" t="s">
        <v>1081</v>
      </c>
      <c r="F153" s="5" t="s">
        <v>105</v>
      </c>
      <c r="G153" s="5" t="s">
        <v>47</v>
      </c>
      <c r="H153" s="5" t="s">
        <v>439</v>
      </c>
      <c r="I153" s="5" t="s">
        <v>210</v>
      </c>
      <c r="J153" s="5" t="s">
        <v>222</v>
      </c>
      <c r="K153" s="5">
        <v>262.0</v>
      </c>
    </row>
    <row r="154" ht="22.5" customHeight="1">
      <c r="A154" s="5" t="s">
        <v>931</v>
      </c>
      <c r="B154" s="5" t="s">
        <v>1149</v>
      </c>
      <c r="C154" s="5" t="s">
        <v>629</v>
      </c>
      <c r="D154" s="6">
        <v>46.0</v>
      </c>
      <c r="E154" s="6" t="s">
        <v>591</v>
      </c>
      <c r="F154" s="5" t="s">
        <v>105</v>
      </c>
      <c r="G154" s="5" t="s">
        <v>364</v>
      </c>
      <c r="H154" s="5" t="s">
        <v>482</v>
      </c>
      <c r="I154" s="5" t="s">
        <v>179</v>
      </c>
      <c r="J154" s="5" t="s">
        <v>211</v>
      </c>
      <c r="K154" s="5">
        <v>3906.0</v>
      </c>
    </row>
    <row r="155" ht="22.5" customHeight="1">
      <c r="A155" s="5" t="s">
        <v>934</v>
      </c>
      <c r="B155" s="5" t="s">
        <v>368</v>
      </c>
      <c r="C155" s="5" t="s">
        <v>128</v>
      </c>
      <c r="D155" s="6">
        <v>36.0</v>
      </c>
      <c r="E155" s="6" t="s">
        <v>528</v>
      </c>
      <c r="F155" s="5" t="s">
        <v>105</v>
      </c>
      <c r="G155" s="5" t="s">
        <v>81</v>
      </c>
      <c r="H155" s="5" t="s">
        <v>439</v>
      </c>
      <c r="I155" s="5" t="s">
        <v>210</v>
      </c>
      <c r="J155" s="5" t="s">
        <v>222</v>
      </c>
      <c r="K155" s="5">
        <v>612.0</v>
      </c>
    </row>
    <row r="156" ht="22.5" customHeight="1">
      <c r="A156" s="5" t="s">
        <v>936</v>
      </c>
      <c r="B156" s="5" t="s">
        <v>831</v>
      </c>
      <c r="C156" s="5" t="s">
        <v>713</v>
      </c>
      <c r="D156" s="6">
        <v>59.0</v>
      </c>
      <c r="E156" s="6" t="s">
        <v>591</v>
      </c>
      <c r="F156" s="5" t="s">
        <v>105</v>
      </c>
      <c r="G156" s="5" t="s">
        <v>571</v>
      </c>
      <c r="H156" s="5" t="s">
        <v>439</v>
      </c>
      <c r="I156" s="5" t="s">
        <v>210</v>
      </c>
      <c r="J156" s="5" t="s">
        <v>559</v>
      </c>
      <c r="K156" s="5">
        <v>852.0</v>
      </c>
    </row>
    <row r="157" ht="22.5" customHeight="1">
      <c r="A157" s="5" t="s">
        <v>940</v>
      </c>
      <c r="B157" s="5" t="s">
        <v>3105</v>
      </c>
      <c r="C157" s="5" t="s">
        <v>458</v>
      </c>
      <c r="D157" s="6">
        <v>48.0</v>
      </c>
      <c r="E157" s="6" t="s">
        <v>591</v>
      </c>
      <c r="F157" s="5" t="s">
        <v>105</v>
      </c>
      <c r="G157" s="5" t="s">
        <v>47</v>
      </c>
      <c r="H157" s="5" t="s">
        <v>470</v>
      </c>
      <c r="I157" s="5" t="s">
        <v>179</v>
      </c>
      <c r="J157" s="5" t="s">
        <v>52</v>
      </c>
      <c r="K157" s="5">
        <v>2475.0</v>
      </c>
    </row>
    <row r="158" ht="22.5" customHeight="1">
      <c r="A158" s="5" t="s">
        <v>943</v>
      </c>
      <c r="B158" s="5" t="s">
        <v>307</v>
      </c>
      <c r="C158" s="5" t="s">
        <v>316</v>
      </c>
      <c r="D158" s="6">
        <v>37.0</v>
      </c>
      <c r="E158" s="6" t="s">
        <v>528</v>
      </c>
      <c r="F158" s="5" t="s">
        <v>105</v>
      </c>
      <c r="G158" s="5" t="s">
        <v>393</v>
      </c>
      <c r="H158" s="5" t="s">
        <v>358</v>
      </c>
      <c r="I158" s="5" t="s">
        <v>561</v>
      </c>
      <c r="J158" s="5" t="s">
        <v>559</v>
      </c>
      <c r="K158" s="5">
        <v>2484.0</v>
      </c>
    </row>
    <row r="159" ht="22.5" customHeight="1">
      <c r="A159" s="5" t="s">
        <v>947</v>
      </c>
      <c r="B159" s="5" t="s">
        <v>620</v>
      </c>
      <c r="C159" s="5" t="s">
        <v>216</v>
      </c>
      <c r="D159" s="6">
        <v>25.0</v>
      </c>
      <c r="E159" s="6" t="s">
        <v>528</v>
      </c>
      <c r="F159" s="5" t="s">
        <v>105</v>
      </c>
      <c r="G159" s="5" t="s">
        <v>309</v>
      </c>
      <c r="H159" s="5" t="s">
        <v>470</v>
      </c>
      <c r="I159" s="5" t="s">
        <v>179</v>
      </c>
      <c r="J159" s="5" t="s">
        <v>52</v>
      </c>
      <c r="K159" s="5">
        <v>3885.0</v>
      </c>
    </row>
    <row r="160" ht="22.5" customHeight="1">
      <c r="A160" s="5" t="s">
        <v>950</v>
      </c>
      <c r="B160" s="5" t="s">
        <v>127</v>
      </c>
      <c r="C160" s="5" t="s">
        <v>363</v>
      </c>
      <c r="D160" s="6"/>
      <c r="E160" s="6" t="s">
        <v>1081</v>
      </c>
      <c r="F160" s="5" t="s">
        <v>152</v>
      </c>
      <c r="G160" s="5" t="s">
        <v>47</v>
      </c>
      <c r="H160" s="5" t="s">
        <v>470</v>
      </c>
      <c r="I160" s="5" t="s">
        <v>96</v>
      </c>
      <c r="J160" s="5" t="s">
        <v>97</v>
      </c>
      <c r="K160" s="5">
        <v>662.0</v>
      </c>
    </row>
    <row r="161" ht="22.5" customHeight="1">
      <c r="A161" s="5" t="s">
        <v>954</v>
      </c>
      <c r="B161" s="5" t="s">
        <v>696</v>
      </c>
      <c r="C161" s="5" t="s">
        <v>526</v>
      </c>
      <c r="D161" s="6">
        <v>59.0</v>
      </c>
      <c r="E161" s="6" t="s">
        <v>591</v>
      </c>
      <c r="F161" s="5" t="s">
        <v>152</v>
      </c>
      <c r="G161" s="5" t="s">
        <v>268</v>
      </c>
      <c r="H161" s="5" t="s">
        <v>32</v>
      </c>
      <c r="I161" s="5" t="s">
        <v>83</v>
      </c>
      <c r="J161" s="5" t="s">
        <v>52</v>
      </c>
      <c r="K161" s="5">
        <v>1424.0</v>
      </c>
    </row>
    <row r="162" ht="22.5" customHeight="1">
      <c r="A162" s="5" t="s">
        <v>957</v>
      </c>
      <c r="B162" s="5" t="s">
        <v>147</v>
      </c>
      <c r="C162" s="5" t="s">
        <v>959</v>
      </c>
      <c r="D162" s="6">
        <v>76.0</v>
      </c>
      <c r="E162" s="6" t="s">
        <v>734</v>
      </c>
      <c r="F162" s="5" t="s">
        <v>152</v>
      </c>
      <c r="G162" s="5" t="s">
        <v>376</v>
      </c>
      <c r="H162" s="5" t="s">
        <v>311</v>
      </c>
      <c r="I162" s="5" t="s">
        <v>546</v>
      </c>
      <c r="J162" s="5" t="s">
        <v>97</v>
      </c>
      <c r="K162" s="5">
        <v>1222.0</v>
      </c>
    </row>
    <row r="163" ht="22.5" customHeight="1">
      <c r="A163" s="5" t="s">
        <v>962</v>
      </c>
      <c r="B163" s="5" t="s">
        <v>963</v>
      </c>
      <c r="C163" s="5" t="s">
        <v>90</v>
      </c>
      <c r="D163" s="6">
        <v>41.0</v>
      </c>
      <c r="E163" s="6" t="s">
        <v>591</v>
      </c>
      <c r="F163" s="5" t="s">
        <v>152</v>
      </c>
      <c r="G163" s="5" t="s">
        <v>393</v>
      </c>
      <c r="H163" s="5" t="s">
        <v>470</v>
      </c>
      <c r="I163" s="5" t="s">
        <v>96</v>
      </c>
      <c r="J163" s="5" t="s">
        <v>222</v>
      </c>
      <c r="K163" s="5">
        <v>694.0</v>
      </c>
    </row>
    <row r="164" ht="22.5" customHeight="1">
      <c r="A164" s="5" t="s">
        <v>965</v>
      </c>
      <c r="B164" s="5" t="s">
        <v>171</v>
      </c>
      <c r="C164" s="5" t="s">
        <v>148</v>
      </c>
      <c r="D164" s="6">
        <v>61.0</v>
      </c>
      <c r="E164" s="6" t="s">
        <v>734</v>
      </c>
      <c r="F164" s="5" t="s">
        <v>152</v>
      </c>
      <c r="G164" s="5" t="s">
        <v>47</v>
      </c>
      <c r="H164" s="5" t="s">
        <v>489</v>
      </c>
      <c r="I164" s="5" t="s">
        <v>179</v>
      </c>
      <c r="J164" s="5" t="s">
        <v>97</v>
      </c>
      <c r="K164" s="5">
        <v>3032.0</v>
      </c>
    </row>
    <row r="165" ht="22.5" customHeight="1">
      <c r="A165" s="5" t="s">
        <v>969</v>
      </c>
      <c r="B165" s="5" t="s">
        <v>127</v>
      </c>
      <c r="C165" s="5" t="s">
        <v>713</v>
      </c>
      <c r="D165" s="6">
        <v>76.0</v>
      </c>
      <c r="E165" s="6" t="s">
        <v>734</v>
      </c>
      <c r="F165" s="5" t="s">
        <v>152</v>
      </c>
      <c r="G165" s="5" t="s">
        <v>376</v>
      </c>
      <c r="H165" s="5" t="s">
        <v>230</v>
      </c>
      <c r="I165" s="5" t="s">
        <v>452</v>
      </c>
      <c r="J165" s="5" t="s">
        <v>97</v>
      </c>
      <c r="K165" s="5">
        <v>4999.0</v>
      </c>
    </row>
    <row r="166" ht="22.5" customHeight="1">
      <c r="A166" s="5" t="s">
        <v>975</v>
      </c>
      <c r="B166" s="5" t="s">
        <v>411</v>
      </c>
      <c r="C166" s="5" t="s">
        <v>25</v>
      </c>
      <c r="D166" s="6">
        <v>76.0</v>
      </c>
      <c r="E166" s="6" t="s">
        <v>734</v>
      </c>
      <c r="F166" s="5" t="s">
        <v>105</v>
      </c>
      <c r="G166" s="5" t="s">
        <v>256</v>
      </c>
      <c r="H166" s="5" t="s">
        <v>418</v>
      </c>
      <c r="I166" s="5" t="s">
        <v>210</v>
      </c>
      <c r="J166" s="5" t="s">
        <v>97</v>
      </c>
      <c r="K166" s="5">
        <v>1559.0</v>
      </c>
    </row>
    <row r="167" ht="22.5" customHeight="1">
      <c r="A167" s="5" t="s">
        <v>979</v>
      </c>
      <c r="B167" s="5" t="s">
        <v>307</v>
      </c>
      <c r="C167" s="5" t="s">
        <v>216</v>
      </c>
      <c r="D167" s="6">
        <v>24.0</v>
      </c>
      <c r="E167" s="6" t="s">
        <v>528</v>
      </c>
      <c r="F167" s="5" t="s">
        <v>105</v>
      </c>
      <c r="G167" s="5" t="s">
        <v>64</v>
      </c>
      <c r="H167" s="5" t="s">
        <v>164</v>
      </c>
      <c r="I167" s="5" t="s">
        <v>607</v>
      </c>
      <c r="J167" s="5" t="s">
        <v>559</v>
      </c>
      <c r="K167" s="5">
        <v>2214.0</v>
      </c>
    </row>
    <row r="168" ht="22.5" customHeight="1">
      <c r="A168" s="5" t="s">
        <v>982</v>
      </c>
      <c r="B168" s="5" t="s">
        <v>983</v>
      </c>
      <c r="C168" s="5" t="s">
        <v>264</v>
      </c>
      <c r="D168" s="6">
        <v>77.0</v>
      </c>
      <c r="E168" s="6" t="s">
        <v>734</v>
      </c>
      <c r="F168" s="5" t="s">
        <v>152</v>
      </c>
      <c r="G168" s="5" t="s">
        <v>107</v>
      </c>
      <c r="H168" s="5" t="s">
        <v>637</v>
      </c>
      <c r="I168" s="5" t="s">
        <v>546</v>
      </c>
      <c r="J168" s="5" t="s">
        <v>97</v>
      </c>
      <c r="K168" s="5">
        <v>3104.0</v>
      </c>
    </row>
    <row r="169" ht="22.5" customHeight="1">
      <c r="A169" s="5" t="s">
        <v>986</v>
      </c>
      <c r="B169" s="5" t="s">
        <v>411</v>
      </c>
      <c r="C169" s="5" t="s">
        <v>128</v>
      </c>
      <c r="D169" s="6">
        <v>61.0</v>
      </c>
      <c r="E169" s="6" t="s">
        <v>734</v>
      </c>
      <c r="F169" s="5" t="s">
        <v>105</v>
      </c>
      <c r="G169" s="5" t="s">
        <v>539</v>
      </c>
      <c r="H169" s="5" t="s">
        <v>311</v>
      </c>
      <c r="I169" s="5" t="s">
        <v>546</v>
      </c>
      <c r="J169" s="5" t="s">
        <v>97</v>
      </c>
      <c r="K169" s="5">
        <v>1982.0</v>
      </c>
    </row>
    <row r="170" ht="22.5" customHeight="1">
      <c r="A170" s="5" t="s">
        <v>989</v>
      </c>
      <c r="B170" s="5" t="s">
        <v>127</v>
      </c>
      <c r="C170" s="5" t="s">
        <v>556</v>
      </c>
      <c r="D170" s="6">
        <v>84.0</v>
      </c>
      <c r="E170" s="6" t="s">
        <v>734</v>
      </c>
      <c r="F170" s="5" t="s">
        <v>105</v>
      </c>
      <c r="G170" s="5" t="s">
        <v>237</v>
      </c>
      <c r="H170" s="5" t="s">
        <v>418</v>
      </c>
      <c r="I170" s="5" t="s">
        <v>210</v>
      </c>
      <c r="J170" s="5" t="s">
        <v>97</v>
      </c>
      <c r="K170" s="5">
        <v>1282.0</v>
      </c>
    </row>
    <row r="171" ht="22.5" customHeight="1">
      <c r="A171" s="5" t="s">
        <v>992</v>
      </c>
      <c r="B171" s="5" t="s">
        <v>136</v>
      </c>
      <c r="C171" s="5" t="s">
        <v>352</v>
      </c>
      <c r="D171" s="6">
        <v>49.0</v>
      </c>
      <c r="E171" s="6" t="s">
        <v>591</v>
      </c>
      <c r="F171" s="5" t="s">
        <v>152</v>
      </c>
      <c r="G171" s="5" t="s">
        <v>47</v>
      </c>
      <c r="H171" s="5" t="s">
        <v>238</v>
      </c>
      <c r="I171" s="5" t="s">
        <v>533</v>
      </c>
      <c r="J171" s="5" t="s">
        <v>52</v>
      </c>
      <c r="K171" s="5">
        <v>1725.0</v>
      </c>
    </row>
    <row r="172" ht="22.5" customHeight="1">
      <c r="A172" s="5" t="s">
        <v>995</v>
      </c>
      <c r="B172" s="5" t="s">
        <v>827</v>
      </c>
      <c r="C172" s="5" t="s">
        <v>428</v>
      </c>
      <c r="D172" s="6">
        <v>84.0</v>
      </c>
      <c r="E172" s="6" t="s">
        <v>734</v>
      </c>
      <c r="F172" s="5" t="s">
        <v>152</v>
      </c>
      <c r="G172" s="5" t="s">
        <v>208</v>
      </c>
      <c r="H172" s="5" t="s">
        <v>439</v>
      </c>
      <c r="I172" s="5" t="s">
        <v>210</v>
      </c>
      <c r="J172" s="5" t="s">
        <v>97</v>
      </c>
      <c r="K172" s="5">
        <v>1270.0</v>
      </c>
    </row>
    <row r="173" ht="22.5" customHeight="1">
      <c r="A173" s="5" t="s">
        <v>998</v>
      </c>
      <c r="B173" s="5" t="s">
        <v>2350</v>
      </c>
      <c r="C173" s="5" t="s">
        <v>959</v>
      </c>
      <c r="D173" s="6">
        <v>46.0</v>
      </c>
      <c r="E173" s="6" t="s">
        <v>591</v>
      </c>
      <c r="F173" s="5" t="s">
        <v>152</v>
      </c>
      <c r="G173" s="5" t="s">
        <v>393</v>
      </c>
      <c r="H173" s="5" t="s">
        <v>358</v>
      </c>
      <c r="I173" s="5" t="s">
        <v>561</v>
      </c>
      <c r="J173" s="5" t="s">
        <v>222</v>
      </c>
      <c r="K173" s="5">
        <v>2578.0</v>
      </c>
    </row>
    <row r="174" ht="22.5" customHeight="1">
      <c r="A174" s="5" t="s">
        <v>1002</v>
      </c>
      <c r="B174" s="5" t="s">
        <v>158</v>
      </c>
      <c r="C174" s="5" t="s">
        <v>90</v>
      </c>
      <c r="D174" s="6">
        <v>27.0</v>
      </c>
      <c r="E174" s="6" t="s">
        <v>528</v>
      </c>
      <c r="F174" s="5" t="s">
        <v>105</v>
      </c>
      <c r="G174" s="5" t="s">
        <v>309</v>
      </c>
      <c r="H174" s="5" t="s">
        <v>164</v>
      </c>
      <c r="I174" s="5" t="s">
        <v>96</v>
      </c>
      <c r="J174" s="5" t="s">
        <v>222</v>
      </c>
      <c r="K174" s="5">
        <v>1282.0</v>
      </c>
    </row>
    <row r="175" ht="22.5" customHeight="1">
      <c r="A175" s="5" t="s">
        <v>1003</v>
      </c>
      <c r="B175" s="5" t="s">
        <v>1004</v>
      </c>
      <c r="C175" s="5" t="s">
        <v>324</v>
      </c>
      <c r="D175" s="6">
        <v>53.0</v>
      </c>
      <c r="E175" s="6" t="s">
        <v>591</v>
      </c>
      <c r="F175" s="5" t="s">
        <v>152</v>
      </c>
      <c r="G175" s="5" t="s">
        <v>131</v>
      </c>
      <c r="H175" s="5" t="s">
        <v>576</v>
      </c>
      <c r="I175" s="5" t="s">
        <v>607</v>
      </c>
      <c r="J175" s="5" t="s">
        <v>52</v>
      </c>
      <c r="K175" s="5">
        <v>3892.0</v>
      </c>
    </row>
    <row r="176" ht="22.5" customHeight="1">
      <c r="A176" s="5" t="s">
        <v>1006</v>
      </c>
      <c r="B176" s="5" t="s">
        <v>696</v>
      </c>
      <c r="C176" s="5" t="s">
        <v>172</v>
      </c>
      <c r="D176" s="6">
        <v>86.0</v>
      </c>
      <c r="E176" s="6" t="s">
        <v>734</v>
      </c>
      <c r="F176" s="5" t="s">
        <v>152</v>
      </c>
      <c r="G176" s="5" t="s">
        <v>237</v>
      </c>
      <c r="H176" s="5" t="s">
        <v>123</v>
      </c>
      <c r="I176" s="5" t="s">
        <v>83</v>
      </c>
      <c r="J176" s="5" t="s">
        <v>97</v>
      </c>
      <c r="K176" s="5">
        <v>3287.0</v>
      </c>
    </row>
    <row r="177" ht="22.5" customHeight="1">
      <c r="A177" s="5" t="s">
        <v>1010</v>
      </c>
      <c r="B177" s="5" t="s">
        <v>127</v>
      </c>
      <c r="C177" s="5" t="s">
        <v>76</v>
      </c>
      <c r="D177" s="6">
        <v>86.0</v>
      </c>
      <c r="E177" s="6" t="s">
        <v>734</v>
      </c>
      <c r="F177" s="5" t="s">
        <v>152</v>
      </c>
      <c r="G177" s="5" t="s">
        <v>47</v>
      </c>
      <c r="H177" s="5" t="s">
        <v>123</v>
      </c>
      <c r="I177" s="5" t="s">
        <v>83</v>
      </c>
      <c r="J177" s="5" t="s">
        <v>97</v>
      </c>
      <c r="K177" s="5">
        <v>2223.0</v>
      </c>
    </row>
    <row r="178" ht="22.5" customHeight="1">
      <c r="A178" s="5" t="s">
        <v>1012</v>
      </c>
      <c r="B178" s="5" t="s">
        <v>368</v>
      </c>
      <c r="C178" s="5" t="s">
        <v>469</v>
      </c>
      <c r="D178" s="6">
        <v>28.0</v>
      </c>
      <c r="E178" s="6" t="s">
        <v>528</v>
      </c>
      <c r="F178" s="5" t="s">
        <v>105</v>
      </c>
      <c r="G178" s="5" t="s">
        <v>268</v>
      </c>
      <c r="H178" s="5" t="s">
        <v>358</v>
      </c>
      <c r="I178" s="5" t="s">
        <v>561</v>
      </c>
      <c r="J178" s="5" t="s">
        <v>222</v>
      </c>
      <c r="K178" s="5">
        <v>2595.0</v>
      </c>
    </row>
    <row r="179" ht="22.5" customHeight="1">
      <c r="A179" s="5" t="s">
        <v>1016</v>
      </c>
      <c r="B179" s="5" t="s">
        <v>411</v>
      </c>
      <c r="C179" s="5" t="s">
        <v>159</v>
      </c>
      <c r="D179" s="6">
        <v>78.0</v>
      </c>
      <c r="E179" s="6" t="s">
        <v>734</v>
      </c>
      <c r="F179" s="5" t="s">
        <v>105</v>
      </c>
      <c r="G179" s="5" t="s">
        <v>47</v>
      </c>
      <c r="H179" s="5" t="s">
        <v>238</v>
      </c>
      <c r="I179" s="5" t="s">
        <v>533</v>
      </c>
      <c r="J179" s="5" t="s">
        <v>97</v>
      </c>
      <c r="K179" s="5">
        <v>637.0</v>
      </c>
    </row>
    <row r="180" ht="22.5" customHeight="1">
      <c r="A180" s="5" t="s">
        <v>1019</v>
      </c>
      <c r="B180" s="5" t="s">
        <v>1085</v>
      </c>
      <c r="C180" s="5" t="s">
        <v>264</v>
      </c>
      <c r="D180" s="6"/>
      <c r="E180" s="6" t="s">
        <v>1081</v>
      </c>
      <c r="F180" s="5" t="s">
        <v>152</v>
      </c>
      <c r="G180" s="5" t="s">
        <v>131</v>
      </c>
      <c r="H180" s="5" t="s">
        <v>576</v>
      </c>
      <c r="I180" s="5" t="s">
        <v>607</v>
      </c>
      <c r="J180" s="5" t="s">
        <v>97</v>
      </c>
      <c r="K180" s="5">
        <v>1062.0</v>
      </c>
    </row>
    <row r="181" ht="22.5" customHeight="1">
      <c r="A181" s="5" t="s">
        <v>1023</v>
      </c>
      <c r="B181" s="5" t="s">
        <v>536</v>
      </c>
      <c r="C181" s="5" t="s">
        <v>363</v>
      </c>
      <c r="D181" s="6">
        <v>72.0</v>
      </c>
      <c r="E181" s="6" t="s">
        <v>734</v>
      </c>
      <c r="F181" s="5" t="s">
        <v>152</v>
      </c>
      <c r="G181" s="5" t="s">
        <v>309</v>
      </c>
      <c r="H181" s="5" t="s">
        <v>164</v>
      </c>
      <c r="I181" s="5" t="s">
        <v>607</v>
      </c>
      <c r="J181" s="5" t="s">
        <v>97</v>
      </c>
      <c r="K181" s="5">
        <v>2473.0</v>
      </c>
    </row>
    <row r="182" ht="22.5" customHeight="1">
      <c r="A182" s="5" t="s">
        <v>1029</v>
      </c>
      <c r="B182" s="5" t="s">
        <v>542</v>
      </c>
      <c r="C182" s="5" t="s">
        <v>254</v>
      </c>
      <c r="D182" s="6">
        <v>78.0</v>
      </c>
      <c r="E182" s="6" t="s">
        <v>734</v>
      </c>
      <c r="F182" s="5" t="s">
        <v>152</v>
      </c>
      <c r="G182" s="5" t="s">
        <v>539</v>
      </c>
      <c r="H182" s="5" t="s">
        <v>311</v>
      </c>
      <c r="I182" s="5" t="s">
        <v>546</v>
      </c>
      <c r="J182" s="5" t="s">
        <v>97</v>
      </c>
      <c r="K182" s="5">
        <v>626.0</v>
      </c>
    </row>
    <row r="183" ht="22.5" customHeight="1">
      <c r="A183" s="5" t="s">
        <v>1031</v>
      </c>
      <c r="B183" s="5" t="s">
        <v>983</v>
      </c>
      <c r="C183" s="5" t="s">
        <v>244</v>
      </c>
      <c r="D183" s="6">
        <v>75.0</v>
      </c>
      <c r="E183" s="6" t="s">
        <v>734</v>
      </c>
      <c r="F183" s="5" t="s">
        <v>152</v>
      </c>
      <c r="G183" s="5" t="s">
        <v>401</v>
      </c>
      <c r="H183" s="5" t="s">
        <v>164</v>
      </c>
      <c r="I183" s="5" t="s">
        <v>96</v>
      </c>
      <c r="J183" s="5" t="s">
        <v>97</v>
      </c>
      <c r="K183" s="5">
        <v>286.0</v>
      </c>
    </row>
    <row r="184" ht="22.5" customHeight="1">
      <c r="A184" s="5" t="s">
        <v>1034</v>
      </c>
      <c r="B184" s="5" t="s">
        <v>171</v>
      </c>
      <c r="C184" s="5" t="s">
        <v>1459</v>
      </c>
      <c r="D184" s="6">
        <v>42.0</v>
      </c>
      <c r="E184" s="6" t="s">
        <v>591</v>
      </c>
      <c r="F184" s="5" t="s">
        <v>152</v>
      </c>
      <c r="G184" s="5" t="s">
        <v>30</v>
      </c>
      <c r="H184" s="5" t="s">
        <v>669</v>
      </c>
      <c r="I184" s="5" t="s">
        <v>452</v>
      </c>
      <c r="J184" s="5" t="s">
        <v>222</v>
      </c>
      <c r="K184" s="5">
        <v>2988.0</v>
      </c>
    </row>
    <row r="185" ht="22.5" customHeight="1">
      <c r="A185" s="5" t="s">
        <v>1038</v>
      </c>
      <c r="B185" s="5" t="s">
        <v>1665</v>
      </c>
      <c r="C185" s="5" t="s">
        <v>959</v>
      </c>
      <c r="D185" s="6">
        <v>35.0</v>
      </c>
      <c r="E185" s="6" t="s">
        <v>528</v>
      </c>
      <c r="F185" s="5" t="s">
        <v>152</v>
      </c>
      <c r="G185" s="5" t="s">
        <v>30</v>
      </c>
      <c r="H185" s="5" t="s">
        <v>311</v>
      </c>
      <c r="I185" s="5" t="s">
        <v>96</v>
      </c>
      <c r="J185" s="5" t="s">
        <v>52</v>
      </c>
      <c r="K185" s="5">
        <v>1092.0</v>
      </c>
    </row>
    <row r="186" ht="22.5" customHeight="1">
      <c r="A186" s="5" t="s">
        <v>1043</v>
      </c>
      <c r="B186" s="5" t="s">
        <v>307</v>
      </c>
      <c r="C186" s="5" t="s">
        <v>556</v>
      </c>
      <c r="D186" s="6">
        <v>62.0</v>
      </c>
      <c r="E186" s="6" t="s">
        <v>734</v>
      </c>
      <c r="F186" s="5" t="s">
        <v>105</v>
      </c>
      <c r="G186" s="5" t="s">
        <v>759</v>
      </c>
      <c r="H186" s="5" t="s">
        <v>277</v>
      </c>
      <c r="I186" s="5" t="s">
        <v>402</v>
      </c>
      <c r="J186" s="5" t="s">
        <v>97</v>
      </c>
      <c r="K186" s="5">
        <v>1797.0</v>
      </c>
    </row>
    <row r="187" ht="22.5" customHeight="1">
      <c r="A187" s="5" t="s">
        <v>1047</v>
      </c>
      <c r="B187" s="5" t="s">
        <v>2950</v>
      </c>
      <c r="C187" s="5" t="s">
        <v>428</v>
      </c>
      <c r="D187" s="6">
        <v>80.0</v>
      </c>
      <c r="E187" s="6" t="s">
        <v>734</v>
      </c>
      <c r="F187" s="5" t="s">
        <v>152</v>
      </c>
      <c r="G187" s="5" t="s">
        <v>393</v>
      </c>
      <c r="H187" s="5" t="s">
        <v>436</v>
      </c>
      <c r="I187" s="5" t="s">
        <v>561</v>
      </c>
      <c r="J187" s="5" t="s">
        <v>97</v>
      </c>
      <c r="K187" s="5">
        <v>4383.0</v>
      </c>
    </row>
    <row r="188" ht="22.5" customHeight="1">
      <c r="A188" s="5" t="s">
        <v>1051</v>
      </c>
      <c r="B188" s="5" t="s">
        <v>764</v>
      </c>
      <c r="C188" s="5" t="s">
        <v>469</v>
      </c>
      <c r="D188" s="6">
        <v>76.0</v>
      </c>
      <c r="E188" s="6" t="s">
        <v>734</v>
      </c>
      <c r="F188" s="5" t="s">
        <v>105</v>
      </c>
      <c r="G188" s="5" t="s">
        <v>401</v>
      </c>
      <c r="H188" s="5" t="s">
        <v>311</v>
      </c>
      <c r="I188" s="5" t="s">
        <v>546</v>
      </c>
      <c r="J188" s="5" t="s">
        <v>97</v>
      </c>
      <c r="K188" s="5">
        <v>1589.0</v>
      </c>
    </row>
    <row r="189" ht="22.5" customHeight="1">
      <c r="A189" s="5" t="s">
        <v>1054</v>
      </c>
      <c r="B189" s="5" t="s">
        <v>411</v>
      </c>
      <c r="C189" s="5" t="s">
        <v>959</v>
      </c>
      <c r="D189" s="6">
        <v>77.0</v>
      </c>
      <c r="E189" s="6" t="s">
        <v>734</v>
      </c>
      <c r="F189" s="5" t="s">
        <v>105</v>
      </c>
      <c r="G189" s="5" t="s">
        <v>30</v>
      </c>
      <c r="H189" s="5" t="s">
        <v>482</v>
      </c>
      <c r="I189" s="5" t="s">
        <v>179</v>
      </c>
      <c r="J189" s="5" t="s">
        <v>97</v>
      </c>
      <c r="K189" s="5">
        <v>4742.0</v>
      </c>
    </row>
    <row r="190" ht="22.5" customHeight="1">
      <c r="A190" s="5" t="s">
        <v>1056</v>
      </c>
      <c r="B190" s="5" t="s">
        <v>343</v>
      </c>
      <c r="C190" s="5" t="s">
        <v>629</v>
      </c>
      <c r="D190" s="6">
        <v>86.0</v>
      </c>
      <c r="E190" s="6" t="s">
        <v>734</v>
      </c>
      <c r="F190" s="5" t="s">
        <v>152</v>
      </c>
      <c r="G190" s="5" t="s">
        <v>393</v>
      </c>
      <c r="H190" s="5" t="s">
        <v>418</v>
      </c>
      <c r="I190" s="5" t="s">
        <v>210</v>
      </c>
      <c r="J190" s="5" t="s">
        <v>97</v>
      </c>
      <c r="K190" s="5">
        <v>1043.0</v>
      </c>
    </row>
    <row r="191" ht="22.5" customHeight="1">
      <c r="A191" s="5" t="s">
        <v>1059</v>
      </c>
      <c r="B191" s="5" t="s">
        <v>1004</v>
      </c>
      <c r="C191" s="5" t="s">
        <v>515</v>
      </c>
      <c r="D191" s="6">
        <v>34.0</v>
      </c>
      <c r="E191" s="6" t="s">
        <v>528</v>
      </c>
      <c r="F191" s="5" t="s">
        <v>152</v>
      </c>
      <c r="G191" s="5" t="s">
        <v>309</v>
      </c>
      <c r="H191" s="5" t="s">
        <v>418</v>
      </c>
      <c r="I191" s="5" t="s">
        <v>210</v>
      </c>
      <c r="J191" s="5" t="s">
        <v>222</v>
      </c>
      <c r="K191" s="5">
        <v>283.0</v>
      </c>
    </row>
    <row r="192" ht="22.5" customHeight="1">
      <c r="A192" s="5" t="s">
        <v>1063</v>
      </c>
      <c r="B192" s="5" t="s">
        <v>2589</v>
      </c>
      <c r="C192" s="5" t="s">
        <v>128</v>
      </c>
      <c r="D192" s="6">
        <v>44.0</v>
      </c>
      <c r="E192" s="6" t="s">
        <v>591</v>
      </c>
      <c r="F192" s="5" t="s">
        <v>105</v>
      </c>
      <c r="G192" s="5" t="s">
        <v>393</v>
      </c>
      <c r="H192" s="5" t="s">
        <v>669</v>
      </c>
      <c r="I192" s="5" t="s">
        <v>452</v>
      </c>
      <c r="J192" s="5" t="s">
        <v>222</v>
      </c>
      <c r="K192" s="5">
        <v>4922.0</v>
      </c>
    </row>
    <row r="193" ht="22.5" customHeight="1">
      <c r="A193" s="5" t="s">
        <v>1066</v>
      </c>
      <c r="B193" s="5" t="s">
        <v>158</v>
      </c>
      <c r="C193" s="5" t="s">
        <v>828</v>
      </c>
      <c r="D193" s="6">
        <v>19.0</v>
      </c>
      <c r="E193" s="6" t="s">
        <v>528</v>
      </c>
      <c r="F193" s="5" t="s">
        <v>105</v>
      </c>
      <c r="G193" s="5" t="s">
        <v>81</v>
      </c>
      <c r="H193" s="5" t="s">
        <v>164</v>
      </c>
      <c r="I193" s="5" t="s">
        <v>96</v>
      </c>
      <c r="J193" s="5" t="s">
        <v>211</v>
      </c>
      <c r="K193" s="5">
        <v>69.0</v>
      </c>
    </row>
    <row r="194" ht="22.5" customHeight="1">
      <c r="A194" s="5" t="s">
        <v>1068</v>
      </c>
      <c r="B194" s="5" t="s">
        <v>1069</v>
      </c>
      <c r="C194" s="5" t="s">
        <v>1322</v>
      </c>
      <c r="D194" s="6">
        <v>79.0</v>
      </c>
      <c r="E194" s="6" t="s">
        <v>734</v>
      </c>
      <c r="F194" s="5" t="s">
        <v>152</v>
      </c>
      <c r="G194" s="5" t="s">
        <v>176</v>
      </c>
      <c r="H194" s="5" t="s">
        <v>637</v>
      </c>
      <c r="I194" s="5" t="s">
        <v>546</v>
      </c>
      <c r="J194" s="5" t="s">
        <v>97</v>
      </c>
      <c r="K194" s="5">
        <v>3042.0</v>
      </c>
    </row>
    <row r="195" ht="22.5" customHeight="1">
      <c r="A195" s="5" t="s">
        <v>1072</v>
      </c>
      <c r="B195" s="5" t="s">
        <v>3106</v>
      </c>
      <c r="C195" s="5" t="s">
        <v>254</v>
      </c>
      <c r="D195" s="6">
        <v>41.0</v>
      </c>
      <c r="E195" s="6" t="s">
        <v>591</v>
      </c>
      <c r="F195" s="5" t="s">
        <v>152</v>
      </c>
      <c r="G195" s="5" t="s">
        <v>237</v>
      </c>
      <c r="H195" s="5" t="s">
        <v>358</v>
      </c>
      <c r="I195" s="5" t="s">
        <v>561</v>
      </c>
      <c r="J195" s="5" t="s">
        <v>211</v>
      </c>
      <c r="K195" s="5">
        <v>3296.0</v>
      </c>
    </row>
    <row r="196" ht="22.5" customHeight="1">
      <c r="A196" s="5" t="s">
        <v>1076</v>
      </c>
      <c r="B196" s="5" t="s">
        <v>1665</v>
      </c>
      <c r="C196" s="5" t="s">
        <v>1459</v>
      </c>
      <c r="D196" s="6">
        <v>87.0</v>
      </c>
      <c r="E196" s="6" t="s">
        <v>734</v>
      </c>
      <c r="F196" s="5" t="s">
        <v>152</v>
      </c>
      <c r="G196" s="5" t="s">
        <v>393</v>
      </c>
      <c r="H196" s="5" t="s">
        <v>123</v>
      </c>
      <c r="I196" s="5" t="s">
        <v>83</v>
      </c>
      <c r="J196" s="5" t="s">
        <v>97</v>
      </c>
      <c r="K196" s="5">
        <v>2222.0</v>
      </c>
    </row>
    <row r="197" ht="22.5" customHeight="1">
      <c r="A197" s="5" t="s">
        <v>1080</v>
      </c>
      <c r="B197" s="5" t="s">
        <v>368</v>
      </c>
      <c r="C197" s="5" t="s">
        <v>101</v>
      </c>
      <c r="D197" s="6">
        <v>47.0</v>
      </c>
      <c r="E197" s="6" t="s">
        <v>591</v>
      </c>
      <c r="F197" s="5" t="s">
        <v>105</v>
      </c>
      <c r="G197" s="5" t="s">
        <v>47</v>
      </c>
      <c r="H197" s="5" t="s">
        <v>482</v>
      </c>
      <c r="I197" s="5" t="s">
        <v>179</v>
      </c>
      <c r="J197" s="5" t="s">
        <v>222</v>
      </c>
      <c r="K197" s="5">
        <v>2726.0</v>
      </c>
    </row>
    <row r="198" ht="22.5" customHeight="1">
      <c r="A198" s="5" t="s">
        <v>1084</v>
      </c>
      <c r="B198" s="5" t="s">
        <v>1085</v>
      </c>
      <c r="C198" s="5" t="s">
        <v>216</v>
      </c>
      <c r="D198" s="6">
        <v>47.0</v>
      </c>
      <c r="E198" s="6" t="s">
        <v>591</v>
      </c>
      <c r="F198" s="5" t="s">
        <v>152</v>
      </c>
      <c r="G198" s="5" t="s">
        <v>64</v>
      </c>
      <c r="H198" s="5" t="s">
        <v>277</v>
      </c>
      <c r="I198" s="5" t="s">
        <v>402</v>
      </c>
      <c r="J198" s="5" t="s">
        <v>52</v>
      </c>
      <c r="K198" s="5">
        <v>2360.0</v>
      </c>
    </row>
    <row r="199" ht="22.5" customHeight="1">
      <c r="A199" s="5" t="s">
        <v>1087</v>
      </c>
      <c r="B199" s="5" t="s">
        <v>536</v>
      </c>
      <c r="C199" s="5" t="s">
        <v>324</v>
      </c>
      <c r="D199" s="6">
        <v>28.0</v>
      </c>
      <c r="E199" s="6" t="s">
        <v>528</v>
      </c>
      <c r="F199" s="5" t="s">
        <v>152</v>
      </c>
      <c r="G199" s="5" t="s">
        <v>47</v>
      </c>
      <c r="H199" s="5" t="s">
        <v>311</v>
      </c>
      <c r="I199" s="5" t="s">
        <v>96</v>
      </c>
      <c r="J199" s="5" t="s">
        <v>52</v>
      </c>
      <c r="K199" s="5">
        <v>545.0</v>
      </c>
    </row>
    <row r="200" ht="22.5" customHeight="1">
      <c r="A200" s="5" t="s">
        <v>1090</v>
      </c>
      <c r="B200" s="5" t="s">
        <v>1092</v>
      </c>
      <c r="C200" s="5" t="s">
        <v>264</v>
      </c>
      <c r="D200" s="6">
        <v>24.0</v>
      </c>
      <c r="E200" s="6" t="s">
        <v>528</v>
      </c>
      <c r="F200" s="5" t="s">
        <v>152</v>
      </c>
      <c r="G200" s="5" t="s">
        <v>364</v>
      </c>
      <c r="H200" s="5" t="s">
        <v>637</v>
      </c>
      <c r="I200" s="5" t="s">
        <v>546</v>
      </c>
      <c r="J200" s="5" t="s">
        <v>222</v>
      </c>
      <c r="K200" s="5">
        <v>2617.0</v>
      </c>
    </row>
    <row r="201" ht="22.5" customHeight="1">
      <c r="A201" s="5" t="s">
        <v>1095</v>
      </c>
      <c r="B201" s="5" t="s">
        <v>983</v>
      </c>
      <c r="C201" s="5" t="s">
        <v>148</v>
      </c>
      <c r="D201" s="6"/>
      <c r="E201" s="6" t="s">
        <v>1081</v>
      </c>
      <c r="F201" s="5" t="s">
        <v>152</v>
      </c>
      <c r="G201" s="5" t="s">
        <v>309</v>
      </c>
      <c r="H201" s="5" t="s">
        <v>1290</v>
      </c>
      <c r="I201" s="5" t="s">
        <v>533</v>
      </c>
      <c r="J201" s="5" t="s">
        <v>97</v>
      </c>
      <c r="K201" s="5">
        <v>2243.0</v>
      </c>
    </row>
    <row r="202" ht="22.5" customHeight="1">
      <c r="A202" s="5" t="s">
        <v>1099</v>
      </c>
      <c r="B202" s="5" t="s">
        <v>171</v>
      </c>
      <c r="C202" s="5" t="s">
        <v>363</v>
      </c>
      <c r="D202" s="6">
        <v>57.0</v>
      </c>
      <c r="E202" s="6" t="s">
        <v>591</v>
      </c>
      <c r="F202" s="5" t="s">
        <v>105</v>
      </c>
      <c r="G202" s="5" t="s">
        <v>364</v>
      </c>
      <c r="H202" s="5" t="s">
        <v>669</v>
      </c>
      <c r="I202" s="5" t="s">
        <v>452</v>
      </c>
      <c r="J202" s="5" t="s">
        <v>52</v>
      </c>
      <c r="K202" s="5">
        <v>2446.0</v>
      </c>
    </row>
    <row r="203" ht="22.5" customHeight="1">
      <c r="A203" s="5" t="s">
        <v>1102</v>
      </c>
      <c r="B203" s="5" t="s">
        <v>877</v>
      </c>
      <c r="C203" s="5" t="s">
        <v>629</v>
      </c>
      <c r="D203" s="6">
        <v>41.0</v>
      </c>
      <c r="E203" s="6" t="s">
        <v>591</v>
      </c>
      <c r="F203" s="5" t="s">
        <v>152</v>
      </c>
      <c r="G203" s="5" t="s">
        <v>208</v>
      </c>
      <c r="H203" s="5" t="s">
        <v>439</v>
      </c>
      <c r="I203" s="5" t="s">
        <v>210</v>
      </c>
      <c r="J203" s="5" t="s">
        <v>559</v>
      </c>
      <c r="K203" s="5">
        <v>757.0</v>
      </c>
    </row>
    <row r="204" ht="22.5" customHeight="1">
      <c r="A204" s="5" t="s">
        <v>1104</v>
      </c>
      <c r="B204" s="5" t="s">
        <v>696</v>
      </c>
      <c r="C204" s="5" t="s">
        <v>1252</v>
      </c>
      <c r="D204" s="6">
        <v>49.0</v>
      </c>
      <c r="E204" s="6" t="s">
        <v>591</v>
      </c>
      <c r="F204" s="5" t="s">
        <v>152</v>
      </c>
      <c r="G204" s="5" t="s">
        <v>208</v>
      </c>
      <c r="H204" s="5" t="s">
        <v>489</v>
      </c>
      <c r="I204" s="5" t="s">
        <v>179</v>
      </c>
      <c r="J204" s="5" t="s">
        <v>52</v>
      </c>
      <c r="K204" s="5">
        <v>2586.0</v>
      </c>
    </row>
    <row r="205" ht="22.5" customHeight="1">
      <c r="A205" s="5" t="s">
        <v>1108</v>
      </c>
      <c r="B205" s="5" t="s">
        <v>1525</v>
      </c>
      <c r="C205" s="5" t="s">
        <v>76</v>
      </c>
      <c r="D205" s="6">
        <v>28.0</v>
      </c>
      <c r="E205" s="6" t="s">
        <v>528</v>
      </c>
      <c r="F205" s="5" t="s">
        <v>152</v>
      </c>
      <c r="G205" s="5" t="s">
        <v>176</v>
      </c>
      <c r="H205" s="5" t="s">
        <v>470</v>
      </c>
      <c r="I205" s="5" t="s">
        <v>179</v>
      </c>
      <c r="J205" s="5" t="s">
        <v>222</v>
      </c>
      <c r="K205" s="5">
        <v>3558.0</v>
      </c>
    </row>
    <row r="206" ht="22.5" customHeight="1">
      <c r="A206" s="5" t="s">
        <v>1111</v>
      </c>
      <c r="B206" s="5" t="s">
        <v>171</v>
      </c>
      <c r="C206" s="5" t="s">
        <v>806</v>
      </c>
      <c r="D206" s="6"/>
      <c r="E206" s="6" t="s">
        <v>1081</v>
      </c>
      <c r="F206" s="5" t="s">
        <v>152</v>
      </c>
      <c r="G206" s="5" t="s">
        <v>364</v>
      </c>
      <c r="H206" s="5" t="s">
        <v>551</v>
      </c>
      <c r="I206" s="5" t="s">
        <v>96</v>
      </c>
      <c r="J206" s="5" t="s">
        <v>97</v>
      </c>
      <c r="K206" s="5">
        <v>712.0</v>
      </c>
    </row>
    <row r="207" ht="22.5" customHeight="1">
      <c r="A207" s="5" t="s">
        <v>1114</v>
      </c>
      <c r="B207" s="5" t="s">
        <v>3107</v>
      </c>
      <c r="C207" s="5" t="s">
        <v>194</v>
      </c>
      <c r="D207" s="6">
        <v>61.0</v>
      </c>
      <c r="E207" s="6" t="s">
        <v>734</v>
      </c>
      <c r="F207" s="5" t="s">
        <v>105</v>
      </c>
      <c r="G207" s="5" t="s">
        <v>141</v>
      </c>
      <c r="H207" s="5" t="s">
        <v>1290</v>
      </c>
      <c r="I207" s="5" t="s">
        <v>533</v>
      </c>
      <c r="J207" s="5" t="s">
        <v>97</v>
      </c>
      <c r="K207" s="5">
        <v>500.0</v>
      </c>
    </row>
    <row r="208" ht="22.5" customHeight="1">
      <c r="A208" s="5" t="s">
        <v>1118</v>
      </c>
      <c r="B208" s="5" t="s">
        <v>343</v>
      </c>
      <c r="C208" s="5" t="s">
        <v>90</v>
      </c>
      <c r="D208" s="6">
        <v>49.0</v>
      </c>
      <c r="E208" s="6" t="s">
        <v>591</v>
      </c>
      <c r="F208" s="5" t="s">
        <v>152</v>
      </c>
      <c r="G208" s="5" t="s">
        <v>237</v>
      </c>
      <c r="H208" s="5" t="s">
        <v>551</v>
      </c>
      <c r="I208" s="5" t="s">
        <v>96</v>
      </c>
      <c r="J208" s="5" t="s">
        <v>211</v>
      </c>
      <c r="K208" s="5">
        <v>641.0</v>
      </c>
    </row>
    <row r="209" ht="22.5" customHeight="1">
      <c r="A209" s="5" t="s">
        <v>1121</v>
      </c>
      <c r="B209" s="5" t="s">
        <v>158</v>
      </c>
      <c r="C209" s="5" t="s">
        <v>128</v>
      </c>
      <c r="D209" s="6">
        <v>51.0</v>
      </c>
      <c r="E209" s="6" t="s">
        <v>591</v>
      </c>
      <c r="F209" s="5" t="s">
        <v>105</v>
      </c>
      <c r="G209" s="5" t="s">
        <v>30</v>
      </c>
      <c r="H209" s="5" t="s">
        <v>551</v>
      </c>
      <c r="I209" s="5" t="s">
        <v>83</v>
      </c>
      <c r="J209" s="5" t="s">
        <v>52</v>
      </c>
      <c r="K209" s="5">
        <v>2397.0</v>
      </c>
    </row>
    <row r="210" ht="22.5" customHeight="1">
      <c r="A210" s="5" t="s">
        <v>1123</v>
      </c>
      <c r="B210" s="5" t="s">
        <v>624</v>
      </c>
      <c r="C210" s="5" t="s">
        <v>806</v>
      </c>
      <c r="D210" s="6">
        <v>51.0</v>
      </c>
      <c r="E210" s="6" t="s">
        <v>591</v>
      </c>
      <c r="F210" s="5" t="s">
        <v>105</v>
      </c>
      <c r="G210" s="5" t="s">
        <v>30</v>
      </c>
      <c r="H210" s="5" t="s">
        <v>551</v>
      </c>
      <c r="I210" s="5" t="s">
        <v>96</v>
      </c>
      <c r="J210" s="5" t="s">
        <v>559</v>
      </c>
      <c r="K210" s="5">
        <v>173.0</v>
      </c>
    </row>
    <row r="211" ht="22.5" customHeight="1">
      <c r="A211" s="5" t="s">
        <v>1127</v>
      </c>
      <c r="B211" s="5" t="s">
        <v>831</v>
      </c>
      <c r="C211" s="5" t="s">
        <v>713</v>
      </c>
      <c r="D211" s="6">
        <v>63.0</v>
      </c>
      <c r="E211" s="6" t="s">
        <v>734</v>
      </c>
      <c r="F211" s="5" t="s">
        <v>105</v>
      </c>
      <c r="G211" s="5" t="s">
        <v>401</v>
      </c>
      <c r="H211" s="5" t="s">
        <v>489</v>
      </c>
      <c r="I211" s="5" t="s">
        <v>179</v>
      </c>
      <c r="J211" s="5" t="s">
        <v>97</v>
      </c>
      <c r="K211" s="5">
        <v>4999.0</v>
      </c>
    </row>
    <row r="212" ht="22.5" customHeight="1">
      <c r="A212" s="5" t="s">
        <v>1129</v>
      </c>
      <c r="B212" s="5" t="s">
        <v>136</v>
      </c>
      <c r="C212" s="5" t="s">
        <v>254</v>
      </c>
      <c r="D212" s="6">
        <v>77.0</v>
      </c>
      <c r="E212" s="6" t="s">
        <v>734</v>
      </c>
      <c r="F212" s="5" t="s">
        <v>105</v>
      </c>
      <c r="G212" s="5" t="s">
        <v>393</v>
      </c>
      <c r="H212" s="5" t="s">
        <v>637</v>
      </c>
      <c r="I212" s="5" t="s">
        <v>546</v>
      </c>
      <c r="J212" s="5" t="s">
        <v>97</v>
      </c>
      <c r="K212" s="5">
        <v>2037.0</v>
      </c>
    </row>
    <row r="213" ht="22.5" customHeight="1">
      <c r="A213" s="5" t="s">
        <v>1132</v>
      </c>
      <c r="B213" s="5" t="s">
        <v>136</v>
      </c>
      <c r="C213" s="5" t="s">
        <v>352</v>
      </c>
      <c r="D213" s="6"/>
      <c r="E213" s="6" t="s">
        <v>1081</v>
      </c>
      <c r="F213" s="5" t="s">
        <v>105</v>
      </c>
      <c r="G213" s="5" t="s">
        <v>256</v>
      </c>
      <c r="H213" s="5" t="s">
        <v>377</v>
      </c>
      <c r="I213" s="5" t="s">
        <v>402</v>
      </c>
      <c r="J213" s="5" t="s">
        <v>97</v>
      </c>
      <c r="K213" s="5">
        <v>1309.0</v>
      </c>
    </row>
    <row r="214" ht="22.5" customHeight="1">
      <c r="A214" s="5" t="s">
        <v>1135</v>
      </c>
      <c r="B214" s="5" t="s">
        <v>542</v>
      </c>
      <c r="C214" s="5" t="s">
        <v>526</v>
      </c>
      <c r="D214" s="6">
        <v>39.0</v>
      </c>
      <c r="E214" s="6" t="s">
        <v>528</v>
      </c>
      <c r="F214" s="5" t="s">
        <v>152</v>
      </c>
      <c r="G214" s="5" t="s">
        <v>176</v>
      </c>
      <c r="H214" s="5" t="s">
        <v>164</v>
      </c>
      <c r="I214" s="5" t="s">
        <v>452</v>
      </c>
      <c r="J214" s="5" t="s">
        <v>559</v>
      </c>
      <c r="K214" s="5">
        <v>3873.0</v>
      </c>
    </row>
    <row r="215" ht="22.5" customHeight="1">
      <c r="A215" s="5" t="s">
        <v>1138</v>
      </c>
      <c r="B215" s="5" t="s">
        <v>368</v>
      </c>
      <c r="C215" s="5" t="s">
        <v>128</v>
      </c>
      <c r="D215" s="6">
        <v>47.0</v>
      </c>
      <c r="E215" s="6" t="s">
        <v>591</v>
      </c>
      <c r="F215" s="5" t="s">
        <v>105</v>
      </c>
      <c r="G215" s="5" t="s">
        <v>364</v>
      </c>
      <c r="H215" s="5" t="s">
        <v>311</v>
      </c>
      <c r="I215" s="5" t="s">
        <v>96</v>
      </c>
      <c r="J215" s="5" t="s">
        <v>52</v>
      </c>
      <c r="K215" s="5">
        <v>797.0</v>
      </c>
    </row>
    <row r="216" ht="22.5" customHeight="1">
      <c r="A216" s="5" t="s">
        <v>1142</v>
      </c>
      <c r="B216" s="5" t="s">
        <v>1143</v>
      </c>
      <c r="C216" s="5" t="s">
        <v>76</v>
      </c>
      <c r="D216" s="6">
        <v>37.0</v>
      </c>
      <c r="E216" s="6" t="s">
        <v>528</v>
      </c>
      <c r="F216" s="5" t="s">
        <v>152</v>
      </c>
      <c r="G216" s="5" t="s">
        <v>30</v>
      </c>
      <c r="H216" s="5" t="s">
        <v>164</v>
      </c>
      <c r="I216" s="5" t="s">
        <v>607</v>
      </c>
      <c r="J216" s="5" t="s">
        <v>211</v>
      </c>
      <c r="K216" s="5">
        <v>3125.0</v>
      </c>
    </row>
    <row r="217" ht="22.5" customHeight="1">
      <c r="A217" s="5" t="s">
        <v>1145</v>
      </c>
      <c r="B217" s="5" t="s">
        <v>136</v>
      </c>
      <c r="C217" s="5" t="s">
        <v>90</v>
      </c>
      <c r="D217" s="6">
        <v>43.0</v>
      </c>
      <c r="E217" s="6" t="s">
        <v>591</v>
      </c>
      <c r="F217" s="5" t="s">
        <v>105</v>
      </c>
      <c r="G217" s="5" t="s">
        <v>208</v>
      </c>
      <c r="H217" s="5" t="s">
        <v>311</v>
      </c>
      <c r="I217" s="5" t="s">
        <v>546</v>
      </c>
      <c r="J217" s="5" t="s">
        <v>52</v>
      </c>
      <c r="K217" s="5">
        <v>1340.0</v>
      </c>
    </row>
    <row r="218" ht="22.5" customHeight="1">
      <c r="A218" s="5" t="s">
        <v>1148</v>
      </c>
      <c r="B218" s="5" t="s">
        <v>1149</v>
      </c>
      <c r="C218" s="5" t="s">
        <v>128</v>
      </c>
      <c r="D218" s="6">
        <v>29.0</v>
      </c>
      <c r="E218" s="6" t="s">
        <v>528</v>
      </c>
      <c r="F218" s="5" t="s">
        <v>105</v>
      </c>
      <c r="G218" s="5" t="s">
        <v>237</v>
      </c>
      <c r="H218" s="5" t="s">
        <v>669</v>
      </c>
      <c r="I218" s="5" t="s">
        <v>452</v>
      </c>
      <c r="J218" s="5" t="s">
        <v>222</v>
      </c>
      <c r="K218" s="5">
        <v>2384.0</v>
      </c>
    </row>
    <row r="219" ht="22.5" customHeight="1">
      <c r="A219" s="5" t="s">
        <v>1152</v>
      </c>
      <c r="B219" s="5" t="s">
        <v>620</v>
      </c>
      <c r="C219" s="5" t="s">
        <v>25</v>
      </c>
      <c r="D219" s="6">
        <v>85.0</v>
      </c>
      <c r="E219" s="6" t="s">
        <v>734</v>
      </c>
      <c r="F219" s="5" t="s">
        <v>105</v>
      </c>
      <c r="G219" s="5" t="s">
        <v>539</v>
      </c>
      <c r="H219" s="5" t="s">
        <v>277</v>
      </c>
      <c r="I219" s="5" t="s">
        <v>402</v>
      </c>
      <c r="J219" s="5" t="s">
        <v>97</v>
      </c>
      <c r="K219" s="5">
        <v>1475.0</v>
      </c>
    </row>
    <row r="220" ht="22.5" customHeight="1">
      <c r="A220" s="5" t="s">
        <v>1155</v>
      </c>
      <c r="B220" s="5" t="s">
        <v>411</v>
      </c>
      <c r="C220" s="5" t="s">
        <v>363</v>
      </c>
      <c r="D220" s="6">
        <v>65.0</v>
      </c>
      <c r="E220" s="6" t="s">
        <v>734</v>
      </c>
      <c r="F220" s="5" t="s">
        <v>105</v>
      </c>
      <c r="G220" s="5" t="s">
        <v>30</v>
      </c>
      <c r="H220" s="5" t="s">
        <v>418</v>
      </c>
      <c r="I220" s="5" t="s">
        <v>210</v>
      </c>
      <c r="J220" s="5" t="s">
        <v>97</v>
      </c>
      <c r="K220" s="5">
        <v>1261.0</v>
      </c>
    </row>
    <row r="221" ht="22.5" customHeight="1">
      <c r="A221" s="5" t="s">
        <v>1158</v>
      </c>
      <c r="B221" s="5" t="s">
        <v>1160</v>
      </c>
      <c r="C221" s="5" t="s">
        <v>316</v>
      </c>
      <c r="D221" s="6">
        <v>38.0</v>
      </c>
      <c r="E221" s="6" t="s">
        <v>528</v>
      </c>
      <c r="F221" s="5" t="s">
        <v>152</v>
      </c>
      <c r="G221" s="5" t="s">
        <v>393</v>
      </c>
      <c r="H221" s="5" t="s">
        <v>311</v>
      </c>
      <c r="I221" s="5" t="s">
        <v>546</v>
      </c>
      <c r="J221" s="5" t="s">
        <v>52</v>
      </c>
      <c r="K221" s="5">
        <v>1836.0</v>
      </c>
    </row>
    <row r="222" ht="22.5" customHeight="1">
      <c r="A222" s="5" t="s">
        <v>1163</v>
      </c>
      <c r="B222" s="5" t="s">
        <v>171</v>
      </c>
      <c r="C222" s="5" t="s">
        <v>128</v>
      </c>
      <c r="D222" s="6">
        <v>71.0</v>
      </c>
      <c r="E222" s="6" t="s">
        <v>734</v>
      </c>
      <c r="F222" s="5" t="s">
        <v>152</v>
      </c>
      <c r="G222" s="5" t="s">
        <v>107</v>
      </c>
      <c r="H222" s="5" t="s">
        <v>436</v>
      </c>
      <c r="I222" s="5" t="s">
        <v>561</v>
      </c>
      <c r="J222" s="5" t="s">
        <v>97</v>
      </c>
      <c r="K222" s="5">
        <v>2771.0</v>
      </c>
    </row>
    <row r="223" ht="22.5" customHeight="1">
      <c r="A223" s="5" t="s">
        <v>1165</v>
      </c>
      <c r="B223" s="5" t="s">
        <v>624</v>
      </c>
      <c r="C223" s="5" t="s">
        <v>713</v>
      </c>
      <c r="D223" s="6">
        <v>22.0</v>
      </c>
      <c r="E223" s="6" t="s">
        <v>528</v>
      </c>
      <c r="F223" s="5" t="s">
        <v>105</v>
      </c>
      <c r="G223" s="5" t="s">
        <v>30</v>
      </c>
      <c r="H223" s="5" t="s">
        <v>482</v>
      </c>
      <c r="I223" s="5" t="s">
        <v>179</v>
      </c>
      <c r="J223" s="5" t="s">
        <v>559</v>
      </c>
      <c r="K223" s="5">
        <v>3261.0</v>
      </c>
    </row>
    <row r="224" ht="22.5" customHeight="1">
      <c r="A224" s="5" t="s">
        <v>1169</v>
      </c>
      <c r="B224" s="5" t="s">
        <v>136</v>
      </c>
      <c r="C224" s="5" t="s">
        <v>495</v>
      </c>
      <c r="D224" s="6">
        <v>80.0</v>
      </c>
      <c r="E224" s="6" t="s">
        <v>734</v>
      </c>
      <c r="F224" s="5" t="s">
        <v>105</v>
      </c>
      <c r="G224" s="5" t="s">
        <v>237</v>
      </c>
      <c r="H224" s="5" t="s">
        <v>32</v>
      </c>
      <c r="I224" s="5" t="s">
        <v>83</v>
      </c>
      <c r="J224" s="5" t="s">
        <v>97</v>
      </c>
      <c r="K224" s="5">
        <v>1551.0</v>
      </c>
    </row>
    <row r="225" ht="22.5" customHeight="1">
      <c r="A225" s="5" t="s">
        <v>1173</v>
      </c>
      <c r="B225" s="5" t="s">
        <v>307</v>
      </c>
      <c r="C225" s="5" t="s">
        <v>128</v>
      </c>
      <c r="D225" s="6">
        <v>90.0</v>
      </c>
      <c r="E225" s="6" t="s">
        <v>734</v>
      </c>
      <c r="F225" s="5" t="s">
        <v>105</v>
      </c>
      <c r="G225" s="5" t="s">
        <v>571</v>
      </c>
      <c r="H225" s="5" t="s">
        <v>576</v>
      </c>
      <c r="I225" s="5" t="s">
        <v>607</v>
      </c>
      <c r="J225" s="5" t="s">
        <v>97</v>
      </c>
      <c r="K225" s="5">
        <v>2523.0</v>
      </c>
    </row>
    <row r="226" ht="22.5" customHeight="1">
      <c r="A226" s="5" t="s">
        <v>1175</v>
      </c>
      <c r="B226" s="5" t="s">
        <v>1329</v>
      </c>
      <c r="C226" s="5" t="s">
        <v>254</v>
      </c>
      <c r="D226" s="6">
        <v>86.0</v>
      </c>
      <c r="E226" s="6" t="s">
        <v>734</v>
      </c>
      <c r="F226" s="5" t="s">
        <v>152</v>
      </c>
      <c r="G226" s="5" t="s">
        <v>107</v>
      </c>
      <c r="H226" s="5" t="s">
        <v>470</v>
      </c>
      <c r="I226" s="5" t="s">
        <v>96</v>
      </c>
      <c r="J226" s="5" t="s">
        <v>97</v>
      </c>
      <c r="K226" s="5">
        <v>182.0</v>
      </c>
    </row>
    <row r="227" ht="22.5" customHeight="1">
      <c r="A227" s="5" t="s">
        <v>1179</v>
      </c>
      <c r="B227" s="5" t="s">
        <v>136</v>
      </c>
      <c r="C227" s="5" t="s">
        <v>159</v>
      </c>
      <c r="D227" s="6">
        <v>58.0</v>
      </c>
      <c r="E227" s="6" t="s">
        <v>591</v>
      </c>
      <c r="F227" s="5" t="s">
        <v>105</v>
      </c>
      <c r="G227" s="5" t="s">
        <v>47</v>
      </c>
      <c r="H227" s="5" t="s">
        <v>551</v>
      </c>
      <c r="I227" s="5" t="s">
        <v>96</v>
      </c>
      <c r="J227" s="5" t="s">
        <v>52</v>
      </c>
      <c r="K227" s="5">
        <v>571.0</v>
      </c>
    </row>
    <row r="228" ht="22.5" customHeight="1">
      <c r="A228" s="5" t="s">
        <v>1182</v>
      </c>
      <c r="B228" s="5" t="s">
        <v>865</v>
      </c>
      <c r="C228" s="5" t="s">
        <v>76</v>
      </c>
      <c r="D228" s="6">
        <v>51.0</v>
      </c>
      <c r="E228" s="6" t="s">
        <v>591</v>
      </c>
      <c r="F228" s="5" t="s">
        <v>105</v>
      </c>
      <c r="G228" s="5" t="s">
        <v>64</v>
      </c>
      <c r="H228" s="5" t="s">
        <v>277</v>
      </c>
      <c r="I228" s="5" t="s">
        <v>402</v>
      </c>
      <c r="J228" s="5" t="s">
        <v>52</v>
      </c>
      <c r="K228" s="5">
        <v>2183.0</v>
      </c>
    </row>
    <row r="229" ht="22.5" customHeight="1">
      <c r="A229" s="5" t="s">
        <v>1185</v>
      </c>
      <c r="B229" s="5" t="s">
        <v>1186</v>
      </c>
      <c r="C229" s="5" t="s">
        <v>1187</v>
      </c>
      <c r="D229" s="6">
        <v>90.0</v>
      </c>
      <c r="E229" s="6" t="s">
        <v>734</v>
      </c>
      <c r="F229" s="5" t="s">
        <v>152</v>
      </c>
      <c r="G229" s="5" t="s">
        <v>64</v>
      </c>
      <c r="H229" s="5" t="s">
        <v>1290</v>
      </c>
      <c r="I229" s="5" t="s">
        <v>533</v>
      </c>
      <c r="J229" s="5" t="s">
        <v>97</v>
      </c>
      <c r="K229" s="5">
        <v>1330.0</v>
      </c>
    </row>
    <row r="230" ht="22.5" customHeight="1">
      <c r="A230" s="5" t="s">
        <v>1191</v>
      </c>
      <c r="B230" s="5" t="s">
        <v>158</v>
      </c>
      <c r="C230" s="5" t="s">
        <v>244</v>
      </c>
      <c r="D230" s="6">
        <v>18.0</v>
      </c>
      <c r="E230" s="6" t="s">
        <v>528</v>
      </c>
      <c r="F230" s="5" t="s">
        <v>105</v>
      </c>
      <c r="G230" s="5" t="s">
        <v>64</v>
      </c>
      <c r="H230" s="5" t="s">
        <v>576</v>
      </c>
      <c r="I230" s="5" t="s">
        <v>607</v>
      </c>
      <c r="J230" s="5" t="s">
        <v>52</v>
      </c>
      <c r="K230" s="5">
        <v>1987.0</v>
      </c>
    </row>
    <row r="231" ht="22.5" customHeight="1">
      <c r="A231" s="5" t="s">
        <v>1193</v>
      </c>
      <c r="B231" s="5" t="s">
        <v>171</v>
      </c>
      <c r="C231" s="5" t="s">
        <v>254</v>
      </c>
      <c r="D231" s="6">
        <v>73.0</v>
      </c>
      <c r="E231" s="6" t="s">
        <v>734</v>
      </c>
      <c r="F231" s="5" t="s">
        <v>152</v>
      </c>
      <c r="G231" s="5" t="s">
        <v>47</v>
      </c>
      <c r="H231" s="5" t="s">
        <v>637</v>
      </c>
      <c r="I231" s="5" t="s">
        <v>546</v>
      </c>
      <c r="J231" s="5" t="s">
        <v>97</v>
      </c>
      <c r="K231" s="5">
        <v>2200.0</v>
      </c>
    </row>
    <row r="232" ht="22.5" customHeight="1">
      <c r="A232" s="5" t="s">
        <v>1196</v>
      </c>
      <c r="B232" s="5" t="s">
        <v>1329</v>
      </c>
      <c r="C232" s="5" t="s">
        <v>101</v>
      </c>
      <c r="D232" s="8"/>
      <c r="E232" s="8" t="s">
        <v>1081</v>
      </c>
      <c r="F232" s="5" t="s">
        <v>152</v>
      </c>
      <c r="G232" s="5" t="s">
        <v>393</v>
      </c>
      <c r="H232" s="5" t="s">
        <v>311</v>
      </c>
      <c r="I232" s="5" t="s">
        <v>96</v>
      </c>
      <c r="J232" s="5" t="s">
        <v>559</v>
      </c>
      <c r="K232" s="5">
        <v>739.0</v>
      </c>
    </row>
    <row r="233" ht="22.5" customHeight="1">
      <c r="A233" s="5" t="s">
        <v>1198</v>
      </c>
      <c r="B233" s="5" t="s">
        <v>323</v>
      </c>
      <c r="C233" s="5" t="s">
        <v>959</v>
      </c>
      <c r="D233" s="6">
        <v>55.0</v>
      </c>
      <c r="E233" s="6" t="s">
        <v>591</v>
      </c>
      <c r="F233" s="5" t="s">
        <v>105</v>
      </c>
      <c r="G233" s="5" t="s">
        <v>131</v>
      </c>
      <c r="H233" s="5" t="s">
        <v>230</v>
      </c>
      <c r="I233" s="5" t="s">
        <v>452</v>
      </c>
      <c r="J233" s="5" t="s">
        <v>559</v>
      </c>
      <c r="K233" s="5">
        <v>3106.0</v>
      </c>
    </row>
    <row r="234" ht="22.5" customHeight="1">
      <c r="A234" s="5" t="s">
        <v>1201</v>
      </c>
      <c r="B234" s="5" t="s">
        <v>127</v>
      </c>
      <c r="C234" s="5" t="s">
        <v>172</v>
      </c>
      <c r="D234" s="6">
        <v>35.0</v>
      </c>
      <c r="E234" s="6" t="s">
        <v>528</v>
      </c>
      <c r="F234" s="5" t="s">
        <v>152</v>
      </c>
      <c r="G234" s="5" t="s">
        <v>176</v>
      </c>
      <c r="H234" s="5" t="s">
        <v>277</v>
      </c>
      <c r="I234" s="5" t="s">
        <v>402</v>
      </c>
      <c r="J234" s="5" t="s">
        <v>211</v>
      </c>
      <c r="K234" s="5">
        <v>2361.0</v>
      </c>
    </row>
    <row r="235" ht="22.5" customHeight="1">
      <c r="A235" s="5" t="s">
        <v>1204</v>
      </c>
      <c r="B235" s="5" t="s">
        <v>2589</v>
      </c>
      <c r="C235" s="5" t="s">
        <v>374</v>
      </c>
      <c r="D235" s="6">
        <v>90.0</v>
      </c>
      <c r="E235" s="6" t="s">
        <v>734</v>
      </c>
      <c r="F235" s="5" t="s">
        <v>105</v>
      </c>
      <c r="G235" s="5" t="s">
        <v>131</v>
      </c>
      <c r="H235" s="5" t="s">
        <v>576</v>
      </c>
      <c r="I235" s="5" t="s">
        <v>607</v>
      </c>
      <c r="J235" s="5" t="s">
        <v>97</v>
      </c>
      <c r="K235" s="5">
        <v>2216.0</v>
      </c>
    </row>
    <row r="236" ht="22.5" customHeight="1">
      <c r="A236" s="5" t="s">
        <v>1206</v>
      </c>
      <c r="B236" s="5" t="s">
        <v>1665</v>
      </c>
      <c r="C236" s="5" t="s">
        <v>194</v>
      </c>
      <c r="D236" s="6">
        <v>76.0</v>
      </c>
      <c r="E236" s="6" t="s">
        <v>734</v>
      </c>
      <c r="F236" s="5" t="s">
        <v>152</v>
      </c>
      <c r="G236" s="5" t="s">
        <v>256</v>
      </c>
      <c r="H236" s="5" t="s">
        <v>238</v>
      </c>
      <c r="I236" s="5" t="s">
        <v>533</v>
      </c>
      <c r="J236" s="5" t="s">
        <v>97</v>
      </c>
      <c r="K236" s="5">
        <v>1312.0</v>
      </c>
    </row>
    <row r="237" ht="22.5" customHeight="1">
      <c r="A237" s="5" t="s">
        <v>1210</v>
      </c>
      <c r="B237" s="5" t="s">
        <v>2950</v>
      </c>
      <c r="C237" s="5" t="s">
        <v>713</v>
      </c>
      <c r="D237" s="6">
        <v>26.0</v>
      </c>
      <c r="E237" s="6" t="s">
        <v>528</v>
      </c>
      <c r="F237" s="5" t="s">
        <v>152</v>
      </c>
      <c r="G237" s="5" t="s">
        <v>64</v>
      </c>
      <c r="H237" s="5" t="s">
        <v>164</v>
      </c>
      <c r="I237" s="5" t="s">
        <v>607</v>
      </c>
      <c r="J237" s="5" t="s">
        <v>211</v>
      </c>
      <c r="K237" s="5">
        <v>4184.0</v>
      </c>
    </row>
    <row r="238" ht="22.5" customHeight="1">
      <c r="A238" s="5" t="s">
        <v>1213</v>
      </c>
      <c r="B238" s="5" t="s">
        <v>1004</v>
      </c>
      <c r="C238" s="5" t="s">
        <v>1459</v>
      </c>
      <c r="D238" s="6">
        <v>81.0</v>
      </c>
      <c r="E238" s="6" t="s">
        <v>734</v>
      </c>
      <c r="F238" s="5" t="s">
        <v>152</v>
      </c>
      <c r="G238" s="5" t="s">
        <v>539</v>
      </c>
      <c r="H238" s="5" t="s">
        <v>418</v>
      </c>
      <c r="I238" s="5" t="s">
        <v>210</v>
      </c>
      <c r="J238" s="5" t="s">
        <v>97</v>
      </c>
      <c r="K238" s="5">
        <v>662.0</v>
      </c>
    </row>
    <row r="239" ht="22.5" customHeight="1">
      <c r="A239" s="5" t="s">
        <v>1215</v>
      </c>
      <c r="B239" s="5" t="s">
        <v>898</v>
      </c>
      <c r="C239" s="5" t="s">
        <v>148</v>
      </c>
      <c r="D239" s="6">
        <v>57.0</v>
      </c>
      <c r="E239" s="6" t="s">
        <v>591</v>
      </c>
      <c r="F239" s="5" t="s">
        <v>105</v>
      </c>
      <c r="G239" s="5" t="s">
        <v>393</v>
      </c>
      <c r="H239" s="5" t="s">
        <v>164</v>
      </c>
      <c r="I239" s="5" t="s">
        <v>96</v>
      </c>
      <c r="J239" s="5" t="s">
        <v>222</v>
      </c>
      <c r="K239" s="5">
        <v>1074.0</v>
      </c>
    </row>
    <row r="240" ht="22.5" customHeight="1">
      <c r="A240" s="5" t="s">
        <v>1218</v>
      </c>
      <c r="B240" s="5" t="s">
        <v>343</v>
      </c>
      <c r="C240" s="5" t="s">
        <v>316</v>
      </c>
      <c r="D240" s="8"/>
      <c r="E240" s="8" t="s">
        <v>1081</v>
      </c>
      <c r="F240" s="5" t="s">
        <v>152</v>
      </c>
      <c r="G240" s="5" t="s">
        <v>208</v>
      </c>
      <c r="H240" s="5" t="s">
        <v>551</v>
      </c>
      <c r="I240" s="5" t="s">
        <v>83</v>
      </c>
      <c r="J240" s="5" t="s">
        <v>559</v>
      </c>
      <c r="K240" s="5">
        <v>2729.0</v>
      </c>
    </row>
    <row r="241" ht="22.5" customHeight="1">
      <c r="A241" s="5" t="s">
        <v>1221</v>
      </c>
      <c r="B241" s="5" t="s">
        <v>127</v>
      </c>
      <c r="C241" s="5" t="s">
        <v>254</v>
      </c>
      <c r="D241" s="6">
        <v>28.0</v>
      </c>
      <c r="E241" s="6" t="s">
        <v>528</v>
      </c>
      <c r="F241" s="5" t="s">
        <v>152</v>
      </c>
      <c r="G241" s="5" t="s">
        <v>208</v>
      </c>
      <c r="H241" s="5" t="s">
        <v>164</v>
      </c>
      <c r="I241" s="5" t="s">
        <v>452</v>
      </c>
      <c r="J241" s="5" t="s">
        <v>559</v>
      </c>
      <c r="K241" s="5">
        <v>3228.0</v>
      </c>
    </row>
    <row r="242" ht="22.5" customHeight="1">
      <c r="A242" s="5" t="s">
        <v>1224</v>
      </c>
      <c r="B242" s="5" t="s">
        <v>136</v>
      </c>
      <c r="C242" s="5" t="s">
        <v>713</v>
      </c>
      <c r="D242" s="6">
        <v>47.0</v>
      </c>
      <c r="E242" s="6" t="s">
        <v>591</v>
      </c>
      <c r="F242" s="5" t="s">
        <v>105</v>
      </c>
      <c r="G242" s="5" t="s">
        <v>64</v>
      </c>
      <c r="H242" s="5" t="s">
        <v>1290</v>
      </c>
      <c r="I242" s="5" t="s">
        <v>533</v>
      </c>
      <c r="J242" s="5" t="s">
        <v>211</v>
      </c>
      <c r="K242" s="5">
        <v>1392.0</v>
      </c>
    </row>
    <row r="243" ht="22.5" customHeight="1">
      <c r="A243" s="5" t="s">
        <v>1227</v>
      </c>
      <c r="B243" s="5" t="s">
        <v>158</v>
      </c>
      <c r="C243" s="5" t="s">
        <v>42</v>
      </c>
      <c r="D243" s="6">
        <v>83.0</v>
      </c>
      <c r="E243" s="6" t="s">
        <v>734</v>
      </c>
      <c r="F243" s="5" t="s">
        <v>105</v>
      </c>
      <c r="G243" s="5" t="s">
        <v>393</v>
      </c>
      <c r="H243" s="5" t="s">
        <v>311</v>
      </c>
      <c r="I243" s="5" t="s">
        <v>96</v>
      </c>
      <c r="J243" s="5" t="s">
        <v>97</v>
      </c>
      <c r="K243" s="5">
        <v>370.0</v>
      </c>
    </row>
    <row r="244" ht="22.5" customHeight="1">
      <c r="A244" s="5" t="s">
        <v>1229</v>
      </c>
      <c r="B244" s="5" t="s">
        <v>368</v>
      </c>
      <c r="C244" s="5" t="s">
        <v>284</v>
      </c>
      <c r="D244" s="6">
        <v>63.0</v>
      </c>
      <c r="E244" s="6" t="s">
        <v>734</v>
      </c>
      <c r="F244" s="5" t="s">
        <v>105</v>
      </c>
      <c r="G244" s="5" t="s">
        <v>237</v>
      </c>
      <c r="H244" s="5" t="s">
        <v>439</v>
      </c>
      <c r="I244" s="5" t="s">
        <v>210</v>
      </c>
      <c r="J244" s="5" t="s">
        <v>97</v>
      </c>
      <c r="K244" s="5">
        <v>962.0</v>
      </c>
    </row>
    <row r="245" ht="22.5" customHeight="1">
      <c r="A245" s="5" t="s">
        <v>1230</v>
      </c>
      <c r="B245" s="5" t="s">
        <v>820</v>
      </c>
      <c r="C245" s="5" t="s">
        <v>301</v>
      </c>
      <c r="D245" s="6">
        <v>67.0</v>
      </c>
      <c r="E245" s="6" t="s">
        <v>734</v>
      </c>
      <c r="F245" s="5" t="s">
        <v>105</v>
      </c>
      <c r="G245" s="5" t="s">
        <v>571</v>
      </c>
      <c r="H245" s="5" t="s">
        <v>164</v>
      </c>
      <c r="I245" s="5" t="s">
        <v>607</v>
      </c>
      <c r="J245" s="5" t="s">
        <v>97</v>
      </c>
      <c r="K245" s="5">
        <v>2121.0</v>
      </c>
    </row>
    <row r="246" ht="22.5" customHeight="1">
      <c r="A246" s="5" t="s">
        <v>1234</v>
      </c>
      <c r="B246" s="5" t="s">
        <v>136</v>
      </c>
      <c r="C246" s="5" t="s">
        <v>324</v>
      </c>
      <c r="D246" s="6">
        <v>19.0</v>
      </c>
      <c r="E246" s="6" t="s">
        <v>528</v>
      </c>
      <c r="F246" s="5" t="s">
        <v>105</v>
      </c>
      <c r="G246" s="5" t="s">
        <v>393</v>
      </c>
      <c r="H246" s="5" t="s">
        <v>418</v>
      </c>
      <c r="I246" s="5" t="s">
        <v>210</v>
      </c>
      <c r="J246" s="5" t="s">
        <v>222</v>
      </c>
      <c r="K246" s="5">
        <v>846.0</v>
      </c>
    </row>
    <row r="247" ht="22.5" customHeight="1">
      <c r="A247" s="5" t="s">
        <v>1236</v>
      </c>
      <c r="B247" s="5" t="s">
        <v>1237</v>
      </c>
      <c r="C247" s="5" t="s">
        <v>1459</v>
      </c>
      <c r="D247" s="6">
        <v>28.0</v>
      </c>
      <c r="E247" s="6" t="s">
        <v>528</v>
      </c>
      <c r="F247" s="5" t="s">
        <v>152</v>
      </c>
      <c r="G247" s="5" t="s">
        <v>237</v>
      </c>
      <c r="H247" s="5" t="s">
        <v>436</v>
      </c>
      <c r="I247" s="5" t="s">
        <v>561</v>
      </c>
      <c r="J247" s="5" t="s">
        <v>211</v>
      </c>
      <c r="K247" s="5">
        <v>4009.0</v>
      </c>
    </row>
    <row r="248" ht="22.5" customHeight="1">
      <c r="A248" s="5" t="s">
        <v>1241</v>
      </c>
      <c r="B248" s="5" t="s">
        <v>193</v>
      </c>
      <c r="C248" s="5" t="s">
        <v>1252</v>
      </c>
      <c r="D248" s="6">
        <v>66.0</v>
      </c>
      <c r="E248" s="6" t="s">
        <v>734</v>
      </c>
      <c r="F248" s="5" t="s">
        <v>105</v>
      </c>
      <c r="G248" s="5" t="s">
        <v>237</v>
      </c>
      <c r="H248" s="5" t="s">
        <v>164</v>
      </c>
      <c r="I248" s="5" t="s">
        <v>96</v>
      </c>
      <c r="J248" s="5" t="s">
        <v>97</v>
      </c>
      <c r="K248" s="5">
        <v>600.0</v>
      </c>
    </row>
    <row r="249" ht="22.5" customHeight="1">
      <c r="A249" s="5" t="s">
        <v>1245</v>
      </c>
      <c r="B249" s="5" t="s">
        <v>542</v>
      </c>
      <c r="C249" s="5" t="s">
        <v>556</v>
      </c>
      <c r="D249" s="8"/>
      <c r="E249" s="8" t="s">
        <v>1081</v>
      </c>
      <c r="F249" s="5" t="s">
        <v>152</v>
      </c>
      <c r="G249" s="5" t="s">
        <v>237</v>
      </c>
      <c r="H249" s="5" t="s">
        <v>551</v>
      </c>
      <c r="I249" s="5" t="s">
        <v>96</v>
      </c>
      <c r="J249" s="5" t="s">
        <v>52</v>
      </c>
      <c r="K249" s="5">
        <v>958.0</v>
      </c>
    </row>
    <row r="250" ht="22.5" customHeight="1">
      <c r="A250" s="5" t="s">
        <v>1248</v>
      </c>
      <c r="B250" s="5" t="s">
        <v>542</v>
      </c>
      <c r="C250" s="5" t="s">
        <v>254</v>
      </c>
      <c r="D250" s="6">
        <v>27.0</v>
      </c>
      <c r="E250" s="6" t="s">
        <v>528</v>
      </c>
      <c r="F250" s="5" t="s">
        <v>152</v>
      </c>
      <c r="G250" s="5" t="s">
        <v>268</v>
      </c>
      <c r="H250" s="5" t="s">
        <v>576</v>
      </c>
      <c r="I250" s="5" t="s">
        <v>607</v>
      </c>
      <c r="J250" s="5" t="s">
        <v>52</v>
      </c>
      <c r="K250" s="5">
        <v>3705.0</v>
      </c>
    </row>
    <row r="251" ht="22.5" customHeight="1">
      <c r="A251" s="5" t="s">
        <v>1251</v>
      </c>
      <c r="B251" s="5" t="s">
        <v>299</v>
      </c>
      <c r="C251" s="5" t="s">
        <v>1252</v>
      </c>
      <c r="D251" s="6">
        <v>35.0</v>
      </c>
      <c r="E251" s="6" t="s">
        <v>528</v>
      </c>
      <c r="F251" s="5" t="s">
        <v>152</v>
      </c>
      <c r="G251" s="5" t="s">
        <v>364</v>
      </c>
      <c r="H251" s="5" t="s">
        <v>436</v>
      </c>
      <c r="I251" s="5" t="s">
        <v>561</v>
      </c>
      <c r="J251" s="5" t="s">
        <v>211</v>
      </c>
      <c r="K251" s="5">
        <v>3263.0</v>
      </c>
    </row>
    <row r="252" ht="22.5" customHeight="1">
      <c r="A252" s="5" t="s">
        <v>1255</v>
      </c>
      <c r="B252" s="5" t="s">
        <v>368</v>
      </c>
      <c r="C252" s="5" t="s">
        <v>324</v>
      </c>
      <c r="D252" s="6">
        <v>37.0</v>
      </c>
      <c r="E252" s="6" t="s">
        <v>528</v>
      </c>
      <c r="F252" s="5" t="s">
        <v>105</v>
      </c>
      <c r="G252" s="5" t="s">
        <v>47</v>
      </c>
      <c r="H252" s="5" t="s">
        <v>418</v>
      </c>
      <c r="I252" s="5" t="s">
        <v>210</v>
      </c>
      <c r="J252" s="5" t="s">
        <v>222</v>
      </c>
      <c r="K252" s="5">
        <v>881.0</v>
      </c>
    </row>
    <row r="253" ht="22.5" customHeight="1">
      <c r="A253" s="5" t="s">
        <v>1258</v>
      </c>
      <c r="B253" s="5" t="s">
        <v>2950</v>
      </c>
      <c r="C253" s="5" t="s">
        <v>1187</v>
      </c>
      <c r="D253" s="6">
        <v>80.0</v>
      </c>
      <c r="E253" s="6" t="s">
        <v>734</v>
      </c>
      <c r="F253" s="5" t="s">
        <v>152</v>
      </c>
      <c r="G253" s="5" t="s">
        <v>81</v>
      </c>
      <c r="H253" s="5" t="s">
        <v>551</v>
      </c>
      <c r="I253" s="5" t="s">
        <v>83</v>
      </c>
      <c r="J253" s="5" t="s">
        <v>97</v>
      </c>
      <c r="K253" s="5">
        <v>3177.0</v>
      </c>
    </row>
    <row r="254" ht="22.5" customHeight="1">
      <c r="A254" s="5" t="s">
        <v>1261</v>
      </c>
      <c r="B254" s="5" t="s">
        <v>307</v>
      </c>
      <c r="C254" s="5" t="s">
        <v>1322</v>
      </c>
      <c r="D254" s="6">
        <v>27.0</v>
      </c>
      <c r="E254" s="6" t="s">
        <v>528</v>
      </c>
      <c r="F254" s="5" t="s">
        <v>105</v>
      </c>
      <c r="G254" s="5" t="s">
        <v>107</v>
      </c>
      <c r="H254" s="5" t="s">
        <v>470</v>
      </c>
      <c r="I254" s="5" t="s">
        <v>179</v>
      </c>
      <c r="J254" s="5" t="s">
        <v>222</v>
      </c>
      <c r="K254" s="5">
        <v>4999.0</v>
      </c>
    </row>
    <row r="255" ht="22.5" customHeight="1">
      <c r="A255" s="5" t="s">
        <v>1263</v>
      </c>
      <c r="B255" s="5" t="s">
        <v>368</v>
      </c>
      <c r="C255" s="5" t="s">
        <v>128</v>
      </c>
      <c r="D255" s="6">
        <v>25.0</v>
      </c>
      <c r="E255" s="6" t="s">
        <v>528</v>
      </c>
      <c r="F255" s="5" t="s">
        <v>105</v>
      </c>
      <c r="G255" s="5" t="s">
        <v>256</v>
      </c>
      <c r="H255" s="5" t="s">
        <v>436</v>
      </c>
      <c r="I255" s="5" t="s">
        <v>561</v>
      </c>
      <c r="J255" s="5" t="s">
        <v>211</v>
      </c>
      <c r="K255" s="5">
        <v>3903.0</v>
      </c>
    </row>
    <row r="256" ht="22.5" customHeight="1">
      <c r="A256" s="5" t="s">
        <v>1266</v>
      </c>
      <c r="B256" s="5" t="s">
        <v>983</v>
      </c>
      <c r="C256" s="5" t="s">
        <v>433</v>
      </c>
      <c r="D256" s="6">
        <v>59.0</v>
      </c>
      <c r="E256" s="6" t="s">
        <v>591</v>
      </c>
      <c r="F256" s="5" t="s">
        <v>152</v>
      </c>
      <c r="G256" s="5" t="s">
        <v>107</v>
      </c>
      <c r="H256" s="5" t="s">
        <v>482</v>
      </c>
      <c r="I256" s="5" t="s">
        <v>179</v>
      </c>
      <c r="J256" s="5" t="s">
        <v>222</v>
      </c>
      <c r="K256" s="5">
        <v>4175.0</v>
      </c>
    </row>
    <row r="257" ht="22.5" customHeight="1">
      <c r="A257" s="5" t="s">
        <v>1271</v>
      </c>
      <c r="B257" s="5" t="s">
        <v>158</v>
      </c>
      <c r="C257" s="5" t="s">
        <v>526</v>
      </c>
      <c r="D257" s="6">
        <v>40.0</v>
      </c>
      <c r="E257" s="6" t="s">
        <v>528</v>
      </c>
      <c r="F257" s="5" t="s">
        <v>105</v>
      </c>
      <c r="G257" s="5" t="s">
        <v>393</v>
      </c>
      <c r="H257" s="5" t="s">
        <v>311</v>
      </c>
      <c r="I257" s="5" t="s">
        <v>96</v>
      </c>
      <c r="J257" s="5" t="s">
        <v>211</v>
      </c>
      <c r="K257" s="5">
        <v>628.0</v>
      </c>
    </row>
    <row r="258" ht="22.5" customHeight="1">
      <c r="A258" s="5" t="s">
        <v>1274</v>
      </c>
      <c r="B258" s="5" t="s">
        <v>542</v>
      </c>
      <c r="C258" s="5" t="s">
        <v>284</v>
      </c>
      <c r="D258" s="6">
        <v>59.0</v>
      </c>
      <c r="E258" s="6" t="s">
        <v>591</v>
      </c>
      <c r="F258" s="5" t="s">
        <v>152</v>
      </c>
      <c r="G258" s="5" t="s">
        <v>268</v>
      </c>
      <c r="H258" s="5" t="s">
        <v>439</v>
      </c>
      <c r="I258" s="5" t="s">
        <v>210</v>
      </c>
      <c r="J258" s="5" t="s">
        <v>211</v>
      </c>
      <c r="K258" s="5">
        <v>1400.0</v>
      </c>
    </row>
    <row r="259" ht="22.5" customHeight="1">
      <c r="A259" s="5" t="s">
        <v>1279</v>
      </c>
      <c r="B259" s="5" t="s">
        <v>542</v>
      </c>
      <c r="C259" s="5" t="s">
        <v>216</v>
      </c>
      <c r="D259" s="6">
        <v>47.0</v>
      </c>
      <c r="E259" s="6" t="s">
        <v>591</v>
      </c>
      <c r="F259" s="5" t="s">
        <v>152</v>
      </c>
      <c r="G259" s="5" t="s">
        <v>30</v>
      </c>
      <c r="H259" s="5" t="s">
        <v>576</v>
      </c>
      <c r="I259" s="5" t="s">
        <v>607</v>
      </c>
      <c r="J259" s="5" t="s">
        <v>211</v>
      </c>
      <c r="K259" s="5">
        <v>2537.0</v>
      </c>
    </row>
    <row r="260" ht="22.5" customHeight="1">
      <c r="A260" s="5" t="s">
        <v>1282</v>
      </c>
      <c r="B260" s="5" t="s">
        <v>2950</v>
      </c>
      <c r="C260" s="5" t="s">
        <v>324</v>
      </c>
      <c r="D260" s="6">
        <v>23.0</v>
      </c>
      <c r="E260" s="6" t="s">
        <v>528</v>
      </c>
      <c r="F260" s="5" t="s">
        <v>105</v>
      </c>
      <c r="G260" s="5" t="s">
        <v>393</v>
      </c>
      <c r="H260" s="5" t="s">
        <v>238</v>
      </c>
      <c r="I260" s="5" t="s">
        <v>533</v>
      </c>
      <c r="J260" s="5" t="s">
        <v>52</v>
      </c>
      <c r="K260" s="5">
        <v>1241.0</v>
      </c>
    </row>
    <row r="261" ht="22.5" customHeight="1">
      <c r="A261" s="5" t="s">
        <v>1286</v>
      </c>
      <c r="B261" s="5" t="s">
        <v>983</v>
      </c>
      <c r="C261" s="5" t="s">
        <v>713</v>
      </c>
      <c r="D261" s="6">
        <v>60.0</v>
      </c>
      <c r="E261" s="6" t="s">
        <v>591</v>
      </c>
      <c r="F261" s="5" t="s">
        <v>152</v>
      </c>
      <c r="G261" s="5" t="s">
        <v>107</v>
      </c>
      <c r="H261" s="5" t="s">
        <v>669</v>
      </c>
      <c r="I261" s="5" t="s">
        <v>452</v>
      </c>
      <c r="J261" s="5" t="s">
        <v>211</v>
      </c>
      <c r="K261" s="5">
        <v>2829.0</v>
      </c>
    </row>
    <row r="262" ht="22.5" customHeight="1">
      <c r="A262" s="5" t="s">
        <v>1289</v>
      </c>
      <c r="B262" s="5" t="s">
        <v>1160</v>
      </c>
      <c r="C262" s="5" t="s">
        <v>244</v>
      </c>
      <c r="D262" s="6">
        <v>52.0</v>
      </c>
      <c r="E262" s="6" t="s">
        <v>591</v>
      </c>
      <c r="F262" s="5" t="s">
        <v>152</v>
      </c>
      <c r="G262" s="5" t="s">
        <v>141</v>
      </c>
      <c r="H262" s="5" t="s">
        <v>1290</v>
      </c>
      <c r="I262" s="5" t="s">
        <v>533</v>
      </c>
      <c r="J262" s="5" t="s">
        <v>222</v>
      </c>
      <c r="K262" s="5">
        <v>871.0</v>
      </c>
    </row>
    <row r="263" ht="22.5" customHeight="1">
      <c r="A263" s="5" t="s">
        <v>1293</v>
      </c>
      <c r="B263" s="5" t="s">
        <v>147</v>
      </c>
      <c r="C263" s="5" t="s">
        <v>352</v>
      </c>
      <c r="D263" s="8"/>
      <c r="E263" s="8" t="s">
        <v>1081</v>
      </c>
      <c r="F263" s="5" t="s">
        <v>152</v>
      </c>
      <c r="G263" s="5" t="s">
        <v>47</v>
      </c>
      <c r="H263" s="5" t="s">
        <v>164</v>
      </c>
      <c r="I263" s="5" t="s">
        <v>607</v>
      </c>
      <c r="J263" s="5" t="s">
        <v>222</v>
      </c>
      <c r="K263" s="5">
        <v>1374.0</v>
      </c>
    </row>
    <row r="264" ht="22.5" customHeight="1">
      <c r="A264" s="5" t="s">
        <v>1296</v>
      </c>
      <c r="B264" s="5" t="s">
        <v>171</v>
      </c>
      <c r="C264" s="5" t="s">
        <v>629</v>
      </c>
      <c r="D264" s="6">
        <v>53.0</v>
      </c>
      <c r="E264" s="6" t="s">
        <v>591</v>
      </c>
      <c r="F264" s="5" t="s">
        <v>152</v>
      </c>
      <c r="G264" s="5" t="s">
        <v>237</v>
      </c>
      <c r="H264" s="5" t="s">
        <v>551</v>
      </c>
      <c r="I264" s="5" t="s">
        <v>83</v>
      </c>
      <c r="J264" s="5" t="s">
        <v>559</v>
      </c>
      <c r="K264" s="5">
        <v>2327.0</v>
      </c>
    </row>
    <row r="265" ht="22.5" customHeight="1">
      <c r="A265" s="5" t="s">
        <v>1299</v>
      </c>
      <c r="B265" s="5" t="s">
        <v>820</v>
      </c>
      <c r="C265" s="5" t="s">
        <v>363</v>
      </c>
      <c r="D265" s="6">
        <v>62.0</v>
      </c>
      <c r="E265" s="6" t="s">
        <v>734</v>
      </c>
      <c r="F265" s="5" t="s">
        <v>105</v>
      </c>
      <c r="G265" s="5" t="s">
        <v>364</v>
      </c>
      <c r="H265" s="5" t="s">
        <v>439</v>
      </c>
      <c r="I265" s="5" t="s">
        <v>210</v>
      </c>
      <c r="J265" s="5" t="s">
        <v>97</v>
      </c>
      <c r="K265" s="5">
        <v>1113.0</v>
      </c>
    </row>
    <row r="266" ht="22.5" customHeight="1">
      <c r="A266" s="5" t="s">
        <v>1302</v>
      </c>
      <c r="B266" s="5" t="s">
        <v>1945</v>
      </c>
      <c r="C266" s="5" t="s">
        <v>433</v>
      </c>
      <c r="D266" s="6">
        <v>34.0</v>
      </c>
      <c r="E266" s="6" t="s">
        <v>528</v>
      </c>
      <c r="F266" s="5" t="s">
        <v>105</v>
      </c>
      <c r="G266" s="5" t="s">
        <v>309</v>
      </c>
      <c r="H266" s="5" t="s">
        <v>637</v>
      </c>
      <c r="I266" s="5" t="s">
        <v>546</v>
      </c>
      <c r="J266" s="5" t="s">
        <v>222</v>
      </c>
      <c r="K266" s="5">
        <v>2969.0</v>
      </c>
    </row>
    <row r="267" ht="22.5" customHeight="1">
      <c r="A267" s="5" t="s">
        <v>1305</v>
      </c>
      <c r="B267" s="5" t="s">
        <v>1518</v>
      </c>
      <c r="C267" s="5" t="s">
        <v>128</v>
      </c>
      <c r="D267" s="6">
        <v>53.0</v>
      </c>
      <c r="E267" s="6" t="s">
        <v>591</v>
      </c>
      <c r="F267" s="5" t="s">
        <v>152</v>
      </c>
      <c r="G267" s="5" t="s">
        <v>47</v>
      </c>
      <c r="H267" s="5" t="s">
        <v>164</v>
      </c>
      <c r="I267" s="5" t="s">
        <v>96</v>
      </c>
      <c r="J267" s="5" t="s">
        <v>559</v>
      </c>
      <c r="K267" s="5">
        <v>777.0</v>
      </c>
    </row>
    <row r="268" ht="22.5" customHeight="1">
      <c r="A268" s="5" t="s">
        <v>1309</v>
      </c>
      <c r="B268" s="5" t="s">
        <v>689</v>
      </c>
      <c r="C268" s="5" t="s">
        <v>25</v>
      </c>
      <c r="D268" s="6">
        <v>66.0</v>
      </c>
      <c r="E268" s="6" t="s">
        <v>734</v>
      </c>
      <c r="F268" s="5" t="s">
        <v>152</v>
      </c>
      <c r="G268" s="5" t="s">
        <v>256</v>
      </c>
      <c r="H268" s="5" t="s">
        <v>439</v>
      </c>
      <c r="I268" s="5" t="s">
        <v>210</v>
      </c>
      <c r="J268" s="5" t="s">
        <v>97</v>
      </c>
      <c r="K268" s="5">
        <v>664.0</v>
      </c>
    </row>
    <row r="269" ht="22.5" customHeight="1">
      <c r="A269" s="5" t="s">
        <v>1311</v>
      </c>
      <c r="B269" s="5" t="s">
        <v>171</v>
      </c>
      <c r="C269" s="5" t="s">
        <v>374</v>
      </c>
      <c r="D269" s="6">
        <v>40.0</v>
      </c>
      <c r="E269" s="6" t="s">
        <v>528</v>
      </c>
      <c r="F269" s="5" t="s">
        <v>152</v>
      </c>
      <c r="G269" s="5" t="s">
        <v>364</v>
      </c>
      <c r="H269" s="5" t="s">
        <v>470</v>
      </c>
      <c r="I269" s="5" t="s">
        <v>96</v>
      </c>
      <c r="J269" s="5" t="s">
        <v>222</v>
      </c>
      <c r="K269" s="5">
        <v>640.0</v>
      </c>
    </row>
    <row r="270" ht="22.5" customHeight="1">
      <c r="A270" s="5" t="s">
        <v>1314</v>
      </c>
      <c r="B270" s="5" t="s">
        <v>898</v>
      </c>
      <c r="C270" s="5" t="s">
        <v>128</v>
      </c>
      <c r="D270" s="6"/>
      <c r="E270" s="6" t="s">
        <v>1081</v>
      </c>
      <c r="F270" s="5" t="s">
        <v>105</v>
      </c>
      <c r="G270" s="5" t="s">
        <v>107</v>
      </c>
      <c r="H270" s="5" t="s">
        <v>576</v>
      </c>
      <c r="I270" s="5" t="s">
        <v>607</v>
      </c>
      <c r="J270" s="5" t="s">
        <v>97</v>
      </c>
      <c r="K270" s="5">
        <v>3050.0</v>
      </c>
    </row>
    <row r="271" ht="22.5" customHeight="1">
      <c r="A271" s="5" t="s">
        <v>1317</v>
      </c>
      <c r="B271" s="5" t="s">
        <v>158</v>
      </c>
      <c r="C271" s="5" t="s">
        <v>76</v>
      </c>
      <c r="D271" s="6">
        <v>81.0</v>
      </c>
      <c r="E271" s="6" t="s">
        <v>734</v>
      </c>
      <c r="F271" s="5" t="s">
        <v>105</v>
      </c>
      <c r="G271" s="5" t="s">
        <v>237</v>
      </c>
      <c r="H271" s="5" t="s">
        <v>489</v>
      </c>
      <c r="I271" s="5" t="s">
        <v>179</v>
      </c>
      <c r="J271" s="5" t="s">
        <v>97</v>
      </c>
      <c r="K271" s="5">
        <v>4021.0</v>
      </c>
    </row>
    <row r="272" ht="22.5" customHeight="1">
      <c r="A272" s="5" t="s">
        <v>1321</v>
      </c>
      <c r="B272" s="5" t="s">
        <v>368</v>
      </c>
      <c r="C272" s="5" t="s">
        <v>1322</v>
      </c>
      <c r="D272" s="6">
        <v>34.0</v>
      </c>
      <c r="E272" s="6" t="s">
        <v>528</v>
      </c>
      <c r="F272" s="5" t="s">
        <v>105</v>
      </c>
      <c r="G272" s="5" t="s">
        <v>393</v>
      </c>
      <c r="H272" s="5" t="s">
        <v>551</v>
      </c>
      <c r="I272" s="5" t="s">
        <v>96</v>
      </c>
      <c r="J272" s="5" t="s">
        <v>52</v>
      </c>
      <c r="K272" s="5">
        <v>527.0</v>
      </c>
    </row>
    <row r="273" ht="22.5" customHeight="1">
      <c r="A273" s="5" t="s">
        <v>1324</v>
      </c>
      <c r="B273" s="5" t="s">
        <v>1347</v>
      </c>
      <c r="C273" s="5" t="s">
        <v>324</v>
      </c>
      <c r="D273" s="6">
        <v>88.0</v>
      </c>
      <c r="E273" s="6" t="s">
        <v>734</v>
      </c>
      <c r="F273" s="5" t="s">
        <v>152</v>
      </c>
      <c r="G273" s="5" t="s">
        <v>176</v>
      </c>
      <c r="H273" s="5" t="s">
        <v>311</v>
      </c>
      <c r="I273" s="5" t="s">
        <v>546</v>
      </c>
      <c r="J273" s="5" t="s">
        <v>97</v>
      </c>
      <c r="K273" s="5">
        <v>1758.0</v>
      </c>
    </row>
    <row r="274" ht="22.5" customHeight="1">
      <c r="A274" s="5" t="s">
        <v>1328</v>
      </c>
      <c r="B274" s="5" t="s">
        <v>1329</v>
      </c>
      <c r="C274" s="5" t="s">
        <v>25</v>
      </c>
      <c r="D274" s="8"/>
      <c r="E274" s="8" t="s">
        <v>1081</v>
      </c>
      <c r="F274" s="5" t="s">
        <v>152</v>
      </c>
      <c r="G274" s="5" t="s">
        <v>376</v>
      </c>
      <c r="H274" s="5" t="s">
        <v>311</v>
      </c>
      <c r="I274" s="5" t="s">
        <v>96</v>
      </c>
      <c r="J274" s="5" t="s">
        <v>211</v>
      </c>
      <c r="K274" s="5">
        <v>821.0</v>
      </c>
    </row>
    <row r="275" ht="22.5" customHeight="1">
      <c r="A275" s="5" t="s">
        <v>1332</v>
      </c>
      <c r="B275" s="5" t="s">
        <v>127</v>
      </c>
      <c r="C275" s="5" t="s">
        <v>959</v>
      </c>
      <c r="D275" s="6">
        <v>85.0</v>
      </c>
      <c r="E275" s="6" t="s">
        <v>734</v>
      </c>
      <c r="F275" s="5" t="s">
        <v>152</v>
      </c>
      <c r="G275" s="5" t="s">
        <v>30</v>
      </c>
      <c r="H275" s="5" t="s">
        <v>311</v>
      </c>
      <c r="I275" s="5" t="s">
        <v>546</v>
      </c>
      <c r="J275" s="5" t="s">
        <v>97</v>
      </c>
      <c r="K275" s="5">
        <v>2294.0</v>
      </c>
    </row>
    <row r="276" ht="22.5" customHeight="1">
      <c r="A276" s="5" t="s">
        <v>1336</v>
      </c>
      <c r="B276" s="5" t="s">
        <v>764</v>
      </c>
      <c r="C276" s="5" t="s">
        <v>363</v>
      </c>
      <c r="D276" s="6">
        <v>76.0</v>
      </c>
      <c r="E276" s="6" t="s">
        <v>734</v>
      </c>
      <c r="F276" s="5" t="s">
        <v>152</v>
      </c>
      <c r="G276" s="5" t="s">
        <v>30</v>
      </c>
      <c r="H276" s="5" t="s">
        <v>377</v>
      </c>
      <c r="I276" s="5" t="s">
        <v>96</v>
      </c>
      <c r="J276" s="5" t="s">
        <v>97</v>
      </c>
      <c r="K276" s="5">
        <v>479.0</v>
      </c>
    </row>
    <row r="277" ht="22.5" customHeight="1">
      <c r="A277" s="5" t="s">
        <v>1339</v>
      </c>
      <c r="B277" s="5" t="s">
        <v>542</v>
      </c>
      <c r="C277" s="5" t="s">
        <v>428</v>
      </c>
      <c r="D277" s="6">
        <v>38.0</v>
      </c>
      <c r="E277" s="6" t="s">
        <v>528</v>
      </c>
      <c r="F277" s="5" t="s">
        <v>105</v>
      </c>
      <c r="G277" s="5" t="s">
        <v>571</v>
      </c>
      <c r="H277" s="5" t="s">
        <v>32</v>
      </c>
      <c r="I277" s="5" t="s">
        <v>83</v>
      </c>
      <c r="J277" s="5" t="s">
        <v>52</v>
      </c>
      <c r="K277" s="5">
        <v>2061.0</v>
      </c>
    </row>
    <row r="278" ht="22.5" customHeight="1">
      <c r="A278" s="5" t="s">
        <v>1341</v>
      </c>
      <c r="B278" s="5" t="s">
        <v>831</v>
      </c>
      <c r="C278" s="5" t="s">
        <v>159</v>
      </c>
      <c r="D278" s="6">
        <v>89.0</v>
      </c>
      <c r="E278" s="6" t="s">
        <v>734</v>
      </c>
      <c r="F278" s="5" t="s">
        <v>105</v>
      </c>
      <c r="G278" s="5" t="s">
        <v>256</v>
      </c>
      <c r="H278" s="5" t="s">
        <v>669</v>
      </c>
      <c r="I278" s="5" t="s">
        <v>452</v>
      </c>
      <c r="J278" s="5" t="s">
        <v>97</v>
      </c>
      <c r="K278" s="5">
        <v>2605.0</v>
      </c>
    </row>
    <row r="279" ht="22.5" customHeight="1">
      <c r="A279" s="5" t="s">
        <v>1345</v>
      </c>
      <c r="B279" s="5" t="s">
        <v>1347</v>
      </c>
      <c r="C279" s="5" t="s">
        <v>806</v>
      </c>
      <c r="D279" s="6">
        <v>48.0</v>
      </c>
      <c r="E279" s="6" t="s">
        <v>591</v>
      </c>
      <c r="F279" s="5" t="s">
        <v>152</v>
      </c>
      <c r="G279" s="5" t="s">
        <v>268</v>
      </c>
      <c r="H279" s="5" t="s">
        <v>123</v>
      </c>
      <c r="I279" s="5" t="s">
        <v>83</v>
      </c>
      <c r="J279" s="5" t="s">
        <v>559</v>
      </c>
      <c r="K279" s="5">
        <v>2959.0</v>
      </c>
    </row>
    <row r="280" ht="22.5" customHeight="1">
      <c r="A280" s="5" t="s">
        <v>1350</v>
      </c>
      <c r="B280" s="5" t="s">
        <v>3107</v>
      </c>
      <c r="C280" s="5" t="s">
        <v>128</v>
      </c>
      <c r="D280" s="6">
        <v>42.0</v>
      </c>
      <c r="E280" s="6" t="s">
        <v>591</v>
      </c>
      <c r="F280" s="5" t="s">
        <v>105</v>
      </c>
      <c r="G280" s="5" t="s">
        <v>393</v>
      </c>
      <c r="H280" s="5" t="s">
        <v>470</v>
      </c>
      <c r="I280" s="5" t="s">
        <v>179</v>
      </c>
      <c r="J280" s="5" t="s">
        <v>211</v>
      </c>
      <c r="K280" s="5">
        <v>4342.0</v>
      </c>
    </row>
    <row r="281" ht="22.5" customHeight="1">
      <c r="A281" s="5" t="s">
        <v>1352</v>
      </c>
      <c r="B281" s="5" t="s">
        <v>2589</v>
      </c>
      <c r="C281" s="5" t="s">
        <v>42</v>
      </c>
      <c r="D281" s="6">
        <v>18.0</v>
      </c>
      <c r="E281" s="6" t="s">
        <v>528</v>
      </c>
      <c r="F281" s="5" t="s">
        <v>105</v>
      </c>
      <c r="G281" s="5" t="s">
        <v>30</v>
      </c>
      <c r="H281" s="5" t="s">
        <v>489</v>
      </c>
      <c r="I281" s="5" t="s">
        <v>179</v>
      </c>
      <c r="J281" s="5" t="s">
        <v>559</v>
      </c>
      <c r="K281" s="5">
        <v>4999.0</v>
      </c>
    </row>
    <row r="282" ht="22.5" customHeight="1">
      <c r="A282" s="5" t="s">
        <v>1353</v>
      </c>
      <c r="B282" s="5" t="s">
        <v>127</v>
      </c>
      <c r="C282" s="5" t="s">
        <v>244</v>
      </c>
      <c r="D282" s="6">
        <v>67.0</v>
      </c>
      <c r="E282" s="6" t="s">
        <v>734</v>
      </c>
      <c r="F282" s="5" t="s">
        <v>152</v>
      </c>
      <c r="G282" s="5" t="s">
        <v>47</v>
      </c>
      <c r="H282" s="5" t="s">
        <v>470</v>
      </c>
      <c r="I282" s="5" t="s">
        <v>179</v>
      </c>
      <c r="J282" s="5" t="s">
        <v>97</v>
      </c>
      <c r="K282" s="5">
        <v>4308.0</v>
      </c>
    </row>
    <row r="283" ht="22.5" customHeight="1">
      <c r="A283" s="5" t="s">
        <v>1356</v>
      </c>
      <c r="B283" s="5" t="s">
        <v>307</v>
      </c>
      <c r="C283" s="5" t="s">
        <v>495</v>
      </c>
      <c r="D283" s="6">
        <v>25.0</v>
      </c>
      <c r="E283" s="6" t="s">
        <v>528</v>
      </c>
      <c r="F283" s="5" t="s">
        <v>105</v>
      </c>
      <c r="G283" s="5" t="s">
        <v>237</v>
      </c>
      <c r="H283" s="5" t="s">
        <v>164</v>
      </c>
      <c r="I283" s="5" t="s">
        <v>452</v>
      </c>
      <c r="J283" s="5" t="s">
        <v>211</v>
      </c>
      <c r="K283" s="5">
        <v>4999.0</v>
      </c>
    </row>
    <row r="284" ht="22.5" customHeight="1">
      <c r="A284" s="5" t="s">
        <v>1357</v>
      </c>
      <c r="B284" s="5" t="s">
        <v>136</v>
      </c>
      <c r="C284" s="5" t="s">
        <v>301</v>
      </c>
      <c r="D284" s="6">
        <v>33.0</v>
      </c>
      <c r="E284" s="6" t="s">
        <v>528</v>
      </c>
      <c r="F284" s="5" t="s">
        <v>105</v>
      </c>
      <c r="G284" s="5" t="s">
        <v>364</v>
      </c>
      <c r="H284" s="5" t="s">
        <v>418</v>
      </c>
      <c r="I284" s="5" t="s">
        <v>210</v>
      </c>
      <c r="J284" s="5" t="s">
        <v>52</v>
      </c>
      <c r="K284" s="5">
        <v>612.0</v>
      </c>
    </row>
    <row r="285" ht="22.5" customHeight="1">
      <c r="A285" s="5" t="s">
        <v>1358</v>
      </c>
      <c r="B285" s="5" t="s">
        <v>624</v>
      </c>
      <c r="C285" s="5" t="s">
        <v>128</v>
      </c>
      <c r="D285" s="6">
        <v>80.0</v>
      </c>
      <c r="E285" s="6" t="s">
        <v>734</v>
      </c>
      <c r="F285" s="5" t="s">
        <v>105</v>
      </c>
      <c r="G285" s="5" t="s">
        <v>141</v>
      </c>
      <c r="H285" s="5" t="s">
        <v>1290</v>
      </c>
      <c r="I285" s="5" t="s">
        <v>533</v>
      </c>
      <c r="J285" s="5" t="s">
        <v>97</v>
      </c>
      <c r="K285" s="5">
        <v>1728.0</v>
      </c>
    </row>
    <row r="286" ht="22.5" customHeight="1">
      <c r="A286" s="5" t="s">
        <v>1360</v>
      </c>
      <c r="B286" s="5" t="s">
        <v>620</v>
      </c>
      <c r="C286" s="5" t="s">
        <v>629</v>
      </c>
      <c r="D286" s="6">
        <v>73.0</v>
      </c>
      <c r="E286" s="6" t="s">
        <v>734</v>
      </c>
      <c r="F286" s="5" t="s">
        <v>105</v>
      </c>
      <c r="G286" s="5" t="s">
        <v>47</v>
      </c>
      <c r="H286" s="5" t="s">
        <v>470</v>
      </c>
      <c r="I286" s="5" t="s">
        <v>179</v>
      </c>
      <c r="J286" s="5" t="s">
        <v>97</v>
      </c>
      <c r="K286" s="5">
        <v>3988.0</v>
      </c>
    </row>
    <row r="287" ht="22.5" customHeight="1">
      <c r="A287" s="5" t="s">
        <v>1364</v>
      </c>
      <c r="B287" s="5" t="s">
        <v>307</v>
      </c>
      <c r="C287" s="5" t="s">
        <v>90</v>
      </c>
      <c r="D287" s="6">
        <v>68.0</v>
      </c>
      <c r="E287" s="6" t="s">
        <v>734</v>
      </c>
      <c r="F287" s="5" t="s">
        <v>105</v>
      </c>
      <c r="G287" s="5" t="s">
        <v>47</v>
      </c>
      <c r="H287" s="5" t="s">
        <v>377</v>
      </c>
      <c r="I287" s="5" t="s">
        <v>96</v>
      </c>
      <c r="J287" s="5" t="s">
        <v>97</v>
      </c>
      <c r="K287" s="5">
        <v>617.0</v>
      </c>
    </row>
    <row r="288" ht="22.5" customHeight="1">
      <c r="A288" s="5" t="s">
        <v>1367</v>
      </c>
      <c r="B288" s="5" t="s">
        <v>696</v>
      </c>
      <c r="C288" s="5" t="s">
        <v>128</v>
      </c>
      <c r="D288" s="6">
        <v>32.0</v>
      </c>
      <c r="E288" s="6" t="s">
        <v>528</v>
      </c>
      <c r="F288" s="5" t="s">
        <v>152</v>
      </c>
      <c r="G288" s="5" t="s">
        <v>571</v>
      </c>
      <c r="H288" s="5" t="s">
        <v>470</v>
      </c>
      <c r="I288" s="5" t="s">
        <v>96</v>
      </c>
      <c r="J288" s="5" t="s">
        <v>222</v>
      </c>
      <c r="K288" s="5">
        <v>798.0</v>
      </c>
    </row>
    <row r="289" ht="22.5" customHeight="1">
      <c r="A289" s="5" t="s">
        <v>1369</v>
      </c>
      <c r="B289" s="5" t="s">
        <v>1939</v>
      </c>
      <c r="C289" s="5" t="s">
        <v>148</v>
      </c>
      <c r="D289" s="6">
        <v>30.0</v>
      </c>
      <c r="E289" s="6" t="s">
        <v>528</v>
      </c>
      <c r="F289" s="5" t="s">
        <v>105</v>
      </c>
      <c r="G289" s="5" t="s">
        <v>571</v>
      </c>
      <c r="H289" s="5" t="s">
        <v>164</v>
      </c>
      <c r="I289" s="5" t="s">
        <v>607</v>
      </c>
      <c r="J289" s="5" t="s">
        <v>559</v>
      </c>
      <c r="K289" s="5">
        <v>1891.0</v>
      </c>
    </row>
    <row r="290" ht="22.5" customHeight="1">
      <c r="A290" s="5" t="s">
        <v>1372</v>
      </c>
      <c r="B290" s="5" t="s">
        <v>343</v>
      </c>
      <c r="C290" s="5" t="s">
        <v>363</v>
      </c>
      <c r="D290" s="6">
        <v>63.0</v>
      </c>
      <c r="E290" s="6" t="s">
        <v>734</v>
      </c>
      <c r="F290" s="5" t="s">
        <v>152</v>
      </c>
      <c r="G290" s="5" t="s">
        <v>30</v>
      </c>
      <c r="H290" s="5" t="s">
        <v>164</v>
      </c>
      <c r="I290" s="5" t="s">
        <v>607</v>
      </c>
      <c r="J290" s="5" t="s">
        <v>97</v>
      </c>
      <c r="K290" s="5">
        <v>1577.0</v>
      </c>
    </row>
    <row r="291" ht="22.5" customHeight="1">
      <c r="A291" s="5" t="s">
        <v>1374</v>
      </c>
      <c r="B291" s="5" t="s">
        <v>1656</v>
      </c>
      <c r="C291" s="5" t="s">
        <v>428</v>
      </c>
      <c r="D291" s="6">
        <v>40.0</v>
      </c>
      <c r="E291" s="6" t="s">
        <v>528</v>
      </c>
      <c r="F291" s="5" t="s">
        <v>152</v>
      </c>
      <c r="G291" s="5" t="s">
        <v>47</v>
      </c>
      <c r="H291" s="5" t="s">
        <v>377</v>
      </c>
      <c r="I291" s="5" t="s">
        <v>96</v>
      </c>
      <c r="J291" s="5" t="s">
        <v>211</v>
      </c>
      <c r="K291" s="5">
        <v>430.0</v>
      </c>
    </row>
    <row r="292" ht="22.5" customHeight="1">
      <c r="A292" s="5" t="s">
        <v>1377</v>
      </c>
      <c r="B292" s="5" t="s">
        <v>171</v>
      </c>
      <c r="C292" s="5" t="s">
        <v>324</v>
      </c>
      <c r="D292" s="6">
        <v>68.0</v>
      </c>
      <c r="E292" s="6" t="s">
        <v>734</v>
      </c>
      <c r="F292" s="5" t="s">
        <v>152</v>
      </c>
      <c r="G292" s="5" t="s">
        <v>47</v>
      </c>
      <c r="H292" s="5" t="s">
        <v>164</v>
      </c>
      <c r="I292" s="5" t="s">
        <v>607</v>
      </c>
      <c r="J292" s="5" t="s">
        <v>97</v>
      </c>
      <c r="K292" s="5">
        <v>2014.0</v>
      </c>
    </row>
    <row r="293" ht="22.5" customHeight="1">
      <c r="A293" s="5" t="s">
        <v>1380</v>
      </c>
      <c r="B293" s="5" t="s">
        <v>542</v>
      </c>
      <c r="C293" s="5" t="s">
        <v>526</v>
      </c>
      <c r="D293" s="6">
        <v>54.0</v>
      </c>
      <c r="E293" s="6" t="s">
        <v>591</v>
      </c>
      <c r="F293" s="5" t="s">
        <v>152</v>
      </c>
      <c r="G293" s="5" t="s">
        <v>571</v>
      </c>
      <c r="H293" s="5" t="s">
        <v>164</v>
      </c>
      <c r="I293" s="5" t="s">
        <v>452</v>
      </c>
      <c r="J293" s="5" t="s">
        <v>222</v>
      </c>
      <c r="K293" s="5">
        <v>3439.0</v>
      </c>
    </row>
    <row r="294" ht="22.5" customHeight="1">
      <c r="A294" s="5" t="s">
        <v>1384</v>
      </c>
      <c r="B294" s="5" t="s">
        <v>865</v>
      </c>
      <c r="C294" s="5" t="s">
        <v>216</v>
      </c>
      <c r="D294" s="6">
        <v>74.0</v>
      </c>
      <c r="E294" s="6" t="s">
        <v>734</v>
      </c>
      <c r="F294" s="5" t="s">
        <v>105</v>
      </c>
      <c r="G294" s="5" t="s">
        <v>393</v>
      </c>
      <c r="H294" s="5" t="s">
        <v>669</v>
      </c>
      <c r="I294" s="5" t="s">
        <v>452</v>
      </c>
      <c r="J294" s="5" t="s">
        <v>97</v>
      </c>
      <c r="K294" s="5">
        <v>3190.0</v>
      </c>
    </row>
    <row r="295" ht="22.5" customHeight="1">
      <c r="A295" s="5" t="s">
        <v>1387</v>
      </c>
      <c r="B295" s="5" t="s">
        <v>877</v>
      </c>
      <c r="C295" s="5" t="s">
        <v>159</v>
      </c>
      <c r="D295" s="6">
        <v>20.0</v>
      </c>
      <c r="E295" s="6" t="s">
        <v>528</v>
      </c>
      <c r="F295" s="5" t="s">
        <v>152</v>
      </c>
      <c r="G295" s="5" t="s">
        <v>393</v>
      </c>
      <c r="H295" s="5" t="s">
        <v>123</v>
      </c>
      <c r="I295" s="5" t="s">
        <v>83</v>
      </c>
      <c r="J295" s="5" t="s">
        <v>559</v>
      </c>
      <c r="K295" s="5">
        <v>1324.0</v>
      </c>
    </row>
    <row r="296" ht="22.5" customHeight="1">
      <c r="A296" s="5" t="s">
        <v>1389</v>
      </c>
      <c r="B296" s="5" t="s">
        <v>1809</v>
      </c>
      <c r="C296" s="5" t="s">
        <v>128</v>
      </c>
      <c r="D296" s="6">
        <v>19.0</v>
      </c>
      <c r="E296" s="6" t="s">
        <v>528</v>
      </c>
      <c r="F296" s="5" t="s">
        <v>152</v>
      </c>
      <c r="G296" s="5" t="s">
        <v>571</v>
      </c>
      <c r="H296" s="5" t="s">
        <v>164</v>
      </c>
      <c r="I296" s="5" t="s">
        <v>607</v>
      </c>
      <c r="J296" s="5" t="s">
        <v>559</v>
      </c>
      <c r="K296" s="5">
        <v>1872.0</v>
      </c>
    </row>
    <row r="297" ht="22.5" customHeight="1">
      <c r="A297" s="5" t="s">
        <v>1394</v>
      </c>
      <c r="B297" s="5" t="s">
        <v>1004</v>
      </c>
      <c r="C297" s="5" t="s">
        <v>515</v>
      </c>
      <c r="D297" s="6">
        <v>86.0</v>
      </c>
      <c r="E297" s="6" t="s">
        <v>734</v>
      </c>
      <c r="F297" s="5" t="s">
        <v>152</v>
      </c>
      <c r="G297" s="5" t="s">
        <v>47</v>
      </c>
      <c r="H297" s="5" t="s">
        <v>311</v>
      </c>
      <c r="I297" s="5" t="s">
        <v>546</v>
      </c>
      <c r="J297" s="5" t="s">
        <v>97</v>
      </c>
      <c r="K297" s="5">
        <v>2437.0</v>
      </c>
    </row>
    <row r="298" ht="22.5" customHeight="1">
      <c r="A298" s="5" t="s">
        <v>1397</v>
      </c>
      <c r="B298" s="5" t="s">
        <v>1149</v>
      </c>
      <c r="C298" s="5" t="s">
        <v>713</v>
      </c>
      <c r="D298" s="6">
        <v>35.0</v>
      </c>
      <c r="E298" s="6" t="s">
        <v>528</v>
      </c>
      <c r="F298" s="5" t="s">
        <v>105</v>
      </c>
      <c r="G298" s="5" t="s">
        <v>364</v>
      </c>
      <c r="H298" s="5" t="s">
        <v>669</v>
      </c>
      <c r="I298" s="5" t="s">
        <v>452</v>
      </c>
      <c r="J298" s="5" t="s">
        <v>559</v>
      </c>
      <c r="K298" s="5">
        <v>4255.0</v>
      </c>
    </row>
    <row r="299" ht="22.5" customHeight="1">
      <c r="A299" s="5" t="s">
        <v>1400</v>
      </c>
      <c r="B299" s="5" t="s">
        <v>696</v>
      </c>
      <c r="C299" s="5" t="s">
        <v>159</v>
      </c>
      <c r="D299" s="6">
        <v>81.0</v>
      </c>
      <c r="E299" s="6" t="s">
        <v>734</v>
      </c>
      <c r="F299" s="5" t="s">
        <v>152</v>
      </c>
      <c r="G299" s="5" t="s">
        <v>47</v>
      </c>
      <c r="H299" s="5" t="s">
        <v>576</v>
      </c>
      <c r="I299" s="5" t="s">
        <v>607</v>
      </c>
      <c r="J299" s="5" t="s">
        <v>97</v>
      </c>
      <c r="K299" s="5">
        <v>2387.0</v>
      </c>
    </row>
    <row r="300" ht="22.5" customHeight="1">
      <c r="A300" s="5" t="s">
        <v>1404</v>
      </c>
      <c r="B300" s="5" t="s">
        <v>127</v>
      </c>
      <c r="C300" s="5" t="s">
        <v>1187</v>
      </c>
      <c r="D300" s="6">
        <v>80.0</v>
      </c>
      <c r="E300" s="6" t="s">
        <v>734</v>
      </c>
      <c r="F300" s="5" t="s">
        <v>152</v>
      </c>
      <c r="G300" s="5" t="s">
        <v>571</v>
      </c>
      <c r="H300" s="5" t="s">
        <v>637</v>
      </c>
      <c r="I300" s="5" t="s">
        <v>546</v>
      </c>
      <c r="J300" s="5" t="s">
        <v>97</v>
      </c>
      <c r="K300" s="5">
        <v>50.0</v>
      </c>
    </row>
    <row r="301" ht="22.5" customHeight="1">
      <c r="A301" s="5" t="s">
        <v>1406</v>
      </c>
      <c r="B301" s="5" t="s">
        <v>307</v>
      </c>
      <c r="C301" s="5" t="s">
        <v>374</v>
      </c>
      <c r="D301" s="6">
        <v>29.0</v>
      </c>
      <c r="E301" s="6" t="s">
        <v>528</v>
      </c>
      <c r="F301" s="5" t="s">
        <v>105</v>
      </c>
      <c r="G301" s="5" t="s">
        <v>401</v>
      </c>
      <c r="H301" s="5" t="s">
        <v>489</v>
      </c>
      <c r="I301" s="5" t="s">
        <v>179</v>
      </c>
      <c r="J301" s="5" t="s">
        <v>559</v>
      </c>
      <c r="K301" s="5">
        <v>1737.0</v>
      </c>
    </row>
    <row r="302" ht="22.5" customHeight="1">
      <c r="A302" s="5" t="s">
        <v>1408</v>
      </c>
      <c r="B302" s="5" t="s">
        <v>696</v>
      </c>
      <c r="C302" s="5" t="s">
        <v>172</v>
      </c>
      <c r="D302" s="6">
        <v>48.0</v>
      </c>
      <c r="E302" s="6" t="s">
        <v>591</v>
      </c>
      <c r="F302" s="5" t="s">
        <v>105</v>
      </c>
      <c r="G302" s="5" t="s">
        <v>64</v>
      </c>
      <c r="H302" s="5" t="s">
        <v>238</v>
      </c>
      <c r="I302" s="5" t="s">
        <v>533</v>
      </c>
      <c r="J302" s="5" t="s">
        <v>211</v>
      </c>
      <c r="K302" s="5">
        <v>771.0</v>
      </c>
    </row>
    <row r="303" ht="22.5" customHeight="1">
      <c r="A303" s="5" t="s">
        <v>1411</v>
      </c>
      <c r="B303" s="5" t="s">
        <v>136</v>
      </c>
      <c r="C303" s="5" t="s">
        <v>469</v>
      </c>
      <c r="D303" s="6">
        <v>46.0</v>
      </c>
      <c r="E303" s="6" t="s">
        <v>591</v>
      </c>
      <c r="F303" s="5" t="s">
        <v>105</v>
      </c>
      <c r="G303" s="5" t="s">
        <v>64</v>
      </c>
      <c r="H303" s="5" t="s">
        <v>32</v>
      </c>
      <c r="I303" s="5" t="s">
        <v>83</v>
      </c>
      <c r="J303" s="5" t="s">
        <v>222</v>
      </c>
      <c r="K303" s="5">
        <v>1614.0</v>
      </c>
    </row>
    <row r="304" ht="22.5" customHeight="1">
      <c r="A304" s="5" t="s">
        <v>1414</v>
      </c>
      <c r="B304" s="5" t="s">
        <v>827</v>
      </c>
      <c r="C304" s="5" t="s">
        <v>244</v>
      </c>
      <c r="D304" s="6">
        <v>30.0</v>
      </c>
      <c r="E304" s="6" t="s">
        <v>528</v>
      </c>
      <c r="F304" s="5" t="s">
        <v>152</v>
      </c>
      <c r="G304" s="5" t="s">
        <v>309</v>
      </c>
      <c r="H304" s="5" t="s">
        <v>358</v>
      </c>
      <c r="I304" s="5" t="s">
        <v>561</v>
      </c>
      <c r="J304" s="5" t="s">
        <v>559</v>
      </c>
      <c r="K304" s="5">
        <v>1739.0</v>
      </c>
    </row>
    <row r="305" ht="22.5" customHeight="1">
      <c r="A305" s="5" t="s">
        <v>1418</v>
      </c>
      <c r="B305" s="5" t="s">
        <v>2206</v>
      </c>
      <c r="C305" s="5" t="s">
        <v>254</v>
      </c>
      <c r="D305" s="6">
        <v>68.0</v>
      </c>
      <c r="E305" s="6" t="s">
        <v>734</v>
      </c>
      <c r="F305" s="5" t="s">
        <v>152</v>
      </c>
      <c r="G305" s="5" t="s">
        <v>47</v>
      </c>
      <c r="H305" s="5" t="s">
        <v>377</v>
      </c>
      <c r="I305" s="5" t="s">
        <v>96</v>
      </c>
      <c r="J305" s="5" t="s">
        <v>97</v>
      </c>
      <c r="K305" s="5">
        <v>1139.0</v>
      </c>
    </row>
    <row r="306" ht="22.5" customHeight="1">
      <c r="A306" s="5" t="s">
        <v>1421</v>
      </c>
      <c r="B306" s="5" t="s">
        <v>3108</v>
      </c>
      <c r="C306" s="5" t="s">
        <v>244</v>
      </c>
      <c r="D306" s="6">
        <v>38.0</v>
      </c>
      <c r="E306" s="6" t="s">
        <v>528</v>
      </c>
      <c r="F306" s="5" t="s">
        <v>105</v>
      </c>
      <c r="G306" s="5" t="s">
        <v>393</v>
      </c>
      <c r="H306" s="5" t="s">
        <v>358</v>
      </c>
      <c r="I306" s="5" t="s">
        <v>561</v>
      </c>
      <c r="J306" s="5" t="s">
        <v>559</v>
      </c>
      <c r="K306" s="5">
        <v>3631.0</v>
      </c>
    </row>
    <row r="307" ht="22.5" customHeight="1">
      <c r="A307" s="5" t="s">
        <v>1425</v>
      </c>
      <c r="B307" s="5" t="s">
        <v>171</v>
      </c>
      <c r="C307" s="5" t="s">
        <v>148</v>
      </c>
      <c r="D307" s="8"/>
      <c r="E307" s="8" t="s">
        <v>1081</v>
      </c>
      <c r="F307" s="5" t="s">
        <v>152</v>
      </c>
      <c r="G307" s="5" t="s">
        <v>176</v>
      </c>
      <c r="H307" s="5" t="s">
        <v>916</v>
      </c>
      <c r="I307" s="5" t="s">
        <v>402</v>
      </c>
      <c r="J307" s="5" t="s">
        <v>222</v>
      </c>
      <c r="K307" s="5">
        <v>2762.0</v>
      </c>
    </row>
    <row r="308" ht="22.5" customHeight="1">
      <c r="A308" s="5" t="s">
        <v>1427</v>
      </c>
      <c r="B308" s="5" t="s">
        <v>689</v>
      </c>
      <c r="C308" s="5" t="s">
        <v>363</v>
      </c>
      <c r="D308" s="6">
        <v>83.0</v>
      </c>
      <c r="E308" s="6" t="s">
        <v>734</v>
      </c>
      <c r="F308" s="5" t="s">
        <v>152</v>
      </c>
      <c r="G308" s="5" t="s">
        <v>131</v>
      </c>
      <c r="H308" s="5" t="s">
        <v>482</v>
      </c>
      <c r="I308" s="5" t="s">
        <v>179</v>
      </c>
      <c r="J308" s="5" t="s">
        <v>97</v>
      </c>
      <c r="K308" s="5">
        <v>4104.0</v>
      </c>
    </row>
    <row r="309" ht="22.5" customHeight="1">
      <c r="A309" s="5" t="s">
        <v>1430</v>
      </c>
      <c r="B309" s="5" t="s">
        <v>158</v>
      </c>
      <c r="C309" s="5" t="s">
        <v>42</v>
      </c>
      <c r="D309" s="6">
        <v>27.0</v>
      </c>
      <c r="E309" s="6" t="s">
        <v>528</v>
      </c>
      <c r="F309" s="5" t="s">
        <v>105</v>
      </c>
      <c r="G309" s="5" t="s">
        <v>47</v>
      </c>
      <c r="H309" s="5" t="s">
        <v>439</v>
      </c>
      <c r="I309" s="5" t="s">
        <v>210</v>
      </c>
      <c r="J309" s="5" t="s">
        <v>52</v>
      </c>
      <c r="K309" s="5">
        <v>50.0</v>
      </c>
    </row>
    <row r="310" ht="22.5" customHeight="1">
      <c r="A310" s="5" t="s">
        <v>1432</v>
      </c>
      <c r="B310" s="5" t="s">
        <v>820</v>
      </c>
      <c r="C310" s="5" t="s">
        <v>959</v>
      </c>
      <c r="D310" s="6">
        <v>32.0</v>
      </c>
      <c r="E310" s="6" t="s">
        <v>528</v>
      </c>
      <c r="F310" s="5" t="s">
        <v>105</v>
      </c>
      <c r="G310" s="5" t="s">
        <v>47</v>
      </c>
      <c r="H310" s="5" t="s">
        <v>418</v>
      </c>
      <c r="I310" s="5" t="s">
        <v>210</v>
      </c>
      <c r="J310" s="5" t="s">
        <v>559</v>
      </c>
      <c r="K310" s="5">
        <v>1229.0</v>
      </c>
    </row>
    <row r="311" ht="22.5" customHeight="1">
      <c r="A311" s="5" t="s">
        <v>1435</v>
      </c>
      <c r="B311" s="5" t="s">
        <v>368</v>
      </c>
      <c r="C311" s="5" t="s">
        <v>254</v>
      </c>
      <c r="D311" s="6">
        <v>56.0</v>
      </c>
      <c r="E311" s="6" t="s">
        <v>591</v>
      </c>
      <c r="F311" s="5" t="s">
        <v>105</v>
      </c>
      <c r="G311" s="5" t="s">
        <v>256</v>
      </c>
      <c r="H311" s="5" t="s">
        <v>238</v>
      </c>
      <c r="I311" s="5" t="s">
        <v>533</v>
      </c>
      <c r="J311" s="5" t="s">
        <v>52</v>
      </c>
      <c r="K311" s="5">
        <v>682.0</v>
      </c>
    </row>
    <row r="312" ht="22.5" customHeight="1">
      <c r="A312" s="5" t="s">
        <v>1438</v>
      </c>
      <c r="B312" s="5" t="s">
        <v>1329</v>
      </c>
      <c r="C312" s="5" t="s">
        <v>301</v>
      </c>
      <c r="D312" s="6">
        <v>46.0</v>
      </c>
      <c r="E312" s="6" t="s">
        <v>591</v>
      </c>
      <c r="F312" s="5" t="s">
        <v>152</v>
      </c>
      <c r="G312" s="5" t="s">
        <v>64</v>
      </c>
      <c r="H312" s="5" t="s">
        <v>230</v>
      </c>
      <c r="I312" s="5" t="s">
        <v>452</v>
      </c>
      <c r="J312" s="5" t="s">
        <v>559</v>
      </c>
      <c r="K312" s="5">
        <v>4141.0</v>
      </c>
    </row>
    <row r="313" ht="22.5" customHeight="1">
      <c r="A313" s="5" t="s">
        <v>1441</v>
      </c>
      <c r="B313" s="5" t="s">
        <v>343</v>
      </c>
      <c r="C313" s="5" t="s">
        <v>713</v>
      </c>
      <c r="D313" s="6">
        <v>70.0</v>
      </c>
      <c r="E313" s="6" t="s">
        <v>734</v>
      </c>
      <c r="F313" s="5" t="s">
        <v>152</v>
      </c>
      <c r="G313" s="5" t="s">
        <v>256</v>
      </c>
      <c r="H313" s="5" t="s">
        <v>551</v>
      </c>
      <c r="I313" s="5" t="s">
        <v>83</v>
      </c>
      <c r="J313" s="5" t="s">
        <v>97</v>
      </c>
      <c r="K313" s="5">
        <v>997.0</v>
      </c>
    </row>
    <row r="314" ht="22.5" customHeight="1">
      <c r="A314" s="5" t="s">
        <v>1444</v>
      </c>
      <c r="B314" s="5" t="s">
        <v>620</v>
      </c>
      <c r="C314" s="5" t="s">
        <v>148</v>
      </c>
      <c r="D314" s="6">
        <v>20.0</v>
      </c>
      <c r="E314" s="6" t="s">
        <v>528</v>
      </c>
      <c r="F314" s="5" t="s">
        <v>105</v>
      </c>
      <c r="G314" s="5" t="s">
        <v>571</v>
      </c>
      <c r="H314" s="5" t="s">
        <v>164</v>
      </c>
      <c r="I314" s="5" t="s">
        <v>607</v>
      </c>
      <c r="J314" s="5" t="s">
        <v>52</v>
      </c>
      <c r="K314" s="5">
        <v>1740.0</v>
      </c>
    </row>
    <row r="315" ht="22.5" customHeight="1">
      <c r="A315" s="5" t="s">
        <v>1447</v>
      </c>
      <c r="B315" s="5" t="s">
        <v>147</v>
      </c>
      <c r="C315" s="5" t="s">
        <v>301</v>
      </c>
      <c r="D315" s="6">
        <v>26.0</v>
      </c>
      <c r="E315" s="6" t="s">
        <v>528</v>
      </c>
      <c r="F315" s="5" t="s">
        <v>152</v>
      </c>
      <c r="G315" s="5" t="s">
        <v>64</v>
      </c>
      <c r="H315" s="5" t="s">
        <v>470</v>
      </c>
      <c r="I315" s="5" t="s">
        <v>96</v>
      </c>
      <c r="J315" s="5" t="s">
        <v>211</v>
      </c>
      <c r="K315" s="5">
        <v>141.0</v>
      </c>
    </row>
    <row r="316" ht="22.5" customHeight="1">
      <c r="A316" s="5" t="s">
        <v>1450</v>
      </c>
      <c r="B316" s="5" t="s">
        <v>127</v>
      </c>
      <c r="C316" s="5" t="s">
        <v>316</v>
      </c>
      <c r="D316" s="6">
        <v>23.0</v>
      </c>
      <c r="E316" s="6" t="s">
        <v>528</v>
      </c>
      <c r="F316" s="5" t="s">
        <v>152</v>
      </c>
      <c r="G316" s="5" t="s">
        <v>309</v>
      </c>
      <c r="H316" s="5" t="s">
        <v>1290</v>
      </c>
      <c r="I316" s="5" t="s">
        <v>533</v>
      </c>
      <c r="J316" s="5" t="s">
        <v>52</v>
      </c>
      <c r="K316" s="5">
        <v>2073.0</v>
      </c>
    </row>
    <row r="317" ht="22.5" customHeight="1">
      <c r="A317" s="5" t="s">
        <v>1454</v>
      </c>
      <c r="B317" s="5" t="s">
        <v>1875</v>
      </c>
      <c r="C317" s="5" t="s">
        <v>1322</v>
      </c>
      <c r="D317" s="6">
        <v>35.0</v>
      </c>
      <c r="E317" s="6" t="s">
        <v>528</v>
      </c>
      <c r="F317" s="5" t="s">
        <v>152</v>
      </c>
      <c r="G317" s="5" t="s">
        <v>208</v>
      </c>
      <c r="H317" s="5" t="s">
        <v>470</v>
      </c>
      <c r="I317" s="5" t="s">
        <v>96</v>
      </c>
      <c r="J317" s="5" t="s">
        <v>559</v>
      </c>
      <c r="K317" s="5">
        <v>494.0</v>
      </c>
    </row>
    <row r="318" ht="22.5" customHeight="1">
      <c r="A318" s="5" t="s">
        <v>1458</v>
      </c>
      <c r="B318" s="5" t="s">
        <v>1160</v>
      </c>
      <c r="C318" s="5" t="s">
        <v>1459</v>
      </c>
      <c r="D318" s="6">
        <v>24.0</v>
      </c>
      <c r="E318" s="6" t="s">
        <v>528</v>
      </c>
      <c r="F318" s="5" t="s">
        <v>152</v>
      </c>
      <c r="G318" s="5" t="s">
        <v>47</v>
      </c>
      <c r="H318" s="5" t="s">
        <v>470</v>
      </c>
      <c r="I318" s="5" t="s">
        <v>96</v>
      </c>
      <c r="J318" s="5" t="s">
        <v>559</v>
      </c>
      <c r="K318" s="5">
        <v>630.0</v>
      </c>
    </row>
    <row r="319" ht="22.5" customHeight="1">
      <c r="A319" s="5" t="s">
        <v>1463</v>
      </c>
      <c r="B319" s="5" t="s">
        <v>368</v>
      </c>
      <c r="C319" s="5" t="s">
        <v>301</v>
      </c>
      <c r="D319" s="8"/>
      <c r="E319" s="8" t="s">
        <v>1081</v>
      </c>
      <c r="F319" s="5" t="s">
        <v>105</v>
      </c>
      <c r="G319" s="5" t="s">
        <v>64</v>
      </c>
      <c r="H319" s="5" t="s">
        <v>482</v>
      </c>
      <c r="I319" s="5" t="s">
        <v>179</v>
      </c>
      <c r="J319" s="5" t="s">
        <v>52</v>
      </c>
      <c r="K319" s="5">
        <v>3928.0</v>
      </c>
    </row>
    <row r="320" ht="22.5" customHeight="1">
      <c r="A320" s="5" t="s">
        <v>1465</v>
      </c>
      <c r="B320" s="5" t="s">
        <v>542</v>
      </c>
      <c r="C320" s="5" t="s">
        <v>458</v>
      </c>
      <c r="D320" s="6">
        <v>85.0</v>
      </c>
      <c r="E320" s="6" t="s">
        <v>734</v>
      </c>
      <c r="F320" s="5" t="s">
        <v>152</v>
      </c>
      <c r="G320" s="5" t="s">
        <v>176</v>
      </c>
      <c r="H320" s="5" t="s">
        <v>576</v>
      </c>
      <c r="I320" s="5" t="s">
        <v>607</v>
      </c>
      <c r="J320" s="5" t="s">
        <v>97</v>
      </c>
      <c r="K320" s="5">
        <v>2480.0</v>
      </c>
    </row>
    <row r="321" ht="22.5" customHeight="1">
      <c r="A321" s="5" t="s">
        <v>1467</v>
      </c>
      <c r="B321" s="5" t="s">
        <v>158</v>
      </c>
      <c r="C321" s="5" t="s">
        <v>244</v>
      </c>
      <c r="D321" s="6">
        <v>72.0</v>
      </c>
      <c r="E321" s="6" t="s">
        <v>734</v>
      </c>
      <c r="F321" s="5" t="s">
        <v>105</v>
      </c>
      <c r="G321" s="5" t="s">
        <v>256</v>
      </c>
      <c r="H321" s="5" t="s">
        <v>551</v>
      </c>
      <c r="I321" s="5" t="s">
        <v>83</v>
      </c>
      <c r="J321" s="5" t="s">
        <v>97</v>
      </c>
      <c r="K321" s="5">
        <v>1574.0</v>
      </c>
    </row>
    <row r="322" ht="22.5" customHeight="1">
      <c r="A322" s="5" t="s">
        <v>1469</v>
      </c>
      <c r="B322" s="5" t="s">
        <v>3108</v>
      </c>
      <c r="C322" s="5" t="s">
        <v>495</v>
      </c>
      <c r="D322" s="6">
        <v>56.0</v>
      </c>
      <c r="E322" s="6" t="s">
        <v>591</v>
      </c>
      <c r="F322" s="5" t="s">
        <v>105</v>
      </c>
      <c r="G322" s="5" t="s">
        <v>571</v>
      </c>
      <c r="H322" s="5" t="s">
        <v>439</v>
      </c>
      <c r="I322" s="5" t="s">
        <v>210</v>
      </c>
      <c r="J322" s="5" t="s">
        <v>52</v>
      </c>
      <c r="K322" s="5">
        <v>1118.0</v>
      </c>
    </row>
    <row r="323" ht="22.5" customHeight="1">
      <c r="A323" s="5" t="s">
        <v>1472</v>
      </c>
      <c r="B323" s="5" t="s">
        <v>136</v>
      </c>
      <c r="C323" s="5" t="s">
        <v>556</v>
      </c>
      <c r="D323" s="6">
        <v>44.0</v>
      </c>
      <c r="E323" s="6" t="s">
        <v>591</v>
      </c>
      <c r="F323" s="5" t="s">
        <v>105</v>
      </c>
      <c r="G323" s="5" t="s">
        <v>208</v>
      </c>
      <c r="H323" s="5" t="s">
        <v>1290</v>
      </c>
      <c r="I323" s="5" t="s">
        <v>533</v>
      </c>
      <c r="J323" s="5" t="s">
        <v>559</v>
      </c>
      <c r="K323" s="5">
        <v>1119.0</v>
      </c>
    </row>
    <row r="324" ht="22.5" customHeight="1">
      <c r="A324" s="5" t="s">
        <v>1474</v>
      </c>
      <c r="B324" s="5" t="s">
        <v>411</v>
      </c>
      <c r="C324" s="5" t="s">
        <v>374</v>
      </c>
      <c r="D324" s="6">
        <v>22.0</v>
      </c>
      <c r="E324" s="6" t="s">
        <v>528</v>
      </c>
      <c r="F324" s="5" t="s">
        <v>105</v>
      </c>
      <c r="G324" s="5" t="s">
        <v>268</v>
      </c>
      <c r="H324" s="5" t="s">
        <v>489</v>
      </c>
      <c r="I324" s="5" t="s">
        <v>179</v>
      </c>
      <c r="J324" s="5" t="s">
        <v>52</v>
      </c>
      <c r="K324" s="5">
        <v>1151.0</v>
      </c>
    </row>
    <row r="325" ht="22.5" customHeight="1">
      <c r="A325" s="5" t="s">
        <v>1477</v>
      </c>
      <c r="B325" s="5" t="s">
        <v>764</v>
      </c>
      <c r="C325" s="5" t="s">
        <v>254</v>
      </c>
      <c r="D325" s="6">
        <v>48.0</v>
      </c>
      <c r="E325" s="6" t="s">
        <v>591</v>
      </c>
      <c r="F325" s="5" t="s">
        <v>105</v>
      </c>
      <c r="G325" s="5" t="s">
        <v>393</v>
      </c>
      <c r="H325" s="5" t="s">
        <v>489</v>
      </c>
      <c r="I325" s="5" t="s">
        <v>179</v>
      </c>
      <c r="J325" s="5" t="s">
        <v>222</v>
      </c>
      <c r="K325" s="5">
        <v>3770.0</v>
      </c>
    </row>
    <row r="326" ht="22.5" customHeight="1">
      <c r="A326" s="5" t="s">
        <v>1480</v>
      </c>
      <c r="B326" s="5" t="s">
        <v>158</v>
      </c>
      <c r="C326" s="5" t="s">
        <v>90</v>
      </c>
      <c r="D326" s="6">
        <v>42.0</v>
      </c>
      <c r="E326" s="6" t="s">
        <v>591</v>
      </c>
      <c r="F326" s="5" t="s">
        <v>105</v>
      </c>
      <c r="G326" s="5" t="s">
        <v>237</v>
      </c>
      <c r="H326" s="5" t="s">
        <v>482</v>
      </c>
      <c r="I326" s="5" t="s">
        <v>179</v>
      </c>
      <c r="J326" s="5" t="s">
        <v>211</v>
      </c>
      <c r="K326" s="5">
        <v>3870.0</v>
      </c>
    </row>
    <row r="327" ht="22.5" customHeight="1">
      <c r="A327" s="5" t="s">
        <v>1482</v>
      </c>
      <c r="B327" s="5" t="s">
        <v>696</v>
      </c>
      <c r="C327" s="5" t="s">
        <v>428</v>
      </c>
      <c r="D327" s="6">
        <v>56.0</v>
      </c>
      <c r="E327" s="6" t="s">
        <v>591</v>
      </c>
      <c r="F327" s="5" t="s">
        <v>152</v>
      </c>
      <c r="G327" s="5" t="s">
        <v>208</v>
      </c>
      <c r="H327" s="5" t="s">
        <v>377</v>
      </c>
      <c r="I327" s="5" t="s">
        <v>96</v>
      </c>
      <c r="J327" s="5" t="s">
        <v>222</v>
      </c>
      <c r="K327" s="5">
        <v>1410.0</v>
      </c>
    </row>
    <row r="328" ht="22.5" customHeight="1">
      <c r="A328" s="5" t="s">
        <v>1484</v>
      </c>
      <c r="B328" s="5" t="s">
        <v>542</v>
      </c>
      <c r="C328" s="5" t="s">
        <v>1486</v>
      </c>
      <c r="D328" s="6">
        <v>31.0</v>
      </c>
      <c r="E328" s="6" t="s">
        <v>528</v>
      </c>
      <c r="F328" s="5" t="s">
        <v>152</v>
      </c>
      <c r="G328" s="5" t="s">
        <v>268</v>
      </c>
      <c r="H328" s="5" t="s">
        <v>439</v>
      </c>
      <c r="I328" s="5" t="s">
        <v>210</v>
      </c>
      <c r="J328" s="5" t="s">
        <v>222</v>
      </c>
      <c r="K328" s="5">
        <v>871.0</v>
      </c>
    </row>
    <row r="329" ht="22.5" customHeight="1">
      <c r="A329" s="5" t="s">
        <v>1488</v>
      </c>
      <c r="B329" s="5" t="s">
        <v>307</v>
      </c>
      <c r="C329" s="5" t="s">
        <v>264</v>
      </c>
      <c r="D329" s="6">
        <v>74.0</v>
      </c>
      <c r="E329" s="6" t="s">
        <v>734</v>
      </c>
      <c r="F329" s="5" t="s">
        <v>105</v>
      </c>
      <c r="G329" s="5" t="s">
        <v>237</v>
      </c>
      <c r="H329" s="5" t="s">
        <v>277</v>
      </c>
      <c r="I329" s="5" t="s">
        <v>402</v>
      </c>
      <c r="J329" s="5" t="s">
        <v>97</v>
      </c>
      <c r="K329" s="5">
        <v>2938.0</v>
      </c>
    </row>
    <row r="330" ht="22.5" customHeight="1">
      <c r="A330" s="5" t="s">
        <v>1490</v>
      </c>
      <c r="B330" s="5" t="s">
        <v>127</v>
      </c>
      <c r="C330" s="5" t="s">
        <v>495</v>
      </c>
      <c r="D330" s="6">
        <v>22.0</v>
      </c>
      <c r="E330" s="6" t="s">
        <v>528</v>
      </c>
      <c r="F330" s="5" t="s">
        <v>152</v>
      </c>
      <c r="G330" s="5" t="s">
        <v>30</v>
      </c>
      <c r="H330" s="5" t="s">
        <v>576</v>
      </c>
      <c r="I330" s="5" t="s">
        <v>607</v>
      </c>
      <c r="J330" s="5" t="s">
        <v>52</v>
      </c>
      <c r="K330" s="5">
        <v>1916.0</v>
      </c>
    </row>
    <row r="331" ht="22.5" customHeight="1">
      <c r="A331" s="5" t="s">
        <v>1494</v>
      </c>
      <c r="B331" s="5" t="s">
        <v>1531</v>
      </c>
      <c r="C331" s="5" t="s">
        <v>1187</v>
      </c>
      <c r="D331" s="6">
        <v>64.0</v>
      </c>
      <c r="E331" s="6" t="s">
        <v>734</v>
      </c>
      <c r="F331" s="5" t="s">
        <v>152</v>
      </c>
      <c r="G331" s="5" t="s">
        <v>393</v>
      </c>
      <c r="H331" s="5" t="s">
        <v>551</v>
      </c>
      <c r="I331" s="5" t="s">
        <v>83</v>
      </c>
      <c r="J331" s="5" t="s">
        <v>97</v>
      </c>
      <c r="K331" s="5">
        <v>1769.0</v>
      </c>
    </row>
    <row r="332" ht="22.5" customHeight="1">
      <c r="A332" s="5" t="s">
        <v>1498</v>
      </c>
      <c r="B332" s="5" t="s">
        <v>3108</v>
      </c>
      <c r="C332" s="5" t="s">
        <v>1322</v>
      </c>
      <c r="D332" s="6">
        <v>61.0</v>
      </c>
      <c r="E332" s="6" t="s">
        <v>734</v>
      </c>
      <c r="F332" s="5" t="s">
        <v>105</v>
      </c>
      <c r="G332" s="5" t="s">
        <v>64</v>
      </c>
      <c r="H332" s="5" t="s">
        <v>576</v>
      </c>
      <c r="I332" s="5" t="s">
        <v>607</v>
      </c>
      <c r="J332" s="5" t="s">
        <v>97</v>
      </c>
      <c r="K332" s="5">
        <v>1899.0</v>
      </c>
    </row>
    <row r="333" ht="22.5" customHeight="1">
      <c r="A333" s="5" t="s">
        <v>1501</v>
      </c>
      <c r="B333" s="5" t="s">
        <v>158</v>
      </c>
      <c r="C333" s="5" t="s">
        <v>128</v>
      </c>
      <c r="D333" s="6">
        <v>50.0</v>
      </c>
      <c r="E333" s="6" t="s">
        <v>591</v>
      </c>
      <c r="F333" s="5" t="s">
        <v>105</v>
      </c>
      <c r="G333" s="5" t="s">
        <v>47</v>
      </c>
      <c r="H333" s="5" t="s">
        <v>311</v>
      </c>
      <c r="I333" s="5" t="s">
        <v>546</v>
      </c>
      <c r="J333" s="5" t="s">
        <v>211</v>
      </c>
      <c r="K333" s="5">
        <v>1546.0</v>
      </c>
    </row>
    <row r="334" ht="22.5" customHeight="1">
      <c r="A334" s="5" t="s">
        <v>1504</v>
      </c>
      <c r="B334" s="5" t="s">
        <v>368</v>
      </c>
      <c r="C334" s="5" t="s">
        <v>959</v>
      </c>
      <c r="D334" s="6">
        <v>85.0</v>
      </c>
      <c r="E334" s="6" t="s">
        <v>734</v>
      </c>
      <c r="F334" s="5" t="s">
        <v>105</v>
      </c>
      <c r="G334" s="5" t="s">
        <v>208</v>
      </c>
      <c r="H334" s="5" t="s">
        <v>418</v>
      </c>
      <c r="I334" s="5" t="s">
        <v>210</v>
      </c>
      <c r="J334" s="5" t="s">
        <v>97</v>
      </c>
      <c r="K334" s="5">
        <v>1148.0</v>
      </c>
    </row>
    <row r="335" ht="22.5" customHeight="1">
      <c r="A335" s="5" t="s">
        <v>1507</v>
      </c>
      <c r="B335" s="5" t="s">
        <v>620</v>
      </c>
      <c r="C335" s="5" t="s">
        <v>526</v>
      </c>
      <c r="D335" s="6">
        <v>34.0</v>
      </c>
      <c r="E335" s="6" t="s">
        <v>528</v>
      </c>
      <c r="F335" s="5" t="s">
        <v>105</v>
      </c>
      <c r="G335" s="5" t="s">
        <v>176</v>
      </c>
      <c r="H335" s="5" t="s">
        <v>123</v>
      </c>
      <c r="I335" s="5" t="s">
        <v>83</v>
      </c>
      <c r="J335" s="5" t="s">
        <v>52</v>
      </c>
      <c r="K335" s="5">
        <v>1924.0</v>
      </c>
    </row>
    <row r="336" ht="22.5" customHeight="1">
      <c r="A336" s="5" t="s">
        <v>1510</v>
      </c>
      <c r="B336" s="5" t="s">
        <v>368</v>
      </c>
      <c r="C336" s="5" t="s">
        <v>495</v>
      </c>
      <c r="D336" s="6">
        <v>77.0</v>
      </c>
      <c r="E336" s="6" t="s">
        <v>734</v>
      </c>
      <c r="F336" s="5" t="s">
        <v>105</v>
      </c>
      <c r="G336" s="5" t="s">
        <v>237</v>
      </c>
      <c r="H336" s="5" t="s">
        <v>377</v>
      </c>
      <c r="I336" s="5" t="s">
        <v>96</v>
      </c>
      <c r="J336" s="5" t="s">
        <v>97</v>
      </c>
      <c r="K336" s="5">
        <v>1025.0</v>
      </c>
    </row>
    <row r="337" ht="22.5" customHeight="1">
      <c r="A337" s="5" t="s">
        <v>1513</v>
      </c>
      <c r="B337" s="5" t="s">
        <v>820</v>
      </c>
      <c r="C337" s="5" t="s">
        <v>556</v>
      </c>
      <c r="D337" s="6">
        <v>25.0</v>
      </c>
      <c r="E337" s="6" t="s">
        <v>528</v>
      </c>
      <c r="F337" s="5" t="s">
        <v>105</v>
      </c>
      <c r="G337" s="5" t="s">
        <v>64</v>
      </c>
      <c r="H337" s="5" t="s">
        <v>470</v>
      </c>
      <c r="I337" s="5" t="s">
        <v>96</v>
      </c>
      <c r="J337" s="5" t="s">
        <v>52</v>
      </c>
      <c r="K337" s="5">
        <v>711.0</v>
      </c>
    </row>
    <row r="338" ht="22.5" customHeight="1">
      <c r="A338" s="5" t="s">
        <v>1515</v>
      </c>
      <c r="B338" s="5" t="s">
        <v>89</v>
      </c>
      <c r="C338" s="5" t="s">
        <v>1252</v>
      </c>
      <c r="D338" s="6">
        <v>58.0</v>
      </c>
      <c r="E338" s="6" t="s">
        <v>591</v>
      </c>
      <c r="F338" s="5" t="s">
        <v>105</v>
      </c>
      <c r="G338" s="5" t="s">
        <v>364</v>
      </c>
      <c r="H338" s="5" t="s">
        <v>418</v>
      </c>
      <c r="I338" s="5" t="s">
        <v>210</v>
      </c>
      <c r="J338" s="5" t="s">
        <v>559</v>
      </c>
      <c r="K338" s="5">
        <v>370.0</v>
      </c>
    </row>
    <row r="339" ht="22.5" customHeight="1">
      <c r="A339" s="5" t="s">
        <v>1516</v>
      </c>
      <c r="B339" s="5" t="s">
        <v>689</v>
      </c>
      <c r="C339" s="5" t="s">
        <v>159</v>
      </c>
      <c r="D339" s="6">
        <v>75.0</v>
      </c>
      <c r="E339" s="6" t="s">
        <v>734</v>
      </c>
      <c r="F339" s="5" t="s">
        <v>152</v>
      </c>
      <c r="G339" s="5" t="s">
        <v>759</v>
      </c>
      <c r="H339" s="5" t="s">
        <v>439</v>
      </c>
      <c r="I339" s="5" t="s">
        <v>210</v>
      </c>
      <c r="J339" s="5" t="s">
        <v>97</v>
      </c>
      <c r="K339" s="5">
        <v>715.0</v>
      </c>
    </row>
    <row r="340" ht="22.5" customHeight="1">
      <c r="A340" s="5" t="s">
        <v>1517</v>
      </c>
      <c r="B340" s="5" t="s">
        <v>1518</v>
      </c>
      <c r="C340" s="5" t="s">
        <v>101</v>
      </c>
      <c r="D340" s="6">
        <v>46.0</v>
      </c>
      <c r="E340" s="6" t="s">
        <v>591</v>
      </c>
      <c r="F340" s="5" t="s">
        <v>152</v>
      </c>
      <c r="G340" s="5" t="s">
        <v>309</v>
      </c>
      <c r="H340" s="5" t="s">
        <v>637</v>
      </c>
      <c r="I340" s="5" t="s">
        <v>546</v>
      </c>
      <c r="J340" s="5" t="s">
        <v>222</v>
      </c>
      <c r="K340" s="5">
        <v>1541.0</v>
      </c>
    </row>
    <row r="341" ht="22.5" customHeight="1">
      <c r="A341" s="5" t="s">
        <v>1522</v>
      </c>
      <c r="B341" s="5" t="s">
        <v>193</v>
      </c>
      <c r="C341" s="5" t="s">
        <v>42</v>
      </c>
      <c r="D341" s="6">
        <v>73.0</v>
      </c>
      <c r="E341" s="6" t="s">
        <v>734</v>
      </c>
      <c r="F341" s="5" t="s">
        <v>105</v>
      </c>
      <c r="G341" s="5" t="s">
        <v>107</v>
      </c>
      <c r="H341" s="5" t="s">
        <v>470</v>
      </c>
      <c r="I341" s="5" t="s">
        <v>179</v>
      </c>
      <c r="J341" s="5" t="s">
        <v>97</v>
      </c>
      <c r="K341" s="5">
        <v>2863.0</v>
      </c>
    </row>
    <row r="342" ht="22.5" customHeight="1">
      <c r="A342" s="5" t="s">
        <v>1524</v>
      </c>
      <c r="B342" s="5" t="s">
        <v>1525</v>
      </c>
      <c r="C342" s="5" t="s">
        <v>629</v>
      </c>
      <c r="D342" s="6">
        <v>60.0</v>
      </c>
      <c r="E342" s="6" t="s">
        <v>591</v>
      </c>
      <c r="F342" s="5" t="s">
        <v>152</v>
      </c>
      <c r="G342" s="5" t="s">
        <v>81</v>
      </c>
      <c r="H342" s="5" t="s">
        <v>669</v>
      </c>
      <c r="I342" s="5" t="s">
        <v>452</v>
      </c>
      <c r="J342" s="5" t="s">
        <v>559</v>
      </c>
      <c r="K342" s="5">
        <v>4115.0</v>
      </c>
    </row>
    <row r="343" ht="22.5" customHeight="1">
      <c r="A343" s="5" t="s">
        <v>1528</v>
      </c>
      <c r="B343" s="5" t="s">
        <v>827</v>
      </c>
      <c r="C343" s="5" t="s">
        <v>1486</v>
      </c>
      <c r="D343" s="6">
        <v>69.0</v>
      </c>
      <c r="E343" s="6" t="s">
        <v>734</v>
      </c>
      <c r="F343" s="5" t="s">
        <v>152</v>
      </c>
      <c r="G343" s="5" t="s">
        <v>107</v>
      </c>
      <c r="H343" s="5" t="s">
        <v>311</v>
      </c>
      <c r="I343" s="5" t="s">
        <v>96</v>
      </c>
      <c r="J343" s="5" t="s">
        <v>97</v>
      </c>
      <c r="K343" s="5">
        <v>852.0</v>
      </c>
    </row>
    <row r="344" ht="22.5" customHeight="1">
      <c r="A344" s="5" t="s">
        <v>1530</v>
      </c>
      <c r="B344" s="5" t="s">
        <v>1531</v>
      </c>
      <c r="C344" s="5" t="s">
        <v>148</v>
      </c>
      <c r="D344" s="6">
        <v>27.0</v>
      </c>
      <c r="E344" s="6" t="s">
        <v>528</v>
      </c>
      <c r="F344" s="5" t="s">
        <v>152</v>
      </c>
      <c r="G344" s="5" t="s">
        <v>81</v>
      </c>
      <c r="H344" s="5" t="s">
        <v>277</v>
      </c>
      <c r="I344" s="5" t="s">
        <v>402</v>
      </c>
      <c r="J344" s="5" t="s">
        <v>211</v>
      </c>
      <c r="K344" s="5">
        <v>1105.0</v>
      </c>
    </row>
    <row r="345" ht="22.5" customHeight="1">
      <c r="A345" s="5" t="s">
        <v>1534</v>
      </c>
      <c r="B345" s="5" t="s">
        <v>147</v>
      </c>
      <c r="C345" s="5" t="s">
        <v>806</v>
      </c>
      <c r="D345" s="6">
        <v>62.0</v>
      </c>
      <c r="E345" s="6" t="s">
        <v>734</v>
      </c>
      <c r="F345" s="5" t="s">
        <v>152</v>
      </c>
      <c r="G345" s="5" t="s">
        <v>30</v>
      </c>
      <c r="H345" s="5" t="s">
        <v>470</v>
      </c>
      <c r="I345" s="5" t="s">
        <v>96</v>
      </c>
      <c r="J345" s="5" t="s">
        <v>97</v>
      </c>
      <c r="K345" s="5">
        <v>812.0</v>
      </c>
    </row>
    <row r="346" ht="22.5" customHeight="1">
      <c r="A346" s="5" t="s">
        <v>1536</v>
      </c>
      <c r="B346" s="5" t="s">
        <v>620</v>
      </c>
      <c r="C346" s="5" t="s">
        <v>101</v>
      </c>
      <c r="D346" s="6">
        <v>57.0</v>
      </c>
      <c r="E346" s="6" t="s">
        <v>591</v>
      </c>
      <c r="F346" s="5" t="s">
        <v>105</v>
      </c>
      <c r="G346" s="5" t="s">
        <v>47</v>
      </c>
      <c r="H346" s="5" t="s">
        <v>32</v>
      </c>
      <c r="I346" s="5" t="s">
        <v>83</v>
      </c>
      <c r="J346" s="5" t="s">
        <v>52</v>
      </c>
      <c r="K346" s="5">
        <v>2438.0</v>
      </c>
    </row>
    <row r="347" ht="22.5" customHeight="1">
      <c r="A347" s="5" t="s">
        <v>1539</v>
      </c>
      <c r="B347" s="5" t="s">
        <v>368</v>
      </c>
      <c r="C347" s="5" t="s">
        <v>42</v>
      </c>
      <c r="D347" s="6">
        <v>84.0</v>
      </c>
      <c r="E347" s="6" t="s">
        <v>734</v>
      </c>
      <c r="F347" s="5" t="s">
        <v>105</v>
      </c>
      <c r="G347" s="5" t="s">
        <v>208</v>
      </c>
      <c r="H347" s="5" t="s">
        <v>576</v>
      </c>
      <c r="I347" s="5" t="s">
        <v>607</v>
      </c>
      <c r="J347" s="5" t="s">
        <v>97</v>
      </c>
      <c r="K347" s="5">
        <v>2949.0</v>
      </c>
    </row>
    <row r="348" ht="22.5" customHeight="1">
      <c r="A348" s="5" t="s">
        <v>1542</v>
      </c>
      <c r="B348" s="5" t="s">
        <v>820</v>
      </c>
      <c r="C348" s="5" t="s">
        <v>324</v>
      </c>
      <c r="D348" s="6">
        <v>27.0</v>
      </c>
      <c r="E348" s="6" t="s">
        <v>528</v>
      </c>
      <c r="F348" s="5" t="s">
        <v>105</v>
      </c>
      <c r="G348" s="5" t="s">
        <v>107</v>
      </c>
      <c r="H348" s="5" t="s">
        <v>916</v>
      </c>
      <c r="I348" s="5" t="s">
        <v>402</v>
      </c>
      <c r="J348" s="5" t="s">
        <v>211</v>
      </c>
      <c r="K348" s="5">
        <v>2223.0</v>
      </c>
    </row>
    <row r="349" ht="22.5" customHeight="1">
      <c r="A349" s="5" t="s">
        <v>1544</v>
      </c>
      <c r="B349" s="5" t="s">
        <v>1004</v>
      </c>
      <c r="C349" s="5" t="s">
        <v>42</v>
      </c>
      <c r="D349" s="6">
        <v>55.0</v>
      </c>
      <c r="E349" s="6" t="s">
        <v>591</v>
      </c>
      <c r="F349" s="5" t="s">
        <v>152</v>
      </c>
      <c r="G349" s="5" t="s">
        <v>64</v>
      </c>
      <c r="H349" s="5" t="s">
        <v>418</v>
      </c>
      <c r="I349" s="5" t="s">
        <v>210</v>
      </c>
      <c r="J349" s="5" t="s">
        <v>222</v>
      </c>
      <c r="K349" s="5">
        <v>75.0</v>
      </c>
    </row>
    <row r="350" ht="22.5" customHeight="1">
      <c r="A350" s="5" t="s">
        <v>1548</v>
      </c>
      <c r="B350" s="5" t="s">
        <v>411</v>
      </c>
      <c r="C350" s="5" t="s">
        <v>301</v>
      </c>
      <c r="D350" s="6">
        <v>30.0</v>
      </c>
      <c r="E350" s="6" t="s">
        <v>528</v>
      </c>
      <c r="F350" s="5" t="s">
        <v>105</v>
      </c>
      <c r="G350" s="5" t="s">
        <v>47</v>
      </c>
      <c r="H350" s="5" t="s">
        <v>418</v>
      </c>
      <c r="I350" s="5" t="s">
        <v>210</v>
      </c>
      <c r="J350" s="5" t="s">
        <v>559</v>
      </c>
      <c r="K350" s="5">
        <v>1168.0</v>
      </c>
    </row>
    <row r="351" ht="22.5" customHeight="1">
      <c r="A351" s="5" t="s">
        <v>1550</v>
      </c>
      <c r="B351" s="5" t="s">
        <v>542</v>
      </c>
      <c r="C351" s="5" t="s">
        <v>828</v>
      </c>
      <c r="D351" s="6">
        <v>21.0</v>
      </c>
      <c r="E351" s="6" t="s">
        <v>528</v>
      </c>
      <c r="F351" s="5" t="s">
        <v>152</v>
      </c>
      <c r="G351" s="5" t="s">
        <v>539</v>
      </c>
      <c r="H351" s="5" t="s">
        <v>123</v>
      </c>
      <c r="I351" s="5" t="s">
        <v>83</v>
      </c>
      <c r="J351" s="5" t="s">
        <v>559</v>
      </c>
      <c r="K351" s="5">
        <v>2168.0</v>
      </c>
    </row>
    <row r="352" ht="22.5" customHeight="1">
      <c r="A352" s="5" t="s">
        <v>1553</v>
      </c>
      <c r="B352" s="5" t="s">
        <v>343</v>
      </c>
      <c r="C352" s="5" t="s">
        <v>264</v>
      </c>
      <c r="D352" s="6">
        <v>66.0</v>
      </c>
      <c r="E352" s="6" t="s">
        <v>734</v>
      </c>
      <c r="F352" s="5" t="s">
        <v>152</v>
      </c>
      <c r="G352" s="5" t="s">
        <v>47</v>
      </c>
      <c r="H352" s="5" t="s">
        <v>418</v>
      </c>
      <c r="I352" s="5" t="s">
        <v>210</v>
      </c>
      <c r="J352" s="5" t="s">
        <v>97</v>
      </c>
      <c r="K352" s="5">
        <v>1008.0</v>
      </c>
    </row>
    <row r="353" ht="22.5" customHeight="1">
      <c r="A353" s="5" t="s">
        <v>1556</v>
      </c>
      <c r="B353" s="5" t="s">
        <v>171</v>
      </c>
      <c r="C353" s="5" t="s">
        <v>469</v>
      </c>
      <c r="D353" s="6">
        <v>70.0</v>
      </c>
      <c r="E353" s="6" t="s">
        <v>734</v>
      </c>
      <c r="F353" s="5" t="s">
        <v>152</v>
      </c>
      <c r="G353" s="5" t="s">
        <v>759</v>
      </c>
      <c r="H353" s="5" t="s">
        <v>439</v>
      </c>
      <c r="I353" s="5" t="s">
        <v>210</v>
      </c>
      <c r="J353" s="5" t="s">
        <v>97</v>
      </c>
      <c r="K353" s="5">
        <v>456.0</v>
      </c>
    </row>
    <row r="354" ht="22.5" customHeight="1">
      <c r="A354" s="5" t="s">
        <v>1558</v>
      </c>
      <c r="B354" s="5" t="s">
        <v>411</v>
      </c>
      <c r="C354" s="5" t="s">
        <v>458</v>
      </c>
      <c r="D354" s="6">
        <v>34.0</v>
      </c>
      <c r="E354" s="6" t="s">
        <v>528</v>
      </c>
      <c r="F354" s="5" t="s">
        <v>105</v>
      </c>
      <c r="G354" s="5" t="s">
        <v>237</v>
      </c>
      <c r="H354" s="5" t="s">
        <v>377</v>
      </c>
      <c r="I354" s="5" t="s">
        <v>402</v>
      </c>
      <c r="J354" s="5" t="s">
        <v>211</v>
      </c>
      <c r="K354" s="5">
        <v>3294.0</v>
      </c>
    </row>
    <row r="355" ht="22.5" customHeight="1">
      <c r="A355" s="5" t="s">
        <v>1561</v>
      </c>
      <c r="B355" s="5" t="s">
        <v>411</v>
      </c>
      <c r="C355" s="5" t="s">
        <v>469</v>
      </c>
      <c r="D355" s="6">
        <v>54.0</v>
      </c>
      <c r="E355" s="6" t="s">
        <v>591</v>
      </c>
      <c r="F355" s="5" t="s">
        <v>105</v>
      </c>
      <c r="G355" s="5" t="s">
        <v>393</v>
      </c>
      <c r="H355" s="5" t="s">
        <v>377</v>
      </c>
      <c r="I355" s="5" t="s">
        <v>402</v>
      </c>
      <c r="J355" s="5" t="s">
        <v>559</v>
      </c>
      <c r="K355" s="5">
        <v>2366.0</v>
      </c>
    </row>
    <row r="356" ht="22.5" customHeight="1">
      <c r="A356" s="5" t="s">
        <v>1564</v>
      </c>
      <c r="B356" s="5" t="s">
        <v>368</v>
      </c>
      <c r="C356" s="5" t="s">
        <v>76</v>
      </c>
      <c r="D356" s="6">
        <v>46.0</v>
      </c>
      <c r="E356" s="6" t="s">
        <v>591</v>
      </c>
      <c r="F356" s="5" t="s">
        <v>105</v>
      </c>
      <c r="G356" s="5" t="s">
        <v>131</v>
      </c>
      <c r="H356" s="5" t="s">
        <v>418</v>
      </c>
      <c r="I356" s="5" t="s">
        <v>210</v>
      </c>
      <c r="J356" s="5" t="s">
        <v>52</v>
      </c>
      <c r="K356" s="5">
        <v>1206.0</v>
      </c>
    </row>
    <row r="357" ht="22.5" customHeight="1">
      <c r="A357" s="5" t="s">
        <v>1567</v>
      </c>
      <c r="B357" s="5" t="s">
        <v>158</v>
      </c>
      <c r="C357" s="5" t="s">
        <v>1486</v>
      </c>
      <c r="D357" s="6">
        <v>34.0</v>
      </c>
      <c r="E357" s="6" t="s">
        <v>528</v>
      </c>
      <c r="F357" s="5" t="s">
        <v>105</v>
      </c>
      <c r="G357" s="5" t="s">
        <v>759</v>
      </c>
      <c r="H357" s="5" t="s">
        <v>123</v>
      </c>
      <c r="I357" s="5" t="s">
        <v>83</v>
      </c>
      <c r="J357" s="5" t="s">
        <v>222</v>
      </c>
      <c r="K357" s="5">
        <v>2209.0</v>
      </c>
    </row>
    <row r="358" ht="22.5" customHeight="1">
      <c r="A358" s="5" t="s">
        <v>1571</v>
      </c>
      <c r="B358" s="5" t="s">
        <v>343</v>
      </c>
      <c r="C358" s="5" t="s">
        <v>1322</v>
      </c>
      <c r="D358" s="8"/>
      <c r="E358" s="8" t="s">
        <v>1081</v>
      </c>
      <c r="F358" s="5" t="s">
        <v>152</v>
      </c>
      <c r="G358" s="5" t="s">
        <v>309</v>
      </c>
      <c r="H358" s="5" t="s">
        <v>576</v>
      </c>
      <c r="I358" s="5" t="s">
        <v>607</v>
      </c>
      <c r="J358" s="5" t="s">
        <v>52</v>
      </c>
      <c r="K358" s="5">
        <v>2311.0</v>
      </c>
    </row>
    <row r="359" ht="22.5" customHeight="1">
      <c r="A359" s="5" t="s">
        <v>1574</v>
      </c>
      <c r="B359" s="5" t="s">
        <v>542</v>
      </c>
      <c r="C359" s="5" t="s">
        <v>374</v>
      </c>
      <c r="D359" s="6">
        <v>40.0</v>
      </c>
      <c r="E359" s="6" t="s">
        <v>528</v>
      </c>
      <c r="F359" s="5" t="s">
        <v>152</v>
      </c>
      <c r="G359" s="5" t="s">
        <v>131</v>
      </c>
      <c r="H359" s="5" t="s">
        <v>32</v>
      </c>
      <c r="I359" s="5" t="s">
        <v>83</v>
      </c>
      <c r="J359" s="5" t="s">
        <v>211</v>
      </c>
      <c r="K359" s="5">
        <v>2399.0</v>
      </c>
    </row>
    <row r="360" ht="22.5" customHeight="1">
      <c r="A360" s="5" t="s">
        <v>1577</v>
      </c>
      <c r="B360" s="5" t="s">
        <v>307</v>
      </c>
      <c r="C360" s="5" t="s">
        <v>316</v>
      </c>
      <c r="D360" s="6">
        <v>47.0</v>
      </c>
      <c r="E360" s="6" t="s">
        <v>591</v>
      </c>
      <c r="F360" s="5" t="s">
        <v>105</v>
      </c>
      <c r="G360" s="5" t="s">
        <v>30</v>
      </c>
      <c r="H360" s="5" t="s">
        <v>489</v>
      </c>
      <c r="I360" s="5" t="s">
        <v>179</v>
      </c>
      <c r="J360" s="5" t="s">
        <v>559</v>
      </c>
      <c r="K360" s="5">
        <v>4057.0</v>
      </c>
    </row>
    <row r="361" ht="22.5" customHeight="1">
      <c r="A361" s="5" t="s">
        <v>1579</v>
      </c>
      <c r="B361" s="5" t="s">
        <v>127</v>
      </c>
      <c r="C361" s="5" t="s">
        <v>1322</v>
      </c>
      <c r="D361" s="6">
        <v>20.0</v>
      </c>
      <c r="E361" s="6" t="s">
        <v>528</v>
      </c>
      <c r="F361" s="5" t="s">
        <v>152</v>
      </c>
      <c r="G361" s="5" t="s">
        <v>141</v>
      </c>
      <c r="H361" s="5" t="s">
        <v>377</v>
      </c>
      <c r="I361" s="5" t="s">
        <v>402</v>
      </c>
      <c r="J361" s="5" t="s">
        <v>222</v>
      </c>
      <c r="K361" s="5">
        <v>892.0</v>
      </c>
    </row>
    <row r="362" ht="22.5" customHeight="1">
      <c r="A362" s="5" t="s">
        <v>1582</v>
      </c>
      <c r="B362" s="5" t="s">
        <v>620</v>
      </c>
      <c r="C362" s="5" t="s">
        <v>458</v>
      </c>
      <c r="D362" s="6">
        <v>54.0</v>
      </c>
      <c r="E362" s="6" t="s">
        <v>591</v>
      </c>
      <c r="F362" s="5" t="s">
        <v>105</v>
      </c>
      <c r="G362" s="5" t="s">
        <v>208</v>
      </c>
      <c r="H362" s="5" t="s">
        <v>436</v>
      </c>
      <c r="I362" s="5" t="s">
        <v>561</v>
      </c>
      <c r="J362" s="5" t="s">
        <v>222</v>
      </c>
      <c r="K362" s="5">
        <v>1870.0</v>
      </c>
    </row>
    <row r="363" ht="22.5" customHeight="1">
      <c r="A363" s="5" t="s">
        <v>1585</v>
      </c>
      <c r="B363" s="5" t="s">
        <v>343</v>
      </c>
      <c r="C363" s="5" t="s">
        <v>194</v>
      </c>
      <c r="D363" s="6">
        <v>43.0</v>
      </c>
      <c r="E363" s="6" t="s">
        <v>591</v>
      </c>
      <c r="F363" s="5" t="s">
        <v>152</v>
      </c>
      <c r="G363" s="5" t="s">
        <v>393</v>
      </c>
      <c r="H363" s="5" t="s">
        <v>637</v>
      </c>
      <c r="I363" s="5" t="s">
        <v>546</v>
      </c>
      <c r="J363" s="5" t="s">
        <v>559</v>
      </c>
      <c r="K363" s="5">
        <v>1829.0</v>
      </c>
    </row>
    <row r="364" ht="22.5" customHeight="1">
      <c r="A364" s="5" t="s">
        <v>1588</v>
      </c>
      <c r="B364" s="5" t="s">
        <v>193</v>
      </c>
      <c r="C364" s="5" t="s">
        <v>244</v>
      </c>
      <c r="D364" s="6">
        <v>27.0</v>
      </c>
      <c r="E364" s="6" t="s">
        <v>528</v>
      </c>
      <c r="F364" s="5" t="s">
        <v>105</v>
      </c>
      <c r="G364" s="5" t="s">
        <v>208</v>
      </c>
      <c r="H364" s="5" t="s">
        <v>551</v>
      </c>
      <c r="I364" s="5" t="s">
        <v>83</v>
      </c>
      <c r="J364" s="5" t="s">
        <v>211</v>
      </c>
      <c r="K364" s="5">
        <v>1957.0</v>
      </c>
    </row>
    <row r="365" ht="22.5" customHeight="1">
      <c r="A365" s="5" t="s">
        <v>1591</v>
      </c>
      <c r="B365" s="5" t="s">
        <v>343</v>
      </c>
      <c r="C365" s="5" t="s">
        <v>515</v>
      </c>
      <c r="D365" s="8"/>
      <c r="E365" s="8" t="s">
        <v>1081</v>
      </c>
      <c r="F365" s="5" t="s">
        <v>152</v>
      </c>
      <c r="G365" s="5" t="s">
        <v>47</v>
      </c>
      <c r="H365" s="5" t="s">
        <v>123</v>
      </c>
      <c r="I365" s="5" t="s">
        <v>83</v>
      </c>
      <c r="J365" s="5" t="s">
        <v>52</v>
      </c>
      <c r="K365" s="5">
        <v>2344.0</v>
      </c>
    </row>
    <row r="366" ht="22.5" customHeight="1">
      <c r="A366" s="5" t="s">
        <v>1594</v>
      </c>
      <c r="B366" s="5" t="s">
        <v>307</v>
      </c>
      <c r="C366" s="5" t="s">
        <v>159</v>
      </c>
      <c r="D366" s="6">
        <v>42.0</v>
      </c>
      <c r="E366" s="6" t="s">
        <v>591</v>
      </c>
      <c r="F366" s="5" t="s">
        <v>105</v>
      </c>
      <c r="G366" s="5" t="s">
        <v>401</v>
      </c>
      <c r="H366" s="5" t="s">
        <v>377</v>
      </c>
      <c r="I366" s="5" t="s">
        <v>96</v>
      </c>
      <c r="J366" s="5" t="s">
        <v>559</v>
      </c>
      <c r="K366" s="5">
        <v>497.0</v>
      </c>
    </row>
    <row r="367" ht="22.5" customHeight="1">
      <c r="A367" s="5" t="s">
        <v>1597</v>
      </c>
      <c r="B367" s="5" t="s">
        <v>865</v>
      </c>
      <c r="C367" s="5" t="s">
        <v>374</v>
      </c>
      <c r="D367" s="6">
        <v>41.0</v>
      </c>
      <c r="E367" s="6" t="s">
        <v>591</v>
      </c>
      <c r="F367" s="5" t="s">
        <v>105</v>
      </c>
      <c r="G367" s="5" t="s">
        <v>571</v>
      </c>
      <c r="H367" s="5" t="s">
        <v>164</v>
      </c>
      <c r="I367" s="5" t="s">
        <v>96</v>
      </c>
      <c r="J367" s="5" t="s">
        <v>211</v>
      </c>
      <c r="K367" s="5">
        <v>427.0</v>
      </c>
    </row>
    <row r="368" ht="22.5" customHeight="1">
      <c r="A368" s="5" t="s">
        <v>1600</v>
      </c>
      <c r="B368" s="5" t="s">
        <v>171</v>
      </c>
      <c r="C368" s="5" t="s">
        <v>433</v>
      </c>
      <c r="D368" s="6">
        <v>62.0</v>
      </c>
      <c r="E368" s="6" t="s">
        <v>734</v>
      </c>
      <c r="F368" s="5" t="s">
        <v>152</v>
      </c>
      <c r="G368" s="5" t="s">
        <v>47</v>
      </c>
      <c r="H368" s="5" t="s">
        <v>418</v>
      </c>
      <c r="I368" s="5" t="s">
        <v>210</v>
      </c>
      <c r="J368" s="5" t="s">
        <v>97</v>
      </c>
      <c r="K368" s="5">
        <v>1075.0</v>
      </c>
    </row>
    <row r="369" ht="22.5" customHeight="1">
      <c r="A369" s="5" t="s">
        <v>1603</v>
      </c>
      <c r="B369" s="5" t="s">
        <v>827</v>
      </c>
      <c r="C369" s="5" t="s">
        <v>556</v>
      </c>
      <c r="D369" s="6">
        <v>47.0</v>
      </c>
      <c r="E369" s="6" t="s">
        <v>591</v>
      </c>
      <c r="F369" s="5" t="s">
        <v>152</v>
      </c>
      <c r="G369" s="5" t="s">
        <v>30</v>
      </c>
      <c r="H369" s="5" t="s">
        <v>164</v>
      </c>
      <c r="I369" s="5" t="s">
        <v>96</v>
      </c>
      <c r="J369" s="5" t="s">
        <v>211</v>
      </c>
      <c r="K369" s="5">
        <v>595.0</v>
      </c>
    </row>
    <row r="370" ht="22.5" customHeight="1">
      <c r="A370" s="5" t="s">
        <v>1606</v>
      </c>
      <c r="B370" s="5" t="s">
        <v>1531</v>
      </c>
      <c r="C370" s="5" t="s">
        <v>172</v>
      </c>
      <c r="D370" s="6">
        <v>18.0</v>
      </c>
      <c r="E370" s="6" t="s">
        <v>528</v>
      </c>
      <c r="F370" s="5" t="s">
        <v>152</v>
      </c>
      <c r="G370" s="5" t="s">
        <v>393</v>
      </c>
      <c r="H370" s="5" t="s">
        <v>1290</v>
      </c>
      <c r="I370" s="5" t="s">
        <v>533</v>
      </c>
      <c r="J370" s="5" t="s">
        <v>211</v>
      </c>
      <c r="K370" s="5">
        <v>2174.0</v>
      </c>
    </row>
    <row r="371" ht="22.5" customHeight="1">
      <c r="A371" s="5" t="s">
        <v>1608</v>
      </c>
      <c r="B371" s="5" t="s">
        <v>368</v>
      </c>
      <c r="C371" s="5" t="s">
        <v>1252</v>
      </c>
      <c r="D371" s="6">
        <v>47.0</v>
      </c>
      <c r="E371" s="6" t="s">
        <v>591</v>
      </c>
      <c r="F371" s="5" t="s">
        <v>105</v>
      </c>
      <c r="G371" s="5" t="s">
        <v>107</v>
      </c>
      <c r="H371" s="5" t="s">
        <v>1290</v>
      </c>
      <c r="I371" s="5" t="s">
        <v>533</v>
      </c>
      <c r="J371" s="5" t="s">
        <v>211</v>
      </c>
      <c r="K371" s="5">
        <v>2581.0</v>
      </c>
    </row>
    <row r="372" ht="22.5" customHeight="1">
      <c r="A372" s="5" t="s">
        <v>1611</v>
      </c>
      <c r="B372" s="5" t="s">
        <v>983</v>
      </c>
      <c r="C372" s="5" t="s">
        <v>128</v>
      </c>
      <c r="D372" s="6">
        <v>26.0</v>
      </c>
      <c r="E372" s="6" t="s">
        <v>528</v>
      </c>
      <c r="F372" s="5" t="s">
        <v>152</v>
      </c>
      <c r="G372" s="5" t="s">
        <v>393</v>
      </c>
      <c r="H372" s="5" t="s">
        <v>230</v>
      </c>
      <c r="I372" s="5" t="s">
        <v>452</v>
      </c>
      <c r="J372" s="5" t="s">
        <v>211</v>
      </c>
      <c r="K372" s="5">
        <v>4354.0</v>
      </c>
    </row>
    <row r="373" ht="22.5" customHeight="1">
      <c r="A373" s="5" t="s">
        <v>1614</v>
      </c>
      <c r="B373" s="5" t="s">
        <v>411</v>
      </c>
      <c r="C373" s="5" t="s">
        <v>301</v>
      </c>
      <c r="D373" s="6">
        <v>21.0</v>
      </c>
      <c r="E373" s="6" t="s">
        <v>528</v>
      </c>
      <c r="F373" s="5" t="s">
        <v>105</v>
      </c>
      <c r="G373" s="5" t="s">
        <v>393</v>
      </c>
      <c r="H373" s="5" t="s">
        <v>482</v>
      </c>
      <c r="I373" s="5" t="s">
        <v>179</v>
      </c>
      <c r="J373" s="5" t="s">
        <v>211</v>
      </c>
      <c r="K373" s="5">
        <v>2733.0</v>
      </c>
    </row>
    <row r="374" ht="22.5" customHeight="1">
      <c r="A374" s="5" t="s">
        <v>1616</v>
      </c>
      <c r="B374" s="5" t="s">
        <v>1004</v>
      </c>
      <c r="C374" s="5" t="s">
        <v>254</v>
      </c>
      <c r="D374" s="6">
        <v>19.0</v>
      </c>
      <c r="E374" s="6" t="s">
        <v>528</v>
      </c>
      <c r="F374" s="5" t="s">
        <v>152</v>
      </c>
      <c r="G374" s="5" t="s">
        <v>364</v>
      </c>
      <c r="H374" s="5" t="s">
        <v>311</v>
      </c>
      <c r="I374" s="5" t="s">
        <v>546</v>
      </c>
      <c r="J374" s="5" t="s">
        <v>52</v>
      </c>
      <c r="K374" s="5">
        <v>2070.0</v>
      </c>
    </row>
    <row r="375" ht="22.5" customHeight="1">
      <c r="A375" s="5" t="s">
        <v>1619</v>
      </c>
      <c r="B375" s="5" t="s">
        <v>542</v>
      </c>
      <c r="C375" s="5" t="s">
        <v>148</v>
      </c>
      <c r="D375" s="6">
        <v>63.0</v>
      </c>
      <c r="E375" s="6" t="s">
        <v>734</v>
      </c>
      <c r="F375" s="5" t="s">
        <v>152</v>
      </c>
      <c r="G375" s="5" t="s">
        <v>30</v>
      </c>
      <c r="H375" s="5" t="s">
        <v>164</v>
      </c>
      <c r="I375" s="5" t="s">
        <v>452</v>
      </c>
      <c r="J375" s="5" t="s">
        <v>97</v>
      </c>
      <c r="K375" s="5">
        <v>3951.0</v>
      </c>
    </row>
    <row r="376" ht="22.5" customHeight="1">
      <c r="A376" s="5" t="s">
        <v>1623</v>
      </c>
      <c r="B376" s="5" t="s">
        <v>307</v>
      </c>
      <c r="C376" s="5" t="s">
        <v>1322</v>
      </c>
      <c r="D376" s="6">
        <v>49.0</v>
      </c>
      <c r="E376" s="6" t="s">
        <v>591</v>
      </c>
      <c r="F376" s="5" t="s">
        <v>105</v>
      </c>
      <c r="G376" s="5" t="s">
        <v>81</v>
      </c>
      <c r="H376" s="5" t="s">
        <v>238</v>
      </c>
      <c r="I376" s="5" t="s">
        <v>533</v>
      </c>
      <c r="J376" s="5" t="s">
        <v>211</v>
      </c>
      <c r="K376" s="5">
        <v>884.0</v>
      </c>
    </row>
    <row r="377" ht="22.5" customHeight="1">
      <c r="A377" s="5" t="s">
        <v>1625</v>
      </c>
      <c r="B377" s="5" t="s">
        <v>1329</v>
      </c>
      <c r="C377" s="5" t="s">
        <v>90</v>
      </c>
      <c r="D377" s="6">
        <v>46.0</v>
      </c>
      <c r="E377" s="6" t="s">
        <v>591</v>
      </c>
      <c r="F377" s="5" t="s">
        <v>152</v>
      </c>
      <c r="G377" s="5" t="s">
        <v>64</v>
      </c>
      <c r="H377" s="5" t="s">
        <v>916</v>
      </c>
      <c r="I377" s="5" t="s">
        <v>402</v>
      </c>
      <c r="J377" s="5" t="s">
        <v>52</v>
      </c>
      <c r="K377" s="5">
        <v>1892.0</v>
      </c>
    </row>
    <row r="378" ht="22.5" customHeight="1">
      <c r="A378" s="5" t="s">
        <v>1628</v>
      </c>
      <c r="B378" s="5" t="s">
        <v>158</v>
      </c>
      <c r="C378" s="5" t="s">
        <v>128</v>
      </c>
      <c r="D378" s="6">
        <v>38.0</v>
      </c>
      <c r="E378" s="6" t="s">
        <v>528</v>
      </c>
      <c r="F378" s="5" t="s">
        <v>105</v>
      </c>
      <c r="G378" s="5" t="s">
        <v>64</v>
      </c>
      <c r="H378" s="5" t="s">
        <v>418</v>
      </c>
      <c r="I378" s="5" t="s">
        <v>210</v>
      </c>
      <c r="J378" s="5" t="s">
        <v>222</v>
      </c>
      <c r="K378" s="5">
        <v>833.0</v>
      </c>
    </row>
    <row r="379" ht="22.5" customHeight="1">
      <c r="A379" s="5" t="s">
        <v>1631</v>
      </c>
      <c r="B379" s="5" t="s">
        <v>171</v>
      </c>
      <c r="C379" s="5" t="s">
        <v>526</v>
      </c>
      <c r="D379" s="6">
        <v>68.0</v>
      </c>
      <c r="E379" s="6" t="s">
        <v>734</v>
      </c>
      <c r="F379" s="5" t="s">
        <v>152</v>
      </c>
      <c r="G379" s="5" t="s">
        <v>364</v>
      </c>
      <c r="H379" s="5" t="s">
        <v>123</v>
      </c>
      <c r="I379" s="5" t="s">
        <v>83</v>
      </c>
      <c r="J379" s="5" t="s">
        <v>97</v>
      </c>
      <c r="K379" s="5">
        <v>1770.0</v>
      </c>
    </row>
    <row r="380" ht="22.5" customHeight="1">
      <c r="A380" s="5" t="s">
        <v>1633</v>
      </c>
      <c r="B380" s="5" t="s">
        <v>827</v>
      </c>
      <c r="C380" s="5" t="s">
        <v>254</v>
      </c>
      <c r="D380" s="6">
        <v>39.0</v>
      </c>
      <c r="E380" s="6" t="s">
        <v>528</v>
      </c>
      <c r="F380" s="5" t="s">
        <v>152</v>
      </c>
      <c r="G380" s="5" t="s">
        <v>30</v>
      </c>
      <c r="H380" s="5" t="s">
        <v>669</v>
      </c>
      <c r="I380" s="5" t="s">
        <v>452</v>
      </c>
      <c r="J380" s="5" t="s">
        <v>222</v>
      </c>
      <c r="K380" s="5">
        <v>4052.0</v>
      </c>
    </row>
    <row r="381" ht="22.5" customHeight="1">
      <c r="A381" s="5" t="s">
        <v>1636</v>
      </c>
      <c r="B381" s="5" t="s">
        <v>158</v>
      </c>
      <c r="C381" s="5" t="s">
        <v>244</v>
      </c>
      <c r="D381" s="6">
        <v>50.0</v>
      </c>
      <c r="E381" s="6" t="s">
        <v>591</v>
      </c>
      <c r="F381" s="5" t="s">
        <v>105</v>
      </c>
      <c r="G381" s="5" t="s">
        <v>176</v>
      </c>
      <c r="H381" s="5" t="s">
        <v>576</v>
      </c>
      <c r="I381" s="5" t="s">
        <v>607</v>
      </c>
      <c r="J381" s="5" t="s">
        <v>52</v>
      </c>
      <c r="K381" s="5">
        <v>2280.0</v>
      </c>
    </row>
    <row r="382" ht="22.5" customHeight="1">
      <c r="A382" s="5" t="s">
        <v>1639</v>
      </c>
      <c r="B382" s="5" t="s">
        <v>136</v>
      </c>
      <c r="C382" s="5" t="s">
        <v>254</v>
      </c>
      <c r="D382" s="6">
        <v>71.0</v>
      </c>
      <c r="E382" s="6" t="s">
        <v>734</v>
      </c>
      <c r="F382" s="5" t="s">
        <v>105</v>
      </c>
      <c r="G382" s="5" t="s">
        <v>47</v>
      </c>
      <c r="H382" s="5" t="s">
        <v>576</v>
      </c>
      <c r="I382" s="5" t="s">
        <v>607</v>
      </c>
      <c r="J382" s="5" t="s">
        <v>97</v>
      </c>
      <c r="K382" s="5">
        <v>2878.0</v>
      </c>
    </row>
    <row r="383" ht="22.5" customHeight="1">
      <c r="A383" s="5" t="s">
        <v>1642</v>
      </c>
      <c r="B383" s="5" t="s">
        <v>877</v>
      </c>
      <c r="C383" s="5" t="s">
        <v>25</v>
      </c>
      <c r="D383" s="6">
        <v>31.0</v>
      </c>
      <c r="E383" s="6" t="s">
        <v>528</v>
      </c>
      <c r="F383" s="5" t="s">
        <v>152</v>
      </c>
      <c r="G383" s="5" t="s">
        <v>364</v>
      </c>
      <c r="H383" s="5" t="s">
        <v>916</v>
      </c>
      <c r="I383" s="5" t="s">
        <v>402</v>
      </c>
      <c r="J383" s="5" t="s">
        <v>222</v>
      </c>
      <c r="K383" s="5">
        <v>1463.0</v>
      </c>
    </row>
    <row r="384" ht="22.5" customHeight="1">
      <c r="A384" s="5" t="s">
        <v>1644</v>
      </c>
      <c r="B384" s="5" t="s">
        <v>158</v>
      </c>
      <c r="C384" s="5" t="s">
        <v>76</v>
      </c>
      <c r="D384" s="6">
        <v>59.0</v>
      </c>
      <c r="E384" s="6" t="s">
        <v>591</v>
      </c>
      <c r="F384" s="5" t="s">
        <v>105</v>
      </c>
      <c r="G384" s="5" t="s">
        <v>759</v>
      </c>
      <c r="H384" s="5" t="s">
        <v>32</v>
      </c>
      <c r="I384" s="5" t="s">
        <v>83</v>
      </c>
      <c r="J384" s="5" t="s">
        <v>559</v>
      </c>
      <c r="K384" s="5">
        <v>2230.0</v>
      </c>
    </row>
    <row r="385" ht="22.5" customHeight="1">
      <c r="A385" s="5" t="s">
        <v>1647</v>
      </c>
      <c r="B385" s="5" t="s">
        <v>411</v>
      </c>
      <c r="C385" s="5" t="s">
        <v>254</v>
      </c>
      <c r="D385" s="6">
        <v>66.0</v>
      </c>
      <c r="E385" s="6" t="s">
        <v>734</v>
      </c>
      <c r="F385" s="5" t="s">
        <v>105</v>
      </c>
      <c r="G385" s="5" t="s">
        <v>30</v>
      </c>
      <c r="H385" s="5" t="s">
        <v>436</v>
      </c>
      <c r="I385" s="5" t="s">
        <v>561</v>
      </c>
      <c r="J385" s="5" t="s">
        <v>97</v>
      </c>
      <c r="K385" s="5">
        <v>2640.0</v>
      </c>
    </row>
    <row r="386" ht="22.5" customHeight="1">
      <c r="A386" s="5" t="s">
        <v>1649</v>
      </c>
      <c r="B386" s="5" t="s">
        <v>831</v>
      </c>
      <c r="C386" s="5" t="s">
        <v>90</v>
      </c>
      <c r="D386" s="6">
        <v>84.0</v>
      </c>
      <c r="E386" s="6" t="s">
        <v>734</v>
      </c>
      <c r="F386" s="5" t="s">
        <v>105</v>
      </c>
      <c r="G386" s="5" t="s">
        <v>309</v>
      </c>
      <c r="H386" s="5" t="s">
        <v>470</v>
      </c>
      <c r="I386" s="5" t="s">
        <v>96</v>
      </c>
      <c r="J386" s="5" t="s">
        <v>97</v>
      </c>
      <c r="K386" s="5">
        <v>113.0</v>
      </c>
    </row>
    <row r="387" ht="22.5" customHeight="1">
      <c r="A387" s="5" t="s">
        <v>1652</v>
      </c>
      <c r="B387" s="5" t="s">
        <v>542</v>
      </c>
      <c r="C387" s="5" t="s">
        <v>194</v>
      </c>
      <c r="D387" s="6">
        <v>85.0</v>
      </c>
      <c r="E387" s="6" t="s">
        <v>734</v>
      </c>
      <c r="F387" s="5" t="s">
        <v>152</v>
      </c>
      <c r="G387" s="5" t="s">
        <v>759</v>
      </c>
      <c r="H387" s="5" t="s">
        <v>230</v>
      </c>
      <c r="I387" s="5" t="s">
        <v>452</v>
      </c>
      <c r="J387" s="5" t="s">
        <v>97</v>
      </c>
      <c r="K387" s="5">
        <v>4964.0</v>
      </c>
    </row>
    <row r="388" ht="22.5" customHeight="1">
      <c r="A388" s="5" t="s">
        <v>1655</v>
      </c>
      <c r="B388" s="5" t="s">
        <v>1656</v>
      </c>
      <c r="C388" s="5" t="s">
        <v>324</v>
      </c>
      <c r="D388" s="6">
        <v>43.0</v>
      </c>
      <c r="E388" s="6" t="s">
        <v>591</v>
      </c>
      <c r="F388" s="5" t="s">
        <v>152</v>
      </c>
      <c r="G388" s="5" t="s">
        <v>237</v>
      </c>
      <c r="H388" s="5" t="s">
        <v>32</v>
      </c>
      <c r="I388" s="5" t="s">
        <v>83</v>
      </c>
      <c r="J388" s="5" t="s">
        <v>222</v>
      </c>
      <c r="K388" s="5">
        <v>2496.0</v>
      </c>
    </row>
    <row r="389" ht="22.5" customHeight="1">
      <c r="A389" s="5" t="s">
        <v>1659</v>
      </c>
      <c r="B389" s="5" t="s">
        <v>820</v>
      </c>
      <c r="C389" s="5" t="s">
        <v>316</v>
      </c>
      <c r="D389" s="6">
        <v>36.0</v>
      </c>
      <c r="E389" s="6" t="s">
        <v>528</v>
      </c>
      <c r="F389" s="5" t="s">
        <v>105</v>
      </c>
      <c r="G389" s="5" t="s">
        <v>131</v>
      </c>
      <c r="H389" s="5" t="s">
        <v>436</v>
      </c>
      <c r="I389" s="5" t="s">
        <v>561</v>
      </c>
      <c r="J389" s="5" t="s">
        <v>211</v>
      </c>
      <c r="K389" s="5">
        <v>2492.0</v>
      </c>
    </row>
    <row r="390" ht="22.5" customHeight="1">
      <c r="A390" s="5" t="s">
        <v>1661</v>
      </c>
      <c r="B390" s="5" t="s">
        <v>542</v>
      </c>
      <c r="C390" s="5" t="s">
        <v>556</v>
      </c>
      <c r="D390" s="6">
        <v>53.0</v>
      </c>
      <c r="E390" s="6" t="s">
        <v>591</v>
      </c>
      <c r="F390" s="5" t="s">
        <v>152</v>
      </c>
      <c r="G390" s="5" t="s">
        <v>208</v>
      </c>
      <c r="H390" s="5" t="s">
        <v>439</v>
      </c>
      <c r="I390" s="5" t="s">
        <v>210</v>
      </c>
      <c r="J390" s="5" t="s">
        <v>52</v>
      </c>
      <c r="K390" s="5">
        <v>724.0</v>
      </c>
    </row>
    <row r="391" ht="22.5" customHeight="1">
      <c r="A391" s="5" t="s">
        <v>1664</v>
      </c>
      <c r="B391" s="5" t="s">
        <v>1665</v>
      </c>
      <c r="C391" s="5" t="s">
        <v>264</v>
      </c>
      <c r="D391" s="6">
        <v>50.0</v>
      </c>
      <c r="E391" s="6" t="s">
        <v>591</v>
      </c>
      <c r="F391" s="5" t="s">
        <v>152</v>
      </c>
      <c r="G391" s="5" t="s">
        <v>141</v>
      </c>
      <c r="H391" s="5" t="s">
        <v>230</v>
      </c>
      <c r="I391" s="5" t="s">
        <v>452</v>
      </c>
      <c r="J391" s="5" t="s">
        <v>211</v>
      </c>
      <c r="K391" s="5">
        <v>2574.0</v>
      </c>
    </row>
    <row r="392" ht="22.5" customHeight="1">
      <c r="A392" s="5" t="s">
        <v>1668</v>
      </c>
      <c r="B392" s="5" t="s">
        <v>171</v>
      </c>
      <c r="C392" s="5" t="s">
        <v>244</v>
      </c>
      <c r="D392" s="6">
        <v>20.0</v>
      </c>
      <c r="E392" s="6" t="s">
        <v>528</v>
      </c>
      <c r="F392" s="5" t="s">
        <v>152</v>
      </c>
      <c r="G392" s="5" t="s">
        <v>309</v>
      </c>
      <c r="H392" s="5" t="s">
        <v>551</v>
      </c>
      <c r="I392" s="5" t="s">
        <v>83</v>
      </c>
      <c r="J392" s="5" t="s">
        <v>52</v>
      </c>
      <c r="K392" s="5">
        <v>1035.0</v>
      </c>
    </row>
    <row r="393" ht="22.5" customHeight="1">
      <c r="A393" s="5" t="s">
        <v>1670</v>
      </c>
      <c r="B393" s="5" t="s">
        <v>1177</v>
      </c>
      <c r="C393" s="5" t="s">
        <v>629</v>
      </c>
      <c r="D393" s="6">
        <v>71.0</v>
      </c>
      <c r="E393" s="6" t="s">
        <v>734</v>
      </c>
      <c r="F393" s="5" t="s">
        <v>105</v>
      </c>
      <c r="G393" s="5" t="s">
        <v>47</v>
      </c>
      <c r="H393" s="5" t="s">
        <v>1290</v>
      </c>
      <c r="I393" s="5" t="s">
        <v>533</v>
      </c>
      <c r="J393" s="5" t="s">
        <v>97</v>
      </c>
      <c r="K393" s="5">
        <v>566.0</v>
      </c>
    </row>
    <row r="394" ht="22.5" customHeight="1">
      <c r="A394" s="5" t="s">
        <v>1673</v>
      </c>
      <c r="B394" s="5" t="s">
        <v>307</v>
      </c>
      <c r="C394" s="5" t="s">
        <v>556</v>
      </c>
      <c r="D394" s="6">
        <v>39.0</v>
      </c>
      <c r="E394" s="6" t="s">
        <v>528</v>
      </c>
      <c r="F394" s="5" t="s">
        <v>105</v>
      </c>
      <c r="G394" s="5" t="s">
        <v>237</v>
      </c>
      <c r="H394" s="5" t="s">
        <v>1290</v>
      </c>
      <c r="I394" s="5" t="s">
        <v>533</v>
      </c>
      <c r="J394" s="5" t="s">
        <v>211</v>
      </c>
      <c r="K394" s="5">
        <v>2458.0</v>
      </c>
    </row>
    <row r="395" ht="22.5" customHeight="1">
      <c r="A395" s="5" t="s">
        <v>1675</v>
      </c>
      <c r="B395" s="5" t="s">
        <v>89</v>
      </c>
      <c r="C395" s="5" t="s">
        <v>42</v>
      </c>
      <c r="D395" s="6">
        <v>26.0</v>
      </c>
      <c r="E395" s="6" t="s">
        <v>528</v>
      </c>
      <c r="F395" s="5" t="s">
        <v>105</v>
      </c>
      <c r="G395" s="5" t="s">
        <v>176</v>
      </c>
      <c r="H395" s="5" t="s">
        <v>277</v>
      </c>
      <c r="I395" s="5" t="s">
        <v>402</v>
      </c>
      <c r="J395" s="5" t="s">
        <v>559</v>
      </c>
      <c r="K395" s="5">
        <v>2637.0</v>
      </c>
    </row>
    <row r="396" ht="22.5" customHeight="1">
      <c r="A396" s="5" t="s">
        <v>1679</v>
      </c>
      <c r="B396" s="5" t="s">
        <v>542</v>
      </c>
      <c r="C396" s="5" t="s">
        <v>128</v>
      </c>
      <c r="D396" s="6">
        <v>82.0</v>
      </c>
      <c r="E396" s="6" t="s">
        <v>734</v>
      </c>
      <c r="F396" s="5" t="s">
        <v>152</v>
      </c>
      <c r="G396" s="5" t="s">
        <v>64</v>
      </c>
      <c r="H396" s="5" t="s">
        <v>230</v>
      </c>
      <c r="I396" s="5" t="s">
        <v>452</v>
      </c>
      <c r="J396" s="5" t="s">
        <v>97</v>
      </c>
      <c r="K396" s="5">
        <v>4932.0</v>
      </c>
    </row>
    <row r="397" ht="22.5" customHeight="1">
      <c r="A397" s="5" t="s">
        <v>1682</v>
      </c>
      <c r="B397" s="5" t="s">
        <v>136</v>
      </c>
      <c r="C397" s="5" t="s">
        <v>324</v>
      </c>
      <c r="D397" s="6">
        <v>66.0</v>
      </c>
      <c r="E397" s="6" t="s">
        <v>734</v>
      </c>
      <c r="F397" s="5" t="s">
        <v>105</v>
      </c>
      <c r="G397" s="5" t="s">
        <v>64</v>
      </c>
      <c r="H397" s="5" t="s">
        <v>439</v>
      </c>
      <c r="I397" s="5" t="s">
        <v>210</v>
      </c>
      <c r="J397" s="5" t="s">
        <v>97</v>
      </c>
      <c r="K397" s="5">
        <v>199.0</v>
      </c>
    </row>
    <row r="398" ht="22.5" customHeight="1">
      <c r="A398" s="5" t="s">
        <v>1685</v>
      </c>
      <c r="B398" s="5" t="s">
        <v>411</v>
      </c>
      <c r="C398" s="5" t="s">
        <v>363</v>
      </c>
      <c r="D398" s="6">
        <v>89.0</v>
      </c>
      <c r="E398" s="6" t="s">
        <v>734</v>
      </c>
      <c r="F398" s="5" t="s">
        <v>105</v>
      </c>
      <c r="G398" s="5" t="s">
        <v>393</v>
      </c>
      <c r="H398" s="5" t="s">
        <v>436</v>
      </c>
      <c r="I398" s="5" t="s">
        <v>561</v>
      </c>
      <c r="J398" s="5" t="s">
        <v>97</v>
      </c>
      <c r="K398" s="5">
        <v>2809.0</v>
      </c>
    </row>
    <row r="399" ht="22.5" customHeight="1">
      <c r="A399" s="5" t="s">
        <v>1688</v>
      </c>
      <c r="B399" s="5" t="s">
        <v>865</v>
      </c>
      <c r="C399" s="5" t="s">
        <v>25</v>
      </c>
      <c r="D399" s="6"/>
      <c r="E399" s="6" t="s">
        <v>1081</v>
      </c>
      <c r="F399" s="5" t="s">
        <v>105</v>
      </c>
      <c r="G399" s="5" t="s">
        <v>30</v>
      </c>
      <c r="H399" s="5" t="s">
        <v>377</v>
      </c>
      <c r="I399" s="5" t="s">
        <v>402</v>
      </c>
      <c r="J399" s="5" t="s">
        <v>97</v>
      </c>
      <c r="K399" s="5">
        <v>2103.0</v>
      </c>
    </row>
    <row r="400" ht="22.5" customHeight="1">
      <c r="A400" s="5" t="s">
        <v>1691</v>
      </c>
      <c r="B400" s="5" t="s">
        <v>323</v>
      </c>
      <c r="C400" s="5" t="s">
        <v>374</v>
      </c>
      <c r="D400" s="6">
        <v>46.0</v>
      </c>
      <c r="E400" s="6" t="s">
        <v>591</v>
      </c>
      <c r="F400" s="5" t="s">
        <v>105</v>
      </c>
      <c r="G400" s="5" t="s">
        <v>571</v>
      </c>
      <c r="H400" s="5" t="s">
        <v>358</v>
      </c>
      <c r="I400" s="5" t="s">
        <v>561</v>
      </c>
      <c r="J400" s="5" t="s">
        <v>559</v>
      </c>
      <c r="K400" s="5">
        <v>2884.0</v>
      </c>
    </row>
    <row r="401" ht="22.5" customHeight="1">
      <c r="A401" s="5" t="s">
        <v>1694</v>
      </c>
      <c r="B401" s="5" t="s">
        <v>411</v>
      </c>
      <c r="C401" s="5" t="s">
        <v>1486</v>
      </c>
      <c r="D401" s="6">
        <v>79.0</v>
      </c>
      <c r="E401" s="6" t="s">
        <v>734</v>
      </c>
      <c r="F401" s="5" t="s">
        <v>105</v>
      </c>
      <c r="G401" s="5" t="s">
        <v>237</v>
      </c>
      <c r="H401" s="5" t="s">
        <v>358</v>
      </c>
      <c r="I401" s="5" t="s">
        <v>561</v>
      </c>
      <c r="J401" s="5" t="s">
        <v>97</v>
      </c>
      <c r="K401" s="5">
        <v>2705.0</v>
      </c>
    </row>
    <row r="402" ht="22.5" customHeight="1">
      <c r="A402" s="5" t="s">
        <v>1697</v>
      </c>
      <c r="B402" s="5" t="s">
        <v>542</v>
      </c>
      <c r="C402" s="5" t="s">
        <v>324</v>
      </c>
      <c r="D402" s="6">
        <v>75.0</v>
      </c>
      <c r="E402" s="6" t="s">
        <v>734</v>
      </c>
      <c r="F402" s="5" t="s">
        <v>152</v>
      </c>
      <c r="G402" s="5" t="s">
        <v>176</v>
      </c>
      <c r="H402" s="5" t="s">
        <v>238</v>
      </c>
      <c r="I402" s="5" t="s">
        <v>533</v>
      </c>
      <c r="J402" s="5" t="s">
        <v>97</v>
      </c>
      <c r="K402" s="5">
        <v>575.0</v>
      </c>
    </row>
    <row r="403" ht="22.5" customHeight="1">
      <c r="A403" s="5" t="s">
        <v>1699</v>
      </c>
      <c r="B403" s="5" t="s">
        <v>625</v>
      </c>
      <c r="C403" s="5" t="s">
        <v>806</v>
      </c>
      <c r="D403" s="6">
        <v>69.0</v>
      </c>
      <c r="E403" s="6" t="s">
        <v>734</v>
      </c>
      <c r="F403" s="5" t="s">
        <v>105</v>
      </c>
      <c r="G403" s="5" t="s">
        <v>47</v>
      </c>
      <c r="H403" s="5" t="s">
        <v>482</v>
      </c>
      <c r="I403" s="5" t="s">
        <v>179</v>
      </c>
      <c r="J403" s="5" t="s">
        <v>97</v>
      </c>
      <c r="K403" s="5">
        <v>3223.0</v>
      </c>
    </row>
    <row r="404" ht="22.5" customHeight="1">
      <c r="A404" s="5" t="s">
        <v>1703</v>
      </c>
      <c r="B404" s="5" t="s">
        <v>411</v>
      </c>
      <c r="C404" s="5" t="s">
        <v>128</v>
      </c>
      <c r="D404" s="6">
        <v>82.0</v>
      </c>
      <c r="E404" s="6" t="s">
        <v>734</v>
      </c>
      <c r="F404" s="5" t="s">
        <v>105</v>
      </c>
      <c r="G404" s="5" t="s">
        <v>141</v>
      </c>
      <c r="H404" s="5" t="s">
        <v>377</v>
      </c>
      <c r="I404" s="5" t="s">
        <v>96</v>
      </c>
      <c r="J404" s="5" t="s">
        <v>97</v>
      </c>
      <c r="K404" s="5">
        <v>625.0</v>
      </c>
    </row>
    <row r="405" ht="22.5" customHeight="1">
      <c r="A405" s="5" t="s">
        <v>1706</v>
      </c>
      <c r="B405" s="5" t="s">
        <v>764</v>
      </c>
      <c r="C405" s="5" t="s">
        <v>172</v>
      </c>
      <c r="D405" s="6">
        <v>78.0</v>
      </c>
      <c r="E405" s="6" t="s">
        <v>734</v>
      </c>
      <c r="F405" s="5" t="s">
        <v>105</v>
      </c>
      <c r="G405" s="5" t="s">
        <v>47</v>
      </c>
      <c r="H405" s="5" t="s">
        <v>551</v>
      </c>
      <c r="I405" s="5" t="s">
        <v>83</v>
      </c>
      <c r="J405" s="5" t="s">
        <v>97</v>
      </c>
      <c r="K405" s="5">
        <v>1030.0</v>
      </c>
    </row>
    <row r="406" ht="22.5" customHeight="1">
      <c r="A406" s="5" t="s">
        <v>1709</v>
      </c>
      <c r="B406" s="5" t="s">
        <v>1149</v>
      </c>
      <c r="C406" s="5" t="s">
        <v>128</v>
      </c>
      <c r="D406" s="6">
        <v>60.0</v>
      </c>
      <c r="E406" s="6" t="s">
        <v>591</v>
      </c>
      <c r="F406" s="5" t="s">
        <v>105</v>
      </c>
      <c r="G406" s="5" t="s">
        <v>268</v>
      </c>
      <c r="H406" s="5" t="s">
        <v>164</v>
      </c>
      <c r="I406" s="5" t="s">
        <v>452</v>
      </c>
      <c r="J406" s="5" t="s">
        <v>211</v>
      </c>
      <c r="K406" s="5">
        <v>4140.0</v>
      </c>
    </row>
    <row r="407" ht="22.5" customHeight="1">
      <c r="A407" s="5" t="s">
        <v>1712</v>
      </c>
      <c r="B407" s="5" t="s">
        <v>307</v>
      </c>
      <c r="C407" s="5" t="s">
        <v>495</v>
      </c>
      <c r="D407" s="6">
        <v>48.0</v>
      </c>
      <c r="E407" s="6" t="s">
        <v>591</v>
      </c>
      <c r="F407" s="5" t="s">
        <v>105</v>
      </c>
      <c r="G407" s="5" t="s">
        <v>64</v>
      </c>
      <c r="H407" s="5" t="s">
        <v>489</v>
      </c>
      <c r="I407" s="5" t="s">
        <v>179</v>
      </c>
      <c r="J407" s="5" t="s">
        <v>52</v>
      </c>
      <c r="K407" s="5">
        <v>2847.0</v>
      </c>
    </row>
    <row r="408" ht="22.5" customHeight="1">
      <c r="A408" s="5" t="s">
        <v>1715</v>
      </c>
      <c r="B408" s="5" t="s">
        <v>1160</v>
      </c>
      <c r="C408" s="5" t="s">
        <v>556</v>
      </c>
      <c r="D408" s="6">
        <v>86.0</v>
      </c>
      <c r="E408" s="6" t="s">
        <v>734</v>
      </c>
      <c r="F408" s="5" t="s">
        <v>152</v>
      </c>
      <c r="G408" s="5" t="s">
        <v>81</v>
      </c>
      <c r="H408" s="5" t="s">
        <v>164</v>
      </c>
      <c r="I408" s="5" t="s">
        <v>607</v>
      </c>
      <c r="J408" s="5" t="s">
        <v>97</v>
      </c>
      <c r="K408" s="5">
        <v>1754.0</v>
      </c>
    </row>
    <row r="409" ht="22.5" customHeight="1">
      <c r="A409" s="5" t="s">
        <v>1718</v>
      </c>
      <c r="B409" s="5" t="s">
        <v>147</v>
      </c>
      <c r="C409" s="5" t="s">
        <v>556</v>
      </c>
      <c r="D409" s="6">
        <v>26.0</v>
      </c>
      <c r="E409" s="6" t="s">
        <v>528</v>
      </c>
      <c r="F409" s="5" t="s">
        <v>152</v>
      </c>
      <c r="G409" s="5" t="s">
        <v>64</v>
      </c>
      <c r="H409" s="5" t="s">
        <v>916</v>
      </c>
      <c r="I409" s="5" t="s">
        <v>402</v>
      </c>
      <c r="J409" s="5" t="s">
        <v>559</v>
      </c>
      <c r="K409" s="5">
        <v>2093.0</v>
      </c>
    </row>
    <row r="410" ht="22.5" customHeight="1">
      <c r="A410" s="5" t="s">
        <v>1721</v>
      </c>
      <c r="B410" s="5" t="s">
        <v>343</v>
      </c>
      <c r="C410" s="5" t="s">
        <v>713</v>
      </c>
      <c r="D410" s="6">
        <v>23.0</v>
      </c>
      <c r="E410" s="6" t="s">
        <v>528</v>
      </c>
      <c r="F410" s="5" t="s">
        <v>152</v>
      </c>
      <c r="G410" s="5" t="s">
        <v>30</v>
      </c>
      <c r="H410" s="5" t="s">
        <v>1290</v>
      </c>
      <c r="I410" s="5" t="s">
        <v>533</v>
      </c>
      <c r="J410" s="5" t="s">
        <v>211</v>
      </c>
      <c r="K410" s="5">
        <v>1220.0</v>
      </c>
    </row>
    <row r="411" ht="22.5" customHeight="1">
      <c r="A411" s="5" t="s">
        <v>1723</v>
      </c>
      <c r="B411" s="5" t="s">
        <v>1525</v>
      </c>
      <c r="C411" s="5" t="s">
        <v>254</v>
      </c>
      <c r="D411" s="6">
        <v>35.0</v>
      </c>
      <c r="E411" s="6" t="s">
        <v>528</v>
      </c>
      <c r="F411" s="5" t="s">
        <v>152</v>
      </c>
      <c r="G411" s="5" t="s">
        <v>131</v>
      </c>
      <c r="H411" s="5" t="s">
        <v>489</v>
      </c>
      <c r="I411" s="5" t="s">
        <v>179</v>
      </c>
      <c r="J411" s="5" t="s">
        <v>52</v>
      </c>
      <c r="K411" s="5">
        <v>2623.0</v>
      </c>
    </row>
    <row r="412" ht="22.5" customHeight="1">
      <c r="A412" s="5" t="s">
        <v>1726</v>
      </c>
      <c r="B412" s="5" t="s">
        <v>158</v>
      </c>
      <c r="C412" s="5" t="s">
        <v>316</v>
      </c>
      <c r="D412" s="6">
        <v>46.0</v>
      </c>
      <c r="E412" s="6" t="s">
        <v>591</v>
      </c>
      <c r="F412" s="5" t="s">
        <v>105</v>
      </c>
      <c r="G412" s="5" t="s">
        <v>571</v>
      </c>
      <c r="H412" s="5" t="s">
        <v>916</v>
      </c>
      <c r="I412" s="5" t="s">
        <v>402</v>
      </c>
      <c r="J412" s="5" t="s">
        <v>52</v>
      </c>
      <c r="K412" s="5">
        <v>443.0</v>
      </c>
    </row>
    <row r="413" ht="22.5" customHeight="1">
      <c r="A413" s="5" t="s">
        <v>1730</v>
      </c>
      <c r="B413" s="5" t="s">
        <v>193</v>
      </c>
      <c r="C413" s="5" t="s">
        <v>806</v>
      </c>
      <c r="D413" s="6">
        <v>49.0</v>
      </c>
      <c r="E413" s="6" t="s">
        <v>591</v>
      </c>
      <c r="F413" s="5" t="s">
        <v>105</v>
      </c>
      <c r="G413" s="5" t="s">
        <v>30</v>
      </c>
      <c r="H413" s="5" t="s">
        <v>482</v>
      </c>
      <c r="I413" s="5" t="s">
        <v>179</v>
      </c>
      <c r="J413" s="5" t="s">
        <v>222</v>
      </c>
      <c r="K413" s="5">
        <v>4999.0</v>
      </c>
    </row>
    <row r="414" ht="22.5" customHeight="1">
      <c r="A414" s="5" t="s">
        <v>1732</v>
      </c>
      <c r="B414" s="5" t="s">
        <v>307</v>
      </c>
      <c r="C414" s="5" t="s">
        <v>495</v>
      </c>
      <c r="D414" s="6">
        <v>71.0</v>
      </c>
      <c r="E414" s="6" t="s">
        <v>734</v>
      </c>
      <c r="F414" s="5" t="s">
        <v>105</v>
      </c>
      <c r="G414" s="5" t="s">
        <v>208</v>
      </c>
      <c r="H414" s="5" t="s">
        <v>311</v>
      </c>
      <c r="I414" s="5" t="s">
        <v>96</v>
      </c>
      <c r="J414" s="5" t="s">
        <v>97</v>
      </c>
      <c r="K414" s="5">
        <v>500.0</v>
      </c>
    </row>
    <row r="415" ht="22.5" customHeight="1">
      <c r="A415" s="5" t="s">
        <v>1735</v>
      </c>
      <c r="B415" s="5" t="s">
        <v>1939</v>
      </c>
      <c r="C415" s="5" t="s">
        <v>216</v>
      </c>
      <c r="D415" s="6">
        <v>72.0</v>
      </c>
      <c r="E415" s="6" t="s">
        <v>734</v>
      </c>
      <c r="F415" s="5" t="s">
        <v>105</v>
      </c>
      <c r="G415" s="5" t="s">
        <v>30</v>
      </c>
      <c r="H415" s="5" t="s">
        <v>439</v>
      </c>
      <c r="I415" s="5" t="s">
        <v>210</v>
      </c>
      <c r="J415" s="5" t="s">
        <v>97</v>
      </c>
      <c r="K415" s="5">
        <v>1089.0</v>
      </c>
    </row>
    <row r="416" ht="22.5" customHeight="1">
      <c r="A416" s="5" t="s">
        <v>1738</v>
      </c>
      <c r="B416" s="5" t="s">
        <v>2094</v>
      </c>
      <c r="C416" s="5" t="s">
        <v>324</v>
      </c>
      <c r="D416" s="6">
        <v>38.0</v>
      </c>
      <c r="E416" s="6" t="s">
        <v>528</v>
      </c>
      <c r="F416" s="5" t="s">
        <v>105</v>
      </c>
      <c r="G416" s="5" t="s">
        <v>64</v>
      </c>
      <c r="H416" s="5" t="s">
        <v>436</v>
      </c>
      <c r="I416" s="5" t="s">
        <v>561</v>
      </c>
      <c r="J416" s="5" t="s">
        <v>52</v>
      </c>
      <c r="K416" s="5">
        <v>2117.0</v>
      </c>
    </row>
    <row r="417" ht="22.5" customHeight="1">
      <c r="A417" s="5" t="s">
        <v>1741</v>
      </c>
      <c r="B417" s="5" t="s">
        <v>1531</v>
      </c>
      <c r="C417" s="5" t="s">
        <v>42</v>
      </c>
      <c r="D417" s="6">
        <v>56.0</v>
      </c>
      <c r="E417" s="6" t="s">
        <v>591</v>
      </c>
      <c r="F417" s="5" t="s">
        <v>152</v>
      </c>
      <c r="G417" s="5" t="s">
        <v>208</v>
      </c>
      <c r="H417" s="5" t="s">
        <v>436</v>
      </c>
      <c r="I417" s="5" t="s">
        <v>561</v>
      </c>
      <c r="J417" s="5" t="s">
        <v>222</v>
      </c>
      <c r="K417" s="5">
        <v>3123.0</v>
      </c>
    </row>
    <row r="418" ht="22.5" customHeight="1">
      <c r="A418" s="5" t="s">
        <v>1743</v>
      </c>
      <c r="B418" s="5" t="s">
        <v>877</v>
      </c>
      <c r="C418" s="5" t="s">
        <v>76</v>
      </c>
      <c r="D418" s="6">
        <v>29.0</v>
      </c>
      <c r="E418" s="6" t="s">
        <v>528</v>
      </c>
      <c r="F418" s="5" t="s">
        <v>152</v>
      </c>
      <c r="G418" s="5" t="s">
        <v>208</v>
      </c>
      <c r="H418" s="5" t="s">
        <v>551</v>
      </c>
      <c r="I418" s="5" t="s">
        <v>96</v>
      </c>
      <c r="J418" s="5" t="s">
        <v>52</v>
      </c>
      <c r="K418" s="5">
        <v>828.0</v>
      </c>
    </row>
    <row r="419" ht="22.5" customHeight="1">
      <c r="A419" s="5" t="s">
        <v>1746</v>
      </c>
      <c r="B419" s="5" t="s">
        <v>827</v>
      </c>
      <c r="C419" s="5" t="s">
        <v>301</v>
      </c>
      <c r="D419" s="6">
        <v>72.0</v>
      </c>
      <c r="E419" s="6" t="s">
        <v>734</v>
      </c>
      <c r="F419" s="5" t="s">
        <v>152</v>
      </c>
      <c r="G419" s="5" t="s">
        <v>47</v>
      </c>
      <c r="H419" s="5" t="s">
        <v>916</v>
      </c>
      <c r="I419" s="5" t="s">
        <v>402</v>
      </c>
      <c r="J419" s="5" t="s">
        <v>97</v>
      </c>
      <c r="K419" s="5">
        <v>1943.0</v>
      </c>
    </row>
    <row r="420" ht="22.5" customHeight="1">
      <c r="A420" s="5" t="s">
        <v>1750</v>
      </c>
      <c r="B420" s="5" t="s">
        <v>898</v>
      </c>
      <c r="C420" s="5" t="s">
        <v>254</v>
      </c>
      <c r="D420" s="6">
        <v>72.0</v>
      </c>
      <c r="E420" s="6" t="s">
        <v>734</v>
      </c>
      <c r="F420" s="5" t="s">
        <v>105</v>
      </c>
      <c r="G420" s="5" t="s">
        <v>30</v>
      </c>
      <c r="H420" s="5" t="s">
        <v>470</v>
      </c>
      <c r="I420" s="5" t="s">
        <v>179</v>
      </c>
      <c r="J420" s="5" t="s">
        <v>97</v>
      </c>
      <c r="K420" s="5">
        <v>4033.0</v>
      </c>
    </row>
    <row r="421" ht="22.5" customHeight="1">
      <c r="A421" s="5" t="s">
        <v>1752</v>
      </c>
      <c r="B421" s="5" t="s">
        <v>689</v>
      </c>
      <c r="C421" s="5" t="s">
        <v>469</v>
      </c>
      <c r="D421" s="6">
        <v>20.0</v>
      </c>
      <c r="E421" s="6" t="s">
        <v>528</v>
      </c>
      <c r="F421" s="5" t="s">
        <v>152</v>
      </c>
      <c r="G421" s="5" t="s">
        <v>64</v>
      </c>
      <c r="H421" s="5" t="s">
        <v>482</v>
      </c>
      <c r="I421" s="5" t="s">
        <v>179</v>
      </c>
      <c r="J421" s="5" t="s">
        <v>222</v>
      </c>
      <c r="K421" s="5">
        <v>3889.0</v>
      </c>
    </row>
    <row r="422" ht="22.5" customHeight="1">
      <c r="A422" s="5" t="s">
        <v>1755</v>
      </c>
      <c r="B422" s="5" t="s">
        <v>307</v>
      </c>
      <c r="C422" s="5" t="s">
        <v>284</v>
      </c>
      <c r="D422" s="6">
        <v>47.0</v>
      </c>
      <c r="E422" s="6" t="s">
        <v>591</v>
      </c>
      <c r="F422" s="5" t="s">
        <v>105</v>
      </c>
      <c r="G422" s="5" t="s">
        <v>107</v>
      </c>
      <c r="H422" s="5" t="s">
        <v>377</v>
      </c>
      <c r="I422" s="5" t="s">
        <v>402</v>
      </c>
      <c r="J422" s="5" t="s">
        <v>211</v>
      </c>
      <c r="K422" s="5">
        <v>1970.0</v>
      </c>
    </row>
    <row r="423" ht="22.5" customHeight="1">
      <c r="A423" s="5" t="s">
        <v>1757</v>
      </c>
      <c r="B423" s="5" t="s">
        <v>158</v>
      </c>
      <c r="C423" s="5" t="s">
        <v>90</v>
      </c>
      <c r="D423" s="6">
        <v>41.0</v>
      </c>
      <c r="E423" s="6" t="s">
        <v>591</v>
      </c>
      <c r="F423" s="5" t="s">
        <v>152</v>
      </c>
      <c r="G423" s="5" t="s">
        <v>141</v>
      </c>
      <c r="H423" s="5" t="s">
        <v>551</v>
      </c>
      <c r="I423" s="5" t="s">
        <v>83</v>
      </c>
      <c r="J423" s="5" t="s">
        <v>211</v>
      </c>
      <c r="K423" s="5">
        <v>2863.0</v>
      </c>
    </row>
    <row r="424" ht="22.5" customHeight="1">
      <c r="A424" s="5" t="s">
        <v>1759</v>
      </c>
      <c r="B424" s="5" t="s">
        <v>1656</v>
      </c>
      <c r="C424" s="5" t="s">
        <v>101</v>
      </c>
      <c r="D424" s="6">
        <v>47.0</v>
      </c>
      <c r="E424" s="6" t="s">
        <v>591</v>
      </c>
      <c r="F424" s="5" t="s">
        <v>152</v>
      </c>
      <c r="G424" s="5" t="s">
        <v>364</v>
      </c>
      <c r="H424" s="5" t="s">
        <v>439</v>
      </c>
      <c r="I424" s="5" t="s">
        <v>210</v>
      </c>
      <c r="J424" s="5" t="s">
        <v>559</v>
      </c>
      <c r="K424" s="5">
        <v>166.0</v>
      </c>
    </row>
    <row r="425" ht="22.5" customHeight="1">
      <c r="A425" s="5" t="s">
        <v>1761</v>
      </c>
      <c r="B425" s="5" t="s">
        <v>1329</v>
      </c>
      <c r="C425" s="5" t="s">
        <v>264</v>
      </c>
      <c r="D425" s="6">
        <v>50.0</v>
      </c>
      <c r="E425" s="6" t="s">
        <v>591</v>
      </c>
      <c r="F425" s="5" t="s">
        <v>152</v>
      </c>
      <c r="G425" s="5" t="s">
        <v>401</v>
      </c>
      <c r="H425" s="5" t="s">
        <v>916</v>
      </c>
      <c r="I425" s="5" t="s">
        <v>402</v>
      </c>
      <c r="J425" s="5" t="s">
        <v>211</v>
      </c>
      <c r="K425" s="5">
        <v>2803.0</v>
      </c>
    </row>
    <row r="426" ht="22.5" customHeight="1">
      <c r="A426" s="5" t="s">
        <v>1765</v>
      </c>
      <c r="B426" s="5" t="s">
        <v>136</v>
      </c>
      <c r="C426" s="5" t="s">
        <v>324</v>
      </c>
      <c r="D426" s="6">
        <v>30.0</v>
      </c>
      <c r="E426" s="6" t="s">
        <v>528</v>
      </c>
      <c r="F426" s="5" t="s">
        <v>105</v>
      </c>
      <c r="G426" s="5" t="s">
        <v>237</v>
      </c>
      <c r="H426" s="5" t="s">
        <v>551</v>
      </c>
      <c r="I426" s="5" t="s">
        <v>96</v>
      </c>
      <c r="J426" s="5" t="s">
        <v>222</v>
      </c>
      <c r="K426" s="5">
        <v>681.0</v>
      </c>
    </row>
    <row r="427" ht="22.5" customHeight="1">
      <c r="A427" s="5" t="s">
        <v>1767</v>
      </c>
      <c r="B427" s="5" t="s">
        <v>1186</v>
      </c>
      <c r="C427" s="5" t="s">
        <v>42</v>
      </c>
      <c r="D427" s="6">
        <v>29.0</v>
      </c>
      <c r="E427" s="6" t="s">
        <v>528</v>
      </c>
      <c r="F427" s="5" t="s">
        <v>152</v>
      </c>
      <c r="G427" s="5" t="s">
        <v>30</v>
      </c>
      <c r="H427" s="5" t="s">
        <v>238</v>
      </c>
      <c r="I427" s="5" t="s">
        <v>533</v>
      </c>
      <c r="J427" s="5" t="s">
        <v>52</v>
      </c>
      <c r="K427" s="5">
        <v>1117.0</v>
      </c>
    </row>
    <row r="428" ht="22.5" customHeight="1">
      <c r="A428" s="5" t="s">
        <v>1770</v>
      </c>
      <c r="B428" s="5" t="s">
        <v>411</v>
      </c>
      <c r="C428" s="5" t="s">
        <v>959</v>
      </c>
      <c r="D428" s="6">
        <v>57.0</v>
      </c>
      <c r="E428" s="6" t="s">
        <v>591</v>
      </c>
      <c r="F428" s="5" t="s">
        <v>105</v>
      </c>
      <c r="G428" s="5" t="s">
        <v>393</v>
      </c>
      <c r="H428" s="5" t="s">
        <v>164</v>
      </c>
      <c r="I428" s="5" t="s">
        <v>452</v>
      </c>
      <c r="J428" s="5" t="s">
        <v>559</v>
      </c>
      <c r="K428" s="5">
        <v>4999.0</v>
      </c>
    </row>
    <row r="429" ht="22.5" customHeight="1">
      <c r="A429" s="5" t="s">
        <v>1772</v>
      </c>
      <c r="B429" s="5" t="s">
        <v>1143</v>
      </c>
      <c r="C429" s="5" t="s">
        <v>374</v>
      </c>
      <c r="D429" s="6">
        <v>61.0</v>
      </c>
      <c r="E429" s="6" t="s">
        <v>734</v>
      </c>
      <c r="F429" s="5" t="s">
        <v>152</v>
      </c>
      <c r="G429" s="5" t="s">
        <v>47</v>
      </c>
      <c r="H429" s="5" t="s">
        <v>916</v>
      </c>
      <c r="I429" s="5" t="s">
        <v>402</v>
      </c>
      <c r="J429" s="5" t="s">
        <v>97</v>
      </c>
      <c r="K429" s="5">
        <v>1292.0</v>
      </c>
    </row>
    <row r="430" ht="22.5" customHeight="1">
      <c r="A430" s="5" t="s">
        <v>1774</v>
      </c>
      <c r="B430" s="5" t="s">
        <v>171</v>
      </c>
      <c r="C430" s="5" t="s">
        <v>324</v>
      </c>
      <c r="D430" s="6">
        <v>49.0</v>
      </c>
      <c r="E430" s="6" t="s">
        <v>591</v>
      </c>
      <c r="F430" s="5" t="s">
        <v>152</v>
      </c>
      <c r="G430" s="5" t="s">
        <v>237</v>
      </c>
      <c r="H430" s="5" t="s">
        <v>489</v>
      </c>
      <c r="I430" s="5" t="s">
        <v>179</v>
      </c>
      <c r="J430" s="5" t="s">
        <v>559</v>
      </c>
      <c r="K430" s="5">
        <v>3238.0</v>
      </c>
    </row>
    <row r="431" ht="22.5" customHeight="1">
      <c r="A431" s="5" t="s">
        <v>1777</v>
      </c>
      <c r="B431" s="5" t="s">
        <v>1875</v>
      </c>
      <c r="C431" s="5" t="s">
        <v>959</v>
      </c>
      <c r="D431" s="6">
        <v>82.0</v>
      </c>
      <c r="E431" s="6" t="s">
        <v>734</v>
      </c>
      <c r="F431" s="5" t="s">
        <v>152</v>
      </c>
      <c r="G431" s="5" t="s">
        <v>571</v>
      </c>
      <c r="H431" s="5" t="s">
        <v>164</v>
      </c>
      <c r="I431" s="5" t="s">
        <v>607</v>
      </c>
      <c r="J431" s="5" t="s">
        <v>97</v>
      </c>
      <c r="K431" s="5">
        <v>2861.0</v>
      </c>
    </row>
    <row r="432" ht="22.5" customHeight="1">
      <c r="A432" s="5" t="s">
        <v>1780</v>
      </c>
      <c r="B432" s="5" t="s">
        <v>307</v>
      </c>
      <c r="C432" s="5" t="s">
        <v>428</v>
      </c>
      <c r="D432" s="6">
        <v>55.0</v>
      </c>
      <c r="E432" s="6" t="s">
        <v>591</v>
      </c>
      <c r="F432" s="5" t="s">
        <v>105</v>
      </c>
      <c r="G432" s="5" t="s">
        <v>268</v>
      </c>
      <c r="H432" s="5" t="s">
        <v>576</v>
      </c>
      <c r="I432" s="5" t="s">
        <v>607</v>
      </c>
      <c r="J432" s="5" t="s">
        <v>52</v>
      </c>
      <c r="K432" s="5">
        <v>1740.0</v>
      </c>
    </row>
    <row r="433" ht="22.5" customHeight="1">
      <c r="A433" s="5" t="s">
        <v>1781</v>
      </c>
      <c r="B433" s="5" t="s">
        <v>136</v>
      </c>
      <c r="C433" s="5" t="s">
        <v>159</v>
      </c>
      <c r="D433" s="6">
        <v>50.0</v>
      </c>
      <c r="E433" s="6" t="s">
        <v>591</v>
      </c>
      <c r="F433" s="5" t="s">
        <v>152</v>
      </c>
      <c r="G433" s="5" t="s">
        <v>393</v>
      </c>
      <c r="H433" s="5" t="s">
        <v>470</v>
      </c>
      <c r="I433" s="5" t="s">
        <v>96</v>
      </c>
      <c r="J433" s="5" t="s">
        <v>211</v>
      </c>
      <c r="K433" s="5">
        <v>733.0</v>
      </c>
    </row>
    <row r="434" ht="22.5" customHeight="1">
      <c r="A434" s="5" t="s">
        <v>1785</v>
      </c>
      <c r="B434" s="5" t="s">
        <v>2950</v>
      </c>
      <c r="C434" s="5" t="s">
        <v>556</v>
      </c>
      <c r="D434" s="8"/>
      <c r="E434" s="8" t="s">
        <v>1081</v>
      </c>
      <c r="F434" s="5" t="s">
        <v>152</v>
      </c>
      <c r="G434" s="5" t="s">
        <v>309</v>
      </c>
      <c r="H434" s="5" t="s">
        <v>164</v>
      </c>
      <c r="I434" s="5" t="s">
        <v>607</v>
      </c>
      <c r="J434" s="5" t="s">
        <v>211</v>
      </c>
      <c r="K434" s="5">
        <v>2417.0</v>
      </c>
    </row>
    <row r="435" ht="22.5" customHeight="1">
      <c r="A435" s="5" t="s">
        <v>1787</v>
      </c>
      <c r="B435" s="5" t="s">
        <v>1788</v>
      </c>
      <c r="C435" s="5" t="s">
        <v>159</v>
      </c>
      <c r="D435" s="6">
        <v>31.0</v>
      </c>
      <c r="E435" s="6" t="s">
        <v>528</v>
      </c>
      <c r="F435" s="5" t="s">
        <v>105</v>
      </c>
      <c r="G435" s="5" t="s">
        <v>81</v>
      </c>
      <c r="H435" s="5" t="s">
        <v>436</v>
      </c>
      <c r="I435" s="5" t="s">
        <v>561</v>
      </c>
      <c r="J435" s="5" t="s">
        <v>222</v>
      </c>
      <c r="K435" s="5">
        <v>1385.0</v>
      </c>
    </row>
    <row r="436" ht="22.5" customHeight="1">
      <c r="A436" s="5" t="s">
        <v>1791</v>
      </c>
      <c r="B436" s="5" t="s">
        <v>158</v>
      </c>
      <c r="C436" s="5" t="s">
        <v>556</v>
      </c>
      <c r="D436" s="6">
        <v>62.0</v>
      </c>
      <c r="E436" s="6" t="s">
        <v>734</v>
      </c>
      <c r="F436" s="5" t="s">
        <v>105</v>
      </c>
      <c r="G436" s="5" t="s">
        <v>309</v>
      </c>
      <c r="H436" s="5" t="s">
        <v>377</v>
      </c>
      <c r="I436" s="5" t="s">
        <v>402</v>
      </c>
      <c r="J436" s="5" t="s">
        <v>97</v>
      </c>
      <c r="K436" s="5">
        <v>1342.0</v>
      </c>
    </row>
    <row r="437" ht="22.5" customHeight="1">
      <c r="A437" s="5" t="s">
        <v>1794</v>
      </c>
      <c r="B437" s="5" t="s">
        <v>171</v>
      </c>
      <c r="C437" s="5" t="s">
        <v>76</v>
      </c>
      <c r="D437" s="6">
        <v>68.0</v>
      </c>
      <c r="E437" s="6" t="s">
        <v>734</v>
      </c>
      <c r="F437" s="5" t="s">
        <v>152</v>
      </c>
      <c r="G437" s="5" t="s">
        <v>759</v>
      </c>
      <c r="H437" s="5" t="s">
        <v>482</v>
      </c>
      <c r="I437" s="5" t="s">
        <v>179</v>
      </c>
      <c r="J437" s="5" t="s">
        <v>97</v>
      </c>
      <c r="K437" s="5">
        <v>3592.0</v>
      </c>
    </row>
    <row r="438" ht="22.5" customHeight="1">
      <c r="A438" s="5" t="s">
        <v>1796</v>
      </c>
      <c r="B438" s="5" t="s">
        <v>127</v>
      </c>
      <c r="C438" s="5" t="s">
        <v>254</v>
      </c>
      <c r="D438" s="6">
        <v>33.0</v>
      </c>
      <c r="E438" s="6" t="s">
        <v>528</v>
      </c>
      <c r="F438" s="5" t="s">
        <v>152</v>
      </c>
      <c r="G438" s="5" t="s">
        <v>364</v>
      </c>
      <c r="H438" s="5" t="s">
        <v>637</v>
      </c>
      <c r="I438" s="5" t="s">
        <v>546</v>
      </c>
      <c r="J438" s="5" t="s">
        <v>52</v>
      </c>
      <c r="K438" s="5">
        <v>3072.0</v>
      </c>
    </row>
    <row r="439" ht="22.5" customHeight="1">
      <c r="A439" s="5" t="s">
        <v>1799</v>
      </c>
      <c r="B439" s="5" t="s">
        <v>89</v>
      </c>
      <c r="C439" s="5" t="s">
        <v>352</v>
      </c>
      <c r="D439" s="6">
        <v>45.0</v>
      </c>
      <c r="E439" s="6" t="s">
        <v>591</v>
      </c>
      <c r="F439" s="5" t="s">
        <v>105</v>
      </c>
      <c r="G439" s="5" t="s">
        <v>64</v>
      </c>
      <c r="H439" s="5" t="s">
        <v>311</v>
      </c>
      <c r="I439" s="5" t="s">
        <v>546</v>
      </c>
      <c r="J439" s="5" t="s">
        <v>211</v>
      </c>
      <c r="K439" s="5">
        <v>1755.0</v>
      </c>
    </row>
    <row r="440" ht="22.5" customHeight="1">
      <c r="A440" s="5" t="s">
        <v>1801</v>
      </c>
      <c r="B440" s="5" t="s">
        <v>1085</v>
      </c>
      <c r="C440" s="5" t="s">
        <v>284</v>
      </c>
      <c r="D440" s="8"/>
      <c r="E440" s="8" t="s">
        <v>1081</v>
      </c>
      <c r="F440" s="5" t="s">
        <v>152</v>
      </c>
      <c r="G440" s="5" t="s">
        <v>364</v>
      </c>
      <c r="H440" s="5" t="s">
        <v>637</v>
      </c>
      <c r="I440" s="5" t="s">
        <v>546</v>
      </c>
      <c r="J440" s="5" t="s">
        <v>211</v>
      </c>
      <c r="K440" s="5">
        <v>2740.0</v>
      </c>
    </row>
    <row r="441" ht="22.5" customHeight="1">
      <c r="A441" s="5" t="s">
        <v>1803</v>
      </c>
      <c r="B441" s="5" t="s">
        <v>625</v>
      </c>
      <c r="C441" s="5" t="s">
        <v>90</v>
      </c>
      <c r="D441" s="6">
        <v>75.0</v>
      </c>
      <c r="E441" s="6" t="s">
        <v>734</v>
      </c>
      <c r="F441" s="5" t="s">
        <v>105</v>
      </c>
      <c r="G441" s="5" t="s">
        <v>47</v>
      </c>
      <c r="H441" s="5" t="s">
        <v>551</v>
      </c>
      <c r="I441" s="5" t="s">
        <v>83</v>
      </c>
      <c r="J441" s="5" t="s">
        <v>97</v>
      </c>
      <c r="K441" s="5">
        <v>1714.0</v>
      </c>
    </row>
    <row r="442" ht="22.5" customHeight="1">
      <c r="A442" s="5" t="s">
        <v>1805</v>
      </c>
      <c r="B442" s="5" t="s">
        <v>542</v>
      </c>
      <c r="C442" s="5" t="s">
        <v>363</v>
      </c>
      <c r="D442" s="6">
        <v>87.0</v>
      </c>
      <c r="E442" s="6" t="s">
        <v>734</v>
      </c>
      <c r="F442" s="5" t="s">
        <v>152</v>
      </c>
      <c r="G442" s="5" t="s">
        <v>47</v>
      </c>
      <c r="H442" s="5" t="s">
        <v>164</v>
      </c>
      <c r="I442" s="5" t="s">
        <v>607</v>
      </c>
      <c r="J442" s="5" t="s">
        <v>97</v>
      </c>
      <c r="K442" s="5">
        <v>1913.0</v>
      </c>
    </row>
    <row r="443" ht="22.5" customHeight="1">
      <c r="A443" s="5" t="s">
        <v>1808</v>
      </c>
      <c r="B443" s="5" t="s">
        <v>1809</v>
      </c>
      <c r="C443" s="5" t="s">
        <v>216</v>
      </c>
      <c r="D443" s="6">
        <v>50.0</v>
      </c>
      <c r="E443" s="6" t="s">
        <v>591</v>
      </c>
      <c r="F443" s="5" t="s">
        <v>152</v>
      </c>
      <c r="G443" s="5" t="s">
        <v>107</v>
      </c>
      <c r="H443" s="5" t="s">
        <v>238</v>
      </c>
      <c r="I443" s="5" t="s">
        <v>533</v>
      </c>
      <c r="J443" s="5" t="s">
        <v>52</v>
      </c>
      <c r="K443" s="5">
        <v>1593.0</v>
      </c>
    </row>
    <row r="444" ht="22.5" customHeight="1">
      <c r="A444" s="5" t="s">
        <v>1812</v>
      </c>
      <c r="B444" s="5" t="s">
        <v>1186</v>
      </c>
      <c r="C444" s="5" t="s">
        <v>76</v>
      </c>
      <c r="D444" s="6">
        <v>32.0</v>
      </c>
      <c r="E444" s="6" t="s">
        <v>528</v>
      </c>
      <c r="F444" s="5" t="s">
        <v>152</v>
      </c>
      <c r="G444" s="5" t="s">
        <v>237</v>
      </c>
      <c r="H444" s="5" t="s">
        <v>377</v>
      </c>
      <c r="I444" s="5" t="s">
        <v>402</v>
      </c>
      <c r="J444" s="5" t="s">
        <v>211</v>
      </c>
      <c r="K444" s="5">
        <v>50.0</v>
      </c>
    </row>
    <row r="445" ht="22.5" customHeight="1">
      <c r="A445" s="5" t="s">
        <v>1814</v>
      </c>
      <c r="B445" s="5" t="s">
        <v>411</v>
      </c>
      <c r="C445" s="5" t="s">
        <v>515</v>
      </c>
      <c r="D445" s="6"/>
      <c r="E445" s="6" t="s">
        <v>1081</v>
      </c>
      <c r="F445" s="5" t="s">
        <v>105</v>
      </c>
      <c r="G445" s="5" t="s">
        <v>30</v>
      </c>
      <c r="H445" s="5" t="s">
        <v>418</v>
      </c>
      <c r="I445" s="5" t="s">
        <v>210</v>
      </c>
      <c r="J445" s="5" t="s">
        <v>97</v>
      </c>
      <c r="K445" s="5">
        <v>888.0</v>
      </c>
    </row>
    <row r="446" ht="22.5" customHeight="1">
      <c r="A446" s="5" t="s">
        <v>1817</v>
      </c>
      <c r="B446" s="5" t="s">
        <v>171</v>
      </c>
      <c r="C446" s="5" t="s">
        <v>264</v>
      </c>
      <c r="D446" s="6">
        <v>18.0</v>
      </c>
      <c r="E446" s="6" t="s">
        <v>528</v>
      </c>
      <c r="F446" s="5" t="s">
        <v>152</v>
      </c>
      <c r="G446" s="5" t="s">
        <v>237</v>
      </c>
      <c r="H446" s="5" t="s">
        <v>238</v>
      </c>
      <c r="I446" s="5" t="s">
        <v>533</v>
      </c>
      <c r="J446" s="5" t="s">
        <v>211</v>
      </c>
      <c r="K446" s="5">
        <v>1849.0</v>
      </c>
    </row>
    <row r="447" ht="22.5" customHeight="1">
      <c r="A447" s="5" t="s">
        <v>1819</v>
      </c>
      <c r="B447" s="5" t="s">
        <v>183</v>
      </c>
      <c r="C447" s="5" t="s">
        <v>374</v>
      </c>
      <c r="D447" s="6"/>
      <c r="E447" s="6" t="s">
        <v>1081</v>
      </c>
      <c r="F447" s="5" t="s">
        <v>152</v>
      </c>
      <c r="G447" s="5" t="s">
        <v>571</v>
      </c>
      <c r="H447" s="5" t="s">
        <v>358</v>
      </c>
      <c r="I447" s="5" t="s">
        <v>561</v>
      </c>
      <c r="J447" s="5" t="s">
        <v>97</v>
      </c>
      <c r="K447" s="5">
        <v>4113.0</v>
      </c>
    </row>
    <row r="448" ht="22.5" customHeight="1">
      <c r="A448" s="5" t="s">
        <v>1822</v>
      </c>
      <c r="B448" s="5" t="s">
        <v>24</v>
      </c>
      <c r="C448" s="5" t="s">
        <v>556</v>
      </c>
      <c r="D448" s="6">
        <v>37.0</v>
      </c>
      <c r="E448" s="6" t="s">
        <v>528</v>
      </c>
      <c r="F448" s="5" t="s">
        <v>105</v>
      </c>
      <c r="G448" s="5" t="s">
        <v>107</v>
      </c>
      <c r="H448" s="5" t="s">
        <v>377</v>
      </c>
      <c r="I448" s="5" t="s">
        <v>96</v>
      </c>
      <c r="J448" s="5" t="s">
        <v>52</v>
      </c>
      <c r="K448" s="5">
        <v>938.0</v>
      </c>
    </row>
    <row r="449" ht="22.5" customHeight="1">
      <c r="A449" s="5" t="s">
        <v>1825</v>
      </c>
      <c r="B449" s="5" t="s">
        <v>820</v>
      </c>
      <c r="C449" s="5" t="s">
        <v>194</v>
      </c>
      <c r="D449" s="6">
        <v>72.0</v>
      </c>
      <c r="E449" s="6" t="s">
        <v>734</v>
      </c>
      <c r="F449" s="5" t="s">
        <v>105</v>
      </c>
      <c r="G449" s="5" t="s">
        <v>237</v>
      </c>
      <c r="H449" s="5" t="s">
        <v>238</v>
      </c>
      <c r="I449" s="5" t="s">
        <v>533</v>
      </c>
      <c r="J449" s="5" t="s">
        <v>97</v>
      </c>
      <c r="K449" s="5">
        <v>1290.0</v>
      </c>
    </row>
    <row r="450" ht="22.5" customHeight="1">
      <c r="A450" s="5" t="s">
        <v>1828</v>
      </c>
      <c r="B450" s="5" t="s">
        <v>2306</v>
      </c>
      <c r="C450" s="5" t="s">
        <v>828</v>
      </c>
      <c r="D450" s="6">
        <v>27.0</v>
      </c>
      <c r="E450" s="6" t="s">
        <v>528</v>
      </c>
      <c r="F450" s="5" t="s">
        <v>152</v>
      </c>
      <c r="G450" s="5" t="s">
        <v>47</v>
      </c>
      <c r="H450" s="5" t="s">
        <v>277</v>
      </c>
      <c r="I450" s="5" t="s">
        <v>402</v>
      </c>
      <c r="J450" s="5" t="s">
        <v>52</v>
      </c>
      <c r="K450" s="5">
        <v>1632.0</v>
      </c>
    </row>
    <row r="451" ht="22.5" customHeight="1">
      <c r="A451" s="5" t="s">
        <v>1831</v>
      </c>
      <c r="B451" s="5" t="s">
        <v>1583</v>
      </c>
      <c r="C451" s="5" t="s">
        <v>1252</v>
      </c>
      <c r="D451" s="8"/>
      <c r="E451" s="8" t="s">
        <v>1081</v>
      </c>
      <c r="F451" s="5" t="s">
        <v>105</v>
      </c>
      <c r="G451" s="5" t="s">
        <v>176</v>
      </c>
      <c r="H451" s="5" t="s">
        <v>551</v>
      </c>
      <c r="I451" s="5" t="s">
        <v>83</v>
      </c>
      <c r="J451" s="5" t="s">
        <v>222</v>
      </c>
      <c r="K451" s="5">
        <v>2359.0</v>
      </c>
    </row>
    <row r="452" ht="22.5" customHeight="1">
      <c r="A452" s="5" t="s">
        <v>1833</v>
      </c>
      <c r="B452" s="5" t="s">
        <v>1177</v>
      </c>
      <c r="C452" s="5" t="s">
        <v>363</v>
      </c>
      <c r="D452" s="6">
        <v>30.0</v>
      </c>
      <c r="E452" s="6" t="s">
        <v>528</v>
      </c>
      <c r="F452" s="5" t="s">
        <v>105</v>
      </c>
      <c r="G452" s="5" t="s">
        <v>309</v>
      </c>
      <c r="H452" s="5" t="s">
        <v>489</v>
      </c>
      <c r="I452" s="5" t="s">
        <v>179</v>
      </c>
      <c r="J452" s="5" t="s">
        <v>52</v>
      </c>
      <c r="K452" s="5">
        <v>4999.0</v>
      </c>
    </row>
    <row r="453" ht="22.5" customHeight="1">
      <c r="A453" s="5" t="s">
        <v>1834</v>
      </c>
      <c r="B453" s="5" t="s">
        <v>1149</v>
      </c>
      <c r="C453" s="5" t="s">
        <v>495</v>
      </c>
      <c r="D453" s="6"/>
      <c r="E453" s="6" t="s">
        <v>1081</v>
      </c>
      <c r="F453" s="5" t="s">
        <v>105</v>
      </c>
      <c r="G453" s="5" t="s">
        <v>64</v>
      </c>
      <c r="H453" s="5" t="s">
        <v>439</v>
      </c>
      <c r="I453" s="5" t="s">
        <v>210</v>
      </c>
      <c r="J453" s="5" t="s">
        <v>97</v>
      </c>
      <c r="K453" s="5">
        <v>834.0</v>
      </c>
    </row>
    <row r="454" ht="22.5" customHeight="1">
      <c r="A454" s="5" t="s">
        <v>1838</v>
      </c>
      <c r="B454" s="5" t="s">
        <v>136</v>
      </c>
      <c r="C454" s="5" t="s">
        <v>324</v>
      </c>
      <c r="D454" s="6">
        <v>19.0</v>
      </c>
      <c r="E454" s="6" t="s">
        <v>528</v>
      </c>
      <c r="F454" s="5" t="s">
        <v>105</v>
      </c>
      <c r="G454" s="5" t="s">
        <v>309</v>
      </c>
      <c r="H454" s="5" t="s">
        <v>489</v>
      </c>
      <c r="I454" s="5" t="s">
        <v>179</v>
      </c>
      <c r="J454" s="5" t="s">
        <v>559</v>
      </c>
      <c r="K454" s="5">
        <v>3264.0</v>
      </c>
    </row>
    <row r="455" ht="22.5" customHeight="1">
      <c r="A455" s="5" t="s">
        <v>1840</v>
      </c>
      <c r="B455" s="5" t="s">
        <v>89</v>
      </c>
      <c r="C455" s="5" t="s">
        <v>254</v>
      </c>
      <c r="D455" s="6">
        <v>83.0</v>
      </c>
      <c r="E455" s="6" t="s">
        <v>734</v>
      </c>
      <c r="F455" s="5" t="s">
        <v>105</v>
      </c>
      <c r="G455" s="5" t="s">
        <v>131</v>
      </c>
      <c r="H455" s="5" t="s">
        <v>164</v>
      </c>
      <c r="I455" s="5" t="s">
        <v>607</v>
      </c>
      <c r="J455" s="5" t="s">
        <v>97</v>
      </c>
      <c r="K455" s="5">
        <v>3737.0</v>
      </c>
    </row>
    <row r="456" ht="22.5" customHeight="1">
      <c r="A456" s="5" t="s">
        <v>1843</v>
      </c>
      <c r="B456" s="5" t="s">
        <v>1143</v>
      </c>
      <c r="C456" s="5" t="s">
        <v>556</v>
      </c>
      <c r="D456" s="6">
        <v>66.0</v>
      </c>
      <c r="E456" s="6" t="s">
        <v>734</v>
      </c>
      <c r="F456" s="5" t="s">
        <v>152</v>
      </c>
      <c r="G456" s="5" t="s">
        <v>571</v>
      </c>
      <c r="H456" s="5" t="s">
        <v>436</v>
      </c>
      <c r="I456" s="5" t="s">
        <v>561</v>
      </c>
      <c r="J456" s="5" t="s">
        <v>97</v>
      </c>
      <c r="K456" s="5">
        <v>3447.0</v>
      </c>
    </row>
    <row r="457" ht="22.5" customHeight="1">
      <c r="A457" s="5" t="s">
        <v>1846</v>
      </c>
      <c r="B457" s="5" t="s">
        <v>171</v>
      </c>
      <c r="C457" s="5" t="s">
        <v>90</v>
      </c>
      <c r="D457" s="6">
        <v>67.0</v>
      </c>
      <c r="E457" s="6" t="s">
        <v>734</v>
      </c>
      <c r="F457" s="5" t="s">
        <v>152</v>
      </c>
      <c r="G457" s="5" t="s">
        <v>571</v>
      </c>
      <c r="H457" s="5" t="s">
        <v>377</v>
      </c>
      <c r="I457" s="5" t="s">
        <v>402</v>
      </c>
      <c r="J457" s="5" t="s">
        <v>97</v>
      </c>
      <c r="K457" s="5">
        <v>3170.0</v>
      </c>
    </row>
    <row r="458" ht="22.5" customHeight="1">
      <c r="A458" s="5" t="s">
        <v>1848</v>
      </c>
      <c r="B458" s="5" t="s">
        <v>898</v>
      </c>
      <c r="C458" s="5" t="s">
        <v>629</v>
      </c>
      <c r="D458" s="6">
        <v>28.0</v>
      </c>
      <c r="E458" s="6" t="s">
        <v>528</v>
      </c>
      <c r="F458" s="5" t="s">
        <v>105</v>
      </c>
      <c r="G458" s="5" t="s">
        <v>309</v>
      </c>
      <c r="H458" s="5" t="s">
        <v>358</v>
      </c>
      <c r="I458" s="5" t="s">
        <v>561</v>
      </c>
      <c r="J458" s="5" t="s">
        <v>52</v>
      </c>
      <c r="K458" s="5">
        <v>2287.0</v>
      </c>
    </row>
    <row r="459" ht="22.5" customHeight="1">
      <c r="A459" s="5" t="s">
        <v>1851</v>
      </c>
      <c r="B459" s="5" t="s">
        <v>368</v>
      </c>
      <c r="C459" s="5" t="s">
        <v>148</v>
      </c>
      <c r="D459" s="6">
        <v>87.0</v>
      </c>
      <c r="E459" s="6" t="s">
        <v>734</v>
      </c>
      <c r="F459" s="5" t="s">
        <v>152</v>
      </c>
      <c r="G459" s="5" t="s">
        <v>539</v>
      </c>
      <c r="H459" s="5" t="s">
        <v>377</v>
      </c>
      <c r="I459" s="5" t="s">
        <v>402</v>
      </c>
      <c r="J459" s="5" t="s">
        <v>97</v>
      </c>
      <c r="K459" s="5">
        <v>2209.0</v>
      </c>
    </row>
    <row r="460" ht="22.5" customHeight="1">
      <c r="A460" s="5" t="s">
        <v>1852</v>
      </c>
      <c r="B460" s="5" t="s">
        <v>307</v>
      </c>
      <c r="C460" s="5" t="s">
        <v>128</v>
      </c>
      <c r="D460" s="6">
        <v>41.0</v>
      </c>
      <c r="E460" s="6" t="s">
        <v>591</v>
      </c>
      <c r="F460" s="5" t="s">
        <v>105</v>
      </c>
      <c r="G460" s="5" t="s">
        <v>176</v>
      </c>
      <c r="H460" s="5" t="s">
        <v>311</v>
      </c>
      <c r="I460" s="5" t="s">
        <v>96</v>
      </c>
      <c r="J460" s="5" t="s">
        <v>559</v>
      </c>
      <c r="K460" s="5">
        <v>1026.0</v>
      </c>
    </row>
    <row r="461" ht="22.5" customHeight="1">
      <c r="A461" s="5" t="s">
        <v>1855</v>
      </c>
      <c r="B461" s="5" t="s">
        <v>323</v>
      </c>
      <c r="C461" s="5" t="s">
        <v>433</v>
      </c>
      <c r="D461" s="6">
        <v>81.0</v>
      </c>
      <c r="E461" s="6" t="s">
        <v>734</v>
      </c>
      <c r="F461" s="5" t="s">
        <v>105</v>
      </c>
      <c r="G461" s="5" t="s">
        <v>393</v>
      </c>
      <c r="H461" s="5" t="s">
        <v>32</v>
      </c>
      <c r="I461" s="5" t="s">
        <v>83</v>
      </c>
      <c r="J461" s="5" t="s">
        <v>97</v>
      </c>
      <c r="K461" s="5">
        <v>2850.0</v>
      </c>
    </row>
    <row r="462" ht="22.5" customHeight="1">
      <c r="A462" s="5" t="s">
        <v>1858</v>
      </c>
      <c r="B462" s="5" t="s">
        <v>127</v>
      </c>
      <c r="C462" s="5" t="s">
        <v>128</v>
      </c>
      <c r="D462" s="8"/>
      <c r="E462" s="8" t="s">
        <v>1081</v>
      </c>
      <c r="F462" s="5" t="s">
        <v>152</v>
      </c>
      <c r="G462" s="5" t="s">
        <v>47</v>
      </c>
      <c r="H462" s="5" t="s">
        <v>377</v>
      </c>
      <c r="I462" s="5" t="s">
        <v>402</v>
      </c>
      <c r="J462" s="5" t="s">
        <v>559</v>
      </c>
      <c r="K462" s="5">
        <v>1486.0</v>
      </c>
    </row>
    <row r="463" ht="22.5" customHeight="1">
      <c r="A463" s="5" t="s">
        <v>1861</v>
      </c>
      <c r="B463" s="5" t="s">
        <v>1788</v>
      </c>
      <c r="C463" s="5" t="s">
        <v>324</v>
      </c>
      <c r="D463" s="6">
        <v>18.0</v>
      </c>
      <c r="E463" s="6" t="s">
        <v>528</v>
      </c>
      <c r="F463" s="5" t="s">
        <v>152</v>
      </c>
      <c r="G463" s="5" t="s">
        <v>393</v>
      </c>
      <c r="H463" s="5" t="s">
        <v>311</v>
      </c>
      <c r="I463" s="5" t="s">
        <v>546</v>
      </c>
      <c r="J463" s="5" t="s">
        <v>222</v>
      </c>
      <c r="K463" s="5">
        <v>1292.0</v>
      </c>
    </row>
    <row r="464" ht="22.5" customHeight="1">
      <c r="A464" s="5" t="s">
        <v>1864</v>
      </c>
      <c r="B464" s="5" t="s">
        <v>158</v>
      </c>
      <c r="C464" s="5" t="s">
        <v>25</v>
      </c>
      <c r="D464" s="6">
        <v>48.0</v>
      </c>
      <c r="E464" s="6" t="s">
        <v>591</v>
      </c>
      <c r="F464" s="5" t="s">
        <v>105</v>
      </c>
      <c r="G464" s="5" t="s">
        <v>237</v>
      </c>
      <c r="H464" s="5" t="s">
        <v>164</v>
      </c>
      <c r="I464" s="5" t="s">
        <v>607</v>
      </c>
      <c r="J464" s="5" t="s">
        <v>52</v>
      </c>
      <c r="K464" s="5">
        <v>2957.0</v>
      </c>
    </row>
    <row r="465" ht="22.5" customHeight="1">
      <c r="A465" s="5" t="s">
        <v>1866</v>
      </c>
      <c r="B465" s="5" t="s">
        <v>307</v>
      </c>
      <c r="C465" s="5" t="s">
        <v>374</v>
      </c>
      <c r="D465" s="6">
        <v>81.0</v>
      </c>
      <c r="E465" s="6" t="s">
        <v>734</v>
      </c>
      <c r="F465" s="5" t="s">
        <v>105</v>
      </c>
      <c r="G465" s="5" t="s">
        <v>393</v>
      </c>
      <c r="H465" s="5" t="s">
        <v>436</v>
      </c>
      <c r="I465" s="5" t="s">
        <v>561</v>
      </c>
      <c r="J465" s="5" t="s">
        <v>97</v>
      </c>
      <c r="K465" s="5">
        <v>3283.0</v>
      </c>
    </row>
    <row r="466" ht="22.5" customHeight="1">
      <c r="A466" s="5" t="s">
        <v>1869</v>
      </c>
      <c r="B466" s="5" t="s">
        <v>136</v>
      </c>
      <c r="C466" s="5" t="s">
        <v>128</v>
      </c>
      <c r="D466" s="6">
        <v>81.0</v>
      </c>
      <c r="E466" s="6" t="s">
        <v>734</v>
      </c>
      <c r="F466" s="5" t="s">
        <v>105</v>
      </c>
      <c r="G466" s="5" t="s">
        <v>64</v>
      </c>
      <c r="H466" s="5" t="s">
        <v>311</v>
      </c>
      <c r="I466" s="5" t="s">
        <v>96</v>
      </c>
      <c r="J466" s="5" t="s">
        <v>97</v>
      </c>
      <c r="K466" s="5">
        <v>881.0</v>
      </c>
    </row>
    <row r="467" ht="22.5" customHeight="1">
      <c r="A467" s="5" t="s">
        <v>1870</v>
      </c>
      <c r="B467" s="5" t="s">
        <v>158</v>
      </c>
      <c r="C467" s="5" t="s">
        <v>363</v>
      </c>
      <c r="D467" s="6">
        <v>89.0</v>
      </c>
      <c r="E467" s="6" t="s">
        <v>734</v>
      </c>
      <c r="F467" s="5" t="s">
        <v>105</v>
      </c>
      <c r="G467" s="5" t="s">
        <v>539</v>
      </c>
      <c r="H467" s="5" t="s">
        <v>637</v>
      </c>
      <c r="I467" s="5" t="s">
        <v>546</v>
      </c>
      <c r="J467" s="5" t="s">
        <v>97</v>
      </c>
      <c r="K467" s="5">
        <v>2291.0</v>
      </c>
    </row>
    <row r="468" ht="22.5" customHeight="1">
      <c r="A468" s="5" t="s">
        <v>1874</v>
      </c>
      <c r="B468" s="5" t="s">
        <v>1875</v>
      </c>
      <c r="C468" s="5" t="s">
        <v>828</v>
      </c>
      <c r="D468" s="6">
        <v>58.0</v>
      </c>
      <c r="E468" s="6" t="s">
        <v>591</v>
      </c>
      <c r="F468" s="5" t="s">
        <v>152</v>
      </c>
      <c r="G468" s="5" t="s">
        <v>30</v>
      </c>
      <c r="H468" s="5" t="s">
        <v>1290</v>
      </c>
      <c r="I468" s="5" t="s">
        <v>533</v>
      </c>
      <c r="J468" s="5" t="s">
        <v>222</v>
      </c>
      <c r="K468" s="5">
        <v>814.0</v>
      </c>
    </row>
    <row r="469" ht="22.5" customHeight="1">
      <c r="A469" s="5" t="s">
        <v>1878</v>
      </c>
      <c r="B469" s="5" t="s">
        <v>411</v>
      </c>
      <c r="C469" s="5" t="s">
        <v>128</v>
      </c>
      <c r="D469" s="8"/>
      <c r="E469" s="8" t="s">
        <v>1081</v>
      </c>
      <c r="F469" s="5" t="s">
        <v>105</v>
      </c>
      <c r="G469" s="5" t="s">
        <v>237</v>
      </c>
      <c r="H469" s="5" t="s">
        <v>436</v>
      </c>
      <c r="I469" s="5" t="s">
        <v>561</v>
      </c>
      <c r="J469" s="5" t="s">
        <v>559</v>
      </c>
      <c r="K469" s="5">
        <v>2482.0</v>
      </c>
    </row>
    <row r="470" ht="22.5" customHeight="1">
      <c r="A470" s="5" t="s">
        <v>1880</v>
      </c>
      <c r="B470" s="5" t="s">
        <v>193</v>
      </c>
      <c r="C470" s="5" t="s">
        <v>216</v>
      </c>
      <c r="D470" s="6">
        <v>79.0</v>
      </c>
      <c r="E470" s="6" t="s">
        <v>734</v>
      </c>
      <c r="F470" s="5" t="s">
        <v>105</v>
      </c>
      <c r="G470" s="5" t="s">
        <v>268</v>
      </c>
      <c r="H470" s="5" t="s">
        <v>439</v>
      </c>
      <c r="I470" s="5" t="s">
        <v>210</v>
      </c>
      <c r="J470" s="5" t="s">
        <v>97</v>
      </c>
      <c r="K470" s="5">
        <v>1545.0</v>
      </c>
    </row>
    <row r="471" ht="22.5" customHeight="1">
      <c r="A471" s="5" t="s">
        <v>1882</v>
      </c>
      <c r="B471" s="5" t="s">
        <v>307</v>
      </c>
      <c r="C471" s="5" t="s">
        <v>301</v>
      </c>
      <c r="D471" s="6">
        <v>70.0</v>
      </c>
      <c r="E471" s="6" t="s">
        <v>734</v>
      </c>
      <c r="F471" s="5" t="s">
        <v>105</v>
      </c>
      <c r="G471" s="5" t="s">
        <v>30</v>
      </c>
      <c r="H471" s="5" t="s">
        <v>377</v>
      </c>
      <c r="I471" s="5" t="s">
        <v>402</v>
      </c>
      <c r="J471" s="5" t="s">
        <v>97</v>
      </c>
      <c r="K471" s="5">
        <v>1815.0</v>
      </c>
    </row>
    <row r="472" ht="22.5" customHeight="1">
      <c r="A472" s="5" t="s">
        <v>1884</v>
      </c>
      <c r="B472" s="5" t="s">
        <v>1939</v>
      </c>
      <c r="C472" s="5" t="s">
        <v>254</v>
      </c>
      <c r="D472" s="6">
        <v>55.0</v>
      </c>
      <c r="E472" s="6" t="s">
        <v>591</v>
      </c>
      <c r="F472" s="5" t="s">
        <v>105</v>
      </c>
      <c r="G472" s="5" t="s">
        <v>237</v>
      </c>
      <c r="H472" s="5" t="s">
        <v>482</v>
      </c>
      <c r="I472" s="5" t="s">
        <v>179</v>
      </c>
      <c r="J472" s="5" t="s">
        <v>211</v>
      </c>
      <c r="K472" s="5">
        <v>2638.0</v>
      </c>
    </row>
    <row r="473" ht="22.5" customHeight="1">
      <c r="A473" s="5" t="s">
        <v>1887</v>
      </c>
      <c r="B473" s="5" t="s">
        <v>2094</v>
      </c>
      <c r="C473" s="5" t="s">
        <v>469</v>
      </c>
      <c r="D473" s="6">
        <v>30.0</v>
      </c>
      <c r="E473" s="6" t="s">
        <v>528</v>
      </c>
      <c r="F473" s="5" t="s">
        <v>105</v>
      </c>
      <c r="G473" s="5" t="s">
        <v>364</v>
      </c>
      <c r="H473" s="5" t="s">
        <v>439</v>
      </c>
      <c r="I473" s="5" t="s">
        <v>210</v>
      </c>
      <c r="J473" s="5" t="s">
        <v>52</v>
      </c>
      <c r="K473" s="5">
        <v>1468.0</v>
      </c>
    </row>
    <row r="474" ht="22.5" customHeight="1">
      <c r="A474" s="5" t="s">
        <v>1889</v>
      </c>
      <c r="B474" s="5" t="s">
        <v>411</v>
      </c>
      <c r="C474" s="5" t="s">
        <v>148</v>
      </c>
      <c r="D474" s="6">
        <v>53.0</v>
      </c>
      <c r="E474" s="6" t="s">
        <v>591</v>
      </c>
      <c r="F474" s="5" t="s">
        <v>105</v>
      </c>
      <c r="G474" s="5" t="s">
        <v>256</v>
      </c>
      <c r="H474" s="5" t="s">
        <v>470</v>
      </c>
      <c r="I474" s="5" t="s">
        <v>96</v>
      </c>
      <c r="J474" s="5" t="s">
        <v>222</v>
      </c>
      <c r="K474" s="5">
        <v>935.0</v>
      </c>
    </row>
    <row r="475" ht="22.5" customHeight="1">
      <c r="A475" s="5" t="s">
        <v>1892</v>
      </c>
      <c r="B475" s="5" t="s">
        <v>877</v>
      </c>
      <c r="C475" s="5" t="s">
        <v>374</v>
      </c>
      <c r="D475" s="6">
        <v>59.0</v>
      </c>
      <c r="E475" s="6" t="s">
        <v>591</v>
      </c>
      <c r="F475" s="5" t="s">
        <v>152</v>
      </c>
      <c r="G475" s="5" t="s">
        <v>141</v>
      </c>
      <c r="H475" s="5" t="s">
        <v>164</v>
      </c>
      <c r="I475" s="5" t="s">
        <v>452</v>
      </c>
      <c r="J475" s="5" t="s">
        <v>52</v>
      </c>
      <c r="K475" s="5">
        <v>3154.0</v>
      </c>
    </row>
    <row r="476" ht="22.5" customHeight="1">
      <c r="A476" s="5" t="s">
        <v>1895</v>
      </c>
      <c r="B476" s="5" t="s">
        <v>620</v>
      </c>
      <c r="C476" s="5" t="s">
        <v>159</v>
      </c>
      <c r="D476" s="6">
        <v>53.0</v>
      </c>
      <c r="E476" s="6" t="s">
        <v>591</v>
      </c>
      <c r="F476" s="5" t="s">
        <v>105</v>
      </c>
      <c r="G476" s="5" t="s">
        <v>393</v>
      </c>
      <c r="H476" s="5" t="s">
        <v>637</v>
      </c>
      <c r="I476" s="5" t="s">
        <v>546</v>
      </c>
      <c r="J476" s="5" t="s">
        <v>222</v>
      </c>
      <c r="K476" s="5">
        <v>3062.0</v>
      </c>
    </row>
    <row r="477" ht="22.5" customHeight="1">
      <c r="A477" s="5" t="s">
        <v>1897</v>
      </c>
      <c r="B477" s="5" t="s">
        <v>1809</v>
      </c>
      <c r="C477" s="5" t="s">
        <v>128</v>
      </c>
      <c r="D477" s="6">
        <v>78.0</v>
      </c>
      <c r="E477" s="6" t="s">
        <v>734</v>
      </c>
      <c r="F477" s="5" t="s">
        <v>152</v>
      </c>
      <c r="G477" s="5" t="s">
        <v>131</v>
      </c>
      <c r="H477" s="5" t="s">
        <v>358</v>
      </c>
      <c r="I477" s="5" t="s">
        <v>561</v>
      </c>
      <c r="J477" s="5" t="s">
        <v>97</v>
      </c>
      <c r="K477" s="5">
        <v>3688.0</v>
      </c>
    </row>
    <row r="478" ht="22.5" customHeight="1">
      <c r="A478" s="5" t="s">
        <v>1900</v>
      </c>
      <c r="B478" s="5" t="s">
        <v>323</v>
      </c>
      <c r="C478" s="5" t="s">
        <v>244</v>
      </c>
      <c r="D478" s="6">
        <v>63.0</v>
      </c>
      <c r="E478" s="6" t="s">
        <v>734</v>
      </c>
      <c r="F478" s="5" t="s">
        <v>105</v>
      </c>
      <c r="G478" s="5" t="s">
        <v>64</v>
      </c>
      <c r="H478" s="5" t="s">
        <v>470</v>
      </c>
      <c r="I478" s="5" t="s">
        <v>179</v>
      </c>
      <c r="J478" s="5" t="s">
        <v>97</v>
      </c>
      <c r="K478" s="5">
        <v>3974.0</v>
      </c>
    </row>
    <row r="479" ht="22.5" customHeight="1">
      <c r="A479" s="5" t="s">
        <v>1902</v>
      </c>
      <c r="B479" s="5" t="s">
        <v>307</v>
      </c>
      <c r="C479" s="5" t="s">
        <v>25</v>
      </c>
      <c r="D479" s="6">
        <v>49.0</v>
      </c>
      <c r="E479" s="6" t="s">
        <v>591</v>
      </c>
      <c r="F479" s="5" t="s">
        <v>105</v>
      </c>
      <c r="G479" s="5" t="s">
        <v>30</v>
      </c>
      <c r="H479" s="5" t="s">
        <v>482</v>
      </c>
      <c r="I479" s="5" t="s">
        <v>179</v>
      </c>
      <c r="J479" s="5" t="s">
        <v>211</v>
      </c>
      <c r="K479" s="5">
        <v>3856.0</v>
      </c>
    </row>
    <row r="480" ht="22.5" customHeight="1">
      <c r="A480" s="5" t="s">
        <v>1905</v>
      </c>
      <c r="B480" s="5" t="s">
        <v>983</v>
      </c>
      <c r="C480" s="5" t="s">
        <v>363</v>
      </c>
      <c r="D480" s="6">
        <v>67.0</v>
      </c>
      <c r="E480" s="6" t="s">
        <v>734</v>
      </c>
      <c r="F480" s="5" t="s">
        <v>152</v>
      </c>
      <c r="G480" s="5" t="s">
        <v>30</v>
      </c>
      <c r="H480" s="5" t="s">
        <v>482</v>
      </c>
      <c r="I480" s="5" t="s">
        <v>179</v>
      </c>
      <c r="J480" s="5" t="s">
        <v>97</v>
      </c>
      <c r="K480" s="5">
        <v>4999.0</v>
      </c>
    </row>
    <row r="481" ht="22.5" customHeight="1">
      <c r="A481" s="5" t="s">
        <v>1906</v>
      </c>
      <c r="B481" s="5" t="s">
        <v>127</v>
      </c>
      <c r="C481" s="5" t="s">
        <v>428</v>
      </c>
      <c r="D481" s="8"/>
      <c r="E481" s="8" t="s">
        <v>1081</v>
      </c>
      <c r="F481" s="5" t="s">
        <v>152</v>
      </c>
      <c r="G481" s="5" t="s">
        <v>64</v>
      </c>
      <c r="H481" s="5" t="s">
        <v>470</v>
      </c>
      <c r="I481" s="5" t="s">
        <v>96</v>
      </c>
      <c r="J481" s="5" t="s">
        <v>211</v>
      </c>
      <c r="K481" s="5">
        <v>50.0</v>
      </c>
    </row>
    <row r="482" ht="22.5" customHeight="1">
      <c r="A482" s="5" t="s">
        <v>1908</v>
      </c>
      <c r="B482" s="5" t="s">
        <v>1329</v>
      </c>
      <c r="C482" s="5" t="s">
        <v>254</v>
      </c>
      <c r="D482" s="6">
        <v>27.0</v>
      </c>
      <c r="E482" s="6" t="s">
        <v>528</v>
      </c>
      <c r="F482" s="5" t="s">
        <v>152</v>
      </c>
      <c r="G482" s="5" t="s">
        <v>401</v>
      </c>
      <c r="H482" s="5" t="s">
        <v>164</v>
      </c>
      <c r="I482" s="5" t="s">
        <v>452</v>
      </c>
      <c r="J482" s="5" t="s">
        <v>52</v>
      </c>
      <c r="K482" s="5">
        <v>4999.0</v>
      </c>
    </row>
    <row r="483" ht="22.5" customHeight="1">
      <c r="A483" s="5" t="s">
        <v>1911</v>
      </c>
      <c r="B483" s="5" t="s">
        <v>820</v>
      </c>
      <c r="C483" s="5" t="s">
        <v>128</v>
      </c>
      <c r="D483" s="6">
        <v>46.0</v>
      </c>
      <c r="E483" s="6" t="s">
        <v>591</v>
      </c>
      <c r="F483" s="5" t="s">
        <v>105</v>
      </c>
      <c r="G483" s="5" t="s">
        <v>47</v>
      </c>
      <c r="H483" s="5" t="s">
        <v>164</v>
      </c>
      <c r="I483" s="5" t="s">
        <v>96</v>
      </c>
      <c r="J483" s="5" t="s">
        <v>559</v>
      </c>
      <c r="K483" s="5">
        <v>600.0</v>
      </c>
    </row>
    <row r="484" ht="22.5" customHeight="1">
      <c r="A484" s="5" t="s">
        <v>1913</v>
      </c>
      <c r="B484" s="5" t="s">
        <v>1945</v>
      </c>
      <c r="C484" s="5" t="s">
        <v>42</v>
      </c>
      <c r="D484" s="6">
        <v>74.0</v>
      </c>
      <c r="E484" s="6" t="s">
        <v>734</v>
      </c>
      <c r="F484" s="5" t="s">
        <v>105</v>
      </c>
      <c r="G484" s="5" t="s">
        <v>30</v>
      </c>
      <c r="H484" s="5" t="s">
        <v>470</v>
      </c>
      <c r="I484" s="5" t="s">
        <v>179</v>
      </c>
      <c r="J484" s="5" t="s">
        <v>97</v>
      </c>
      <c r="K484" s="5">
        <v>2798.0</v>
      </c>
    </row>
    <row r="485" ht="22.5" customHeight="1">
      <c r="A485" s="5" t="s">
        <v>1915</v>
      </c>
      <c r="B485" s="5" t="s">
        <v>368</v>
      </c>
      <c r="C485" s="5" t="s">
        <v>959</v>
      </c>
      <c r="D485" s="6">
        <v>45.0</v>
      </c>
      <c r="E485" s="6" t="s">
        <v>591</v>
      </c>
      <c r="F485" s="5" t="s">
        <v>105</v>
      </c>
      <c r="G485" s="5" t="s">
        <v>401</v>
      </c>
      <c r="H485" s="5" t="s">
        <v>238</v>
      </c>
      <c r="I485" s="5" t="s">
        <v>533</v>
      </c>
      <c r="J485" s="5" t="s">
        <v>52</v>
      </c>
      <c r="K485" s="5">
        <v>778.0</v>
      </c>
    </row>
    <row r="486" ht="22.5" customHeight="1">
      <c r="A486" s="5" t="s">
        <v>1919</v>
      </c>
      <c r="B486" s="5" t="s">
        <v>171</v>
      </c>
      <c r="C486" s="5" t="s">
        <v>172</v>
      </c>
      <c r="D486" s="6">
        <v>54.0</v>
      </c>
      <c r="E486" s="6" t="s">
        <v>591</v>
      </c>
      <c r="F486" s="5" t="s">
        <v>152</v>
      </c>
      <c r="G486" s="5" t="s">
        <v>268</v>
      </c>
      <c r="H486" s="5" t="s">
        <v>1290</v>
      </c>
      <c r="I486" s="5" t="s">
        <v>533</v>
      </c>
      <c r="J486" s="5" t="s">
        <v>52</v>
      </c>
      <c r="K486" s="5">
        <v>2465.0</v>
      </c>
    </row>
    <row r="487" ht="22.5" customHeight="1">
      <c r="A487" s="5" t="s">
        <v>1921</v>
      </c>
      <c r="B487" s="5" t="s">
        <v>1665</v>
      </c>
      <c r="C487" s="5" t="s">
        <v>495</v>
      </c>
      <c r="D487" s="6">
        <v>90.0</v>
      </c>
      <c r="E487" s="6" t="s">
        <v>734</v>
      </c>
      <c r="F487" s="5" t="s">
        <v>152</v>
      </c>
      <c r="G487" s="5" t="s">
        <v>30</v>
      </c>
      <c r="H487" s="5" t="s">
        <v>418</v>
      </c>
      <c r="I487" s="5" t="s">
        <v>210</v>
      </c>
      <c r="J487" s="5" t="s">
        <v>97</v>
      </c>
      <c r="K487" s="5">
        <v>796.0</v>
      </c>
    </row>
    <row r="488" ht="22.5" customHeight="1">
      <c r="A488" s="5" t="s">
        <v>1924</v>
      </c>
      <c r="B488" s="5" t="s">
        <v>411</v>
      </c>
      <c r="C488" s="5" t="s">
        <v>128</v>
      </c>
      <c r="D488" s="6">
        <v>77.0</v>
      </c>
      <c r="E488" s="6" t="s">
        <v>734</v>
      </c>
      <c r="F488" s="5" t="s">
        <v>105</v>
      </c>
      <c r="G488" s="5" t="s">
        <v>47</v>
      </c>
      <c r="H488" s="5" t="s">
        <v>164</v>
      </c>
      <c r="I488" s="5" t="s">
        <v>452</v>
      </c>
      <c r="J488" s="5" t="s">
        <v>97</v>
      </c>
      <c r="K488" s="5">
        <v>3324.0</v>
      </c>
    </row>
    <row r="489" ht="22.5" customHeight="1">
      <c r="A489" s="5" t="s">
        <v>1925</v>
      </c>
      <c r="B489" s="5" t="s">
        <v>1583</v>
      </c>
      <c r="C489" s="5" t="s">
        <v>526</v>
      </c>
      <c r="D489" s="6">
        <v>34.0</v>
      </c>
      <c r="E489" s="6" t="s">
        <v>528</v>
      </c>
      <c r="F489" s="5" t="s">
        <v>105</v>
      </c>
      <c r="G489" s="5" t="s">
        <v>571</v>
      </c>
      <c r="H489" s="5" t="s">
        <v>551</v>
      </c>
      <c r="I489" s="5" t="s">
        <v>96</v>
      </c>
      <c r="J489" s="5" t="s">
        <v>52</v>
      </c>
      <c r="K489" s="5">
        <v>1238.0</v>
      </c>
    </row>
    <row r="490" ht="22.5" customHeight="1">
      <c r="A490" s="5" t="s">
        <v>1928</v>
      </c>
      <c r="B490" s="5" t="s">
        <v>689</v>
      </c>
      <c r="C490" s="5" t="s">
        <v>458</v>
      </c>
      <c r="D490" s="6">
        <v>49.0</v>
      </c>
      <c r="E490" s="6" t="s">
        <v>591</v>
      </c>
      <c r="F490" s="5" t="s">
        <v>152</v>
      </c>
      <c r="G490" s="5" t="s">
        <v>401</v>
      </c>
      <c r="H490" s="5" t="s">
        <v>311</v>
      </c>
      <c r="I490" s="5" t="s">
        <v>546</v>
      </c>
      <c r="J490" s="5" t="s">
        <v>211</v>
      </c>
      <c r="K490" s="5">
        <v>3138.0</v>
      </c>
    </row>
    <row r="491" ht="22.5" customHeight="1">
      <c r="A491" s="5" t="s">
        <v>1931</v>
      </c>
      <c r="B491" s="5" t="s">
        <v>171</v>
      </c>
      <c r="C491" s="5" t="s">
        <v>101</v>
      </c>
      <c r="D491" s="6">
        <v>35.0</v>
      </c>
      <c r="E491" s="6" t="s">
        <v>528</v>
      </c>
      <c r="F491" s="5" t="s">
        <v>152</v>
      </c>
      <c r="G491" s="5" t="s">
        <v>47</v>
      </c>
      <c r="H491" s="5" t="s">
        <v>470</v>
      </c>
      <c r="I491" s="5" t="s">
        <v>179</v>
      </c>
      <c r="J491" s="5" t="s">
        <v>222</v>
      </c>
      <c r="K491" s="5">
        <v>3895.0</v>
      </c>
    </row>
    <row r="492" ht="22.5" customHeight="1">
      <c r="A492" s="5" t="s">
        <v>1933</v>
      </c>
      <c r="B492" s="5" t="s">
        <v>193</v>
      </c>
      <c r="C492" s="5" t="s">
        <v>76</v>
      </c>
      <c r="D492" s="6">
        <v>43.0</v>
      </c>
      <c r="E492" s="6" t="s">
        <v>591</v>
      </c>
      <c r="F492" s="5" t="s">
        <v>105</v>
      </c>
      <c r="G492" s="5" t="s">
        <v>107</v>
      </c>
      <c r="H492" s="5" t="s">
        <v>123</v>
      </c>
      <c r="I492" s="5" t="s">
        <v>83</v>
      </c>
      <c r="J492" s="5" t="s">
        <v>52</v>
      </c>
      <c r="K492" s="5">
        <v>2185.0</v>
      </c>
    </row>
    <row r="493" ht="22.5" customHeight="1">
      <c r="A493" s="5" t="s">
        <v>1935</v>
      </c>
      <c r="B493" s="5" t="s">
        <v>1531</v>
      </c>
      <c r="C493" s="5" t="s">
        <v>301</v>
      </c>
      <c r="D493" s="6">
        <v>72.0</v>
      </c>
      <c r="E493" s="6" t="s">
        <v>734</v>
      </c>
      <c r="F493" s="5" t="s">
        <v>152</v>
      </c>
      <c r="G493" s="5" t="s">
        <v>30</v>
      </c>
      <c r="H493" s="5" t="s">
        <v>470</v>
      </c>
      <c r="I493" s="5" t="s">
        <v>179</v>
      </c>
      <c r="J493" s="5" t="s">
        <v>97</v>
      </c>
      <c r="K493" s="5">
        <v>3998.0</v>
      </c>
    </row>
    <row r="494" ht="22.5" customHeight="1">
      <c r="A494" s="5" t="s">
        <v>1938</v>
      </c>
      <c r="B494" s="5" t="s">
        <v>1939</v>
      </c>
      <c r="C494" s="5" t="s">
        <v>556</v>
      </c>
      <c r="D494" s="6">
        <v>63.0</v>
      </c>
      <c r="E494" s="6" t="s">
        <v>734</v>
      </c>
      <c r="F494" s="5" t="s">
        <v>105</v>
      </c>
      <c r="G494" s="5" t="s">
        <v>208</v>
      </c>
      <c r="H494" s="5" t="s">
        <v>551</v>
      </c>
      <c r="I494" s="5" t="s">
        <v>83</v>
      </c>
      <c r="J494" s="5" t="s">
        <v>97</v>
      </c>
      <c r="K494" s="5">
        <v>3288.0</v>
      </c>
    </row>
    <row r="495" ht="22.5" customHeight="1">
      <c r="A495" s="5" t="s">
        <v>1942</v>
      </c>
      <c r="B495" s="5" t="s">
        <v>343</v>
      </c>
      <c r="C495" s="5" t="s">
        <v>495</v>
      </c>
      <c r="D495" s="6">
        <v>30.0</v>
      </c>
      <c r="E495" s="6" t="s">
        <v>528</v>
      </c>
      <c r="F495" s="5" t="s">
        <v>152</v>
      </c>
      <c r="G495" s="5" t="s">
        <v>47</v>
      </c>
      <c r="H495" s="5" t="s">
        <v>311</v>
      </c>
      <c r="I495" s="5" t="s">
        <v>546</v>
      </c>
      <c r="J495" s="5" t="s">
        <v>559</v>
      </c>
      <c r="K495" s="5">
        <v>2640.0</v>
      </c>
    </row>
    <row r="496" ht="22.5" customHeight="1">
      <c r="A496" s="5" t="s">
        <v>1943</v>
      </c>
      <c r="B496" s="5" t="s">
        <v>1945</v>
      </c>
      <c r="C496" s="5" t="s">
        <v>148</v>
      </c>
      <c r="D496" s="6">
        <v>22.0</v>
      </c>
      <c r="E496" s="6" t="s">
        <v>528</v>
      </c>
      <c r="F496" s="5" t="s">
        <v>105</v>
      </c>
      <c r="G496" s="5" t="s">
        <v>30</v>
      </c>
      <c r="H496" s="5" t="s">
        <v>358</v>
      </c>
      <c r="I496" s="5" t="s">
        <v>561</v>
      </c>
      <c r="J496" s="5" t="s">
        <v>211</v>
      </c>
      <c r="K496" s="5">
        <v>3058.0</v>
      </c>
    </row>
    <row r="497" ht="22.5" customHeight="1">
      <c r="A497" s="5" t="s">
        <v>1947</v>
      </c>
      <c r="B497" s="5" t="s">
        <v>307</v>
      </c>
      <c r="C497" s="5" t="s">
        <v>254</v>
      </c>
      <c r="D497" s="6">
        <v>68.0</v>
      </c>
      <c r="E497" s="6" t="s">
        <v>734</v>
      </c>
      <c r="F497" s="5" t="s">
        <v>105</v>
      </c>
      <c r="G497" s="5" t="s">
        <v>364</v>
      </c>
      <c r="H497" s="5" t="s">
        <v>551</v>
      </c>
      <c r="I497" s="5" t="s">
        <v>83</v>
      </c>
      <c r="J497" s="5" t="s">
        <v>97</v>
      </c>
      <c r="K497" s="5">
        <v>3717.0</v>
      </c>
    </row>
    <row r="498" ht="22.5" customHeight="1">
      <c r="A498" s="5" t="s">
        <v>1950</v>
      </c>
      <c r="B498" s="5" t="s">
        <v>1951</v>
      </c>
      <c r="C498" s="5" t="s">
        <v>629</v>
      </c>
      <c r="D498" s="6">
        <v>59.0</v>
      </c>
      <c r="E498" s="6" t="s">
        <v>591</v>
      </c>
      <c r="F498" s="5" t="s">
        <v>105</v>
      </c>
      <c r="G498" s="5" t="s">
        <v>131</v>
      </c>
      <c r="H498" s="5" t="s">
        <v>470</v>
      </c>
      <c r="I498" s="5" t="s">
        <v>179</v>
      </c>
      <c r="J498" s="5" t="s">
        <v>222</v>
      </c>
      <c r="K498" s="5">
        <v>2367.0</v>
      </c>
    </row>
    <row r="499" ht="22.5" customHeight="1">
      <c r="A499" s="5" t="s">
        <v>1954</v>
      </c>
      <c r="B499" s="5" t="s">
        <v>307</v>
      </c>
      <c r="C499" s="5" t="s">
        <v>25</v>
      </c>
      <c r="D499" s="6">
        <v>61.0</v>
      </c>
      <c r="E499" s="6" t="s">
        <v>734</v>
      </c>
      <c r="F499" s="5" t="s">
        <v>105</v>
      </c>
      <c r="G499" s="5" t="s">
        <v>47</v>
      </c>
      <c r="H499" s="5" t="s">
        <v>311</v>
      </c>
      <c r="I499" s="5" t="s">
        <v>96</v>
      </c>
      <c r="J499" s="5" t="s">
        <v>97</v>
      </c>
      <c r="K499" s="5">
        <v>1024.0</v>
      </c>
    </row>
    <row r="500" ht="22.5" customHeight="1">
      <c r="A500" s="5" t="s">
        <v>1957</v>
      </c>
      <c r="B500" s="5" t="s">
        <v>1951</v>
      </c>
      <c r="C500" s="5" t="s">
        <v>1322</v>
      </c>
      <c r="D500" s="6">
        <v>36.0</v>
      </c>
      <c r="E500" s="6" t="s">
        <v>528</v>
      </c>
      <c r="F500" s="5" t="s">
        <v>105</v>
      </c>
      <c r="G500" s="5" t="s">
        <v>47</v>
      </c>
      <c r="H500" s="5" t="s">
        <v>637</v>
      </c>
      <c r="I500" s="5" t="s">
        <v>546</v>
      </c>
      <c r="J500" s="5" t="s">
        <v>559</v>
      </c>
      <c r="K500" s="5">
        <v>3444.0</v>
      </c>
    </row>
    <row r="501" ht="22.5" customHeight="1">
      <c r="A501" s="5" t="s">
        <v>1959</v>
      </c>
      <c r="B501" s="5" t="s">
        <v>89</v>
      </c>
      <c r="C501" s="5" t="s">
        <v>216</v>
      </c>
      <c r="D501" s="6"/>
      <c r="E501" s="6" t="s">
        <v>1081</v>
      </c>
      <c r="F501" s="5" t="s">
        <v>105</v>
      </c>
      <c r="G501" s="5" t="s">
        <v>30</v>
      </c>
      <c r="H501" s="5" t="s">
        <v>358</v>
      </c>
      <c r="I501" s="5" t="s">
        <v>561</v>
      </c>
      <c r="J501" s="5" t="s">
        <v>97</v>
      </c>
      <c r="K501" s="5">
        <v>1185.0</v>
      </c>
    </row>
    <row r="502" ht="22.5" customHeight="1">
      <c r="A502" s="5" t="s">
        <v>1962</v>
      </c>
      <c r="B502" s="5" t="s">
        <v>625</v>
      </c>
      <c r="C502" s="5" t="s">
        <v>25</v>
      </c>
      <c r="D502" s="6">
        <v>30.0</v>
      </c>
      <c r="E502" s="6" t="s">
        <v>528</v>
      </c>
      <c r="F502" s="5" t="s">
        <v>105</v>
      </c>
      <c r="G502" s="5" t="s">
        <v>401</v>
      </c>
      <c r="H502" s="5" t="s">
        <v>470</v>
      </c>
      <c r="I502" s="5" t="s">
        <v>179</v>
      </c>
      <c r="J502" s="5" t="s">
        <v>559</v>
      </c>
      <c r="K502" s="5">
        <v>4085.0</v>
      </c>
    </row>
    <row r="503" ht="22.5" customHeight="1">
      <c r="A503" s="5" t="s">
        <v>1964</v>
      </c>
      <c r="B503" s="5" t="s">
        <v>1583</v>
      </c>
      <c r="C503" s="5" t="s">
        <v>244</v>
      </c>
      <c r="D503" s="6">
        <v>26.0</v>
      </c>
      <c r="E503" s="6" t="s">
        <v>528</v>
      </c>
      <c r="F503" s="5" t="s">
        <v>105</v>
      </c>
      <c r="G503" s="5" t="s">
        <v>393</v>
      </c>
      <c r="H503" s="5" t="s">
        <v>418</v>
      </c>
      <c r="I503" s="5" t="s">
        <v>210</v>
      </c>
      <c r="J503" s="5" t="s">
        <v>222</v>
      </c>
      <c r="K503" s="5">
        <v>154.0</v>
      </c>
    </row>
    <row r="504" ht="22.5" customHeight="1">
      <c r="A504" s="5" t="s">
        <v>1966</v>
      </c>
      <c r="B504" s="5" t="s">
        <v>343</v>
      </c>
      <c r="C504" s="5" t="s">
        <v>254</v>
      </c>
      <c r="D504" s="6">
        <v>50.0</v>
      </c>
      <c r="E504" s="6" t="s">
        <v>591</v>
      </c>
      <c r="F504" s="5" t="s">
        <v>152</v>
      </c>
      <c r="G504" s="5" t="s">
        <v>393</v>
      </c>
      <c r="H504" s="5" t="s">
        <v>482</v>
      </c>
      <c r="I504" s="5" t="s">
        <v>179</v>
      </c>
      <c r="J504" s="5" t="s">
        <v>222</v>
      </c>
      <c r="K504" s="5">
        <v>1892.0</v>
      </c>
    </row>
    <row r="505" ht="22.5" customHeight="1">
      <c r="A505" s="5" t="s">
        <v>1968</v>
      </c>
      <c r="B505" s="5" t="s">
        <v>307</v>
      </c>
      <c r="C505" s="5" t="s">
        <v>254</v>
      </c>
      <c r="D505" s="6">
        <v>32.0</v>
      </c>
      <c r="E505" s="6" t="s">
        <v>528</v>
      </c>
      <c r="F505" s="5" t="s">
        <v>105</v>
      </c>
      <c r="G505" s="5" t="s">
        <v>64</v>
      </c>
      <c r="H505" s="5" t="s">
        <v>470</v>
      </c>
      <c r="I505" s="5" t="s">
        <v>179</v>
      </c>
      <c r="J505" s="5" t="s">
        <v>52</v>
      </c>
      <c r="K505" s="5">
        <v>4352.0</v>
      </c>
    </row>
    <row r="506" ht="22.5" customHeight="1">
      <c r="A506" s="5" t="s">
        <v>1971</v>
      </c>
      <c r="B506" s="5" t="s">
        <v>620</v>
      </c>
      <c r="C506" s="5" t="s">
        <v>76</v>
      </c>
      <c r="D506" s="6">
        <v>55.0</v>
      </c>
      <c r="E506" s="6" t="s">
        <v>591</v>
      </c>
      <c r="F506" s="5" t="s">
        <v>105</v>
      </c>
      <c r="G506" s="5" t="s">
        <v>141</v>
      </c>
      <c r="H506" s="5" t="s">
        <v>164</v>
      </c>
      <c r="I506" s="5" t="s">
        <v>452</v>
      </c>
      <c r="J506" s="5" t="s">
        <v>559</v>
      </c>
      <c r="K506" s="5">
        <v>4048.0</v>
      </c>
    </row>
    <row r="507" ht="22.5" customHeight="1">
      <c r="A507" s="5" t="s">
        <v>1973</v>
      </c>
      <c r="B507" s="5" t="s">
        <v>3109</v>
      </c>
      <c r="C507" s="5" t="s">
        <v>254</v>
      </c>
      <c r="D507" s="6">
        <v>82.0</v>
      </c>
      <c r="E507" s="6" t="s">
        <v>734</v>
      </c>
      <c r="F507" s="5" t="s">
        <v>152</v>
      </c>
      <c r="G507" s="5" t="s">
        <v>393</v>
      </c>
      <c r="H507" s="5" t="s">
        <v>230</v>
      </c>
      <c r="I507" s="5" t="s">
        <v>452</v>
      </c>
      <c r="J507" s="5" t="s">
        <v>97</v>
      </c>
      <c r="K507" s="5">
        <v>3271.0</v>
      </c>
    </row>
    <row r="508" ht="22.5" customHeight="1">
      <c r="A508" s="5" t="s">
        <v>1977</v>
      </c>
      <c r="B508" s="5" t="s">
        <v>183</v>
      </c>
      <c r="C508" s="5" t="s">
        <v>128</v>
      </c>
      <c r="D508" s="6">
        <v>72.0</v>
      </c>
      <c r="E508" s="6" t="s">
        <v>734</v>
      </c>
      <c r="F508" s="5" t="s">
        <v>152</v>
      </c>
      <c r="G508" s="5" t="s">
        <v>107</v>
      </c>
      <c r="H508" s="5" t="s">
        <v>669</v>
      </c>
      <c r="I508" s="5" t="s">
        <v>452</v>
      </c>
      <c r="J508" s="5" t="s">
        <v>97</v>
      </c>
      <c r="K508" s="5">
        <v>2782.0</v>
      </c>
    </row>
    <row r="509" ht="22.5" customHeight="1">
      <c r="A509" s="5" t="s">
        <v>1979</v>
      </c>
      <c r="B509" s="5" t="s">
        <v>127</v>
      </c>
      <c r="C509" s="5" t="s">
        <v>90</v>
      </c>
      <c r="D509" s="6">
        <v>29.0</v>
      </c>
      <c r="E509" s="6" t="s">
        <v>528</v>
      </c>
      <c r="F509" s="5" t="s">
        <v>152</v>
      </c>
      <c r="G509" s="5" t="s">
        <v>107</v>
      </c>
      <c r="H509" s="5" t="s">
        <v>377</v>
      </c>
      <c r="I509" s="5" t="s">
        <v>96</v>
      </c>
      <c r="J509" s="5" t="s">
        <v>559</v>
      </c>
      <c r="K509" s="5">
        <v>896.0</v>
      </c>
    </row>
    <row r="510" ht="22.5" customHeight="1">
      <c r="A510" s="5" t="s">
        <v>1982</v>
      </c>
      <c r="B510" s="5" t="s">
        <v>343</v>
      </c>
      <c r="C510" s="5" t="s">
        <v>526</v>
      </c>
      <c r="D510" s="6">
        <v>83.0</v>
      </c>
      <c r="E510" s="6" t="s">
        <v>734</v>
      </c>
      <c r="F510" s="5" t="s">
        <v>152</v>
      </c>
      <c r="G510" s="5" t="s">
        <v>107</v>
      </c>
      <c r="H510" s="5" t="s">
        <v>436</v>
      </c>
      <c r="I510" s="5" t="s">
        <v>561</v>
      </c>
      <c r="J510" s="5" t="s">
        <v>97</v>
      </c>
      <c r="K510" s="5">
        <v>3293.0</v>
      </c>
    </row>
    <row r="511" ht="22.5" customHeight="1">
      <c r="A511" s="5" t="s">
        <v>1984</v>
      </c>
      <c r="B511" s="5" t="s">
        <v>411</v>
      </c>
      <c r="C511" s="5" t="s">
        <v>42</v>
      </c>
      <c r="D511" s="6">
        <v>68.0</v>
      </c>
      <c r="E511" s="6" t="s">
        <v>734</v>
      </c>
      <c r="F511" s="5" t="s">
        <v>105</v>
      </c>
      <c r="G511" s="5" t="s">
        <v>64</v>
      </c>
      <c r="H511" s="5" t="s">
        <v>164</v>
      </c>
      <c r="I511" s="5" t="s">
        <v>96</v>
      </c>
      <c r="J511" s="5" t="s">
        <v>97</v>
      </c>
      <c r="K511" s="5">
        <v>460.0</v>
      </c>
    </row>
    <row r="512" ht="22.5" customHeight="1">
      <c r="A512" s="5" t="s">
        <v>1987</v>
      </c>
      <c r="B512" s="5" t="s">
        <v>827</v>
      </c>
      <c r="C512" s="5" t="s">
        <v>90</v>
      </c>
      <c r="D512" s="8"/>
      <c r="E512" s="8" t="s">
        <v>1081</v>
      </c>
      <c r="F512" s="5" t="s">
        <v>152</v>
      </c>
      <c r="G512" s="5" t="s">
        <v>401</v>
      </c>
      <c r="H512" s="5" t="s">
        <v>1290</v>
      </c>
      <c r="I512" s="5" t="s">
        <v>533</v>
      </c>
      <c r="J512" s="5" t="s">
        <v>52</v>
      </c>
      <c r="K512" s="5">
        <v>875.0</v>
      </c>
    </row>
    <row r="513" ht="22.5" customHeight="1">
      <c r="A513" s="5" t="s">
        <v>1990</v>
      </c>
      <c r="B513" s="5" t="s">
        <v>1186</v>
      </c>
      <c r="C513" s="5" t="s">
        <v>264</v>
      </c>
      <c r="D513" s="6">
        <v>46.0</v>
      </c>
      <c r="E513" s="6" t="s">
        <v>591</v>
      </c>
      <c r="F513" s="5" t="s">
        <v>152</v>
      </c>
      <c r="G513" s="5" t="s">
        <v>30</v>
      </c>
      <c r="H513" s="5" t="s">
        <v>418</v>
      </c>
      <c r="I513" s="5" t="s">
        <v>210</v>
      </c>
      <c r="J513" s="5" t="s">
        <v>222</v>
      </c>
      <c r="K513" s="5">
        <v>976.0</v>
      </c>
    </row>
    <row r="514" ht="22.5" customHeight="1">
      <c r="A514" s="5" t="s">
        <v>1994</v>
      </c>
      <c r="B514" s="5" t="s">
        <v>323</v>
      </c>
      <c r="C514" s="5" t="s">
        <v>428</v>
      </c>
      <c r="D514" s="6">
        <v>66.0</v>
      </c>
      <c r="E514" s="6" t="s">
        <v>734</v>
      </c>
      <c r="F514" s="5" t="s">
        <v>105</v>
      </c>
      <c r="G514" s="5" t="s">
        <v>107</v>
      </c>
      <c r="H514" s="5" t="s">
        <v>377</v>
      </c>
      <c r="I514" s="5" t="s">
        <v>402</v>
      </c>
      <c r="J514" s="5" t="s">
        <v>97</v>
      </c>
      <c r="K514" s="5">
        <v>2336.0</v>
      </c>
    </row>
    <row r="515" ht="22.5" customHeight="1">
      <c r="A515" s="5" t="s">
        <v>1997</v>
      </c>
      <c r="B515" s="5" t="s">
        <v>343</v>
      </c>
      <c r="C515" s="5" t="s">
        <v>556</v>
      </c>
      <c r="D515" s="6">
        <v>36.0</v>
      </c>
      <c r="E515" s="6" t="s">
        <v>528</v>
      </c>
      <c r="F515" s="5" t="s">
        <v>152</v>
      </c>
      <c r="G515" s="5" t="s">
        <v>30</v>
      </c>
      <c r="H515" s="5" t="s">
        <v>164</v>
      </c>
      <c r="I515" s="5" t="s">
        <v>96</v>
      </c>
      <c r="J515" s="5" t="s">
        <v>222</v>
      </c>
      <c r="K515" s="5">
        <v>660.0</v>
      </c>
    </row>
    <row r="516" ht="22.5" customHeight="1">
      <c r="A516" s="5" t="s">
        <v>1999</v>
      </c>
      <c r="B516" s="5" t="s">
        <v>343</v>
      </c>
      <c r="C516" s="5" t="s">
        <v>90</v>
      </c>
      <c r="D516" s="6">
        <v>42.0</v>
      </c>
      <c r="E516" s="6" t="s">
        <v>591</v>
      </c>
      <c r="F516" s="5" t="s">
        <v>152</v>
      </c>
      <c r="G516" s="5" t="s">
        <v>141</v>
      </c>
      <c r="H516" s="5" t="s">
        <v>482</v>
      </c>
      <c r="I516" s="5" t="s">
        <v>179</v>
      </c>
      <c r="J516" s="5" t="s">
        <v>559</v>
      </c>
      <c r="K516" s="5">
        <v>4101.0</v>
      </c>
    </row>
    <row r="517" ht="22.5" customHeight="1">
      <c r="A517" s="5" t="s">
        <v>2001</v>
      </c>
      <c r="B517" s="5" t="s">
        <v>1788</v>
      </c>
      <c r="C517" s="5" t="s">
        <v>216</v>
      </c>
      <c r="D517" s="6">
        <v>18.0</v>
      </c>
      <c r="E517" s="6" t="s">
        <v>528</v>
      </c>
      <c r="F517" s="5" t="s">
        <v>152</v>
      </c>
      <c r="G517" s="5" t="s">
        <v>376</v>
      </c>
      <c r="H517" s="5" t="s">
        <v>489</v>
      </c>
      <c r="I517" s="5" t="s">
        <v>179</v>
      </c>
      <c r="J517" s="5" t="s">
        <v>52</v>
      </c>
      <c r="K517" s="5">
        <v>3091.0</v>
      </c>
    </row>
    <row r="518" ht="22.5" customHeight="1">
      <c r="A518" s="5" t="s">
        <v>2003</v>
      </c>
      <c r="B518" s="5" t="s">
        <v>898</v>
      </c>
      <c r="C518" s="5" t="s">
        <v>469</v>
      </c>
      <c r="D518" s="6">
        <v>87.0</v>
      </c>
      <c r="E518" s="6" t="s">
        <v>734</v>
      </c>
      <c r="F518" s="5" t="s">
        <v>105</v>
      </c>
      <c r="G518" s="5" t="s">
        <v>571</v>
      </c>
      <c r="H518" s="5" t="s">
        <v>418</v>
      </c>
      <c r="I518" s="5" t="s">
        <v>210</v>
      </c>
      <c r="J518" s="5" t="s">
        <v>97</v>
      </c>
      <c r="K518" s="5">
        <v>1086.0</v>
      </c>
    </row>
    <row r="519" ht="22.5" customHeight="1">
      <c r="A519" s="5" t="s">
        <v>2006</v>
      </c>
      <c r="B519" s="5" t="s">
        <v>411</v>
      </c>
      <c r="C519" s="5" t="s">
        <v>128</v>
      </c>
      <c r="D519" s="6">
        <v>50.0</v>
      </c>
      <c r="E519" s="6" t="s">
        <v>591</v>
      </c>
      <c r="F519" s="5" t="s">
        <v>105</v>
      </c>
      <c r="G519" s="5" t="s">
        <v>30</v>
      </c>
      <c r="H519" s="5" t="s">
        <v>358</v>
      </c>
      <c r="I519" s="5" t="s">
        <v>561</v>
      </c>
      <c r="J519" s="5" t="s">
        <v>559</v>
      </c>
      <c r="K519" s="5">
        <v>4787.0</v>
      </c>
    </row>
    <row r="520" ht="22.5" customHeight="1">
      <c r="A520" s="5" t="s">
        <v>2010</v>
      </c>
      <c r="B520" s="5" t="s">
        <v>624</v>
      </c>
      <c r="C520" s="5" t="s">
        <v>101</v>
      </c>
      <c r="D520" s="6">
        <v>59.0</v>
      </c>
      <c r="E520" s="6" t="s">
        <v>591</v>
      </c>
      <c r="F520" s="5" t="s">
        <v>105</v>
      </c>
      <c r="G520" s="5" t="s">
        <v>539</v>
      </c>
      <c r="H520" s="5" t="s">
        <v>436</v>
      </c>
      <c r="I520" s="5" t="s">
        <v>561</v>
      </c>
      <c r="J520" s="5" t="s">
        <v>222</v>
      </c>
      <c r="K520" s="5">
        <v>4486.0</v>
      </c>
    </row>
    <row r="521" ht="22.5" customHeight="1">
      <c r="A521" s="5" t="s">
        <v>2012</v>
      </c>
      <c r="B521" s="5" t="s">
        <v>1951</v>
      </c>
      <c r="C521" s="5" t="s">
        <v>363</v>
      </c>
      <c r="D521" s="6">
        <v>41.0</v>
      </c>
      <c r="E521" s="6" t="s">
        <v>591</v>
      </c>
      <c r="F521" s="5" t="s">
        <v>105</v>
      </c>
      <c r="G521" s="5" t="s">
        <v>393</v>
      </c>
      <c r="H521" s="5" t="s">
        <v>164</v>
      </c>
      <c r="I521" s="5" t="s">
        <v>607</v>
      </c>
      <c r="J521" s="5" t="s">
        <v>222</v>
      </c>
      <c r="K521" s="5">
        <v>1561.0</v>
      </c>
    </row>
    <row r="522" ht="22.5" customHeight="1">
      <c r="A522" s="5" t="s">
        <v>2016</v>
      </c>
      <c r="B522" s="5" t="s">
        <v>983</v>
      </c>
      <c r="C522" s="5" t="s">
        <v>25</v>
      </c>
      <c r="D522" s="6">
        <v>73.0</v>
      </c>
      <c r="E522" s="6" t="s">
        <v>734</v>
      </c>
      <c r="F522" s="5" t="s">
        <v>152</v>
      </c>
      <c r="G522" s="5" t="s">
        <v>571</v>
      </c>
      <c r="H522" s="5" t="s">
        <v>482</v>
      </c>
      <c r="I522" s="5" t="s">
        <v>179</v>
      </c>
      <c r="J522" s="5" t="s">
        <v>97</v>
      </c>
      <c r="K522" s="5">
        <v>3606.0</v>
      </c>
    </row>
    <row r="523" ht="22.5" customHeight="1">
      <c r="A523" s="5" t="s">
        <v>2018</v>
      </c>
      <c r="B523" s="5" t="s">
        <v>1177</v>
      </c>
      <c r="C523" s="5" t="s">
        <v>374</v>
      </c>
      <c r="D523" s="6">
        <v>22.0</v>
      </c>
      <c r="E523" s="6" t="s">
        <v>528</v>
      </c>
      <c r="F523" s="5" t="s">
        <v>105</v>
      </c>
      <c r="G523" s="5" t="s">
        <v>256</v>
      </c>
      <c r="H523" s="5" t="s">
        <v>576</v>
      </c>
      <c r="I523" s="5" t="s">
        <v>607</v>
      </c>
      <c r="J523" s="5" t="s">
        <v>52</v>
      </c>
      <c r="K523" s="5">
        <v>2248.0</v>
      </c>
    </row>
    <row r="524" ht="22.5" customHeight="1">
      <c r="A524" s="5" t="s">
        <v>2021</v>
      </c>
      <c r="B524" s="5" t="s">
        <v>827</v>
      </c>
      <c r="C524" s="5" t="s">
        <v>469</v>
      </c>
      <c r="D524" s="6">
        <v>74.0</v>
      </c>
      <c r="E524" s="6" t="s">
        <v>734</v>
      </c>
      <c r="F524" s="5" t="s">
        <v>152</v>
      </c>
      <c r="G524" s="5" t="s">
        <v>47</v>
      </c>
      <c r="H524" s="5" t="s">
        <v>576</v>
      </c>
      <c r="I524" s="5" t="s">
        <v>607</v>
      </c>
      <c r="J524" s="5" t="s">
        <v>97</v>
      </c>
      <c r="K524" s="5">
        <v>2410.0</v>
      </c>
    </row>
    <row r="525" ht="22.5" customHeight="1">
      <c r="A525" s="5" t="s">
        <v>2023</v>
      </c>
      <c r="B525" s="5" t="s">
        <v>820</v>
      </c>
      <c r="C525" s="5" t="s">
        <v>495</v>
      </c>
      <c r="D525" s="6">
        <v>53.0</v>
      </c>
      <c r="E525" s="6" t="s">
        <v>591</v>
      </c>
      <c r="F525" s="5" t="s">
        <v>105</v>
      </c>
      <c r="G525" s="5" t="s">
        <v>30</v>
      </c>
      <c r="H525" s="5" t="s">
        <v>470</v>
      </c>
      <c r="I525" s="5" t="s">
        <v>179</v>
      </c>
      <c r="J525" s="5" t="s">
        <v>222</v>
      </c>
      <c r="K525" s="5">
        <v>4243.0</v>
      </c>
    </row>
    <row r="526" ht="22.5" customHeight="1">
      <c r="A526" s="5" t="s">
        <v>2025</v>
      </c>
      <c r="B526" s="5" t="s">
        <v>158</v>
      </c>
      <c r="C526" s="5" t="s">
        <v>458</v>
      </c>
      <c r="D526" s="6">
        <v>48.0</v>
      </c>
      <c r="E526" s="6" t="s">
        <v>591</v>
      </c>
      <c r="F526" s="5" t="s">
        <v>105</v>
      </c>
      <c r="G526" s="5" t="s">
        <v>64</v>
      </c>
      <c r="H526" s="5" t="s">
        <v>418</v>
      </c>
      <c r="I526" s="5" t="s">
        <v>210</v>
      </c>
      <c r="J526" s="5" t="s">
        <v>52</v>
      </c>
      <c r="K526" s="5">
        <v>838.0</v>
      </c>
    </row>
    <row r="527" ht="22.5" customHeight="1">
      <c r="A527" s="5" t="s">
        <v>2028</v>
      </c>
      <c r="B527" s="5" t="s">
        <v>411</v>
      </c>
      <c r="C527" s="5" t="s">
        <v>1252</v>
      </c>
      <c r="D527" s="6">
        <v>45.0</v>
      </c>
      <c r="E527" s="6" t="s">
        <v>591</v>
      </c>
      <c r="F527" s="5" t="s">
        <v>105</v>
      </c>
      <c r="G527" s="5" t="s">
        <v>237</v>
      </c>
      <c r="H527" s="5" t="s">
        <v>164</v>
      </c>
      <c r="I527" s="5" t="s">
        <v>607</v>
      </c>
      <c r="J527" s="5" t="s">
        <v>222</v>
      </c>
      <c r="K527" s="5">
        <v>2726.0</v>
      </c>
    </row>
    <row r="528" ht="22.5" customHeight="1">
      <c r="A528" s="5" t="s">
        <v>2029</v>
      </c>
      <c r="B528" s="5" t="s">
        <v>983</v>
      </c>
      <c r="C528" s="5" t="s">
        <v>959</v>
      </c>
      <c r="D528" s="6">
        <v>31.0</v>
      </c>
      <c r="E528" s="6" t="s">
        <v>528</v>
      </c>
      <c r="F528" s="5" t="s">
        <v>152</v>
      </c>
      <c r="G528" s="5" t="s">
        <v>393</v>
      </c>
      <c r="H528" s="5" t="s">
        <v>551</v>
      </c>
      <c r="I528" s="5" t="s">
        <v>96</v>
      </c>
      <c r="J528" s="5" t="s">
        <v>222</v>
      </c>
      <c r="K528" s="5">
        <v>771.0</v>
      </c>
    </row>
    <row r="529" ht="22.5" customHeight="1">
      <c r="A529" s="5" t="s">
        <v>2030</v>
      </c>
      <c r="B529" s="5" t="s">
        <v>827</v>
      </c>
      <c r="C529" s="5" t="s">
        <v>76</v>
      </c>
      <c r="D529" s="6">
        <v>47.0</v>
      </c>
      <c r="E529" s="6" t="s">
        <v>591</v>
      </c>
      <c r="F529" s="5" t="s">
        <v>152</v>
      </c>
      <c r="G529" s="5" t="s">
        <v>393</v>
      </c>
      <c r="H529" s="5" t="s">
        <v>311</v>
      </c>
      <c r="I529" s="5" t="s">
        <v>546</v>
      </c>
      <c r="J529" s="5" t="s">
        <v>211</v>
      </c>
      <c r="K529" s="5">
        <v>1102.0</v>
      </c>
    </row>
    <row r="530" ht="22.5" customHeight="1">
      <c r="A530" s="5" t="s">
        <v>2033</v>
      </c>
      <c r="B530" s="5" t="s">
        <v>368</v>
      </c>
      <c r="C530" s="5" t="s">
        <v>216</v>
      </c>
      <c r="D530" s="6">
        <v>78.0</v>
      </c>
      <c r="E530" s="6" t="s">
        <v>734</v>
      </c>
      <c r="F530" s="5" t="s">
        <v>105</v>
      </c>
      <c r="G530" s="5" t="s">
        <v>237</v>
      </c>
      <c r="H530" s="5" t="s">
        <v>311</v>
      </c>
      <c r="I530" s="5" t="s">
        <v>96</v>
      </c>
      <c r="J530" s="5" t="s">
        <v>97</v>
      </c>
      <c r="K530" s="5">
        <v>601.0</v>
      </c>
    </row>
    <row r="531" ht="22.5" customHeight="1">
      <c r="A531" s="5" t="s">
        <v>2036</v>
      </c>
      <c r="B531" s="5" t="s">
        <v>136</v>
      </c>
      <c r="C531" s="5" t="s">
        <v>363</v>
      </c>
      <c r="D531" s="6">
        <v>32.0</v>
      </c>
      <c r="E531" s="6" t="s">
        <v>528</v>
      </c>
      <c r="F531" s="5" t="s">
        <v>105</v>
      </c>
      <c r="G531" s="5" t="s">
        <v>376</v>
      </c>
      <c r="H531" s="5" t="s">
        <v>470</v>
      </c>
      <c r="I531" s="5" t="s">
        <v>179</v>
      </c>
      <c r="J531" s="5" t="s">
        <v>52</v>
      </c>
      <c r="K531" s="5">
        <v>3362.0</v>
      </c>
    </row>
    <row r="532" ht="22.5" customHeight="1">
      <c r="A532" s="5" t="s">
        <v>2038</v>
      </c>
      <c r="B532" s="5" t="s">
        <v>1583</v>
      </c>
      <c r="C532" s="5" t="s">
        <v>526</v>
      </c>
      <c r="D532" s="6"/>
      <c r="E532" s="6" t="s">
        <v>1081</v>
      </c>
      <c r="F532" s="5" t="s">
        <v>105</v>
      </c>
      <c r="G532" s="5" t="s">
        <v>64</v>
      </c>
      <c r="H532" s="5" t="s">
        <v>482</v>
      </c>
      <c r="I532" s="5" t="s">
        <v>179</v>
      </c>
      <c r="J532" s="5" t="s">
        <v>97</v>
      </c>
      <c r="K532" s="5">
        <v>3696.0</v>
      </c>
    </row>
    <row r="533" ht="22.5" customHeight="1">
      <c r="A533" s="5" t="s">
        <v>2041</v>
      </c>
      <c r="B533" s="5" t="s">
        <v>127</v>
      </c>
      <c r="C533" s="5" t="s">
        <v>128</v>
      </c>
      <c r="D533" s="6">
        <v>22.0</v>
      </c>
      <c r="E533" s="6" t="s">
        <v>528</v>
      </c>
      <c r="F533" s="5" t="s">
        <v>152</v>
      </c>
      <c r="G533" s="5" t="s">
        <v>64</v>
      </c>
      <c r="H533" s="5" t="s">
        <v>418</v>
      </c>
      <c r="I533" s="5" t="s">
        <v>210</v>
      </c>
      <c r="J533" s="5" t="s">
        <v>222</v>
      </c>
      <c r="K533" s="5">
        <v>565.0</v>
      </c>
    </row>
    <row r="534" ht="22.5" customHeight="1">
      <c r="A534" s="5" t="s">
        <v>2044</v>
      </c>
      <c r="B534" s="5" t="s">
        <v>411</v>
      </c>
      <c r="C534" s="5" t="s">
        <v>828</v>
      </c>
      <c r="D534" s="6">
        <v>78.0</v>
      </c>
      <c r="E534" s="6" t="s">
        <v>734</v>
      </c>
      <c r="F534" s="5" t="s">
        <v>105</v>
      </c>
      <c r="G534" s="5" t="s">
        <v>393</v>
      </c>
      <c r="H534" s="5" t="s">
        <v>916</v>
      </c>
      <c r="I534" s="5" t="s">
        <v>402</v>
      </c>
      <c r="J534" s="5" t="s">
        <v>97</v>
      </c>
      <c r="K534" s="5">
        <v>2021.0</v>
      </c>
    </row>
    <row r="535" ht="22.5" customHeight="1">
      <c r="A535" s="5" t="s">
        <v>2046</v>
      </c>
      <c r="B535" s="5" t="s">
        <v>2589</v>
      </c>
      <c r="C535" s="5" t="s">
        <v>428</v>
      </c>
      <c r="D535" s="6">
        <v>34.0</v>
      </c>
      <c r="E535" s="6" t="s">
        <v>528</v>
      </c>
      <c r="F535" s="5" t="s">
        <v>105</v>
      </c>
      <c r="G535" s="5" t="s">
        <v>30</v>
      </c>
      <c r="H535" s="5" t="s">
        <v>32</v>
      </c>
      <c r="I535" s="5" t="s">
        <v>83</v>
      </c>
      <c r="J535" s="5" t="s">
        <v>222</v>
      </c>
      <c r="K535" s="5">
        <v>2209.0</v>
      </c>
    </row>
    <row r="536" ht="22.5" customHeight="1">
      <c r="A536" s="5" t="s">
        <v>2048</v>
      </c>
      <c r="B536" s="5" t="s">
        <v>158</v>
      </c>
      <c r="C536" s="5" t="s">
        <v>324</v>
      </c>
      <c r="D536" s="6">
        <v>84.0</v>
      </c>
      <c r="E536" s="6" t="s">
        <v>734</v>
      </c>
      <c r="F536" s="5" t="s">
        <v>105</v>
      </c>
      <c r="G536" s="5" t="s">
        <v>393</v>
      </c>
      <c r="H536" s="5" t="s">
        <v>436</v>
      </c>
      <c r="I536" s="5" t="s">
        <v>561</v>
      </c>
      <c r="J536" s="5" t="s">
        <v>97</v>
      </c>
      <c r="K536" s="5">
        <v>1620.0</v>
      </c>
    </row>
    <row r="537" ht="22.5" customHeight="1">
      <c r="A537" s="5" t="s">
        <v>2052</v>
      </c>
      <c r="B537" s="5" t="s">
        <v>865</v>
      </c>
      <c r="C537" s="5" t="s">
        <v>128</v>
      </c>
      <c r="D537" s="6">
        <v>79.0</v>
      </c>
      <c r="E537" s="6" t="s">
        <v>734</v>
      </c>
      <c r="F537" s="5" t="s">
        <v>105</v>
      </c>
      <c r="G537" s="5" t="s">
        <v>176</v>
      </c>
      <c r="H537" s="5" t="s">
        <v>436</v>
      </c>
      <c r="I537" s="5" t="s">
        <v>561</v>
      </c>
      <c r="J537" s="5" t="s">
        <v>97</v>
      </c>
      <c r="K537" s="5">
        <v>4286.0</v>
      </c>
    </row>
    <row r="538" ht="22.5" customHeight="1">
      <c r="A538" s="5" t="s">
        <v>2055</v>
      </c>
      <c r="B538" s="5" t="s">
        <v>696</v>
      </c>
      <c r="C538" s="5" t="s">
        <v>316</v>
      </c>
      <c r="D538" s="6"/>
      <c r="E538" s="6" t="s">
        <v>1081</v>
      </c>
      <c r="F538" s="5" t="s">
        <v>105</v>
      </c>
      <c r="G538" s="5" t="s">
        <v>176</v>
      </c>
      <c r="H538" s="5" t="s">
        <v>238</v>
      </c>
      <c r="I538" s="5" t="s">
        <v>533</v>
      </c>
      <c r="J538" s="5" t="s">
        <v>97</v>
      </c>
      <c r="K538" s="5">
        <v>1735.0</v>
      </c>
    </row>
    <row r="539" ht="22.5" customHeight="1">
      <c r="A539" s="5" t="s">
        <v>2057</v>
      </c>
      <c r="B539" s="5" t="s">
        <v>1149</v>
      </c>
      <c r="C539" s="5" t="s">
        <v>264</v>
      </c>
      <c r="D539" s="6">
        <v>27.0</v>
      </c>
      <c r="E539" s="6" t="s">
        <v>528</v>
      </c>
      <c r="F539" s="5" t="s">
        <v>105</v>
      </c>
      <c r="G539" s="5" t="s">
        <v>30</v>
      </c>
      <c r="H539" s="5" t="s">
        <v>238</v>
      </c>
      <c r="I539" s="5" t="s">
        <v>533</v>
      </c>
      <c r="J539" s="5" t="s">
        <v>211</v>
      </c>
      <c r="K539" s="5">
        <v>1278.0</v>
      </c>
    </row>
    <row r="540" ht="22.5" customHeight="1">
      <c r="A540" s="5" t="s">
        <v>2060</v>
      </c>
      <c r="B540" s="5" t="s">
        <v>620</v>
      </c>
      <c r="C540" s="5" t="s">
        <v>556</v>
      </c>
      <c r="D540" s="6">
        <v>31.0</v>
      </c>
      <c r="E540" s="6" t="s">
        <v>528</v>
      </c>
      <c r="F540" s="5" t="s">
        <v>105</v>
      </c>
      <c r="G540" s="5" t="s">
        <v>237</v>
      </c>
      <c r="H540" s="5" t="s">
        <v>669</v>
      </c>
      <c r="I540" s="5" t="s">
        <v>452</v>
      </c>
      <c r="J540" s="5" t="s">
        <v>52</v>
      </c>
      <c r="K540" s="5">
        <v>3082.0</v>
      </c>
    </row>
    <row r="541" ht="22.5" customHeight="1">
      <c r="A541" s="5" t="s">
        <v>2063</v>
      </c>
      <c r="B541" s="5" t="s">
        <v>136</v>
      </c>
      <c r="C541" s="5" t="s">
        <v>374</v>
      </c>
      <c r="D541" s="6">
        <v>75.0</v>
      </c>
      <c r="E541" s="6" t="s">
        <v>734</v>
      </c>
      <c r="F541" s="5" t="s">
        <v>105</v>
      </c>
      <c r="G541" s="5" t="s">
        <v>364</v>
      </c>
      <c r="H541" s="5" t="s">
        <v>377</v>
      </c>
      <c r="I541" s="5" t="s">
        <v>96</v>
      </c>
      <c r="J541" s="5" t="s">
        <v>97</v>
      </c>
      <c r="K541" s="5">
        <v>265.0</v>
      </c>
    </row>
    <row r="542" ht="22.5" customHeight="1">
      <c r="A542" s="5" t="s">
        <v>2071</v>
      </c>
      <c r="B542" s="5" t="s">
        <v>2072</v>
      </c>
      <c r="C542" s="5" t="s">
        <v>2073</v>
      </c>
      <c r="D542" s="6">
        <v>35.0</v>
      </c>
      <c r="E542" s="6" t="s">
        <v>528</v>
      </c>
      <c r="F542" s="5" t="s">
        <v>152</v>
      </c>
      <c r="G542" s="5" t="s">
        <v>64</v>
      </c>
      <c r="H542" s="5" t="s">
        <v>358</v>
      </c>
      <c r="I542" s="5" t="s">
        <v>561</v>
      </c>
      <c r="J542" s="5" t="s">
        <v>211</v>
      </c>
      <c r="K542" s="5">
        <v>4276.0</v>
      </c>
    </row>
    <row r="543" ht="22.5" customHeight="1">
      <c r="A543" s="5" t="s">
        <v>2076</v>
      </c>
      <c r="B543" s="5" t="s">
        <v>2077</v>
      </c>
      <c r="C543" s="5" t="s">
        <v>2078</v>
      </c>
      <c r="D543" s="6">
        <v>86.0</v>
      </c>
      <c r="E543" s="6" t="s">
        <v>734</v>
      </c>
      <c r="F543" s="5" t="s">
        <v>152</v>
      </c>
      <c r="G543" s="5" t="s">
        <v>47</v>
      </c>
      <c r="H543" s="5" t="s">
        <v>164</v>
      </c>
      <c r="I543" s="5" t="s">
        <v>452</v>
      </c>
      <c r="J543" s="5" t="s">
        <v>97</v>
      </c>
      <c r="K543" s="5">
        <v>2195.0</v>
      </c>
    </row>
    <row r="544" ht="22.5" customHeight="1">
      <c r="A544" s="5" t="s">
        <v>2081</v>
      </c>
      <c r="B544" s="5" t="s">
        <v>2008</v>
      </c>
      <c r="C544" s="5" t="s">
        <v>2082</v>
      </c>
      <c r="D544" s="6">
        <v>45.0</v>
      </c>
      <c r="E544" s="6" t="s">
        <v>591</v>
      </c>
      <c r="F544" s="5" t="s">
        <v>105</v>
      </c>
      <c r="G544" s="5" t="s">
        <v>376</v>
      </c>
      <c r="H544" s="5" t="s">
        <v>1290</v>
      </c>
      <c r="I544" s="5" t="s">
        <v>533</v>
      </c>
      <c r="J544" s="5" t="s">
        <v>222</v>
      </c>
      <c r="K544" s="5">
        <v>1230.0</v>
      </c>
    </row>
    <row r="545" ht="22.5" customHeight="1">
      <c r="A545" s="5" t="s">
        <v>2085</v>
      </c>
      <c r="B545" s="5" t="s">
        <v>2086</v>
      </c>
      <c r="C545" s="5" t="s">
        <v>2087</v>
      </c>
      <c r="D545" s="6">
        <v>88.0</v>
      </c>
      <c r="E545" s="6" t="s">
        <v>734</v>
      </c>
      <c r="F545" s="5" t="s">
        <v>152</v>
      </c>
      <c r="G545" s="5" t="s">
        <v>47</v>
      </c>
      <c r="H545" s="5" t="s">
        <v>32</v>
      </c>
      <c r="I545" s="5" t="s">
        <v>83</v>
      </c>
      <c r="J545" s="5" t="s">
        <v>97</v>
      </c>
      <c r="K545" s="5">
        <v>1583.0</v>
      </c>
    </row>
    <row r="546" ht="22.5" customHeight="1">
      <c r="A546" s="5" t="s">
        <v>2089</v>
      </c>
      <c r="B546" s="5" t="s">
        <v>1329</v>
      </c>
      <c r="C546" s="5" t="s">
        <v>2090</v>
      </c>
      <c r="D546" s="6">
        <v>68.0</v>
      </c>
      <c r="E546" s="6" t="s">
        <v>734</v>
      </c>
      <c r="F546" s="5" t="s">
        <v>105</v>
      </c>
      <c r="G546" s="5" t="s">
        <v>47</v>
      </c>
      <c r="H546" s="5" t="s">
        <v>551</v>
      </c>
      <c r="I546" s="5" t="s">
        <v>96</v>
      </c>
      <c r="J546" s="5" t="s">
        <v>97</v>
      </c>
      <c r="K546" s="5">
        <v>761.0</v>
      </c>
    </row>
    <row r="547" ht="22.5" customHeight="1">
      <c r="A547" s="5" t="s">
        <v>2093</v>
      </c>
      <c r="B547" s="5" t="s">
        <v>2094</v>
      </c>
      <c r="C547" s="5" t="s">
        <v>2095</v>
      </c>
      <c r="D547" s="6">
        <v>21.0</v>
      </c>
      <c r="E547" s="6" t="s">
        <v>528</v>
      </c>
      <c r="F547" s="5" t="s">
        <v>152</v>
      </c>
      <c r="G547" s="5" t="s">
        <v>107</v>
      </c>
      <c r="H547" s="5" t="s">
        <v>164</v>
      </c>
      <c r="I547" s="5" t="s">
        <v>96</v>
      </c>
      <c r="J547" s="5" t="s">
        <v>52</v>
      </c>
      <c r="K547" s="5">
        <v>1002.0</v>
      </c>
    </row>
    <row r="548" ht="22.5" customHeight="1">
      <c r="A548" s="5" t="s">
        <v>2098</v>
      </c>
      <c r="B548" s="5" t="s">
        <v>2099</v>
      </c>
      <c r="C548" s="5" t="s">
        <v>2100</v>
      </c>
      <c r="D548" s="6">
        <v>83.0</v>
      </c>
      <c r="E548" s="6" t="s">
        <v>734</v>
      </c>
      <c r="F548" s="5" t="s">
        <v>152</v>
      </c>
      <c r="G548" s="5" t="s">
        <v>208</v>
      </c>
      <c r="H548" s="5" t="s">
        <v>916</v>
      </c>
      <c r="I548" s="5" t="s">
        <v>402</v>
      </c>
      <c r="J548" s="5" t="s">
        <v>97</v>
      </c>
      <c r="K548" s="5">
        <v>1281.0</v>
      </c>
    </row>
    <row r="549" ht="22.5" customHeight="1">
      <c r="A549" s="5" t="s">
        <v>2102</v>
      </c>
      <c r="B549" s="5" t="s">
        <v>2103</v>
      </c>
      <c r="C549" s="5" t="s">
        <v>2104</v>
      </c>
      <c r="D549" s="6">
        <v>86.0</v>
      </c>
      <c r="E549" s="6" t="s">
        <v>734</v>
      </c>
      <c r="F549" s="5" t="s">
        <v>105</v>
      </c>
      <c r="G549" s="5" t="s">
        <v>309</v>
      </c>
      <c r="H549" s="5" t="s">
        <v>164</v>
      </c>
      <c r="I549" s="5" t="s">
        <v>96</v>
      </c>
      <c r="J549" s="5" t="s">
        <v>97</v>
      </c>
      <c r="K549" s="5">
        <v>710.0</v>
      </c>
    </row>
    <row r="550" ht="22.5" customHeight="1">
      <c r="A550" s="5" t="s">
        <v>2107</v>
      </c>
      <c r="B550" s="5" t="s">
        <v>2108</v>
      </c>
      <c r="C550" s="5" t="s">
        <v>2109</v>
      </c>
      <c r="D550" s="6">
        <v>81.0</v>
      </c>
      <c r="E550" s="6" t="s">
        <v>734</v>
      </c>
      <c r="F550" s="5" t="s">
        <v>105</v>
      </c>
      <c r="G550" s="5" t="s">
        <v>309</v>
      </c>
      <c r="H550" s="5" t="s">
        <v>470</v>
      </c>
      <c r="I550" s="5" t="s">
        <v>96</v>
      </c>
      <c r="J550" s="5" t="s">
        <v>97</v>
      </c>
      <c r="K550" s="5">
        <v>556.0</v>
      </c>
    </row>
    <row r="551" ht="22.5" customHeight="1">
      <c r="A551" s="5" t="s">
        <v>2111</v>
      </c>
      <c r="B551" s="5" t="s">
        <v>2112</v>
      </c>
      <c r="C551" s="5" t="s">
        <v>2113</v>
      </c>
      <c r="D551" s="6">
        <v>88.0</v>
      </c>
      <c r="E551" s="6" t="s">
        <v>734</v>
      </c>
      <c r="F551" s="5" t="s">
        <v>105</v>
      </c>
      <c r="G551" s="5" t="s">
        <v>30</v>
      </c>
      <c r="H551" s="5" t="s">
        <v>164</v>
      </c>
      <c r="I551" s="5" t="s">
        <v>607</v>
      </c>
      <c r="J551" s="5" t="s">
        <v>97</v>
      </c>
      <c r="K551" s="5">
        <v>1840.0</v>
      </c>
    </row>
    <row r="552" ht="22.5" customHeight="1">
      <c r="A552" s="5" t="s">
        <v>2116</v>
      </c>
      <c r="B552" s="5" t="s">
        <v>1237</v>
      </c>
      <c r="C552" s="5" t="s">
        <v>2073</v>
      </c>
      <c r="D552" s="6">
        <v>81.0</v>
      </c>
      <c r="E552" s="6" t="s">
        <v>734</v>
      </c>
      <c r="F552" s="5" t="s">
        <v>152</v>
      </c>
      <c r="G552" s="5" t="s">
        <v>107</v>
      </c>
      <c r="H552" s="5" t="s">
        <v>436</v>
      </c>
      <c r="I552" s="5" t="s">
        <v>561</v>
      </c>
      <c r="J552" s="5" t="s">
        <v>97</v>
      </c>
      <c r="K552" s="5">
        <v>1616.0</v>
      </c>
    </row>
    <row r="553" ht="22.5" customHeight="1">
      <c r="A553" s="5" t="s">
        <v>2118</v>
      </c>
      <c r="B553" s="5" t="s">
        <v>2119</v>
      </c>
      <c r="C553" s="5" t="s">
        <v>2120</v>
      </c>
      <c r="D553" s="6">
        <v>80.0</v>
      </c>
      <c r="E553" s="6" t="s">
        <v>734</v>
      </c>
      <c r="F553" s="5" t="s">
        <v>152</v>
      </c>
      <c r="G553" s="5" t="s">
        <v>107</v>
      </c>
      <c r="H553" s="5" t="s">
        <v>551</v>
      </c>
      <c r="I553" s="5" t="s">
        <v>96</v>
      </c>
      <c r="J553" s="5" t="s">
        <v>97</v>
      </c>
      <c r="K553" s="5">
        <v>869.0</v>
      </c>
    </row>
    <row r="554" ht="22.5" customHeight="1">
      <c r="A554" s="5" t="s">
        <v>2122</v>
      </c>
      <c r="B554" s="5" t="s">
        <v>2123</v>
      </c>
      <c r="C554" s="5" t="s">
        <v>2090</v>
      </c>
      <c r="D554" s="6">
        <v>21.0</v>
      </c>
      <c r="E554" s="6" t="s">
        <v>528</v>
      </c>
      <c r="F554" s="5" t="s">
        <v>152</v>
      </c>
      <c r="G554" s="5" t="s">
        <v>47</v>
      </c>
      <c r="H554" s="5" t="s">
        <v>1290</v>
      </c>
      <c r="I554" s="5" t="s">
        <v>533</v>
      </c>
      <c r="J554" s="5" t="s">
        <v>211</v>
      </c>
      <c r="K554" s="5">
        <v>2280.0</v>
      </c>
    </row>
    <row r="555" ht="22.5" customHeight="1">
      <c r="A555" s="5" t="s">
        <v>2125</v>
      </c>
      <c r="B555" s="5" t="s">
        <v>2126</v>
      </c>
      <c r="C555" s="5" t="s">
        <v>2127</v>
      </c>
      <c r="D555" s="6">
        <v>46.0</v>
      </c>
      <c r="E555" s="6" t="s">
        <v>591</v>
      </c>
      <c r="F555" s="5" t="s">
        <v>105</v>
      </c>
      <c r="G555" s="5" t="s">
        <v>268</v>
      </c>
      <c r="H555" s="5" t="s">
        <v>377</v>
      </c>
      <c r="I555" s="5" t="s">
        <v>96</v>
      </c>
      <c r="J555" s="5" t="s">
        <v>559</v>
      </c>
      <c r="K555" s="5">
        <v>50.0</v>
      </c>
    </row>
    <row r="556" ht="22.5" customHeight="1">
      <c r="A556" s="5" t="s">
        <v>2128</v>
      </c>
      <c r="B556" s="5" t="s">
        <v>2130</v>
      </c>
      <c r="C556" s="5" t="s">
        <v>90</v>
      </c>
      <c r="D556" s="6">
        <v>76.0</v>
      </c>
      <c r="E556" s="6" t="s">
        <v>734</v>
      </c>
      <c r="F556" s="5" t="s">
        <v>105</v>
      </c>
      <c r="G556" s="5" t="s">
        <v>107</v>
      </c>
      <c r="H556" s="5" t="s">
        <v>436</v>
      </c>
      <c r="I556" s="5" t="s">
        <v>561</v>
      </c>
      <c r="J556" s="5" t="s">
        <v>97</v>
      </c>
      <c r="K556" s="5">
        <v>2025.0</v>
      </c>
    </row>
    <row r="557" ht="22.5" customHeight="1">
      <c r="A557" s="5" t="s">
        <v>2132</v>
      </c>
      <c r="B557" s="5" t="s">
        <v>2134</v>
      </c>
      <c r="C557" s="5" t="s">
        <v>2135</v>
      </c>
      <c r="D557" s="6">
        <v>27.0</v>
      </c>
      <c r="E557" s="6" t="s">
        <v>528</v>
      </c>
      <c r="F557" s="5" t="s">
        <v>105</v>
      </c>
      <c r="G557" s="5" t="s">
        <v>81</v>
      </c>
      <c r="H557" s="5" t="s">
        <v>551</v>
      </c>
      <c r="I557" s="5" t="s">
        <v>96</v>
      </c>
      <c r="J557" s="5" t="s">
        <v>222</v>
      </c>
      <c r="K557" s="5">
        <v>539.0</v>
      </c>
    </row>
    <row r="558" ht="22.5" customHeight="1">
      <c r="A558" s="5" t="s">
        <v>2138</v>
      </c>
      <c r="B558" s="5" t="s">
        <v>2139</v>
      </c>
      <c r="C558" s="5" t="s">
        <v>2140</v>
      </c>
      <c r="D558" s="6">
        <v>79.0</v>
      </c>
      <c r="E558" s="6" t="s">
        <v>734</v>
      </c>
      <c r="F558" s="5" t="s">
        <v>105</v>
      </c>
      <c r="G558" s="5" t="s">
        <v>309</v>
      </c>
      <c r="H558" s="5" t="s">
        <v>436</v>
      </c>
      <c r="I558" s="5" t="s">
        <v>561</v>
      </c>
      <c r="J558" s="5" t="s">
        <v>97</v>
      </c>
      <c r="K558" s="5">
        <v>2809.0</v>
      </c>
    </row>
    <row r="559" ht="22.5" customHeight="1">
      <c r="A559" s="5" t="s">
        <v>2141</v>
      </c>
      <c r="B559" s="5" t="s">
        <v>171</v>
      </c>
      <c r="C559" s="5" t="s">
        <v>2103</v>
      </c>
      <c r="D559" s="6">
        <v>22.0</v>
      </c>
      <c r="E559" s="6" t="s">
        <v>528</v>
      </c>
      <c r="F559" s="5" t="s">
        <v>152</v>
      </c>
      <c r="G559" s="5" t="s">
        <v>81</v>
      </c>
      <c r="H559" s="5" t="s">
        <v>311</v>
      </c>
      <c r="I559" s="5" t="s">
        <v>546</v>
      </c>
      <c r="J559" s="5" t="s">
        <v>211</v>
      </c>
      <c r="K559" s="5">
        <v>364.0</v>
      </c>
    </row>
    <row r="560" ht="22.5" customHeight="1">
      <c r="A560" s="5" t="s">
        <v>2143</v>
      </c>
      <c r="B560" s="5" t="s">
        <v>2144</v>
      </c>
      <c r="C560" s="5" t="s">
        <v>2145</v>
      </c>
      <c r="D560" s="6">
        <v>40.0</v>
      </c>
      <c r="E560" s="6" t="s">
        <v>528</v>
      </c>
      <c r="F560" s="5" t="s">
        <v>105</v>
      </c>
      <c r="G560" s="5" t="s">
        <v>47</v>
      </c>
      <c r="H560" s="5" t="s">
        <v>551</v>
      </c>
      <c r="I560" s="5" t="s">
        <v>83</v>
      </c>
      <c r="J560" s="5" t="s">
        <v>222</v>
      </c>
      <c r="K560" s="5">
        <v>2342.0</v>
      </c>
    </row>
    <row r="561" ht="22.5" customHeight="1">
      <c r="A561" s="5" t="s">
        <v>2147</v>
      </c>
      <c r="B561" s="5" t="s">
        <v>764</v>
      </c>
      <c r="C561" s="5" t="s">
        <v>2148</v>
      </c>
      <c r="D561" s="6">
        <v>43.0</v>
      </c>
      <c r="E561" s="6" t="s">
        <v>591</v>
      </c>
      <c r="F561" s="5" t="s">
        <v>152</v>
      </c>
      <c r="G561" s="5" t="s">
        <v>64</v>
      </c>
      <c r="H561" s="5" t="s">
        <v>418</v>
      </c>
      <c r="I561" s="5" t="s">
        <v>210</v>
      </c>
      <c r="J561" s="5" t="s">
        <v>211</v>
      </c>
      <c r="K561" s="5">
        <v>1489.0</v>
      </c>
    </row>
    <row r="562" ht="22.5" customHeight="1">
      <c r="A562" s="5" t="s">
        <v>2152</v>
      </c>
      <c r="B562" s="5" t="s">
        <v>2153</v>
      </c>
      <c r="C562" s="5" t="s">
        <v>2154</v>
      </c>
      <c r="D562" s="6">
        <v>34.0</v>
      </c>
      <c r="E562" s="6" t="s">
        <v>528</v>
      </c>
      <c r="F562" s="5" t="s">
        <v>105</v>
      </c>
      <c r="G562" s="5" t="s">
        <v>30</v>
      </c>
      <c r="H562" s="5" t="s">
        <v>164</v>
      </c>
      <c r="I562" s="5" t="s">
        <v>452</v>
      </c>
      <c r="J562" s="5" t="s">
        <v>211</v>
      </c>
      <c r="K562" s="5">
        <v>3977.0</v>
      </c>
    </row>
    <row r="563" ht="22.5" customHeight="1">
      <c r="A563" s="5" t="s">
        <v>2157</v>
      </c>
      <c r="B563" s="5" t="s">
        <v>2144</v>
      </c>
      <c r="C563" s="5" t="s">
        <v>2095</v>
      </c>
      <c r="D563" s="6"/>
      <c r="E563" s="6" t="s">
        <v>1081</v>
      </c>
      <c r="F563" s="5" t="s">
        <v>105</v>
      </c>
      <c r="G563" s="5" t="s">
        <v>47</v>
      </c>
      <c r="H563" s="5" t="s">
        <v>377</v>
      </c>
      <c r="I563" s="5" t="s">
        <v>96</v>
      </c>
      <c r="J563" s="5" t="s">
        <v>97</v>
      </c>
      <c r="K563" s="5">
        <v>50.0</v>
      </c>
    </row>
    <row r="564" ht="22.5" customHeight="1">
      <c r="A564" s="5" t="s">
        <v>2158</v>
      </c>
      <c r="B564" s="5" t="s">
        <v>2072</v>
      </c>
      <c r="C564" s="5" t="s">
        <v>2159</v>
      </c>
      <c r="D564" s="6">
        <v>55.0</v>
      </c>
      <c r="E564" s="6" t="s">
        <v>591</v>
      </c>
      <c r="F564" s="5" t="s">
        <v>152</v>
      </c>
      <c r="G564" s="5" t="s">
        <v>30</v>
      </c>
      <c r="H564" s="5" t="s">
        <v>576</v>
      </c>
      <c r="I564" s="5" t="s">
        <v>607</v>
      </c>
      <c r="J564" s="5" t="s">
        <v>211</v>
      </c>
      <c r="K564" s="5">
        <v>2533.0</v>
      </c>
    </row>
    <row r="565" ht="22.5" customHeight="1">
      <c r="A565" s="5" t="s">
        <v>2161</v>
      </c>
      <c r="B565" s="5" t="s">
        <v>2153</v>
      </c>
      <c r="C565" s="5" t="s">
        <v>2163</v>
      </c>
      <c r="D565" s="6">
        <v>39.0</v>
      </c>
      <c r="E565" s="6" t="s">
        <v>528</v>
      </c>
      <c r="F565" s="5" t="s">
        <v>105</v>
      </c>
      <c r="G565" s="5" t="s">
        <v>237</v>
      </c>
      <c r="H565" s="5" t="s">
        <v>123</v>
      </c>
      <c r="I565" s="5" t="s">
        <v>83</v>
      </c>
      <c r="J565" s="5" t="s">
        <v>559</v>
      </c>
      <c r="K565" s="5">
        <v>2267.0</v>
      </c>
    </row>
    <row r="566" ht="22.5" customHeight="1">
      <c r="A566" s="5" t="s">
        <v>2165</v>
      </c>
      <c r="B566" s="5" t="s">
        <v>2166</v>
      </c>
      <c r="C566" s="5" t="s">
        <v>2167</v>
      </c>
      <c r="D566" s="6">
        <v>55.0</v>
      </c>
      <c r="E566" s="6" t="s">
        <v>591</v>
      </c>
      <c r="F566" s="5" t="s">
        <v>152</v>
      </c>
      <c r="G566" s="5" t="s">
        <v>393</v>
      </c>
      <c r="H566" s="5" t="s">
        <v>470</v>
      </c>
      <c r="I566" s="5" t="s">
        <v>96</v>
      </c>
      <c r="J566" s="5" t="s">
        <v>559</v>
      </c>
      <c r="K566" s="5">
        <v>621.0</v>
      </c>
    </row>
    <row r="567" ht="22.5" customHeight="1">
      <c r="A567" s="5" t="s">
        <v>2170</v>
      </c>
      <c r="B567" s="5" t="s">
        <v>2103</v>
      </c>
      <c r="C567" s="5" t="s">
        <v>216</v>
      </c>
      <c r="D567" s="6">
        <v>72.0</v>
      </c>
      <c r="E567" s="6" t="s">
        <v>734</v>
      </c>
      <c r="F567" s="5" t="s">
        <v>105</v>
      </c>
      <c r="G567" s="5" t="s">
        <v>176</v>
      </c>
      <c r="H567" s="5" t="s">
        <v>311</v>
      </c>
      <c r="I567" s="5" t="s">
        <v>96</v>
      </c>
      <c r="J567" s="5" t="s">
        <v>97</v>
      </c>
      <c r="K567" s="5">
        <v>268.0</v>
      </c>
    </row>
    <row r="568" ht="22.5" customHeight="1">
      <c r="A568" s="5" t="s">
        <v>2172</v>
      </c>
      <c r="B568" s="5" t="s">
        <v>1237</v>
      </c>
      <c r="C568" s="5" t="s">
        <v>2103</v>
      </c>
      <c r="D568" s="6">
        <v>87.0</v>
      </c>
      <c r="E568" s="6" t="s">
        <v>734</v>
      </c>
      <c r="F568" s="5" t="s">
        <v>152</v>
      </c>
      <c r="G568" s="5" t="s">
        <v>237</v>
      </c>
      <c r="H568" s="5" t="s">
        <v>1290</v>
      </c>
      <c r="I568" s="5" t="s">
        <v>533</v>
      </c>
      <c r="J568" s="5" t="s">
        <v>97</v>
      </c>
      <c r="K568" s="5">
        <v>1185.0</v>
      </c>
    </row>
    <row r="569" ht="22.5" customHeight="1">
      <c r="A569" s="5" t="s">
        <v>2174</v>
      </c>
      <c r="B569" s="5" t="s">
        <v>2153</v>
      </c>
      <c r="C569" s="5" t="s">
        <v>2175</v>
      </c>
      <c r="D569" s="6">
        <v>89.0</v>
      </c>
      <c r="E569" s="6" t="s">
        <v>734</v>
      </c>
      <c r="F569" s="5" t="s">
        <v>152</v>
      </c>
      <c r="G569" s="5" t="s">
        <v>759</v>
      </c>
      <c r="H569" s="5" t="s">
        <v>164</v>
      </c>
      <c r="I569" s="5" t="s">
        <v>96</v>
      </c>
      <c r="J569" s="5" t="s">
        <v>97</v>
      </c>
      <c r="K569" s="5">
        <v>664.0</v>
      </c>
    </row>
    <row r="570" ht="22.5" customHeight="1">
      <c r="A570" s="5" t="s">
        <v>2177</v>
      </c>
      <c r="B570" s="5" t="s">
        <v>2178</v>
      </c>
      <c r="C570" s="5" t="s">
        <v>2179</v>
      </c>
      <c r="D570" s="6">
        <v>20.0</v>
      </c>
      <c r="E570" s="6" t="s">
        <v>528</v>
      </c>
      <c r="F570" s="5" t="s">
        <v>152</v>
      </c>
      <c r="G570" s="5" t="s">
        <v>107</v>
      </c>
      <c r="H570" s="5" t="s">
        <v>238</v>
      </c>
      <c r="I570" s="5" t="s">
        <v>533</v>
      </c>
      <c r="J570" s="5" t="s">
        <v>222</v>
      </c>
      <c r="K570" s="5">
        <v>1672.0</v>
      </c>
    </row>
    <row r="571" ht="22.5" customHeight="1">
      <c r="A571" s="5" t="s">
        <v>2181</v>
      </c>
      <c r="B571" s="5" t="s">
        <v>2183</v>
      </c>
      <c r="C571" s="5" t="s">
        <v>363</v>
      </c>
      <c r="D571" s="6">
        <v>68.0</v>
      </c>
      <c r="E571" s="6" t="s">
        <v>734</v>
      </c>
      <c r="F571" s="5" t="s">
        <v>152</v>
      </c>
      <c r="G571" s="5" t="s">
        <v>309</v>
      </c>
      <c r="H571" s="5" t="s">
        <v>358</v>
      </c>
      <c r="I571" s="5" t="s">
        <v>561</v>
      </c>
      <c r="J571" s="5" t="s">
        <v>97</v>
      </c>
      <c r="K571" s="5">
        <v>2741.0</v>
      </c>
    </row>
    <row r="572" ht="22.5" customHeight="1">
      <c r="A572" s="5" t="s">
        <v>2185</v>
      </c>
      <c r="B572" s="5" t="s">
        <v>2186</v>
      </c>
      <c r="C572" s="5" t="s">
        <v>2187</v>
      </c>
      <c r="D572" s="6">
        <v>77.0</v>
      </c>
      <c r="E572" s="6" t="s">
        <v>734</v>
      </c>
      <c r="F572" s="5" t="s">
        <v>152</v>
      </c>
      <c r="G572" s="5" t="s">
        <v>64</v>
      </c>
      <c r="H572" s="5" t="s">
        <v>1290</v>
      </c>
      <c r="I572" s="5" t="s">
        <v>533</v>
      </c>
      <c r="J572" s="5" t="s">
        <v>97</v>
      </c>
      <c r="K572" s="5">
        <v>1259.0</v>
      </c>
    </row>
    <row r="573" ht="22.5" customHeight="1">
      <c r="A573" s="5" t="s">
        <v>2190</v>
      </c>
      <c r="B573" s="5" t="s">
        <v>2119</v>
      </c>
      <c r="C573" s="5" t="s">
        <v>925</v>
      </c>
      <c r="D573" s="6">
        <v>64.0</v>
      </c>
      <c r="E573" s="6" t="s">
        <v>734</v>
      </c>
      <c r="F573" s="5" t="s">
        <v>152</v>
      </c>
      <c r="G573" s="5" t="s">
        <v>309</v>
      </c>
      <c r="H573" s="5" t="s">
        <v>470</v>
      </c>
      <c r="I573" s="5" t="s">
        <v>96</v>
      </c>
      <c r="J573" s="5" t="s">
        <v>97</v>
      </c>
      <c r="K573" s="5">
        <v>364.0</v>
      </c>
    </row>
    <row r="574" ht="22.5" customHeight="1">
      <c r="A574" s="5" t="s">
        <v>2192</v>
      </c>
      <c r="B574" s="5" t="s">
        <v>2193</v>
      </c>
      <c r="C574" s="5" t="s">
        <v>2194</v>
      </c>
      <c r="D574" s="6">
        <v>89.0</v>
      </c>
      <c r="E574" s="6" t="s">
        <v>734</v>
      </c>
      <c r="F574" s="5" t="s">
        <v>105</v>
      </c>
      <c r="G574" s="5" t="s">
        <v>237</v>
      </c>
      <c r="H574" s="5" t="s">
        <v>551</v>
      </c>
      <c r="I574" s="5" t="s">
        <v>96</v>
      </c>
      <c r="J574" s="5" t="s">
        <v>97</v>
      </c>
      <c r="K574" s="5">
        <v>251.0</v>
      </c>
    </row>
    <row r="575" ht="22.5" customHeight="1">
      <c r="A575" s="5" t="s">
        <v>2196</v>
      </c>
      <c r="B575" s="5" t="s">
        <v>2198</v>
      </c>
      <c r="C575" s="5" t="s">
        <v>629</v>
      </c>
      <c r="D575" s="6">
        <v>35.0</v>
      </c>
      <c r="E575" s="6" t="s">
        <v>528</v>
      </c>
      <c r="F575" s="5" t="s">
        <v>105</v>
      </c>
      <c r="G575" s="5" t="s">
        <v>47</v>
      </c>
      <c r="H575" s="5" t="s">
        <v>669</v>
      </c>
      <c r="I575" s="5" t="s">
        <v>452</v>
      </c>
      <c r="J575" s="5" t="s">
        <v>211</v>
      </c>
      <c r="K575" s="5">
        <v>4050.0</v>
      </c>
    </row>
    <row r="576" ht="22.5" customHeight="1">
      <c r="A576" s="5" t="s">
        <v>2201</v>
      </c>
      <c r="B576" s="5" t="s">
        <v>2202</v>
      </c>
      <c r="C576" s="5" t="s">
        <v>2203</v>
      </c>
      <c r="D576" s="6">
        <v>31.0</v>
      </c>
      <c r="E576" s="6" t="s">
        <v>528</v>
      </c>
      <c r="F576" s="5" t="s">
        <v>105</v>
      </c>
      <c r="G576" s="5" t="s">
        <v>237</v>
      </c>
      <c r="H576" s="5" t="s">
        <v>916</v>
      </c>
      <c r="I576" s="5" t="s">
        <v>402</v>
      </c>
      <c r="J576" s="5" t="s">
        <v>222</v>
      </c>
      <c r="K576" s="5">
        <v>3249.0</v>
      </c>
    </row>
    <row r="577" ht="22.5" customHeight="1">
      <c r="A577" s="5" t="s">
        <v>2205</v>
      </c>
      <c r="B577" s="5" t="s">
        <v>2206</v>
      </c>
      <c r="C577" s="5" t="s">
        <v>301</v>
      </c>
      <c r="D577" s="6">
        <v>58.0</v>
      </c>
      <c r="E577" s="6" t="s">
        <v>591</v>
      </c>
      <c r="F577" s="5" t="s">
        <v>105</v>
      </c>
      <c r="G577" s="5" t="s">
        <v>208</v>
      </c>
      <c r="H577" s="5" t="s">
        <v>164</v>
      </c>
      <c r="I577" s="5" t="s">
        <v>607</v>
      </c>
      <c r="J577" s="5" t="s">
        <v>211</v>
      </c>
      <c r="K577" s="5">
        <v>3803.0</v>
      </c>
    </row>
    <row r="578" ht="22.5" customHeight="1">
      <c r="A578" s="5" t="s">
        <v>2209</v>
      </c>
      <c r="B578" s="5" t="s">
        <v>2210</v>
      </c>
      <c r="C578" s="5" t="s">
        <v>2211</v>
      </c>
      <c r="D578" s="6">
        <v>76.0</v>
      </c>
      <c r="E578" s="6" t="s">
        <v>734</v>
      </c>
      <c r="F578" s="5" t="s">
        <v>152</v>
      </c>
      <c r="G578" s="5" t="s">
        <v>268</v>
      </c>
      <c r="H578" s="5" t="s">
        <v>470</v>
      </c>
      <c r="I578" s="5" t="s">
        <v>96</v>
      </c>
      <c r="J578" s="5" t="s">
        <v>559</v>
      </c>
      <c r="K578" s="5">
        <v>527.0</v>
      </c>
    </row>
    <row r="579" ht="22.5" customHeight="1">
      <c r="A579" s="5" t="s">
        <v>2212</v>
      </c>
      <c r="B579" s="5" t="s">
        <v>872</v>
      </c>
      <c r="C579" s="5" t="s">
        <v>2214</v>
      </c>
      <c r="D579" s="6">
        <v>49.0</v>
      </c>
      <c r="E579" s="6" t="s">
        <v>591</v>
      </c>
      <c r="F579" s="5" t="s">
        <v>152</v>
      </c>
      <c r="G579" s="5" t="s">
        <v>47</v>
      </c>
      <c r="H579" s="5" t="s">
        <v>470</v>
      </c>
      <c r="I579" s="5" t="s">
        <v>179</v>
      </c>
      <c r="J579" s="5" t="s">
        <v>52</v>
      </c>
      <c r="K579" s="5">
        <v>3096.0</v>
      </c>
    </row>
    <row r="580" ht="22.5" customHeight="1">
      <c r="A580" s="5" t="s">
        <v>2216</v>
      </c>
      <c r="B580" s="5" t="s">
        <v>1186</v>
      </c>
      <c r="C580" s="5" t="s">
        <v>2217</v>
      </c>
      <c r="D580" s="6">
        <v>59.0</v>
      </c>
      <c r="E580" s="6" t="s">
        <v>591</v>
      </c>
      <c r="F580" s="5" t="s">
        <v>152</v>
      </c>
      <c r="G580" s="5" t="s">
        <v>107</v>
      </c>
      <c r="H580" s="5" t="s">
        <v>637</v>
      </c>
      <c r="I580" s="5" t="s">
        <v>546</v>
      </c>
      <c r="J580" s="5" t="s">
        <v>222</v>
      </c>
      <c r="K580" s="5">
        <v>2178.0</v>
      </c>
    </row>
    <row r="581" ht="22.5" customHeight="1">
      <c r="A581" s="5" t="s">
        <v>2220</v>
      </c>
      <c r="B581" s="5" t="s">
        <v>2221</v>
      </c>
      <c r="C581" s="5" t="s">
        <v>2222</v>
      </c>
      <c r="D581" s="6">
        <v>18.0</v>
      </c>
      <c r="E581" s="6" t="s">
        <v>528</v>
      </c>
      <c r="F581" s="5" t="s">
        <v>105</v>
      </c>
      <c r="G581" s="5" t="s">
        <v>47</v>
      </c>
      <c r="H581" s="5" t="s">
        <v>489</v>
      </c>
      <c r="I581" s="5" t="s">
        <v>179</v>
      </c>
      <c r="J581" s="5" t="s">
        <v>559</v>
      </c>
      <c r="K581" s="5">
        <v>3653.0</v>
      </c>
    </row>
    <row r="582" ht="22.5" customHeight="1">
      <c r="A582" s="5" t="s">
        <v>2224</v>
      </c>
      <c r="B582" s="5" t="s">
        <v>2225</v>
      </c>
      <c r="C582" s="5" t="s">
        <v>2226</v>
      </c>
      <c r="D582" s="6">
        <v>53.0</v>
      </c>
      <c r="E582" s="6" t="s">
        <v>591</v>
      </c>
      <c r="F582" s="5" t="s">
        <v>152</v>
      </c>
      <c r="G582" s="5" t="s">
        <v>141</v>
      </c>
      <c r="H582" s="5" t="s">
        <v>470</v>
      </c>
      <c r="I582" s="5" t="s">
        <v>96</v>
      </c>
      <c r="J582" s="5" t="s">
        <v>52</v>
      </c>
      <c r="K582" s="5">
        <v>547.0</v>
      </c>
    </row>
    <row r="583" ht="22.5" customHeight="1">
      <c r="A583" s="5" t="s">
        <v>2229</v>
      </c>
      <c r="B583" s="5" t="s">
        <v>764</v>
      </c>
      <c r="C583" s="5" t="s">
        <v>2230</v>
      </c>
      <c r="D583" s="6">
        <v>52.0</v>
      </c>
      <c r="E583" s="6" t="s">
        <v>591</v>
      </c>
      <c r="F583" s="5" t="s">
        <v>105</v>
      </c>
      <c r="G583" s="5" t="s">
        <v>309</v>
      </c>
      <c r="H583" s="5" t="s">
        <v>377</v>
      </c>
      <c r="I583" s="5" t="s">
        <v>96</v>
      </c>
      <c r="J583" s="5" t="s">
        <v>211</v>
      </c>
      <c r="K583" s="5">
        <v>358.0</v>
      </c>
    </row>
    <row r="584" ht="22.5" customHeight="1">
      <c r="A584" s="5" t="s">
        <v>2233</v>
      </c>
      <c r="B584" s="5" t="s">
        <v>625</v>
      </c>
      <c r="C584" s="5" t="s">
        <v>2235</v>
      </c>
      <c r="D584" s="6">
        <v>76.0</v>
      </c>
      <c r="E584" s="6" t="s">
        <v>734</v>
      </c>
      <c r="F584" s="5" t="s">
        <v>152</v>
      </c>
      <c r="G584" s="5" t="s">
        <v>47</v>
      </c>
      <c r="H584" s="5" t="s">
        <v>164</v>
      </c>
      <c r="I584" s="5" t="s">
        <v>452</v>
      </c>
      <c r="J584" s="5" t="s">
        <v>97</v>
      </c>
      <c r="K584" s="5">
        <v>4999.0</v>
      </c>
    </row>
    <row r="585" ht="22.5" customHeight="1">
      <c r="A585" s="5" t="s">
        <v>2236</v>
      </c>
      <c r="B585" s="5" t="s">
        <v>2237</v>
      </c>
      <c r="C585" s="5" t="s">
        <v>25</v>
      </c>
      <c r="D585" s="6">
        <v>32.0</v>
      </c>
      <c r="E585" s="6" t="s">
        <v>528</v>
      </c>
      <c r="F585" s="5" t="s">
        <v>152</v>
      </c>
      <c r="G585" s="5" t="s">
        <v>571</v>
      </c>
      <c r="H585" s="5" t="s">
        <v>164</v>
      </c>
      <c r="I585" s="5" t="s">
        <v>452</v>
      </c>
      <c r="J585" s="5" t="s">
        <v>222</v>
      </c>
      <c r="K585" s="5">
        <v>2702.0</v>
      </c>
    </row>
    <row r="586" ht="22.5" customHeight="1">
      <c r="A586" s="5" t="s">
        <v>2239</v>
      </c>
      <c r="B586" s="5" t="s">
        <v>2108</v>
      </c>
      <c r="C586" s="5" t="s">
        <v>2187</v>
      </c>
      <c r="D586" s="6">
        <v>46.0</v>
      </c>
      <c r="E586" s="6" t="s">
        <v>591</v>
      </c>
      <c r="F586" s="5" t="s">
        <v>105</v>
      </c>
      <c r="G586" s="5" t="s">
        <v>47</v>
      </c>
      <c r="H586" s="5" t="s">
        <v>439</v>
      </c>
      <c r="I586" s="5" t="s">
        <v>210</v>
      </c>
      <c r="J586" s="5" t="s">
        <v>222</v>
      </c>
      <c r="K586" s="5">
        <v>1514.0</v>
      </c>
    </row>
    <row r="587" ht="22.5" customHeight="1">
      <c r="A587" s="5" t="s">
        <v>2243</v>
      </c>
      <c r="B587" s="5" t="s">
        <v>2244</v>
      </c>
      <c r="C587" s="5" t="s">
        <v>2154</v>
      </c>
      <c r="D587" s="6">
        <v>21.0</v>
      </c>
      <c r="E587" s="6" t="s">
        <v>528</v>
      </c>
      <c r="F587" s="5" t="s">
        <v>152</v>
      </c>
      <c r="G587" s="5" t="s">
        <v>393</v>
      </c>
      <c r="H587" s="5" t="s">
        <v>1290</v>
      </c>
      <c r="I587" s="5" t="s">
        <v>533</v>
      </c>
      <c r="J587" s="5" t="s">
        <v>222</v>
      </c>
      <c r="K587" s="5">
        <v>1035.0</v>
      </c>
    </row>
    <row r="588" ht="22.5" customHeight="1">
      <c r="A588" s="5" t="s">
        <v>2245</v>
      </c>
      <c r="B588" s="5" t="s">
        <v>2246</v>
      </c>
      <c r="C588" s="5" t="s">
        <v>2163</v>
      </c>
      <c r="D588" s="6">
        <v>29.0</v>
      </c>
      <c r="E588" s="6" t="s">
        <v>528</v>
      </c>
      <c r="F588" s="5" t="s">
        <v>105</v>
      </c>
      <c r="G588" s="5" t="s">
        <v>256</v>
      </c>
      <c r="H588" s="5" t="s">
        <v>32</v>
      </c>
      <c r="I588" s="5" t="s">
        <v>83</v>
      </c>
      <c r="J588" s="5" t="s">
        <v>222</v>
      </c>
      <c r="K588" s="5">
        <v>1782.0</v>
      </c>
    </row>
    <row r="589" ht="22.5" customHeight="1">
      <c r="A589" s="5" t="s">
        <v>2249</v>
      </c>
      <c r="B589" s="5" t="s">
        <v>2250</v>
      </c>
      <c r="C589" s="5" t="s">
        <v>2251</v>
      </c>
      <c r="D589" s="6">
        <v>42.0</v>
      </c>
      <c r="E589" s="6" t="s">
        <v>591</v>
      </c>
      <c r="F589" s="5" t="s">
        <v>152</v>
      </c>
      <c r="G589" s="5" t="s">
        <v>539</v>
      </c>
      <c r="H589" s="5" t="s">
        <v>418</v>
      </c>
      <c r="I589" s="5" t="s">
        <v>210</v>
      </c>
      <c r="J589" s="5" t="s">
        <v>222</v>
      </c>
      <c r="K589" s="5">
        <v>50.0</v>
      </c>
    </row>
    <row r="590" ht="22.5" customHeight="1">
      <c r="A590" s="5" t="s">
        <v>2253</v>
      </c>
      <c r="B590" s="5" t="s">
        <v>2178</v>
      </c>
      <c r="C590" s="5" t="s">
        <v>2254</v>
      </c>
      <c r="D590" s="6">
        <v>34.0</v>
      </c>
      <c r="E590" s="6" t="s">
        <v>528</v>
      </c>
      <c r="F590" s="5" t="s">
        <v>105</v>
      </c>
      <c r="G590" s="5" t="s">
        <v>364</v>
      </c>
      <c r="H590" s="5" t="s">
        <v>439</v>
      </c>
      <c r="I590" s="5" t="s">
        <v>210</v>
      </c>
      <c r="J590" s="5" t="s">
        <v>559</v>
      </c>
      <c r="K590" s="5">
        <v>1025.0</v>
      </c>
    </row>
    <row r="591" ht="22.5" customHeight="1">
      <c r="A591" s="5" t="s">
        <v>2255</v>
      </c>
      <c r="B591" s="5" t="s">
        <v>2139</v>
      </c>
      <c r="C591" s="5" t="s">
        <v>713</v>
      </c>
      <c r="D591" s="6"/>
      <c r="E591" s="6" t="s">
        <v>1081</v>
      </c>
      <c r="F591" s="5" t="s">
        <v>152</v>
      </c>
      <c r="G591" s="5" t="s">
        <v>30</v>
      </c>
      <c r="H591" s="5" t="s">
        <v>418</v>
      </c>
      <c r="I591" s="5" t="s">
        <v>210</v>
      </c>
      <c r="J591" s="5" t="s">
        <v>97</v>
      </c>
      <c r="K591" s="5">
        <v>704.0</v>
      </c>
    </row>
    <row r="592" ht="22.5" customHeight="1">
      <c r="A592" s="5" t="s">
        <v>2257</v>
      </c>
      <c r="B592" s="5" t="s">
        <v>2258</v>
      </c>
      <c r="C592" s="5" t="s">
        <v>2226</v>
      </c>
      <c r="D592" s="6">
        <v>58.0</v>
      </c>
      <c r="E592" s="6" t="s">
        <v>591</v>
      </c>
      <c r="F592" s="5" t="s">
        <v>105</v>
      </c>
      <c r="G592" s="5" t="s">
        <v>401</v>
      </c>
      <c r="H592" s="5" t="s">
        <v>1290</v>
      </c>
      <c r="I592" s="5" t="s">
        <v>533</v>
      </c>
      <c r="J592" s="5" t="s">
        <v>211</v>
      </c>
      <c r="K592" s="5">
        <v>1137.0</v>
      </c>
    </row>
    <row r="593" ht="22.5" customHeight="1">
      <c r="A593" s="5" t="s">
        <v>2261</v>
      </c>
      <c r="B593" s="5" t="s">
        <v>2262</v>
      </c>
      <c r="C593" s="5" t="s">
        <v>301</v>
      </c>
      <c r="D593" s="6">
        <v>39.0</v>
      </c>
      <c r="E593" s="6" t="s">
        <v>528</v>
      </c>
      <c r="F593" s="5" t="s">
        <v>105</v>
      </c>
      <c r="G593" s="5" t="s">
        <v>107</v>
      </c>
      <c r="H593" s="5" t="s">
        <v>489</v>
      </c>
      <c r="I593" s="5" t="s">
        <v>179</v>
      </c>
      <c r="J593" s="5" t="s">
        <v>211</v>
      </c>
      <c r="K593" s="5">
        <v>3588.0</v>
      </c>
    </row>
    <row r="594" ht="22.5" customHeight="1">
      <c r="A594" s="5" t="s">
        <v>2265</v>
      </c>
      <c r="B594" s="5" t="s">
        <v>2134</v>
      </c>
      <c r="C594" s="5" t="s">
        <v>2266</v>
      </c>
      <c r="D594" s="6">
        <v>46.0</v>
      </c>
      <c r="E594" s="6" t="s">
        <v>591</v>
      </c>
      <c r="F594" s="5" t="s">
        <v>152</v>
      </c>
      <c r="G594" s="5" t="s">
        <v>131</v>
      </c>
      <c r="H594" s="5" t="s">
        <v>418</v>
      </c>
      <c r="I594" s="5" t="s">
        <v>210</v>
      </c>
      <c r="J594" s="5" t="s">
        <v>559</v>
      </c>
      <c r="K594" s="5">
        <v>1152.0</v>
      </c>
    </row>
    <row r="595" ht="22.5" customHeight="1">
      <c r="A595" s="5" t="s">
        <v>2268</v>
      </c>
      <c r="B595" s="5" t="s">
        <v>1583</v>
      </c>
      <c r="C595" s="5" t="s">
        <v>2269</v>
      </c>
      <c r="D595" s="6">
        <v>35.0</v>
      </c>
      <c r="E595" s="6" t="s">
        <v>528</v>
      </c>
      <c r="F595" s="5" t="s">
        <v>105</v>
      </c>
      <c r="G595" s="5" t="s">
        <v>539</v>
      </c>
      <c r="H595" s="5" t="s">
        <v>470</v>
      </c>
      <c r="I595" s="5" t="s">
        <v>179</v>
      </c>
      <c r="J595" s="5" t="s">
        <v>559</v>
      </c>
      <c r="K595" s="5">
        <v>3008.0</v>
      </c>
    </row>
    <row r="596" ht="22.5" customHeight="1">
      <c r="A596" s="5" t="s">
        <v>2272</v>
      </c>
      <c r="B596" s="5" t="s">
        <v>1237</v>
      </c>
      <c r="C596" s="5" t="s">
        <v>42</v>
      </c>
      <c r="D596" s="6">
        <v>53.0</v>
      </c>
      <c r="E596" s="6" t="s">
        <v>591</v>
      </c>
      <c r="F596" s="5" t="s">
        <v>152</v>
      </c>
      <c r="G596" s="5" t="s">
        <v>256</v>
      </c>
      <c r="H596" s="5" t="s">
        <v>164</v>
      </c>
      <c r="I596" s="5" t="s">
        <v>607</v>
      </c>
      <c r="J596" s="5" t="s">
        <v>559</v>
      </c>
      <c r="K596" s="5">
        <v>2537.0</v>
      </c>
    </row>
    <row r="597" ht="22.5" customHeight="1">
      <c r="A597" s="5" t="s">
        <v>2274</v>
      </c>
      <c r="B597" s="5" t="s">
        <v>983</v>
      </c>
      <c r="C597" s="5" t="s">
        <v>2269</v>
      </c>
      <c r="D597" s="6">
        <v>58.0</v>
      </c>
      <c r="E597" s="6" t="s">
        <v>591</v>
      </c>
      <c r="F597" s="5" t="s">
        <v>105</v>
      </c>
      <c r="G597" s="5" t="s">
        <v>47</v>
      </c>
      <c r="H597" s="5" t="s">
        <v>377</v>
      </c>
      <c r="I597" s="5" t="s">
        <v>402</v>
      </c>
      <c r="J597" s="5" t="s">
        <v>52</v>
      </c>
      <c r="K597" s="5">
        <v>2632.0</v>
      </c>
    </row>
    <row r="598" ht="22.5" customHeight="1">
      <c r="A598" s="5" t="s">
        <v>2276</v>
      </c>
      <c r="B598" s="5" t="s">
        <v>872</v>
      </c>
      <c r="C598" s="5" t="s">
        <v>2277</v>
      </c>
      <c r="D598" s="6">
        <v>62.0</v>
      </c>
      <c r="E598" s="6" t="s">
        <v>734</v>
      </c>
      <c r="F598" s="5" t="s">
        <v>152</v>
      </c>
      <c r="G598" s="5" t="s">
        <v>539</v>
      </c>
      <c r="H598" s="5" t="s">
        <v>439</v>
      </c>
      <c r="I598" s="5" t="s">
        <v>210</v>
      </c>
      <c r="J598" s="5" t="s">
        <v>97</v>
      </c>
      <c r="K598" s="5">
        <v>794.0</v>
      </c>
    </row>
    <row r="599" ht="22.5" customHeight="1">
      <c r="A599" s="5" t="s">
        <v>2280</v>
      </c>
      <c r="B599" s="5" t="s">
        <v>2281</v>
      </c>
      <c r="C599" s="5" t="s">
        <v>2282</v>
      </c>
      <c r="D599" s="6">
        <v>20.0</v>
      </c>
      <c r="E599" s="6" t="s">
        <v>528</v>
      </c>
      <c r="F599" s="5" t="s">
        <v>105</v>
      </c>
      <c r="G599" s="5" t="s">
        <v>64</v>
      </c>
      <c r="H599" s="5" t="s">
        <v>32</v>
      </c>
      <c r="I599" s="5" t="s">
        <v>83</v>
      </c>
      <c r="J599" s="5" t="s">
        <v>211</v>
      </c>
      <c r="K599" s="5">
        <v>2658.0</v>
      </c>
    </row>
    <row r="600" ht="22.5" customHeight="1">
      <c r="A600" s="5" t="s">
        <v>2284</v>
      </c>
      <c r="B600" s="5" t="s">
        <v>2285</v>
      </c>
      <c r="C600" s="5" t="s">
        <v>629</v>
      </c>
      <c r="D600" s="6">
        <v>34.0</v>
      </c>
      <c r="E600" s="6" t="s">
        <v>528</v>
      </c>
      <c r="F600" s="5" t="s">
        <v>152</v>
      </c>
      <c r="G600" s="5" t="s">
        <v>81</v>
      </c>
      <c r="H600" s="5" t="s">
        <v>916</v>
      </c>
      <c r="I600" s="5" t="s">
        <v>402</v>
      </c>
      <c r="J600" s="5" t="s">
        <v>52</v>
      </c>
      <c r="K600" s="5">
        <v>1923.0</v>
      </c>
    </row>
    <row r="601" ht="22.5" customHeight="1">
      <c r="A601" s="5" t="s">
        <v>2288</v>
      </c>
      <c r="B601" s="5" t="s">
        <v>1143</v>
      </c>
      <c r="C601" s="5" t="s">
        <v>76</v>
      </c>
      <c r="D601" s="6">
        <v>54.0</v>
      </c>
      <c r="E601" s="6" t="s">
        <v>591</v>
      </c>
      <c r="F601" s="5" t="s">
        <v>152</v>
      </c>
      <c r="G601" s="5" t="s">
        <v>30</v>
      </c>
      <c r="H601" s="5" t="s">
        <v>470</v>
      </c>
      <c r="I601" s="5" t="s">
        <v>179</v>
      </c>
      <c r="J601" s="5" t="s">
        <v>211</v>
      </c>
      <c r="K601" s="5">
        <v>4391.0</v>
      </c>
    </row>
    <row r="602" ht="22.5" customHeight="1">
      <c r="A602" s="5" t="s">
        <v>2290</v>
      </c>
      <c r="B602" s="5" t="s">
        <v>2291</v>
      </c>
      <c r="C602" s="5" t="s">
        <v>2293</v>
      </c>
      <c r="D602" s="6">
        <v>40.0</v>
      </c>
      <c r="E602" s="6" t="s">
        <v>528</v>
      </c>
      <c r="F602" s="5" t="s">
        <v>105</v>
      </c>
      <c r="G602" s="5" t="s">
        <v>64</v>
      </c>
      <c r="H602" s="5" t="s">
        <v>277</v>
      </c>
      <c r="I602" s="5" t="s">
        <v>402</v>
      </c>
      <c r="J602" s="5" t="s">
        <v>52</v>
      </c>
      <c r="K602" s="5">
        <v>2343.0</v>
      </c>
    </row>
    <row r="603" ht="22.5" customHeight="1">
      <c r="A603" s="5" t="s">
        <v>2295</v>
      </c>
      <c r="B603" s="5" t="s">
        <v>2296</v>
      </c>
      <c r="C603" s="5" t="s">
        <v>374</v>
      </c>
      <c r="D603" s="6">
        <v>64.0</v>
      </c>
      <c r="E603" s="6" t="s">
        <v>734</v>
      </c>
      <c r="F603" s="5" t="s">
        <v>152</v>
      </c>
      <c r="G603" s="5" t="s">
        <v>309</v>
      </c>
      <c r="H603" s="5" t="s">
        <v>489</v>
      </c>
      <c r="I603" s="5" t="s">
        <v>179</v>
      </c>
      <c r="J603" s="5" t="s">
        <v>97</v>
      </c>
      <c r="K603" s="5">
        <v>4999.0</v>
      </c>
    </row>
    <row r="604" ht="22.5" customHeight="1">
      <c r="A604" s="5" t="s">
        <v>2298</v>
      </c>
      <c r="B604" s="5" t="s">
        <v>2281</v>
      </c>
      <c r="C604" s="5" t="s">
        <v>2299</v>
      </c>
      <c r="D604" s="6">
        <v>66.0</v>
      </c>
      <c r="E604" s="6" t="s">
        <v>734</v>
      </c>
      <c r="F604" s="5" t="s">
        <v>105</v>
      </c>
      <c r="G604" s="5" t="s">
        <v>47</v>
      </c>
      <c r="H604" s="5" t="s">
        <v>470</v>
      </c>
      <c r="I604" s="5" t="s">
        <v>96</v>
      </c>
      <c r="J604" s="5" t="s">
        <v>97</v>
      </c>
      <c r="K604" s="5">
        <v>449.0</v>
      </c>
    </row>
    <row r="605" ht="22.5" customHeight="1">
      <c r="A605" s="5" t="s">
        <v>2301</v>
      </c>
      <c r="B605" s="5" t="s">
        <v>2302</v>
      </c>
      <c r="C605" s="5" t="s">
        <v>2303</v>
      </c>
      <c r="D605" s="6">
        <v>62.0</v>
      </c>
      <c r="E605" s="6" t="s">
        <v>734</v>
      </c>
      <c r="F605" s="5" t="s">
        <v>105</v>
      </c>
      <c r="G605" s="5" t="s">
        <v>107</v>
      </c>
      <c r="H605" s="5" t="s">
        <v>32</v>
      </c>
      <c r="I605" s="5" t="s">
        <v>83</v>
      </c>
      <c r="J605" s="5" t="s">
        <v>97</v>
      </c>
      <c r="K605" s="5">
        <v>1585.0</v>
      </c>
    </row>
    <row r="606" ht="22.5" customHeight="1">
      <c r="A606" s="5" t="s">
        <v>2305</v>
      </c>
      <c r="B606" s="5" t="s">
        <v>2306</v>
      </c>
      <c r="C606" s="5" t="s">
        <v>2230</v>
      </c>
      <c r="D606" s="6">
        <v>85.0</v>
      </c>
      <c r="E606" s="6" t="s">
        <v>734</v>
      </c>
      <c r="F606" s="5" t="s">
        <v>105</v>
      </c>
      <c r="G606" s="5" t="s">
        <v>309</v>
      </c>
      <c r="H606" s="5" t="s">
        <v>1290</v>
      </c>
      <c r="I606" s="5" t="s">
        <v>533</v>
      </c>
      <c r="J606" s="5" t="s">
        <v>97</v>
      </c>
      <c r="K606" s="5">
        <v>2033.0</v>
      </c>
    </row>
    <row r="607" ht="22.5" customHeight="1">
      <c r="A607" s="5" t="s">
        <v>2309</v>
      </c>
      <c r="B607" s="5" t="s">
        <v>983</v>
      </c>
      <c r="C607" s="5" t="s">
        <v>2179</v>
      </c>
      <c r="D607" s="6">
        <v>88.0</v>
      </c>
      <c r="E607" s="6" t="s">
        <v>734</v>
      </c>
      <c r="F607" s="5" t="s">
        <v>105</v>
      </c>
      <c r="G607" s="5" t="s">
        <v>401</v>
      </c>
      <c r="H607" s="5" t="s">
        <v>230</v>
      </c>
      <c r="I607" s="5" t="s">
        <v>452</v>
      </c>
      <c r="J607" s="5" t="s">
        <v>97</v>
      </c>
      <c r="K607" s="5">
        <v>4837.0</v>
      </c>
    </row>
    <row r="608" ht="22.5" customHeight="1">
      <c r="A608" s="5" t="s">
        <v>2311</v>
      </c>
      <c r="B608" s="5" t="s">
        <v>2312</v>
      </c>
      <c r="C608" s="5" t="s">
        <v>2313</v>
      </c>
      <c r="D608" s="6">
        <v>76.0</v>
      </c>
      <c r="E608" s="6" t="s">
        <v>734</v>
      </c>
      <c r="F608" s="5" t="s">
        <v>105</v>
      </c>
      <c r="G608" s="5" t="s">
        <v>309</v>
      </c>
      <c r="H608" s="5" t="s">
        <v>311</v>
      </c>
      <c r="I608" s="5" t="s">
        <v>96</v>
      </c>
      <c r="J608" s="5" t="s">
        <v>559</v>
      </c>
      <c r="K608" s="5">
        <v>707.0</v>
      </c>
    </row>
    <row r="609" ht="22.5" customHeight="1">
      <c r="A609" s="5" t="s">
        <v>2315</v>
      </c>
      <c r="B609" s="5" t="s">
        <v>2153</v>
      </c>
      <c r="C609" s="5" t="s">
        <v>2316</v>
      </c>
      <c r="D609" s="6">
        <v>77.0</v>
      </c>
      <c r="E609" s="6" t="s">
        <v>734</v>
      </c>
      <c r="F609" s="5" t="s">
        <v>152</v>
      </c>
      <c r="G609" s="5" t="s">
        <v>107</v>
      </c>
      <c r="H609" s="5" t="s">
        <v>277</v>
      </c>
      <c r="I609" s="5" t="s">
        <v>402</v>
      </c>
      <c r="J609" s="5" t="s">
        <v>97</v>
      </c>
      <c r="K609" s="5">
        <v>2068.0</v>
      </c>
    </row>
    <row r="610" ht="22.5" customHeight="1">
      <c r="A610" s="5" t="s">
        <v>2319</v>
      </c>
      <c r="B610" s="5" t="s">
        <v>2210</v>
      </c>
      <c r="C610" s="5" t="s">
        <v>2299</v>
      </c>
      <c r="D610" s="6">
        <v>54.0</v>
      </c>
      <c r="E610" s="6" t="s">
        <v>591</v>
      </c>
      <c r="F610" s="5" t="s">
        <v>105</v>
      </c>
      <c r="G610" s="5" t="s">
        <v>107</v>
      </c>
      <c r="H610" s="5" t="s">
        <v>436</v>
      </c>
      <c r="I610" s="5" t="s">
        <v>561</v>
      </c>
      <c r="J610" s="5" t="s">
        <v>559</v>
      </c>
      <c r="K610" s="5">
        <v>3730.0</v>
      </c>
    </row>
    <row r="611" ht="22.5" customHeight="1">
      <c r="A611" s="5" t="s">
        <v>2321</v>
      </c>
      <c r="B611" s="5" t="s">
        <v>2112</v>
      </c>
      <c r="C611" s="5" t="s">
        <v>2154</v>
      </c>
      <c r="D611" s="6"/>
      <c r="E611" s="6" t="s">
        <v>1081</v>
      </c>
      <c r="F611" s="5" t="s">
        <v>105</v>
      </c>
      <c r="G611" s="5" t="s">
        <v>759</v>
      </c>
      <c r="H611" s="5" t="s">
        <v>238</v>
      </c>
      <c r="I611" s="5" t="s">
        <v>533</v>
      </c>
      <c r="J611" s="5" t="s">
        <v>97</v>
      </c>
      <c r="K611" s="5">
        <v>663.0</v>
      </c>
    </row>
    <row r="612" ht="22.5" customHeight="1">
      <c r="A612" s="5" t="s">
        <v>2323</v>
      </c>
      <c r="B612" s="5" t="s">
        <v>2258</v>
      </c>
      <c r="C612" s="5" t="s">
        <v>159</v>
      </c>
      <c r="D612" s="6">
        <v>0.0</v>
      </c>
      <c r="E612" s="6" t="s">
        <v>1081</v>
      </c>
      <c r="F612" s="5" t="s">
        <v>152</v>
      </c>
      <c r="G612" s="5" t="s">
        <v>393</v>
      </c>
      <c r="H612" s="5" t="s">
        <v>377</v>
      </c>
      <c r="I612" s="5" t="s">
        <v>402</v>
      </c>
      <c r="J612" s="5" t="s">
        <v>211</v>
      </c>
      <c r="K612" s="5">
        <v>1800.0</v>
      </c>
    </row>
    <row r="613" ht="22.5" customHeight="1">
      <c r="A613" s="5" t="s">
        <v>2325</v>
      </c>
      <c r="B613" s="5" t="s">
        <v>2326</v>
      </c>
      <c r="C613" s="5" t="s">
        <v>2203</v>
      </c>
      <c r="D613" s="6">
        <v>49.0</v>
      </c>
      <c r="E613" s="6" t="s">
        <v>591</v>
      </c>
      <c r="F613" s="5" t="s">
        <v>105</v>
      </c>
      <c r="G613" s="5" t="s">
        <v>364</v>
      </c>
      <c r="H613" s="5" t="s">
        <v>418</v>
      </c>
      <c r="I613" s="5" t="s">
        <v>210</v>
      </c>
      <c r="J613" s="5" t="s">
        <v>222</v>
      </c>
      <c r="K613" s="5">
        <v>1025.0</v>
      </c>
    </row>
    <row r="614" ht="22.5" customHeight="1">
      <c r="A614" s="5" t="s">
        <v>2327</v>
      </c>
      <c r="B614" s="5" t="s">
        <v>2123</v>
      </c>
      <c r="C614" s="5" t="s">
        <v>2328</v>
      </c>
      <c r="D614" s="6">
        <v>20.0</v>
      </c>
      <c r="E614" s="6" t="s">
        <v>528</v>
      </c>
      <c r="F614" s="5" t="s">
        <v>152</v>
      </c>
      <c r="G614" s="5" t="s">
        <v>309</v>
      </c>
      <c r="H614" s="5" t="s">
        <v>418</v>
      </c>
      <c r="I614" s="5" t="s">
        <v>210</v>
      </c>
      <c r="J614" s="5" t="s">
        <v>222</v>
      </c>
      <c r="K614" s="5">
        <v>630.0</v>
      </c>
    </row>
    <row r="615" ht="22.5" customHeight="1">
      <c r="A615" s="5" t="s">
        <v>2329</v>
      </c>
      <c r="B615" s="5" t="s">
        <v>2186</v>
      </c>
      <c r="C615" s="5" t="s">
        <v>2113</v>
      </c>
      <c r="D615" s="6">
        <v>51.0</v>
      </c>
      <c r="E615" s="6" t="s">
        <v>591</v>
      </c>
      <c r="F615" s="5" t="s">
        <v>152</v>
      </c>
      <c r="G615" s="5" t="s">
        <v>268</v>
      </c>
      <c r="H615" s="5" t="s">
        <v>164</v>
      </c>
      <c r="I615" s="5" t="s">
        <v>607</v>
      </c>
      <c r="J615" s="5" t="s">
        <v>52</v>
      </c>
      <c r="K615" s="5">
        <v>2393.0</v>
      </c>
    </row>
    <row r="616" ht="22.5" customHeight="1">
      <c r="A616" s="5" t="s">
        <v>2331</v>
      </c>
      <c r="B616" s="5" t="s">
        <v>2225</v>
      </c>
      <c r="C616" s="5" t="s">
        <v>2332</v>
      </c>
      <c r="D616" s="6">
        <v>84.0</v>
      </c>
      <c r="E616" s="6" t="s">
        <v>734</v>
      </c>
      <c r="F616" s="5" t="s">
        <v>105</v>
      </c>
      <c r="G616" s="5" t="s">
        <v>47</v>
      </c>
      <c r="H616" s="5" t="s">
        <v>311</v>
      </c>
      <c r="I616" s="5" t="s">
        <v>546</v>
      </c>
      <c r="J616" s="5" t="s">
        <v>97</v>
      </c>
      <c r="K616" s="5">
        <v>1210.0</v>
      </c>
    </row>
    <row r="617" ht="22.5" customHeight="1">
      <c r="A617" s="5" t="s">
        <v>2335</v>
      </c>
      <c r="B617" s="5" t="s">
        <v>764</v>
      </c>
      <c r="C617" s="5" t="s">
        <v>2336</v>
      </c>
      <c r="D617" s="6">
        <v>20.0</v>
      </c>
      <c r="E617" s="6" t="s">
        <v>528</v>
      </c>
      <c r="F617" s="5" t="s">
        <v>152</v>
      </c>
      <c r="G617" s="5" t="s">
        <v>81</v>
      </c>
      <c r="H617" s="5" t="s">
        <v>470</v>
      </c>
      <c r="I617" s="5" t="s">
        <v>96</v>
      </c>
      <c r="J617" s="5" t="s">
        <v>211</v>
      </c>
      <c r="K617" s="5">
        <v>626.0</v>
      </c>
    </row>
    <row r="618" ht="22.5" customHeight="1">
      <c r="A618" s="5" t="s">
        <v>2337</v>
      </c>
      <c r="B618" s="5" t="s">
        <v>2072</v>
      </c>
      <c r="C618" s="5" t="s">
        <v>2217</v>
      </c>
      <c r="D618" s="6">
        <v>32.0</v>
      </c>
      <c r="E618" s="6" t="s">
        <v>528</v>
      </c>
      <c r="F618" s="5" t="s">
        <v>152</v>
      </c>
      <c r="G618" s="5" t="s">
        <v>376</v>
      </c>
      <c r="H618" s="5" t="s">
        <v>439</v>
      </c>
      <c r="I618" s="5" t="s">
        <v>210</v>
      </c>
      <c r="J618" s="5" t="s">
        <v>559</v>
      </c>
      <c r="K618" s="5">
        <v>1562.0</v>
      </c>
    </row>
    <row r="619" ht="22.5" customHeight="1">
      <c r="A619" s="5" t="s">
        <v>2340</v>
      </c>
      <c r="B619" s="5" t="s">
        <v>2341</v>
      </c>
      <c r="C619" s="5" t="s">
        <v>128</v>
      </c>
      <c r="D619" s="6">
        <v>90.0</v>
      </c>
      <c r="E619" s="6" t="s">
        <v>734</v>
      </c>
      <c r="F619" s="5" t="s">
        <v>152</v>
      </c>
      <c r="G619" s="5" t="s">
        <v>401</v>
      </c>
      <c r="H619" s="5" t="s">
        <v>164</v>
      </c>
      <c r="I619" s="5" t="s">
        <v>452</v>
      </c>
      <c r="J619" s="5" t="s">
        <v>97</v>
      </c>
      <c r="K619" s="5">
        <v>3758.0</v>
      </c>
    </row>
    <row r="620" ht="22.5" customHeight="1">
      <c r="A620" s="5" t="s">
        <v>2344</v>
      </c>
      <c r="B620" s="5" t="s">
        <v>2077</v>
      </c>
      <c r="C620" s="5" t="s">
        <v>2345</v>
      </c>
      <c r="D620" s="6">
        <v>23.0</v>
      </c>
      <c r="E620" s="6" t="s">
        <v>528</v>
      </c>
      <c r="F620" s="5" t="s">
        <v>105</v>
      </c>
      <c r="G620" s="5" t="s">
        <v>309</v>
      </c>
      <c r="H620" s="5" t="s">
        <v>439</v>
      </c>
      <c r="I620" s="5" t="s">
        <v>210</v>
      </c>
      <c r="J620" s="5" t="s">
        <v>222</v>
      </c>
      <c r="K620" s="5">
        <v>50.0</v>
      </c>
    </row>
    <row r="621" ht="22.5" customHeight="1">
      <c r="A621" s="5" t="s">
        <v>2346</v>
      </c>
      <c r="B621" s="5" t="s">
        <v>2237</v>
      </c>
      <c r="C621" s="5" t="s">
        <v>2328</v>
      </c>
      <c r="D621" s="6">
        <v>56.0</v>
      </c>
      <c r="E621" s="6" t="s">
        <v>591</v>
      </c>
      <c r="F621" s="5" t="s">
        <v>105</v>
      </c>
      <c r="G621" s="5" t="s">
        <v>47</v>
      </c>
      <c r="H621" s="5" t="s">
        <v>916</v>
      </c>
      <c r="I621" s="5" t="s">
        <v>402</v>
      </c>
      <c r="J621" s="5" t="s">
        <v>52</v>
      </c>
      <c r="K621" s="5">
        <v>1813.0</v>
      </c>
    </row>
    <row r="622" ht="22.5" customHeight="1">
      <c r="A622" s="5" t="s">
        <v>2349</v>
      </c>
      <c r="B622" s="5" t="s">
        <v>2350</v>
      </c>
      <c r="C622" s="5" t="s">
        <v>2351</v>
      </c>
      <c r="D622" s="6">
        <v>32.0</v>
      </c>
      <c r="E622" s="6" t="s">
        <v>528</v>
      </c>
      <c r="F622" s="5" t="s">
        <v>105</v>
      </c>
      <c r="G622" s="5" t="s">
        <v>256</v>
      </c>
      <c r="H622" s="5" t="s">
        <v>377</v>
      </c>
      <c r="I622" s="5" t="s">
        <v>96</v>
      </c>
      <c r="J622" s="5" t="s">
        <v>222</v>
      </c>
      <c r="K622" s="5">
        <v>965.0</v>
      </c>
    </row>
    <row r="623" ht="22.5" customHeight="1">
      <c r="A623" s="5" t="s">
        <v>2353</v>
      </c>
      <c r="B623" s="5" t="s">
        <v>2258</v>
      </c>
      <c r="C623" s="5" t="s">
        <v>324</v>
      </c>
      <c r="D623" s="6">
        <v>48.0</v>
      </c>
      <c r="E623" s="6" t="s">
        <v>591</v>
      </c>
      <c r="F623" s="5" t="s">
        <v>152</v>
      </c>
      <c r="G623" s="5" t="s">
        <v>47</v>
      </c>
      <c r="H623" s="5" t="s">
        <v>230</v>
      </c>
      <c r="I623" s="5" t="s">
        <v>452</v>
      </c>
      <c r="J623" s="5" t="s">
        <v>222</v>
      </c>
      <c r="K623" s="5">
        <v>3565.0</v>
      </c>
    </row>
    <row r="624" ht="22.5" customHeight="1">
      <c r="A624" s="5" t="s">
        <v>2356</v>
      </c>
      <c r="B624" s="5" t="s">
        <v>2086</v>
      </c>
      <c r="C624" s="5" t="s">
        <v>2357</v>
      </c>
      <c r="D624" s="6">
        <v>86.0</v>
      </c>
      <c r="E624" s="6" t="s">
        <v>734</v>
      </c>
      <c r="F624" s="5" t="s">
        <v>105</v>
      </c>
      <c r="G624" s="5" t="s">
        <v>47</v>
      </c>
      <c r="H624" s="5" t="s">
        <v>277</v>
      </c>
      <c r="I624" s="5" t="s">
        <v>402</v>
      </c>
      <c r="J624" s="5" t="s">
        <v>97</v>
      </c>
      <c r="K624" s="5">
        <v>2181.0</v>
      </c>
    </row>
    <row r="625" ht="22.5" customHeight="1">
      <c r="A625" s="5" t="s">
        <v>2360</v>
      </c>
      <c r="B625" s="5" t="s">
        <v>2130</v>
      </c>
      <c r="C625" s="5" t="s">
        <v>90</v>
      </c>
      <c r="D625" s="6">
        <v>61.0</v>
      </c>
      <c r="E625" s="6" t="s">
        <v>734</v>
      </c>
      <c r="F625" s="5" t="s">
        <v>152</v>
      </c>
      <c r="G625" s="5" t="s">
        <v>393</v>
      </c>
      <c r="H625" s="5" t="s">
        <v>377</v>
      </c>
      <c r="I625" s="5" t="s">
        <v>96</v>
      </c>
      <c r="J625" s="5" t="s">
        <v>97</v>
      </c>
      <c r="K625" s="5">
        <v>696.0</v>
      </c>
    </row>
    <row r="626" ht="22.5" customHeight="1">
      <c r="A626" s="5" t="s">
        <v>2362</v>
      </c>
      <c r="B626" s="5" t="s">
        <v>2363</v>
      </c>
      <c r="C626" s="5" t="s">
        <v>2303</v>
      </c>
      <c r="D626" s="6">
        <v>34.0</v>
      </c>
      <c r="E626" s="6" t="s">
        <v>528</v>
      </c>
      <c r="F626" s="5" t="s">
        <v>152</v>
      </c>
      <c r="G626" s="5" t="s">
        <v>30</v>
      </c>
      <c r="H626" s="5" t="s">
        <v>311</v>
      </c>
      <c r="I626" s="5" t="s">
        <v>546</v>
      </c>
      <c r="J626" s="5" t="s">
        <v>559</v>
      </c>
      <c r="K626" s="5">
        <v>1857.0</v>
      </c>
    </row>
    <row r="627" ht="22.5" customHeight="1">
      <c r="A627" s="5" t="s">
        <v>2366</v>
      </c>
      <c r="B627" s="5" t="s">
        <v>2367</v>
      </c>
      <c r="C627" s="5" t="s">
        <v>2368</v>
      </c>
      <c r="D627" s="6">
        <v>65.0</v>
      </c>
      <c r="E627" s="6" t="s">
        <v>734</v>
      </c>
      <c r="F627" s="5" t="s">
        <v>152</v>
      </c>
      <c r="G627" s="5" t="s">
        <v>30</v>
      </c>
      <c r="H627" s="5" t="s">
        <v>482</v>
      </c>
      <c r="I627" s="5" t="s">
        <v>179</v>
      </c>
      <c r="J627" s="5" t="s">
        <v>97</v>
      </c>
      <c r="K627" s="5">
        <v>3382.0</v>
      </c>
    </row>
    <row r="628" ht="22.5" customHeight="1">
      <c r="A628" s="5" t="s">
        <v>2370</v>
      </c>
      <c r="B628" s="5" t="s">
        <v>2306</v>
      </c>
      <c r="C628" s="5" t="s">
        <v>2371</v>
      </c>
      <c r="D628" s="6">
        <v>29.0</v>
      </c>
      <c r="E628" s="6" t="s">
        <v>528</v>
      </c>
      <c r="F628" s="5" t="s">
        <v>152</v>
      </c>
      <c r="G628" s="5" t="s">
        <v>81</v>
      </c>
      <c r="H628" s="5" t="s">
        <v>311</v>
      </c>
      <c r="I628" s="5" t="s">
        <v>546</v>
      </c>
      <c r="J628" s="5" t="s">
        <v>559</v>
      </c>
      <c r="K628" s="5">
        <v>2147.0</v>
      </c>
    </row>
    <row r="629" ht="22.5" customHeight="1">
      <c r="A629" s="5" t="s">
        <v>2373</v>
      </c>
      <c r="B629" s="5" t="s">
        <v>2281</v>
      </c>
      <c r="C629" s="5" t="s">
        <v>2135</v>
      </c>
      <c r="D629" s="6">
        <v>19.0</v>
      </c>
      <c r="E629" s="6" t="s">
        <v>528</v>
      </c>
      <c r="F629" s="5" t="s">
        <v>105</v>
      </c>
      <c r="G629" s="5" t="s">
        <v>64</v>
      </c>
      <c r="H629" s="5" t="s">
        <v>32</v>
      </c>
      <c r="I629" s="5" t="s">
        <v>83</v>
      </c>
      <c r="J629" s="5" t="s">
        <v>52</v>
      </c>
      <c r="K629" s="5">
        <v>2512.0</v>
      </c>
    </row>
    <row r="630" ht="22.5" customHeight="1">
      <c r="A630" s="5" t="s">
        <v>2376</v>
      </c>
      <c r="B630" s="5" t="s">
        <v>2302</v>
      </c>
      <c r="C630" s="5" t="s">
        <v>2377</v>
      </c>
      <c r="D630" s="6">
        <v>28.0</v>
      </c>
      <c r="E630" s="6" t="s">
        <v>528</v>
      </c>
      <c r="F630" s="5" t="s">
        <v>152</v>
      </c>
      <c r="G630" s="5" t="s">
        <v>64</v>
      </c>
      <c r="H630" s="5" t="s">
        <v>551</v>
      </c>
      <c r="I630" s="5" t="s">
        <v>83</v>
      </c>
      <c r="J630" s="5" t="s">
        <v>52</v>
      </c>
      <c r="K630" s="5">
        <v>3393.0</v>
      </c>
    </row>
    <row r="631" ht="22.5" customHeight="1">
      <c r="A631" s="5" t="s">
        <v>2379</v>
      </c>
      <c r="B631" s="5" t="s">
        <v>983</v>
      </c>
      <c r="C631" s="5" t="s">
        <v>2175</v>
      </c>
      <c r="D631" s="6">
        <v>20.0</v>
      </c>
      <c r="E631" s="6" t="s">
        <v>528</v>
      </c>
      <c r="F631" s="5" t="s">
        <v>105</v>
      </c>
      <c r="G631" s="5" t="s">
        <v>571</v>
      </c>
      <c r="H631" s="5" t="s">
        <v>311</v>
      </c>
      <c r="I631" s="5" t="s">
        <v>96</v>
      </c>
      <c r="J631" s="5" t="s">
        <v>52</v>
      </c>
      <c r="K631" s="5">
        <v>658.0</v>
      </c>
    </row>
    <row r="632" ht="22.5" customHeight="1">
      <c r="A632" s="5" t="s">
        <v>2381</v>
      </c>
      <c r="B632" s="5" t="s">
        <v>2193</v>
      </c>
      <c r="C632" s="5" t="s">
        <v>2175</v>
      </c>
      <c r="D632" s="6"/>
      <c r="E632" s="6" t="s">
        <v>1081</v>
      </c>
      <c r="F632" s="5" t="s">
        <v>105</v>
      </c>
      <c r="G632" s="5" t="s">
        <v>364</v>
      </c>
      <c r="H632" s="5" t="s">
        <v>164</v>
      </c>
      <c r="I632" s="5" t="s">
        <v>96</v>
      </c>
      <c r="J632" s="5" t="s">
        <v>97</v>
      </c>
      <c r="K632" s="5">
        <v>930.0</v>
      </c>
    </row>
    <row r="633" ht="22.5" customHeight="1">
      <c r="A633" s="5" t="s">
        <v>2383</v>
      </c>
      <c r="B633" s="5" t="s">
        <v>2198</v>
      </c>
      <c r="C633" s="5" t="s">
        <v>2163</v>
      </c>
      <c r="D633" s="6">
        <v>76.0</v>
      </c>
      <c r="E633" s="6" t="s">
        <v>734</v>
      </c>
      <c r="F633" s="5" t="s">
        <v>152</v>
      </c>
      <c r="G633" s="5" t="s">
        <v>571</v>
      </c>
      <c r="H633" s="5" t="s">
        <v>470</v>
      </c>
      <c r="I633" s="5" t="s">
        <v>96</v>
      </c>
      <c r="J633" s="5" t="s">
        <v>222</v>
      </c>
      <c r="K633" s="5">
        <v>490.0</v>
      </c>
    </row>
    <row r="634" ht="22.5" customHeight="1">
      <c r="A634" s="5" t="s">
        <v>2385</v>
      </c>
      <c r="B634" s="5" t="s">
        <v>2103</v>
      </c>
      <c r="C634" s="5" t="s">
        <v>2104</v>
      </c>
      <c r="D634" s="6">
        <v>35.0</v>
      </c>
      <c r="E634" s="6" t="s">
        <v>528</v>
      </c>
      <c r="F634" s="5" t="s">
        <v>105</v>
      </c>
      <c r="G634" s="5" t="s">
        <v>30</v>
      </c>
      <c r="H634" s="5" t="s">
        <v>916</v>
      </c>
      <c r="I634" s="5" t="s">
        <v>402</v>
      </c>
      <c r="J634" s="5" t="s">
        <v>211</v>
      </c>
      <c r="K634" s="5">
        <v>1576.0</v>
      </c>
    </row>
    <row r="635" ht="22.5" customHeight="1">
      <c r="A635" s="5" t="s">
        <v>2388</v>
      </c>
      <c r="B635" s="5" t="s">
        <v>1583</v>
      </c>
      <c r="C635" s="5" t="s">
        <v>713</v>
      </c>
      <c r="D635" s="6">
        <v>31.0</v>
      </c>
      <c r="E635" s="6" t="s">
        <v>528</v>
      </c>
      <c r="F635" s="5" t="s">
        <v>105</v>
      </c>
      <c r="G635" s="5" t="s">
        <v>237</v>
      </c>
      <c r="H635" s="5" t="s">
        <v>277</v>
      </c>
      <c r="I635" s="5" t="s">
        <v>402</v>
      </c>
      <c r="J635" s="5" t="s">
        <v>222</v>
      </c>
      <c r="K635" s="5">
        <v>1899.0</v>
      </c>
    </row>
    <row r="636" ht="22.5" customHeight="1">
      <c r="A636" s="5" t="s">
        <v>2389</v>
      </c>
      <c r="B636" s="5" t="s">
        <v>1186</v>
      </c>
      <c r="C636" s="5" t="s">
        <v>2214</v>
      </c>
      <c r="D636" s="6">
        <v>51.0</v>
      </c>
      <c r="E636" s="6" t="s">
        <v>591</v>
      </c>
      <c r="F636" s="5" t="s">
        <v>105</v>
      </c>
      <c r="G636" s="5" t="s">
        <v>64</v>
      </c>
      <c r="H636" s="5" t="s">
        <v>1290</v>
      </c>
      <c r="I636" s="5" t="s">
        <v>533</v>
      </c>
      <c r="J636" s="5" t="s">
        <v>52</v>
      </c>
      <c r="K636" s="5">
        <v>1682.0</v>
      </c>
    </row>
    <row r="637" ht="22.5" customHeight="1">
      <c r="A637" s="5" t="s">
        <v>2392</v>
      </c>
      <c r="B637" s="5" t="s">
        <v>2367</v>
      </c>
      <c r="C637" s="5" t="s">
        <v>2393</v>
      </c>
      <c r="D637" s="6">
        <v>44.0</v>
      </c>
      <c r="E637" s="6" t="s">
        <v>591</v>
      </c>
      <c r="F637" s="5" t="s">
        <v>152</v>
      </c>
      <c r="G637" s="5" t="s">
        <v>393</v>
      </c>
      <c r="H637" s="5" t="s">
        <v>123</v>
      </c>
      <c r="I637" s="5" t="s">
        <v>83</v>
      </c>
      <c r="J637" s="5" t="s">
        <v>211</v>
      </c>
      <c r="K637" s="5">
        <v>1015.0</v>
      </c>
    </row>
    <row r="638" ht="22.5" customHeight="1">
      <c r="A638" s="5" t="s">
        <v>2396</v>
      </c>
      <c r="B638" s="5" t="s">
        <v>2281</v>
      </c>
      <c r="C638" s="5" t="s">
        <v>2351</v>
      </c>
      <c r="D638" s="6">
        <v>64.0</v>
      </c>
      <c r="E638" s="6" t="s">
        <v>734</v>
      </c>
      <c r="F638" s="5" t="s">
        <v>152</v>
      </c>
      <c r="G638" s="5" t="s">
        <v>81</v>
      </c>
      <c r="H638" s="5" t="s">
        <v>916</v>
      </c>
      <c r="I638" s="5" t="s">
        <v>402</v>
      </c>
      <c r="J638" s="5" t="s">
        <v>97</v>
      </c>
      <c r="K638" s="5">
        <v>1894.0</v>
      </c>
    </row>
    <row r="639" ht="22.5" customHeight="1">
      <c r="A639" s="5" t="s">
        <v>2399</v>
      </c>
      <c r="B639" s="5" t="s">
        <v>2400</v>
      </c>
      <c r="C639" s="5" t="s">
        <v>1187</v>
      </c>
      <c r="D639" s="6">
        <v>34.0</v>
      </c>
      <c r="E639" s="6" t="s">
        <v>528</v>
      </c>
      <c r="F639" s="5" t="s">
        <v>152</v>
      </c>
      <c r="G639" s="5" t="s">
        <v>376</v>
      </c>
      <c r="H639" s="5" t="s">
        <v>436</v>
      </c>
      <c r="I639" s="5" t="s">
        <v>561</v>
      </c>
      <c r="J639" s="5" t="s">
        <v>559</v>
      </c>
      <c r="K639" s="5">
        <v>1071.0</v>
      </c>
    </row>
    <row r="640" ht="22.5" customHeight="1">
      <c r="A640" s="5" t="s">
        <v>2402</v>
      </c>
      <c r="B640" s="5" t="s">
        <v>2296</v>
      </c>
      <c r="C640" s="5" t="s">
        <v>2293</v>
      </c>
      <c r="D640" s="6">
        <v>80.0</v>
      </c>
      <c r="E640" s="6" t="s">
        <v>734</v>
      </c>
      <c r="F640" s="5" t="s">
        <v>152</v>
      </c>
      <c r="G640" s="5" t="s">
        <v>64</v>
      </c>
      <c r="H640" s="5" t="s">
        <v>551</v>
      </c>
      <c r="I640" s="5" t="s">
        <v>96</v>
      </c>
      <c r="J640" s="5" t="s">
        <v>97</v>
      </c>
      <c r="K640" s="5">
        <v>671.0</v>
      </c>
    </row>
    <row r="641" ht="22.5" customHeight="1">
      <c r="A641" s="5" t="s">
        <v>2404</v>
      </c>
      <c r="B641" s="5" t="s">
        <v>620</v>
      </c>
      <c r="C641" s="5" t="s">
        <v>2405</v>
      </c>
      <c r="D641" s="6">
        <v>80.0</v>
      </c>
      <c r="E641" s="6" t="s">
        <v>734</v>
      </c>
      <c r="F641" s="5" t="s">
        <v>105</v>
      </c>
      <c r="G641" s="5" t="s">
        <v>64</v>
      </c>
      <c r="H641" s="5" t="s">
        <v>377</v>
      </c>
      <c r="I641" s="5" t="s">
        <v>402</v>
      </c>
      <c r="J641" s="5" t="s">
        <v>97</v>
      </c>
      <c r="K641" s="5">
        <v>2632.0</v>
      </c>
    </row>
    <row r="642" ht="22.5" customHeight="1">
      <c r="A642" s="5" t="s">
        <v>2406</v>
      </c>
      <c r="B642" s="5" t="s">
        <v>2099</v>
      </c>
      <c r="C642" s="5" t="s">
        <v>2332</v>
      </c>
      <c r="D642" s="6">
        <v>88.0</v>
      </c>
      <c r="E642" s="6" t="s">
        <v>734</v>
      </c>
      <c r="F642" s="5" t="s">
        <v>105</v>
      </c>
      <c r="G642" s="5" t="s">
        <v>268</v>
      </c>
      <c r="H642" s="5" t="s">
        <v>470</v>
      </c>
      <c r="I642" s="5" t="s">
        <v>179</v>
      </c>
      <c r="J642" s="5" t="s">
        <v>97</v>
      </c>
      <c r="K642" s="5">
        <v>3240.0</v>
      </c>
    </row>
    <row r="643" ht="22.5" customHeight="1">
      <c r="A643" s="5" t="s">
        <v>2409</v>
      </c>
      <c r="B643" s="5" t="s">
        <v>2410</v>
      </c>
      <c r="C643" s="5" t="s">
        <v>2145</v>
      </c>
      <c r="D643" s="6">
        <v>61.0</v>
      </c>
      <c r="E643" s="6" t="s">
        <v>734</v>
      </c>
      <c r="F643" s="5" t="s">
        <v>105</v>
      </c>
      <c r="G643" s="5" t="s">
        <v>141</v>
      </c>
      <c r="H643" s="5" t="s">
        <v>311</v>
      </c>
      <c r="I643" s="5" t="s">
        <v>96</v>
      </c>
      <c r="J643" s="5" t="s">
        <v>97</v>
      </c>
      <c r="K643" s="5">
        <v>233.0</v>
      </c>
    </row>
    <row r="644" ht="22.5" customHeight="1">
      <c r="A644" s="5" t="s">
        <v>2412</v>
      </c>
      <c r="B644" s="5" t="s">
        <v>2246</v>
      </c>
      <c r="C644" s="5" t="s">
        <v>2393</v>
      </c>
      <c r="D644" s="6">
        <v>67.0</v>
      </c>
      <c r="E644" s="6" t="s">
        <v>734</v>
      </c>
      <c r="F644" s="5" t="s">
        <v>105</v>
      </c>
      <c r="G644" s="5" t="s">
        <v>208</v>
      </c>
      <c r="H644" s="5" t="s">
        <v>377</v>
      </c>
      <c r="I644" s="5" t="s">
        <v>402</v>
      </c>
      <c r="J644" s="5" t="s">
        <v>97</v>
      </c>
      <c r="K644" s="5">
        <v>2584.0</v>
      </c>
    </row>
    <row r="645" ht="22.5" customHeight="1">
      <c r="A645" s="5" t="s">
        <v>2414</v>
      </c>
      <c r="B645" s="5" t="s">
        <v>2210</v>
      </c>
      <c r="C645" s="5" t="s">
        <v>2416</v>
      </c>
      <c r="D645" s="6">
        <v>20.0</v>
      </c>
      <c r="E645" s="6" t="s">
        <v>528</v>
      </c>
      <c r="F645" s="5" t="s">
        <v>105</v>
      </c>
      <c r="G645" s="5" t="s">
        <v>539</v>
      </c>
      <c r="H645" s="5" t="s">
        <v>482</v>
      </c>
      <c r="I645" s="5" t="s">
        <v>179</v>
      </c>
      <c r="J645" s="5" t="s">
        <v>211</v>
      </c>
      <c r="K645" s="5">
        <v>4348.0</v>
      </c>
    </row>
    <row r="646" ht="22.5" customHeight="1">
      <c r="A646" s="5" t="s">
        <v>2418</v>
      </c>
      <c r="B646" s="5" t="s">
        <v>2350</v>
      </c>
      <c r="C646" s="5" t="s">
        <v>629</v>
      </c>
      <c r="D646" s="6">
        <v>30.0</v>
      </c>
      <c r="E646" s="6" t="s">
        <v>528</v>
      </c>
      <c r="F646" s="5" t="s">
        <v>105</v>
      </c>
      <c r="G646" s="5" t="s">
        <v>47</v>
      </c>
      <c r="H646" s="5" t="s">
        <v>238</v>
      </c>
      <c r="I646" s="5" t="s">
        <v>533</v>
      </c>
      <c r="J646" s="5" t="s">
        <v>559</v>
      </c>
      <c r="K646" s="5">
        <v>1805.0</v>
      </c>
    </row>
    <row r="647" ht="22.5" customHeight="1">
      <c r="A647" s="5" t="s">
        <v>2421</v>
      </c>
      <c r="B647" s="5" t="s">
        <v>2153</v>
      </c>
      <c r="C647" s="5" t="s">
        <v>713</v>
      </c>
      <c r="D647" s="6">
        <v>71.0</v>
      </c>
      <c r="E647" s="6" t="s">
        <v>734</v>
      </c>
      <c r="F647" s="5" t="s">
        <v>105</v>
      </c>
      <c r="G647" s="5" t="s">
        <v>268</v>
      </c>
      <c r="H647" s="5" t="s">
        <v>489</v>
      </c>
      <c r="I647" s="5" t="s">
        <v>179</v>
      </c>
      <c r="J647" s="5" t="s">
        <v>97</v>
      </c>
      <c r="K647" s="5">
        <v>3985.0</v>
      </c>
    </row>
    <row r="648" ht="22.5" customHeight="1">
      <c r="A648" s="5" t="s">
        <v>2423</v>
      </c>
      <c r="B648" s="5" t="s">
        <v>983</v>
      </c>
      <c r="C648" s="5" t="s">
        <v>2424</v>
      </c>
      <c r="D648" s="6">
        <v>44.0</v>
      </c>
      <c r="E648" s="6" t="s">
        <v>591</v>
      </c>
      <c r="F648" s="5" t="s">
        <v>105</v>
      </c>
      <c r="G648" s="5" t="s">
        <v>268</v>
      </c>
      <c r="H648" s="5" t="s">
        <v>576</v>
      </c>
      <c r="I648" s="5" t="s">
        <v>607</v>
      </c>
      <c r="J648" s="5" t="s">
        <v>211</v>
      </c>
      <c r="K648" s="5">
        <v>2322.0</v>
      </c>
    </row>
    <row r="649" ht="22.5" customHeight="1">
      <c r="A649" s="5" t="s">
        <v>2427</v>
      </c>
      <c r="B649" s="5" t="s">
        <v>2428</v>
      </c>
      <c r="C649" s="5" t="s">
        <v>2429</v>
      </c>
      <c r="D649" s="6">
        <v>26.0</v>
      </c>
      <c r="E649" s="6" t="s">
        <v>528</v>
      </c>
      <c r="F649" s="5" t="s">
        <v>152</v>
      </c>
      <c r="G649" s="5" t="s">
        <v>47</v>
      </c>
      <c r="H649" s="5" t="s">
        <v>470</v>
      </c>
      <c r="I649" s="5" t="s">
        <v>179</v>
      </c>
      <c r="J649" s="5" t="s">
        <v>222</v>
      </c>
      <c r="K649" s="5">
        <v>3496.0</v>
      </c>
    </row>
    <row r="650" ht="22.5" customHeight="1">
      <c r="A650" s="5" t="s">
        <v>2431</v>
      </c>
      <c r="B650" s="5" t="s">
        <v>2432</v>
      </c>
      <c r="C650" s="5" t="s">
        <v>925</v>
      </c>
      <c r="D650" s="6">
        <v>38.0</v>
      </c>
      <c r="E650" s="6" t="s">
        <v>528</v>
      </c>
      <c r="F650" s="5" t="s">
        <v>105</v>
      </c>
      <c r="G650" s="5" t="s">
        <v>393</v>
      </c>
      <c r="H650" s="5" t="s">
        <v>436</v>
      </c>
      <c r="I650" s="5" t="s">
        <v>561</v>
      </c>
      <c r="J650" s="5" t="s">
        <v>559</v>
      </c>
      <c r="K650" s="5">
        <v>1294.0</v>
      </c>
    </row>
    <row r="651" ht="22.5" customHeight="1">
      <c r="A651" s="5" t="s">
        <v>2434</v>
      </c>
      <c r="B651" s="5" t="s">
        <v>2306</v>
      </c>
      <c r="C651" s="5" t="s">
        <v>2435</v>
      </c>
      <c r="D651" s="6">
        <v>26.0</v>
      </c>
      <c r="E651" s="6" t="s">
        <v>528</v>
      </c>
      <c r="F651" s="5" t="s">
        <v>152</v>
      </c>
      <c r="G651" s="5" t="s">
        <v>759</v>
      </c>
      <c r="H651" s="5" t="s">
        <v>1290</v>
      </c>
      <c r="I651" s="5" t="s">
        <v>533</v>
      </c>
      <c r="J651" s="5" t="s">
        <v>559</v>
      </c>
      <c r="K651" s="5">
        <v>1253.0</v>
      </c>
    </row>
    <row r="652" ht="22.5" customHeight="1">
      <c r="A652" s="5" t="s">
        <v>2438</v>
      </c>
      <c r="B652" s="5" t="s">
        <v>2250</v>
      </c>
      <c r="C652" s="5" t="s">
        <v>629</v>
      </c>
      <c r="D652" s="6">
        <v>20.0</v>
      </c>
      <c r="E652" s="6" t="s">
        <v>528</v>
      </c>
      <c r="F652" s="5" t="s">
        <v>152</v>
      </c>
      <c r="G652" s="5" t="s">
        <v>131</v>
      </c>
      <c r="H652" s="5" t="s">
        <v>358</v>
      </c>
      <c r="I652" s="5" t="s">
        <v>561</v>
      </c>
      <c r="J652" s="5" t="s">
        <v>222</v>
      </c>
      <c r="K652" s="5">
        <v>3662.0</v>
      </c>
    </row>
    <row r="653" ht="22.5" customHeight="1">
      <c r="A653" s="5" t="s">
        <v>2441</v>
      </c>
      <c r="B653" s="5" t="s">
        <v>171</v>
      </c>
      <c r="C653" s="5" t="s">
        <v>2442</v>
      </c>
      <c r="D653" s="6">
        <v>76.0</v>
      </c>
      <c r="E653" s="6" t="s">
        <v>734</v>
      </c>
      <c r="F653" s="5" t="s">
        <v>105</v>
      </c>
      <c r="G653" s="5" t="s">
        <v>81</v>
      </c>
      <c r="H653" s="5" t="s">
        <v>164</v>
      </c>
      <c r="I653" s="5" t="s">
        <v>607</v>
      </c>
      <c r="J653" s="5" t="s">
        <v>97</v>
      </c>
      <c r="K653" s="5">
        <v>3209.0</v>
      </c>
    </row>
    <row r="654" ht="22.5" customHeight="1">
      <c r="A654" s="5" t="s">
        <v>2444</v>
      </c>
      <c r="B654" s="5" t="s">
        <v>2312</v>
      </c>
      <c r="C654" s="5" t="s">
        <v>2104</v>
      </c>
      <c r="D654" s="6">
        <v>41.0</v>
      </c>
      <c r="E654" s="6" t="s">
        <v>591</v>
      </c>
      <c r="F654" s="5" t="s">
        <v>105</v>
      </c>
      <c r="G654" s="5" t="s">
        <v>47</v>
      </c>
      <c r="H654" s="5" t="s">
        <v>576</v>
      </c>
      <c r="I654" s="5" t="s">
        <v>607</v>
      </c>
      <c r="J654" s="5" t="s">
        <v>52</v>
      </c>
      <c r="K654" s="5">
        <v>3158.0</v>
      </c>
    </row>
    <row r="655" ht="22.5" customHeight="1">
      <c r="A655" s="5" t="s">
        <v>2446</v>
      </c>
      <c r="B655" s="5" t="s">
        <v>2448</v>
      </c>
      <c r="C655" s="5" t="s">
        <v>2113</v>
      </c>
      <c r="D655" s="6">
        <v>48.0</v>
      </c>
      <c r="E655" s="6" t="s">
        <v>591</v>
      </c>
      <c r="F655" s="5" t="s">
        <v>105</v>
      </c>
      <c r="G655" s="5" t="s">
        <v>309</v>
      </c>
      <c r="H655" s="5" t="s">
        <v>1290</v>
      </c>
      <c r="I655" s="5" t="s">
        <v>533</v>
      </c>
      <c r="J655" s="5" t="s">
        <v>559</v>
      </c>
      <c r="K655" s="5">
        <v>1400.0</v>
      </c>
    </row>
    <row r="656" ht="22.5" customHeight="1">
      <c r="A656" s="5" t="s">
        <v>2449</v>
      </c>
      <c r="B656" s="5" t="s">
        <v>542</v>
      </c>
      <c r="C656" s="5" t="s">
        <v>2154</v>
      </c>
      <c r="D656" s="6">
        <v>81.0</v>
      </c>
      <c r="E656" s="6" t="s">
        <v>734</v>
      </c>
      <c r="F656" s="5" t="s">
        <v>105</v>
      </c>
      <c r="G656" s="5" t="s">
        <v>30</v>
      </c>
      <c r="H656" s="5" t="s">
        <v>551</v>
      </c>
      <c r="I656" s="5" t="s">
        <v>83</v>
      </c>
      <c r="J656" s="5" t="s">
        <v>97</v>
      </c>
      <c r="K656" s="5">
        <v>2520.0</v>
      </c>
    </row>
    <row r="657" ht="22.5" customHeight="1">
      <c r="A657" s="5" t="s">
        <v>2452</v>
      </c>
      <c r="B657" s="5" t="s">
        <v>2306</v>
      </c>
      <c r="C657" s="5" t="s">
        <v>713</v>
      </c>
      <c r="D657" s="6">
        <v>25.0</v>
      </c>
      <c r="E657" s="6" t="s">
        <v>528</v>
      </c>
      <c r="F657" s="5" t="s">
        <v>105</v>
      </c>
      <c r="G657" s="5" t="s">
        <v>30</v>
      </c>
      <c r="H657" s="5" t="s">
        <v>230</v>
      </c>
      <c r="I657" s="5" t="s">
        <v>452</v>
      </c>
      <c r="J657" s="5" t="s">
        <v>211</v>
      </c>
      <c r="K657" s="5">
        <v>3130.0</v>
      </c>
    </row>
    <row r="658" ht="22.5" customHeight="1">
      <c r="A658" s="5" t="s">
        <v>2454</v>
      </c>
      <c r="B658" s="5" t="s">
        <v>2455</v>
      </c>
      <c r="C658" s="5" t="s">
        <v>2078</v>
      </c>
      <c r="D658" s="6">
        <v>20.0</v>
      </c>
      <c r="E658" s="6" t="s">
        <v>528</v>
      </c>
      <c r="F658" s="5" t="s">
        <v>105</v>
      </c>
      <c r="G658" s="5" t="s">
        <v>393</v>
      </c>
      <c r="H658" s="5" t="s">
        <v>470</v>
      </c>
      <c r="I658" s="5" t="s">
        <v>96</v>
      </c>
      <c r="J658" s="5" t="s">
        <v>559</v>
      </c>
      <c r="K658" s="5">
        <v>647.0</v>
      </c>
    </row>
    <row r="659" ht="22.5" customHeight="1">
      <c r="A659" s="5" t="s">
        <v>2458</v>
      </c>
      <c r="B659" s="5" t="s">
        <v>2123</v>
      </c>
      <c r="C659" s="5" t="s">
        <v>2235</v>
      </c>
      <c r="D659" s="6">
        <v>20.0</v>
      </c>
      <c r="E659" s="6" t="s">
        <v>528</v>
      </c>
      <c r="F659" s="5" t="s">
        <v>152</v>
      </c>
      <c r="G659" s="5" t="s">
        <v>141</v>
      </c>
      <c r="H659" s="5" t="s">
        <v>377</v>
      </c>
      <c r="I659" s="5" t="s">
        <v>96</v>
      </c>
      <c r="J659" s="5" t="s">
        <v>52</v>
      </c>
      <c r="K659" s="5">
        <v>88.0</v>
      </c>
    </row>
    <row r="660" ht="22.5" customHeight="1">
      <c r="A660" s="5" t="s">
        <v>2460</v>
      </c>
      <c r="B660" s="5" t="s">
        <v>2210</v>
      </c>
      <c r="C660" s="5" t="s">
        <v>2461</v>
      </c>
      <c r="D660" s="6">
        <v>40.0</v>
      </c>
      <c r="E660" s="6" t="s">
        <v>528</v>
      </c>
      <c r="F660" s="5" t="s">
        <v>152</v>
      </c>
      <c r="G660" s="5" t="s">
        <v>30</v>
      </c>
      <c r="H660" s="5" t="s">
        <v>482</v>
      </c>
      <c r="I660" s="5" t="s">
        <v>179</v>
      </c>
      <c r="J660" s="5" t="s">
        <v>222</v>
      </c>
      <c r="K660" s="5">
        <v>3375.0</v>
      </c>
    </row>
    <row r="661" ht="22.5" customHeight="1">
      <c r="A661" s="5" t="s">
        <v>2463</v>
      </c>
      <c r="B661" s="5" t="s">
        <v>2246</v>
      </c>
      <c r="C661" s="5" t="s">
        <v>983</v>
      </c>
      <c r="D661" s="6">
        <v>24.0</v>
      </c>
      <c r="E661" s="6" t="s">
        <v>528</v>
      </c>
      <c r="F661" s="5" t="s">
        <v>152</v>
      </c>
      <c r="G661" s="5" t="s">
        <v>237</v>
      </c>
      <c r="H661" s="5" t="s">
        <v>470</v>
      </c>
      <c r="I661" s="5" t="s">
        <v>96</v>
      </c>
      <c r="J661" s="5" t="s">
        <v>222</v>
      </c>
      <c r="K661" s="5">
        <v>257.0</v>
      </c>
    </row>
    <row r="662" ht="22.5" customHeight="1">
      <c r="A662" s="5" t="s">
        <v>2467</v>
      </c>
      <c r="B662" s="5" t="s">
        <v>2468</v>
      </c>
      <c r="C662" s="5" t="s">
        <v>2163</v>
      </c>
      <c r="D662" s="6">
        <v>19.0</v>
      </c>
      <c r="E662" s="6" t="s">
        <v>528</v>
      </c>
      <c r="F662" s="5" t="s">
        <v>152</v>
      </c>
      <c r="G662" s="5" t="s">
        <v>256</v>
      </c>
      <c r="H662" s="5" t="s">
        <v>470</v>
      </c>
      <c r="I662" s="5" t="s">
        <v>179</v>
      </c>
      <c r="J662" s="5" t="s">
        <v>222</v>
      </c>
      <c r="K662" s="5">
        <v>3184.0</v>
      </c>
    </row>
    <row r="663" ht="22.5" customHeight="1">
      <c r="A663" s="5" t="s">
        <v>2470</v>
      </c>
      <c r="B663" s="5" t="s">
        <v>2471</v>
      </c>
      <c r="C663" s="5" t="s">
        <v>2424</v>
      </c>
      <c r="D663" s="6">
        <v>90.0</v>
      </c>
      <c r="E663" s="6" t="s">
        <v>734</v>
      </c>
      <c r="F663" s="5" t="s">
        <v>152</v>
      </c>
      <c r="G663" s="5" t="s">
        <v>364</v>
      </c>
      <c r="H663" s="5" t="s">
        <v>418</v>
      </c>
      <c r="I663" s="5" t="s">
        <v>210</v>
      </c>
      <c r="J663" s="5" t="s">
        <v>97</v>
      </c>
      <c r="K663" s="5">
        <v>964.0</v>
      </c>
    </row>
    <row r="664" ht="22.5" customHeight="1">
      <c r="A664" s="5" t="s">
        <v>2474</v>
      </c>
      <c r="B664" s="5" t="s">
        <v>2475</v>
      </c>
      <c r="C664" s="5" t="s">
        <v>983</v>
      </c>
      <c r="D664" s="6">
        <v>69.0</v>
      </c>
      <c r="E664" s="6" t="s">
        <v>734</v>
      </c>
      <c r="F664" s="5" t="s">
        <v>152</v>
      </c>
      <c r="G664" s="5" t="s">
        <v>309</v>
      </c>
      <c r="H664" s="5" t="s">
        <v>377</v>
      </c>
      <c r="I664" s="5" t="s">
        <v>96</v>
      </c>
      <c r="J664" s="5" t="s">
        <v>97</v>
      </c>
      <c r="K664" s="5">
        <v>758.0</v>
      </c>
    </row>
    <row r="665" ht="22.5" customHeight="1">
      <c r="A665" s="5" t="s">
        <v>2477</v>
      </c>
      <c r="B665" s="5" t="s">
        <v>2479</v>
      </c>
      <c r="C665" s="5" t="s">
        <v>2226</v>
      </c>
      <c r="D665" s="6">
        <v>64.0</v>
      </c>
      <c r="E665" s="6" t="s">
        <v>734</v>
      </c>
      <c r="F665" s="5" t="s">
        <v>152</v>
      </c>
      <c r="G665" s="5" t="s">
        <v>571</v>
      </c>
      <c r="H665" s="5" t="s">
        <v>551</v>
      </c>
      <c r="I665" s="5" t="s">
        <v>96</v>
      </c>
      <c r="J665" s="5" t="s">
        <v>97</v>
      </c>
      <c r="K665" s="5">
        <v>541.0</v>
      </c>
    </row>
    <row r="666" ht="22.5" customHeight="1">
      <c r="A666" s="5" t="s">
        <v>2481</v>
      </c>
      <c r="B666" s="5" t="s">
        <v>1788</v>
      </c>
      <c r="C666" s="5" t="s">
        <v>2368</v>
      </c>
      <c r="D666" s="6">
        <v>77.0</v>
      </c>
      <c r="E666" s="6" t="s">
        <v>734</v>
      </c>
      <c r="F666" s="5" t="s">
        <v>105</v>
      </c>
      <c r="G666" s="5" t="s">
        <v>141</v>
      </c>
      <c r="H666" s="5" t="s">
        <v>377</v>
      </c>
      <c r="I666" s="5" t="s">
        <v>402</v>
      </c>
      <c r="J666" s="5" t="s">
        <v>97</v>
      </c>
      <c r="K666" s="5">
        <v>1150.0</v>
      </c>
    </row>
    <row r="667" ht="22.5" customHeight="1">
      <c r="A667" s="5" t="s">
        <v>2483</v>
      </c>
      <c r="B667" s="5" t="s">
        <v>171</v>
      </c>
      <c r="C667" s="5" t="s">
        <v>2299</v>
      </c>
      <c r="D667" s="6">
        <v>45.0</v>
      </c>
      <c r="E667" s="6" t="s">
        <v>591</v>
      </c>
      <c r="F667" s="5" t="s">
        <v>105</v>
      </c>
      <c r="G667" s="5" t="s">
        <v>208</v>
      </c>
      <c r="H667" s="5" t="s">
        <v>418</v>
      </c>
      <c r="I667" s="5" t="s">
        <v>210</v>
      </c>
      <c r="J667" s="5" t="s">
        <v>211</v>
      </c>
      <c r="K667" s="5">
        <v>1025.0</v>
      </c>
    </row>
    <row r="668" ht="22.5" customHeight="1">
      <c r="A668" s="5" t="s">
        <v>2485</v>
      </c>
      <c r="B668" s="5" t="s">
        <v>925</v>
      </c>
      <c r="C668" s="5" t="s">
        <v>2486</v>
      </c>
      <c r="D668" s="6">
        <v>46.0</v>
      </c>
      <c r="E668" s="6" t="s">
        <v>591</v>
      </c>
      <c r="F668" s="5" t="s">
        <v>105</v>
      </c>
      <c r="G668" s="5" t="s">
        <v>47</v>
      </c>
      <c r="H668" s="5" t="s">
        <v>238</v>
      </c>
      <c r="I668" s="5" t="s">
        <v>533</v>
      </c>
      <c r="J668" s="5" t="s">
        <v>222</v>
      </c>
      <c r="K668" s="5">
        <v>791.0</v>
      </c>
    </row>
    <row r="669" ht="22.5" customHeight="1">
      <c r="A669" s="5" t="s">
        <v>2489</v>
      </c>
      <c r="B669" s="5" t="s">
        <v>620</v>
      </c>
      <c r="C669" s="5" t="s">
        <v>76</v>
      </c>
      <c r="D669" s="6">
        <v>87.0</v>
      </c>
      <c r="E669" s="6" t="s">
        <v>734</v>
      </c>
      <c r="F669" s="5" t="s">
        <v>105</v>
      </c>
      <c r="G669" s="5" t="s">
        <v>131</v>
      </c>
      <c r="H669" s="5" t="s">
        <v>439</v>
      </c>
      <c r="I669" s="5" t="s">
        <v>210</v>
      </c>
      <c r="J669" s="5" t="s">
        <v>97</v>
      </c>
      <c r="K669" s="5">
        <v>189.0</v>
      </c>
    </row>
    <row r="670" ht="22.5" customHeight="1">
      <c r="A670" s="5" t="s">
        <v>2491</v>
      </c>
      <c r="B670" s="5" t="s">
        <v>2492</v>
      </c>
      <c r="C670" s="5" t="s">
        <v>2103</v>
      </c>
      <c r="D670" s="6">
        <v>59.0</v>
      </c>
      <c r="E670" s="6" t="s">
        <v>591</v>
      </c>
      <c r="F670" s="5" t="s">
        <v>152</v>
      </c>
      <c r="G670" s="5" t="s">
        <v>176</v>
      </c>
      <c r="H670" s="5" t="s">
        <v>439</v>
      </c>
      <c r="I670" s="5" t="s">
        <v>210</v>
      </c>
      <c r="J670" s="5" t="s">
        <v>52</v>
      </c>
      <c r="K670" s="5">
        <v>998.0</v>
      </c>
    </row>
    <row r="671" ht="22.5" customHeight="1">
      <c r="A671" s="5" t="s">
        <v>2495</v>
      </c>
      <c r="B671" s="5" t="s">
        <v>2210</v>
      </c>
      <c r="C671" s="5" t="s">
        <v>2145</v>
      </c>
      <c r="D671" s="6">
        <v>22.0</v>
      </c>
      <c r="E671" s="6" t="s">
        <v>528</v>
      </c>
      <c r="F671" s="5" t="s">
        <v>105</v>
      </c>
      <c r="G671" s="5" t="s">
        <v>237</v>
      </c>
      <c r="H671" s="5" t="s">
        <v>489</v>
      </c>
      <c r="I671" s="5" t="s">
        <v>179</v>
      </c>
      <c r="J671" s="5" t="s">
        <v>52</v>
      </c>
      <c r="K671" s="5">
        <v>3200.0</v>
      </c>
    </row>
    <row r="672" ht="22.5" customHeight="1">
      <c r="A672" s="5" t="s">
        <v>2497</v>
      </c>
      <c r="B672" s="5" t="s">
        <v>1186</v>
      </c>
      <c r="C672" s="5" t="s">
        <v>216</v>
      </c>
      <c r="D672" s="6">
        <v>67.0</v>
      </c>
      <c r="E672" s="6" t="s">
        <v>734</v>
      </c>
      <c r="F672" s="5" t="s">
        <v>152</v>
      </c>
      <c r="G672" s="5" t="s">
        <v>141</v>
      </c>
      <c r="H672" s="5" t="s">
        <v>489</v>
      </c>
      <c r="I672" s="5" t="s">
        <v>179</v>
      </c>
      <c r="J672" s="5" t="s">
        <v>97</v>
      </c>
      <c r="K672" s="5">
        <v>1492.0</v>
      </c>
    </row>
    <row r="673" ht="22.5" customHeight="1">
      <c r="A673" s="5" t="s">
        <v>2500</v>
      </c>
      <c r="B673" s="5" t="s">
        <v>2193</v>
      </c>
      <c r="C673" s="5" t="s">
        <v>2159</v>
      </c>
      <c r="D673" s="6">
        <v>67.0</v>
      </c>
      <c r="E673" s="6" t="s">
        <v>734</v>
      </c>
      <c r="F673" s="5" t="s">
        <v>152</v>
      </c>
      <c r="G673" s="5" t="s">
        <v>268</v>
      </c>
      <c r="H673" s="5" t="s">
        <v>123</v>
      </c>
      <c r="I673" s="5" t="s">
        <v>83</v>
      </c>
      <c r="J673" s="5" t="s">
        <v>97</v>
      </c>
      <c r="K673" s="5">
        <v>2245.0</v>
      </c>
    </row>
    <row r="674" ht="22.5" customHeight="1">
      <c r="A674" s="5" t="s">
        <v>2502</v>
      </c>
      <c r="B674" s="5" t="s">
        <v>2112</v>
      </c>
      <c r="C674" s="5" t="s">
        <v>2159</v>
      </c>
      <c r="D674" s="6">
        <v>65.0</v>
      </c>
      <c r="E674" s="6" t="s">
        <v>734</v>
      </c>
      <c r="F674" s="5" t="s">
        <v>152</v>
      </c>
      <c r="G674" s="5" t="s">
        <v>47</v>
      </c>
      <c r="H674" s="5" t="s">
        <v>311</v>
      </c>
      <c r="I674" s="5" t="s">
        <v>96</v>
      </c>
      <c r="J674" s="5" t="s">
        <v>97</v>
      </c>
      <c r="K674" s="5">
        <v>842.0</v>
      </c>
    </row>
    <row r="675" ht="22.5" customHeight="1">
      <c r="A675" s="5" t="s">
        <v>2505</v>
      </c>
      <c r="B675" s="5" t="s">
        <v>2119</v>
      </c>
      <c r="C675" s="5" t="s">
        <v>2140</v>
      </c>
      <c r="D675" s="6">
        <v>79.0</v>
      </c>
      <c r="E675" s="6" t="s">
        <v>734</v>
      </c>
      <c r="F675" s="5" t="s">
        <v>152</v>
      </c>
      <c r="G675" s="5" t="s">
        <v>47</v>
      </c>
      <c r="H675" s="5" t="s">
        <v>238</v>
      </c>
      <c r="I675" s="5" t="s">
        <v>533</v>
      </c>
      <c r="J675" s="5" t="s">
        <v>97</v>
      </c>
      <c r="K675" s="5">
        <v>871.0</v>
      </c>
    </row>
    <row r="676" ht="22.5" customHeight="1">
      <c r="A676" s="5" t="s">
        <v>2506</v>
      </c>
      <c r="B676" s="5" t="s">
        <v>2507</v>
      </c>
      <c r="C676" s="5" t="s">
        <v>2508</v>
      </c>
      <c r="D676" s="6">
        <v>40.0</v>
      </c>
      <c r="E676" s="6" t="s">
        <v>528</v>
      </c>
      <c r="F676" s="5" t="s">
        <v>152</v>
      </c>
      <c r="G676" s="5" t="s">
        <v>141</v>
      </c>
      <c r="H676" s="5" t="s">
        <v>482</v>
      </c>
      <c r="I676" s="5" t="s">
        <v>179</v>
      </c>
      <c r="J676" s="5" t="s">
        <v>559</v>
      </c>
      <c r="K676" s="5">
        <v>4159.0</v>
      </c>
    </row>
    <row r="677" ht="22.5" customHeight="1">
      <c r="A677" s="5" t="s">
        <v>2511</v>
      </c>
      <c r="B677" s="5" t="s">
        <v>2512</v>
      </c>
      <c r="C677" s="5" t="s">
        <v>2266</v>
      </c>
      <c r="D677" s="6">
        <v>90.0</v>
      </c>
      <c r="E677" s="6" t="s">
        <v>734</v>
      </c>
      <c r="F677" s="5" t="s">
        <v>105</v>
      </c>
      <c r="G677" s="5" t="s">
        <v>81</v>
      </c>
      <c r="H677" s="5" t="s">
        <v>418</v>
      </c>
      <c r="I677" s="5" t="s">
        <v>210</v>
      </c>
      <c r="J677" s="5" t="s">
        <v>97</v>
      </c>
      <c r="K677" s="5">
        <v>888.0</v>
      </c>
    </row>
    <row r="678" ht="22.5" customHeight="1">
      <c r="A678" s="5" t="s">
        <v>2513</v>
      </c>
      <c r="B678" s="5" t="s">
        <v>2507</v>
      </c>
      <c r="C678" s="5" t="s">
        <v>983</v>
      </c>
      <c r="D678" s="6">
        <v>22.0</v>
      </c>
      <c r="E678" s="6" t="s">
        <v>528</v>
      </c>
      <c r="F678" s="5" t="s">
        <v>105</v>
      </c>
      <c r="G678" s="5" t="s">
        <v>393</v>
      </c>
      <c r="H678" s="5" t="s">
        <v>311</v>
      </c>
      <c r="I678" s="5" t="s">
        <v>96</v>
      </c>
      <c r="J678" s="5" t="s">
        <v>52</v>
      </c>
      <c r="K678" s="5">
        <v>1007.0</v>
      </c>
    </row>
    <row r="679" ht="22.5" customHeight="1">
      <c r="A679" s="5" t="s">
        <v>2516</v>
      </c>
      <c r="B679" s="5" t="s">
        <v>2517</v>
      </c>
      <c r="C679" s="5" t="s">
        <v>2518</v>
      </c>
      <c r="D679" s="6">
        <v>31.0</v>
      </c>
      <c r="E679" s="6" t="s">
        <v>528</v>
      </c>
      <c r="F679" s="5" t="s">
        <v>105</v>
      </c>
      <c r="G679" s="5" t="s">
        <v>571</v>
      </c>
      <c r="H679" s="5" t="s">
        <v>418</v>
      </c>
      <c r="I679" s="5" t="s">
        <v>210</v>
      </c>
      <c r="J679" s="5" t="s">
        <v>211</v>
      </c>
      <c r="K679" s="5">
        <v>1457.0</v>
      </c>
    </row>
    <row r="680" ht="22.5" customHeight="1">
      <c r="A680" s="5" t="s">
        <v>2521</v>
      </c>
      <c r="B680" s="5" t="s">
        <v>2166</v>
      </c>
      <c r="C680" s="5" t="s">
        <v>2368</v>
      </c>
      <c r="D680" s="6">
        <v>85.0</v>
      </c>
      <c r="E680" s="6" t="s">
        <v>734</v>
      </c>
      <c r="F680" s="5" t="s">
        <v>152</v>
      </c>
      <c r="G680" s="5" t="s">
        <v>376</v>
      </c>
      <c r="H680" s="5" t="s">
        <v>470</v>
      </c>
      <c r="I680" s="5" t="s">
        <v>179</v>
      </c>
      <c r="J680" s="5" t="s">
        <v>97</v>
      </c>
      <c r="K680" s="5">
        <v>3216.0</v>
      </c>
    </row>
    <row r="681" ht="22.5" customHeight="1">
      <c r="A681" s="5" t="s">
        <v>2523</v>
      </c>
      <c r="B681" s="5" t="s">
        <v>2512</v>
      </c>
      <c r="C681" s="5" t="s">
        <v>2368</v>
      </c>
      <c r="D681" s="6">
        <v>0.0</v>
      </c>
      <c r="E681" s="6" t="s">
        <v>1081</v>
      </c>
      <c r="F681" s="5" t="s">
        <v>152</v>
      </c>
      <c r="G681" s="5" t="s">
        <v>131</v>
      </c>
      <c r="H681" s="5" t="s">
        <v>358</v>
      </c>
      <c r="I681" s="5" t="s">
        <v>561</v>
      </c>
      <c r="J681" s="5" t="s">
        <v>211</v>
      </c>
      <c r="K681" s="5">
        <v>4042.0</v>
      </c>
    </row>
    <row r="682" ht="22.5" customHeight="1">
      <c r="A682" s="5" t="s">
        <v>2526</v>
      </c>
      <c r="B682" s="5" t="s">
        <v>625</v>
      </c>
      <c r="C682" s="5" t="s">
        <v>713</v>
      </c>
      <c r="D682" s="6">
        <v>74.0</v>
      </c>
      <c r="E682" s="6" t="s">
        <v>734</v>
      </c>
      <c r="F682" s="5" t="s">
        <v>152</v>
      </c>
      <c r="G682" s="5" t="s">
        <v>47</v>
      </c>
      <c r="H682" s="5" t="s">
        <v>311</v>
      </c>
      <c r="I682" s="5" t="s">
        <v>96</v>
      </c>
      <c r="J682" s="5" t="s">
        <v>97</v>
      </c>
      <c r="K682" s="5">
        <v>777.0</v>
      </c>
    </row>
    <row r="683" ht="22.5" customHeight="1">
      <c r="A683" s="5" t="s">
        <v>2527</v>
      </c>
      <c r="B683" s="5" t="s">
        <v>2528</v>
      </c>
      <c r="C683" s="5" t="s">
        <v>2159</v>
      </c>
      <c r="D683" s="6">
        <v>77.0</v>
      </c>
      <c r="E683" s="6" t="s">
        <v>734</v>
      </c>
      <c r="F683" s="5" t="s">
        <v>152</v>
      </c>
      <c r="G683" s="5" t="s">
        <v>237</v>
      </c>
      <c r="H683" s="5" t="s">
        <v>576</v>
      </c>
      <c r="I683" s="5" t="s">
        <v>607</v>
      </c>
      <c r="J683" s="5" t="s">
        <v>97</v>
      </c>
      <c r="K683" s="5">
        <v>1747.0</v>
      </c>
    </row>
    <row r="684" ht="22.5" customHeight="1">
      <c r="A684" s="5" t="s">
        <v>2531</v>
      </c>
      <c r="B684" s="5" t="s">
        <v>2134</v>
      </c>
      <c r="C684" s="5" t="s">
        <v>2095</v>
      </c>
      <c r="D684" s="6">
        <v>37.0</v>
      </c>
      <c r="E684" s="6" t="s">
        <v>528</v>
      </c>
      <c r="F684" s="5" t="s">
        <v>105</v>
      </c>
      <c r="G684" s="5" t="s">
        <v>30</v>
      </c>
      <c r="H684" s="5" t="s">
        <v>470</v>
      </c>
      <c r="I684" s="5" t="s">
        <v>179</v>
      </c>
      <c r="J684" s="5" t="s">
        <v>559</v>
      </c>
      <c r="K684" s="5">
        <v>4187.0</v>
      </c>
    </row>
    <row r="685" ht="22.5" customHeight="1">
      <c r="A685" s="5" t="s">
        <v>2534</v>
      </c>
      <c r="B685" s="5" t="s">
        <v>2198</v>
      </c>
      <c r="C685" s="5" t="s">
        <v>2163</v>
      </c>
      <c r="D685" s="6">
        <v>35.0</v>
      </c>
      <c r="E685" s="6" t="s">
        <v>528</v>
      </c>
      <c r="F685" s="5" t="s">
        <v>152</v>
      </c>
      <c r="G685" s="5" t="s">
        <v>393</v>
      </c>
      <c r="H685" s="5" t="s">
        <v>123</v>
      </c>
      <c r="I685" s="5" t="s">
        <v>83</v>
      </c>
      <c r="J685" s="5" t="s">
        <v>559</v>
      </c>
      <c r="K685" s="5">
        <v>2015.0</v>
      </c>
    </row>
    <row r="686" ht="22.5" customHeight="1">
      <c r="A686" s="5" t="s">
        <v>2536</v>
      </c>
      <c r="B686" s="5" t="s">
        <v>2198</v>
      </c>
      <c r="C686" s="5" t="s">
        <v>2148</v>
      </c>
      <c r="D686" s="6">
        <v>87.0</v>
      </c>
      <c r="E686" s="6" t="s">
        <v>734</v>
      </c>
      <c r="F686" s="5" t="s">
        <v>105</v>
      </c>
      <c r="G686" s="5" t="s">
        <v>30</v>
      </c>
      <c r="H686" s="5" t="s">
        <v>916</v>
      </c>
      <c r="I686" s="5" t="s">
        <v>402</v>
      </c>
      <c r="J686" s="5" t="s">
        <v>97</v>
      </c>
      <c r="K686" s="5">
        <v>1758.0</v>
      </c>
    </row>
    <row r="687" ht="22.5" customHeight="1">
      <c r="A687" s="5" t="s">
        <v>2538</v>
      </c>
      <c r="B687" s="5" t="s">
        <v>2539</v>
      </c>
      <c r="C687" s="5" t="s">
        <v>2303</v>
      </c>
      <c r="D687" s="6">
        <v>38.0</v>
      </c>
      <c r="E687" s="6" t="s">
        <v>528</v>
      </c>
      <c r="F687" s="5" t="s">
        <v>152</v>
      </c>
      <c r="G687" s="5" t="s">
        <v>393</v>
      </c>
      <c r="H687" s="5" t="s">
        <v>238</v>
      </c>
      <c r="I687" s="5" t="s">
        <v>533</v>
      </c>
      <c r="J687" s="5" t="s">
        <v>559</v>
      </c>
      <c r="K687" s="5">
        <v>1651.0</v>
      </c>
    </row>
    <row r="688" ht="22.5" customHeight="1">
      <c r="A688" s="5" t="s">
        <v>2541</v>
      </c>
      <c r="B688" s="5" t="s">
        <v>2455</v>
      </c>
      <c r="C688" s="5" t="s">
        <v>925</v>
      </c>
      <c r="D688" s="6">
        <v>28.0</v>
      </c>
      <c r="E688" s="6" t="s">
        <v>528</v>
      </c>
      <c r="F688" s="5" t="s">
        <v>105</v>
      </c>
      <c r="G688" s="5" t="s">
        <v>107</v>
      </c>
      <c r="H688" s="5" t="s">
        <v>358</v>
      </c>
      <c r="I688" s="5" t="s">
        <v>561</v>
      </c>
      <c r="J688" s="5" t="s">
        <v>52</v>
      </c>
      <c r="K688" s="5">
        <v>2154.0</v>
      </c>
    </row>
    <row r="689" ht="22.5" customHeight="1">
      <c r="A689" s="5" t="s">
        <v>2543</v>
      </c>
      <c r="B689" s="5" t="s">
        <v>2544</v>
      </c>
      <c r="C689" s="5" t="s">
        <v>2230</v>
      </c>
      <c r="D689" s="6">
        <v>86.0</v>
      </c>
      <c r="E689" s="6" t="s">
        <v>734</v>
      </c>
      <c r="F689" s="5" t="s">
        <v>152</v>
      </c>
      <c r="G689" s="5" t="s">
        <v>237</v>
      </c>
      <c r="H689" s="5" t="s">
        <v>238</v>
      </c>
      <c r="I689" s="5" t="s">
        <v>533</v>
      </c>
      <c r="J689" s="5" t="s">
        <v>97</v>
      </c>
      <c r="K689" s="5">
        <v>1255.0</v>
      </c>
    </row>
    <row r="690" ht="22.5" customHeight="1">
      <c r="A690" s="5" t="s">
        <v>2547</v>
      </c>
      <c r="B690" s="5" t="s">
        <v>2548</v>
      </c>
      <c r="C690" s="5" t="s">
        <v>363</v>
      </c>
      <c r="D690" s="6">
        <v>52.0</v>
      </c>
      <c r="E690" s="6" t="s">
        <v>591</v>
      </c>
      <c r="F690" s="5" t="s">
        <v>152</v>
      </c>
      <c r="G690" s="5" t="s">
        <v>393</v>
      </c>
      <c r="H690" s="5" t="s">
        <v>551</v>
      </c>
      <c r="I690" s="5" t="s">
        <v>96</v>
      </c>
      <c r="J690" s="5" t="s">
        <v>559</v>
      </c>
      <c r="K690" s="5">
        <v>846.0</v>
      </c>
    </row>
    <row r="691" ht="22.5" customHeight="1">
      <c r="A691" s="5" t="s">
        <v>2549</v>
      </c>
      <c r="B691" s="5" t="s">
        <v>1788</v>
      </c>
      <c r="C691" s="5" t="s">
        <v>2429</v>
      </c>
      <c r="D691" s="6">
        <v>86.0</v>
      </c>
      <c r="E691" s="6" t="s">
        <v>734</v>
      </c>
      <c r="F691" s="5" t="s">
        <v>152</v>
      </c>
      <c r="G691" s="5" t="s">
        <v>81</v>
      </c>
      <c r="H691" s="5" t="s">
        <v>238</v>
      </c>
      <c r="I691" s="5" t="s">
        <v>533</v>
      </c>
      <c r="J691" s="5" t="s">
        <v>97</v>
      </c>
      <c r="K691" s="5">
        <v>1661.0</v>
      </c>
    </row>
    <row r="692" ht="22.5" customHeight="1">
      <c r="A692" s="5" t="s">
        <v>2551</v>
      </c>
      <c r="B692" s="5" t="s">
        <v>2008</v>
      </c>
      <c r="C692" s="5" t="s">
        <v>2282</v>
      </c>
      <c r="D692" s="6">
        <v>88.0</v>
      </c>
      <c r="E692" s="6" t="s">
        <v>734</v>
      </c>
      <c r="F692" s="5" t="s">
        <v>152</v>
      </c>
      <c r="G692" s="5" t="s">
        <v>81</v>
      </c>
      <c r="H692" s="5" t="s">
        <v>418</v>
      </c>
      <c r="I692" s="5" t="s">
        <v>210</v>
      </c>
      <c r="J692" s="5" t="s">
        <v>97</v>
      </c>
      <c r="K692" s="5">
        <v>321.0</v>
      </c>
    </row>
    <row r="693" ht="22.5" customHeight="1">
      <c r="A693" s="5" t="s">
        <v>2554</v>
      </c>
      <c r="B693" s="5" t="s">
        <v>2555</v>
      </c>
      <c r="C693" s="5" t="s">
        <v>2424</v>
      </c>
      <c r="D693" s="6">
        <v>28.0</v>
      </c>
      <c r="E693" s="6" t="s">
        <v>528</v>
      </c>
      <c r="F693" s="5" t="s">
        <v>152</v>
      </c>
      <c r="G693" s="5" t="s">
        <v>393</v>
      </c>
      <c r="H693" s="5" t="s">
        <v>576</v>
      </c>
      <c r="I693" s="5" t="s">
        <v>607</v>
      </c>
      <c r="J693" s="5" t="s">
        <v>222</v>
      </c>
      <c r="K693" s="5">
        <v>1187.0</v>
      </c>
    </row>
    <row r="694" ht="22.5" customHeight="1">
      <c r="A694" s="5" t="s">
        <v>2558</v>
      </c>
      <c r="B694" s="5" t="s">
        <v>2302</v>
      </c>
      <c r="C694" s="5" t="s">
        <v>2357</v>
      </c>
      <c r="D694" s="6">
        <v>71.0</v>
      </c>
      <c r="E694" s="6" t="s">
        <v>734</v>
      </c>
      <c r="F694" s="5" t="s">
        <v>105</v>
      </c>
      <c r="G694" s="5" t="s">
        <v>393</v>
      </c>
      <c r="H694" s="5" t="s">
        <v>164</v>
      </c>
      <c r="I694" s="5" t="s">
        <v>607</v>
      </c>
      <c r="J694" s="5" t="s">
        <v>97</v>
      </c>
      <c r="K694" s="5">
        <v>3296.0</v>
      </c>
    </row>
    <row r="695" ht="22.5" customHeight="1">
      <c r="A695" s="5" t="s">
        <v>2560</v>
      </c>
      <c r="B695" s="5" t="s">
        <v>2183</v>
      </c>
      <c r="C695" s="5" t="s">
        <v>2518</v>
      </c>
      <c r="D695" s="6">
        <v>76.0</v>
      </c>
      <c r="E695" s="6" t="s">
        <v>734</v>
      </c>
      <c r="F695" s="5" t="s">
        <v>152</v>
      </c>
      <c r="G695" s="5" t="s">
        <v>131</v>
      </c>
      <c r="H695" s="5" t="s">
        <v>489</v>
      </c>
      <c r="I695" s="5" t="s">
        <v>179</v>
      </c>
      <c r="J695" s="5" t="s">
        <v>97</v>
      </c>
      <c r="K695" s="5">
        <v>3246.0</v>
      </c>
    </row>
    <row r="696" ht="22.5" customHeight="1">
      <c r="A696" s="5" t="s">
        <v>2563</v>
      </c>
      <c r="B696" s="5" t="s">
        <v>2564</v>
      </c>
      <c r="C696" s="5" t="s">
        <v>2565</v>
      </c>
      <c r="D696" s="6">
        <v>38.0</v>
      </c>
      <c r="E696" s="6" t="s">
        <v>528</v>
      </c>
      <c r="F696" s="5" t="s">
        <v>152</v>
      </c>
      <c r="G696" s="5" t="s">
        <v>47</v>
      </c>
      <c r="H696" s="5" t="s">
        <v>669</v>
      </c>
      <c r="I696" s="5" t="s">
        <v>452</v>
      </c>
      <c r="J696" s="5" t="s">
        <v>222</v>
      </c>
      <c r="K696" s="5">
        <v>3394.0</v>
      </c>
    </row>
    <row r="697" ht="22.5" customHeight="1">
      <c r="A697" s="5" t="s">
        <v>2567</v>
      </c>
      <c r="B697" s="5" t="s">
        <v>2086</v>
      </c>
      <c r="C697" s="5" t="s">
        <v>2140</v>
      </c>
      <c r="D697" s="6">
        <v>43.0</v>
      </c>
      <c r="E697" s="6" t="s">
        <v>591</v>
      </c>
      <c r="F697" s="5" t="s">
        <v>152</v>
      </c>
      <c r="G697" s="5" t="s">
        <v>64</v>
      </c>
      <c r="H697" s="5" t="s">
        <v>164</v>
      </c>
      <c r="I697" s="5" t="s">
        <v>452</v>
      </c>
      <c r="J697" s="5" t="s">
        <v>222</v>
      </c>
      <c r="K697" s="5">
        <v>3117.0</v>
      </c>
    </row>
    <row r="698" ht="22.5" customHeight="1">
      <c r="A698" s="5" t="s">
        <v>2569</v>
      </c>
      <c r="B698" s="5" t="s">
        <v>2072</v>
      </c>
      <c r="C698" s="5" t="s">
        <v>25</v>
      </c>
      <c r="D698" s="6">
        <v>54.0</v>
      </c>
      <c r="E698" s="6" t="s">
        <v>591</v>
      </c>
      <c r="F698" s="5" t="s">
        <v>152</v>
      </c>
      <c r="G698" s="5" t="s">
        <v>47</v>
      </c>
      <c r="H698" s="5" t="s">
        <v>377</v>
      </c>
      <c r="I698" s="5" t="s">
        <v>402</v>
      </c>
      <c r="J698" s="5" t="s">
        <v>559</v>
      </c>
      <c r="K698" s="5">
        <v>1344.0</v>
      </c>
    </row>
    <row r="699" ht="22.5" customHeight="1">
      <c r="A699" s="5" t="s">
        <v>2571</v>
      </c>
      <c r="B699" s="5" t="s">
        <v>2512</v>
      </c>
      <c r="C699" s="5" t="s">
        <v>2572</v>
      </c>
      <c r="D699" s="6">
        <v>35.0</v>
      </c>
      <c r="E699" s="6" t="s">
        <v>528</v>
      </c>
      <c r="F699" s="5" t="s">
        <v>105</v>
      </c>
      <c r="G699" s="5" t="s">
        <v>376</v>
      </c>
      <c r="H699" s="5" t="s">
        <v>551</v>
      </c>
      <c r="I699" s="5" t="s">
        <v>96</v>
      </c>
      <c r="J699" s="5" t="s">
        <v>52</v>
      </c>
      <c r="K699" s="5">
        <v>230.0</v>
      </c>
    </row>
    <row r="700" ht="22.5" customHeight="1">
      <c r="A700" s="5" t="s">
        <v>2575</v>
      </c>
      <c r="B700" s="5" t="s">
        <v>2302</v>
      </c>
      <c r="C700" s="5" t="s">
        <v>2303</v>
      </c>
      <c r="D700" s="6">
        <v>28.0</v>
      </c>
      <c r="E700" s="6" t="s">
        <v>528</v>
      </c>
      <c r="F700" s="5" t="s">
        <v>152</v>
      </c>
      <c r="G700" s="5" t="s">
        <v>237</v>
      </c>
      <c r="H700" s="5" t="s">
        <v>358</v>
      </c>
      <c r="I700" s="5" t="s">
        <v>561</v>
      </c>
      <c r="J700" s="5" t="s">
        <v>52</v>
      </c>
      <c r="K700" s="5">
        <v>4646.0</v>
      </c>
    </row>
    <row r="701" ht="22.5" customHeight="1">
      <c r="A701" s="5" t="s">
        <v>2578</v>
      </c>
      <c r="B701" s="5" t="s">
        <v>1788</v>
      </c>
      <c r="C701" s="5" t="s">
        <v>2175</v>
      </c>
      <c r="D701" s="6">
        <v>33.0</v>
      </c>
      <c r="E701" s="6" t="s">
        <v>528</v>
      </c>
      <c r="F701" s="5" t="s">
        <v>152</v>
      </c>
      <c r="G701" s="5" t="s">
        <v>237</v>
      </c>
      <c r="H701" s="5" t="s">
        <v>164</v>
      </c>
      <c r="I701" s="5" t="s">
        <v>607</v>
      </c>
      <c r="J701" s="5" t="s">
        <v>222</v>
      </c>
      <c r="K701" s="5">
        <v>2858.0</v>
      </c>
    </row>
    <row r="702" ht="22.5" customHeight="1">
      <c r="A702" s="5" t="s">
        <v>2579</v>
      </c>
      <c r="B702" s="5" t="s">
        <v>2326</v>
      </c>
      <c r="C702" s="5" t="s">
        <v>713</v>
      </c>
      <c r="D702" s="6">
        <v>21.0</v>
      </c>
      <c r="E702" s="6" t="s">
        <v>528</v>
      </c>
      <c r="F702" s="5" t="s">
        <v>105</v>
      </c>
      <c r="G702" s="5" t="s">
        <v>759</v>
      </c>
      <c r="H702" s="5" t="s">
        <v>439</v>
      </c>
      <c r="I702" s="5" t="s">
        <v>210</v>
      </c>
      <c r="J702" s="5" t="s">
        <v>211</v>
      </c>
      <c r="K702" s="5">
        <v>1016.0</v>
      </c>
    </row>
    <row r="703" ht="22.5" customHeight="1">
      <c r="A703" s="5" t="s">
        <v>2582</v>
      </c>
      <c r="B703" s="5" t="s">
        <v>2492</v>
      </c>
      <c r="C703" s="5" t="s">
        <v>2424</v>
      </c>
      <c r="D703" s="6">
        <v>74.0</v>
      </c>
      <c r="E703" s="6" t="s">
        <v>734</v>
      </c>
      <c r="F703" s="5" t="s">
        <v>105</v>
      </c>
      <c r="G703" s="5" t="s">
        <v>539</v>
      </c>
      <c r="H703" s="5" t="s">
        <v>377</v>
      </c>
      <c r="I703" s="5" t="s">
        <v>96</v>
      </c>
      <c r="J703" s="5" t="s">
        <v>97</v>
      </c>
      <c r="K703" s="5">
        <v>890.0</v>
      </c>
    </row>
    <row r="704" ht="22.5" customHeight="1">
      <c r="A704" s="5" t="s">
        <v>2584</v>
      </c>
      <c r="B704" s="5" t="s">
        <v>764</v>
      </c>
      <c r="C704" s="5" t="s">
        <v>25</v>
      </c>
      <c r="D704" s="6">
        <v>42.0</v>
      </c>
      <c r="E704" s="6" t="s">
        <v>591</v>
      </c>
      <c r="F704" s="5" t="s">
        <v>105</v>
      </c>
      <c r="G704" s="5" t="s">
        <v>81</v>
      </c>
      <c r="H704" s="5" t="s">
        <v>551</v>
      </c>
      <c r="I704" s="5" t="s">
        <v>96</v>
      </c>
      <c r="J704" s="5" t="s">
        <v>211</v>
      </c>
      <c r="K704" s="5">
        <v>901.0</v>
      </c>
    </row>
    <row r="705" ht="22.5" customHeight="1">
      <c r="A705" s="5" t="s">
        <v>2588</v>
      </c>
      <c r="B705" s="5" t="s">
        <v>2237</v>
      </c>
      <c r="C705" s="5" t="s">
        <v>2154</v>
      </c>
      <c r="D705" s="6">
        <v>54.0</v>
      </c>
      <c r="E705" s="6" t="s">
        <v>591</v>
      </c>
      <c r="F705" s="5" t="s">
        <v>105</v>
      </c>
      <c r="G705" s="5" t="s">
        <v>141</v>
      </c>
      <c r="H705" s="5" t="s">
        <v>377</v>
      </c>
      <c r="I705" s="5" t="s">
        <v>402</v>
      </c>
      <c r="J705" s="5" t="s">
        <v>559</v>
      </c>
      <c r="K705" s="5">
        <v>2089.0</v>
      </c>
    </row>
    <row r="706" ht="22.5" customHeight="1">
      <c r="A706" s="5" t="s">
        <v>2592</v>
      </c>
      <c r="B706" s="5" t="s">
        <v>577</v>
      </c>
      <c r="C706" s="5" t="s">
        <v>2135</v>
      </c>
      <c r="D706" s="6">
        <v>74.0</v>
      </c>
      <c r="E706" s="6" t="s">
        <v>734</v>
      </c>
      <c r="F706" s="5" t="s">
        <v>105</v>
      </c>
      <c r="G706" s="5" t="s">
        <v>30</v>
      </c>
      <c r="H706" s="5" t="s">
        <v>551</v>
      </c>
      <c r="I706" s="5" t="s">
        <v>96</v>
      </c>
      <c r="J706" s="5" t="s">
        <v>97</v>
      </c>
      <c r="K706" s="5">
        <v>467.0</v>
      </c>
    </row>
    <row r="707" ht="22.5" customHeight="1">
      <c r="A707" s="5" t="s">
        <v>2594</v>
      </c>
      <c r="B707" s="5" t="s">
        <v>2596</v>
      </c>
      <c r="C707" s="5" t="s">
        <v>352</v>
      </c>
      <c r="D707" s="6">
        <v>53.0</v>
      </c>
      <c r="E707" s="6" t="s">
        <v>591</v>
      </c>
      <c r="F707" s="5" t="s">
        <v>105</v>
      </c>
      <c r="G707" s="5" t="s">
        <v>759</v>
      </c>
      <c r="H707" s="5" t="s">
        <v>358</v>
      </c>
      <c r="I707" s="5" t="s">
        <v>561</v>
      </c>
      <c r="J707" s="5" t="s">
        <v>559</v>
      </c>
      <c r="K707" s="5">
        <v>3520.0</v>
      </c>
    </row>
    <row r="708" ht="22.5" customHeight="1">
      <c r="A708" s="5" t="s">
        <v>2598</v>
      </c>
      <c r="B708" s="5" t="s">
        <v>2285</v>
      </c>
      <c r="C708" s="5" t="s">
        <v>2235</v>
      </c>
      <c r="D708" s="6">
        <v>76.0</v>
      </c>
      <c r="E708" s="6" t="s">
        <v>734</v>
      </c>
      <c r="F708" s="5" t="s">
        <v>152</v>
      </c>
      <c r="G708" s="5" t="s">
        <v>539</v>
      </c>
      <c r="H708" s="5" t="s">
        <v>377</v>
      </c>
      <c r="I708" s="5" t="s">
        <v>96</v>
      </c>
      <c r="J708" s="5" t="s">
        <v>97</v>
      </c>
      <c r="K708" s="5">
        <v>492.0</v>
      </c>
    </row>
    <row r="709" ht="22.5" customHeight="1">
      <c r="A709" s="5" t="s">
        <v>2601</v>
      </c>
      <c r="B709" s="5" t="s">
        <v>2306</v>
      </c>
      <c r="C709" s="5" t="s">
        <v>2135</v>
      </c>
      <c r="D709" s="6">
        <v>22.0</v>
      </c>
      <c r="E709" s="6" t="s">
        <v>528</v>
      </c>
      <c r="F709" s="5" t="s">
        <v>105</v>
      </c>
      <c r="G709" s="5" t="s">
        <v>30</v>
      </c>
      <c r="H709" s="5" t="s">
        <v>551</v>
      </c>
      <c r="I709" s="5" t="s">
        <v>96</v>
      </c>
      <c r="J709" s="5" t="s">
        <v>222</v>
      </c>
      <c r="K709" s="5">
        <v>571.0</v>
      </c>
    </row>
    <row r="710" ht="22.5" customHeight="1">
      <c r="A710" s="5" t="s">
        <v>2602</v>
      </c>
      <c r="B710" s="5" t="s">
        <v>1143</v>
      </c>
      <c r="C710" s="5" t="s">
        <v>301</v>
      </c>
      <c r="D710" s="6">
        <v>47.0</v>
      </c>
      <c r="E710" s="6" t="s">
        <v>591</v>
      </c>
      <c r="F710" s="5" t="s">
        <v>152</v>
      </c>
      <c r="G710" s="5" t="s">
        <v>30</v>
      </c>
      <c r="H710" s="5" t="s">
        <v>238</v>
      </c>
      <c r="I710" s="5" t="s">
        <v>533</v>
      </c>
      <c r="J710" s="5" t="s">
        <v>211</v>
      </c>
      <c r="K710" s="5">
        <v>1892.0</v>
      </c>
    </row>
    <row r="711" ht="22.5" customHeight="1">
      <c r="A711" s="5" t="s">
        <v>2603</v>
      </c>
      <c r="B711" s="5" t="s">
        <v>2072</v>
      </c>
      <c r="C711" s="5" t="s">
        <v>316</v>
      </c>
      <c r="D711" s="6">
        <v>58.0</v>
      </c>
      <c r="E711" s="6" t="s">
        <v>591</v>
      </c>
      <c r="F711" s="5" t="s">
        <v>105</v>
      </c>
      <c r="G711" s="5" t="s">
        <v>64</v>
      </c>
      <c r="H711" s="5" t="s">
        <v>123</v>
      </c>
      <c r="I711" s="5" t="s">
        <v>83</v>
      </c>
      <c r="J711" s="5" t="s">
        <v>211</v>
      </c>
      <c r="K711" s="5">
        <v>2173.0</v>
      </c>
    </row>
    <row r="712" ht="22.5" customHeight="1">
      <c r="A712" s="5" t="s">
        <v>2605</v>
      </c>
      <c r="B712" s="5" t="s">
        <v>2400</v>
      </c>
      <c r="C712" s="5" t="s">
        <v>2254</v>
      </c>
      <c r="D712" s="6">
        <v>31.0</v>
      </c>
      <c r="E712" s="6" t="s">
        <v>528</v>
      </c>
      <c r="F712" s="5" t="s">
        <v>152</v>
      </c>
      <c r="G712" s="5" t="s">
        <v>208</v>
      </c>
      <c r="H712" s="5" t="s">
        <v>436</v>
      </c>
      <c r="I712" s="5" t="s">
        <v>561</v>
      </c>
      <c r="J712" s="5" t="s">
        <v>211</v>
      </c>
      <c r="K712" s="5">
        <v>3475.0</v>
      </c>
    </row>
    <row r="713" ht="22.5" customHeight="1">
      <c r="A713" s="5" t="s">
        <v>2607</v>
      </c>
      <c r="B713" s="5" t="s">
        <v>2183</v>
      </c>
      <c r="C713" s="5" t="s">
        <v>2251</v>
      </c>
      <c r="D713" s="6">
        <v>43.0</v>
      </c>
      <c r="E713" s="6" t="s">
        <v>591</v>
      </c>
      <c r="F713" s="5" t="s">
        <v>152</v>
      </c>
      <c r="G713" s="5" t="s">
        <v>64</v>
      </c>
      <c r="H713" s="5" t="s">
        <v>551</v>
      </c>
      <c r="I713" s="5" t="s">
        <v>83</v>
      </c>
      <c r="J713" s="5" t="s">
        <v>559</v>
      </c>
      <c r="K713" s="5">
        <v>2420.0</v>
      </c>
    </row>
    <row r="714" ht="22.5" customHeight="1">
      <c r="A714" s="5" t="s">
        <v>2611</v>
      </c>
      <c r="B714" s="5" t="s">
        <v>2008</v>
      </c>
      <c r="C714" s="5" t="s">
        <v>2266</v>
      </c>
      <c r="D714" s="6">
        <v>60.0</v>
      </c>
      <c r="E714" s="6" t="s">
        <v>591</v>
      </c>
      <c r="F714" s="5" t="s">
        <v>105</v>
      </c>
      <c r="G714" s="5" t="s">
        <v>131</v>
      </c>
      <c r="H714" s="5" t="s">
        <v>311</v>
      </c>
      <c r="I714" s="5" t="s">
        <v>546</v>
      </c>
      <c r="J714" s="5" t="s">
        <v>559</v>
      </c>
      <c r="K714" s="5">
        <v>1972.0</v>
      </c>
    </row>
    <row r="715" ht="22.5" customHeight="1">
      <c r="A715" s="5" t="s">
        <v>2613</v>
      </c>
      <c r="B715" s="5" t="s">
        <v>2183</v>
      </c>
      <c r="C715" s="5" t="s">
        <v>2518</v>
      </c>
      <c r="D715" s="6">
        <v>66.0</v>
      </c>
      <c r="E715" s="6" t="s">
        <v>734</v>
      </c>
      <c r="F715" s="5" t="s">
        <v>105</v>
      </c>
      <c r="G715" s="5" t="s">
        <v>81</v>
      </c>
      <c r="H715" s="5" t="s">
        <v>32</v>
      </c>
      <c r="I715" s="5" t="s">
        <v>83</v>
      </c>
      <c r="J715" s="5" t="s">
        <v>97</v>
      </c>
      <c r="K715" s="5">
        <v>2872.0</v>
      </c>
    </row>
    <row r="716" ht="22.5" customHeight="1">
      <c r="A716" s="5" t="s">
        <v>2616</v>
      </c>
      <c r="B716" s="5" t="s">
        <v>127</v>
      </c>
      <c r="C716" s="5" t="s">
        <v>2073</v>
      </c>
      <c r="D716" s="6">
        <v>83.0</v>
      </c>
      <c r="E716" s="6" t="s">
        <v>734</v>
      </c>
      <c r="F716" s="5" t="s">
        <v>105</v>
      </c>
      <c r="G716" s="5" t="s">
        <v>47</v>
      </c>
      <c r="H716" s="5" t="s">
        <v>311</v>
      </c>
      <c r="I716" s="5" t="s">
        <v>96</v>
      </c>
      <c r="J716" s="5" t="s">
        <v>97</v>
      </c>
      <c r="K716" s="5">
        <v>612.0</v>
      </c>
    </row>
    <row r="717" ht="22.5" customHeight="1">
      <c r="A717" s="5" t="s">
        <v>2617</v>
      </c>
      <c r="B717" s="5" t="s">
        <v>2618</v>
      </c>
      <c r="C717" s="5" t="s">
        <v>2148</v>
      </c>
      <c r="D717" s="6">
        <v>20.0</v>
      </c>
      <c r="E717" s="6" t="s">
        <v>528</v>
      </c>
      <c r="F717" s="5" t="s">
        <v>152</v>
      </c>
      <c r="G717" s="5" t="s">
        <v>759</v>
      </c>
      <c r="H717" s="5" t="s">
        <v>32</v>
      </c>
      <c r="I717" s="5" t="s">
        <v>83</v>
      </c>
      <c r="J717" s="5" t="s">
        <v>52</v>
      </c>
      <c r="K717" s="5">
        <v>3053.0</v>
      </c>
    </row>
    <row r="718" ht="22.5" customHeight="1">
      <c r="A718" s="5" t="s">
        <v>2620</v>
      </c>
      <c r="B718" s="5" t="s">
        <v>2492</v>
      </c>
      <c r="C718" s="5" t="s">
        <v>2254</v>
      </c>
      <c r="D718" s="6">
        <v>0.0</v>
      </c>
      <c r="E718" s="6" t="s">
        <v>1081</v>
      </c>
      <c r="F718" s="5" t="s">
        <v>105</v>
      </c>
      <c r="G718" s="5" t="s">
        <v>64</v>
      </c>
      <c r="H718" s="5" t="s">
        <v>470</v>
      </c>
      <c r="I718" s="5" t="s">
        <v>96</v>
      </c>
      <c r="J718" s="5" t="s">
        <v>211</v>
      </c>
      <c r="K718" s="5">
        <v>866.0</v>
      </c>
    </row>
    <row r="719" ht="22.5" customHeight="1">
      <c r="A719" s="5" t="s">
        <v>2623</v>
      </c>
      <c r="B719" s="5" t="s">
        <v>2512</v>
      </c>
      <c r="C719" s="5" t="s">
        <v>2624</v>
      </c>
      <c r="D719" s="6">
        <v>37.0</v>
      </c>
      <c r="E719" s="6" t="s">
        <v>528</v>
      </c>
      <c r="F719" s="5" t="s">
        <v>152</v>
      </c>
      <c r="G719" s="5" t="s">
        <v>309</v>
      </c>
      <c r="H719" s="5" t="s">
        <v>311</v>
      </c>
      <c r="I719" s="5" t="s">
        <v>96</v>
      </c>
      <c r="J719" s="5" t="s">
        <v>52</v>
      </c>
      <c r="K719" s="5">
        <v>529.0</v>
      </c>
    </row>
    <row r="720" ht="22.5" customHeight="1">
      <c r="A720" s="5" t="s">
        <v>2626</v>
      </c>
      <c r="B720" s="5" t="s">
        <v>2126</v>
      </c>
      <c r="C720" s="5" t="s">
        <v>2628</v>
      </c>
      <c r="D720" s="6">
        <v>27.0</v>
      </c>
      <c r="E720" s="6" t="s">
        <v>528</v>
      </c>
      <c r="F720" s="5" t="s">
        <v>105</v>
      </c>
      <c r="G720" s="5" t="s">
        <v>539</v>
      </c>
      <c r="H720" s="5" t="s">
        <v>669</v>
      </c>
      <c r="I720" s="5" t="s">
        <v>452</v>
      </c>
      <c r="J720" s="5" t="s">
        <v>52</v>
      </c>
      <c r="K720" s="5">
        <v>3733.0</v>
      </c>
    </row>
    <row r="721" ht="22.5" customHeight="1">
      <c r="A721" s="5" t="s">
        <v>2630</v>
      </c>
      <c r="B721" s="5" t="s">
        <v>2250</v>
      </c>
      <c r="C721" s="5" t="s">
        <v>2518</v>
      </c>
      <c r="D721" s="6">
        <v>54.0</v>
      </c>
      <c r="E721" s="6" t="s">
        <v>591</v>
      </c>
      <c r="F721" s="5" t="s">
        <v>105</v>
      </c>
      <c r="G721" s="5" t="s">
        <v>107</v>
      </c>
      <c r="H721" s="5" t="s">
        <v>637</v>
      </c>
      <c r="I721" s="5" t="s">
        <v>546</v>
      </c>
      <c r="J721" s="5" t="s">
        <v>211</v>
      </c>
      <c r="K721" s="5">
        <v>1151.0</v>
      </c>
    </row>
    <row r="722" ht="22.5" customHeight="1">
      <c r="A722" s="5" t="s">
        <v>2632</v>
      </c>
      <c r="B722" s="5" t="s">
        <v>2618</v>
      </c>
      <c r="C722" s="5" t="s">
        <v>629</v>
      </c>
      <c r="D722" s="6">
        <v>21.0</v>
      </c>
      <c r="E722" s="6" t="s">
        <v>528</v>
      </c>
      <c r="F722" s="5" t="s">
        <v>152</v>
      </c>
      <c r="G722" s="5" t="s">
        <v>47</v>
      </c>
      <c r="H722" s="5" t="s">
        <v>277</v>
      </c>
      <c r="I722" s="5" t="s">
        <v>402</v>
      </c>
      <c r="J722" s="5" t="s">
        <v>211</v>
      </c>
      <c r="K722" s="5">
        <v>1549.0</v>
      </c>
    </row>
    <row r="723" ht="22.5" customHeight="1">
      <c r="A723" s="5" t="s">
        <v>2634</v>
      </c>
      <c r="B723" s="5" t="s">
        <v>2350</v>
      </c>
      <c r="C723" s="5" t="s">
        <v>2179</v>
      </c>
      <c r="D723" s="6">
        <v>22.0</v>
      </c>
      <c r="E723" s="6" t="s">
        <v>528</v>
      </c>
      <c r="F723" s="5" t="s">
        <v>105</v>
      </c>
      <c r="G723" s="5" t="s">
        <v>309</v>
      </c>
      <c r="H723" s="5" t="s">
        <v>418</v>
      </c>
      <c r="I723" s="5" t="s">
        <v>210</v>
      </c>
      <c r="J723" s="5" t="s">
        <v>52</v>
      </c>
      <c r="K723" s="5">
        <v>1018.0</v>
      </c>
    </row>
    <row r="724" ht="22.5" customHeight="1">
      <c r="A724" s="5" t="s">
        <v>2637</v>
      </c>
      <c r="B724" s="5" t="s">
        <v>2086</v>
      </c>
      <c r="C724" s="5" t="s">
        <v>42</v>
      </c>
      <c r="D724" s="6">
        <v>53.0</v>
      </c>
      <c r="E724" s="6" t="s">
        <v>591</v>
      </c>
      <c r="F724" s="5" t="s">
        <v>105</v>
      </c>
      <c r="G724" s="5" t="s">
        <v>131</v>
      </c>
      <c r="H724" s="5" t="s">
        <v>916</v>
      </c>
      <c r="I724" s="5" t="s">
        <v>402</v>
      </c>
      <c r="J724" s="5" t="s">
        <v>211</v>
      </c>
      <c r="K724" s="5">
        <v>2865.0</v>
      </c>
    </row>
    <row r="725" ht="22.5" customHeight="1">
      <c r="A725" s="5" t="s">
        <v>2639</v>
      </c>
      <c r="B725" s="5" t="s">
        <v>2641</v>
      </c>
      <c r="C725" s="5" t="s">
        <v>713</v>
      </c>
      <c r="D725" s="6">
        <v>22.0</v>
      </c>
      <c r="E725" s="6" t="s">
        <v>528</v>
      </c>
      <c r="F725" s="5" t="s">
        <v>105</v>
      </c>
      <c r="G725" s="5" t="s">
        <v>208</v>
      </c>
      <c r="H725" s="5" t="s">
        <v>1290</v>
      </c>
      <c r="I725" s="5" t="s">
        <v>533</v>
      </c>
      <c r="J725" s="5" t="s">
        <v>559</v>
      </c>
      <c r="K725" s="5">
        <v>1000.0</v>
      </c>
    </row>
    <row r="726" ht="22.5" customHeight="1">
      <c r="A726" s="5" t="s">
        <v>2643</v>
      </c>
      <c r="B726" s="5" t="s">
        <v>2193</v>
      </c>
      <c r="C726" s="5" t="s">
        <v>374</v>
      </c>
      <c r="D726" s="6">
        <v>49.0</v>
      </c>
      <c r="E726" s="6" t="s">
        <v>591</v>
      </c>
      <c r="F726" s="5" t="s">
        <v>152</v>
      </c>
      <c r="G726" s="5" t="s">
        <v>376</v>
      </c>
      <c r="H726" s="5" t="s">
        <v>311</v>
      </c>
      <c r="I726" s="5" t="s">
        <v>546</v>
      </c>
      <c r="J726" s="5" t="s">
        <v>222</v>
      </c>
      <c r="K726" s="5">
        <v>982.0</v>
      </c>
    </row>
    <row r="727" ht="22.5" customHeight="1">
      <c r="A727" s="5" t="s">
        <v>2646</v>
      </c>
      <c r="B727" s="5" t="s">
        <v>2479</v>
      </c>
      <c r="C727" s="5" t="s">
        <v>2140</v>
      </c>
      <c r="D727" s="6">
        <v>47.0</v>
      </c>
      <c r="E727" s="6" t="s">
        <v>591</v>
      </c>
      <c r="F727" s="5" t="s">
        <v>152</v>
      </c>
      <c r="G727" s="5" t="s">
        <v>571</v>
      </c>
      <c r="H727" s="5" t="s">
        <v>637</v>
      </c>
      <c r="I727" s="5" t="s">
        <v>546</v>
      </c>
      <c r="J727" s="5" t="s">
        <v>52</v>
      </c>
      <c r="K727" s="5">
        <v>1323.0</v>
      </c>
    </row>
    <row r="728" ht="22.5" customHeight="1">
      <c r="A728" s="5" t="s">
        <v>2649</v>
      </c>
      <c r="B728" s="5" t="s">
        <v>2126</v>
      </c>
      <c r="C728" s="5" t="s">
        <v>2148</v>
      </c>
      <c r="D728" s="6">
        <v>65.0</v>
      </c>
      <c r="E728" s="6" t="s">
        <v>734</v>
      </c>
      <c r="F728" s="5" t="s">
        <v>105</v>
      </c>
      <c r="G728" s="5" t="s">
        <v>30</v>
      </c>
      <c r="H728" s="5" t="s">
        <v>436</v>
      </c>
      <c r="I728" s="5" t="s">
        <v>561</v>
      </c>
      <c r="J728" s="5" t="s">
        <v>97</v>
      </c>
      <c r="K728" s="5">
        <v>3105.0</v>
      </c>
    </row>
    <row r="729" ht="22.5" customHeight="1">
      <c r="A729" s="5" t="s">
        <v>2651</v>
      </c>
      <c r="B729" s="5" t="s">
        <v>2363</v>
      </c>
      <c r="C729" s="5" t="s">
        <v>2328</v>
      </c>
      <c r="D729" s="6">
        <v>35.0</v>
      </c>
      <c r="E729" s="6" t="s">
        <v>528</v>
      </c>
      <c r="F729" s="5" t="s">
        <v>152</v>
      </c>
      <c r="G729" s="5" t="s">
        <v>47</v>
      </c>
      <c r="H729" s="5" t="s">
        <v>470</v>
      </c>
      <c r="I729" s="5" t="s">
        <v>96</v>
      </c>
      <c r="J729" s="5" t="s">
        <v>222</v>
      </c>
      <c r="K729" s="5">
        <v>303.0</v>
      </c>
    </row>
    <row r="730" ht="22.5" customHeight="1">
      <c r="A730" s="5" t="s">
        <v>2654</v>
      </c>
      <c r="B730" s="5" t="s">
        <v>2350</v>
      </c>
      <c r="C730" s="5" t="s">
        <v>2655</v>
      </c>
      <c r="D730" s="6">
        <v>68.0</v>
      </c>
      <c r="E730" s="6" t="s">
        <v>734</v>
      </c>
      <c r="F730" s="5" t="s">
        <v>152</v>
      </c>
      <c r="G730" s="5" t="s">
        <v>64</v>
      </c>
      <c r="H730" s="5" t="s">
        <v>238</v>
      </c>
      <c r="I730" s="5" t="s">
        <v>533</v>
      </c>
      <c r="J730" s="5" t="s">
        <v>97</v>
      </c>
      <c r="K730" s="5">
        <v>1339.0</v>
      </c>
    </row>
    <row r="731" ht="22.5" customHeight="1">
      <c r="A731" s="5" t="s">
        <v>2659</v>
      </c>
      <c r="B731" s="5" t="s">
        <v>2126</v>
      </c>
      <c r="C731" s="5" t="s">
        <v>2332</v>
      </c>
      <c r="D731" s="6">
        <v>42.0</v>
      </c>
      <c r="E731" s="6" t="s">
        <v>591</v>
      </c>
      <c r="F731" s="5" t="s">
        <v>152</v>
      </c>
      <c r="G731" s="5" t="s">
        <v>208</v>
      </c>
      <c r="H731" s="5" t="s">
        <v>377</v>
      </c>
      <c r="I731" s="5" t="s">
        <v>96</v>
      </c>
      <c r="J731" s="5" t="s">
        <v>52</v>
      </c>
      <c r="K731" s="5">
        <v>913.0</v>
      </c>
    </row>
    <row r="732" ht="22.5" customHeight="1">
      <c r="A732" s="5" t="s">
        <v>2661</v>
      </c>
      <c r="B732" s="5" t="s">
        <v>2166</v>
      </c>
      <c r="C732" s="5" t="s">
        <v>2508</v>
      </c>
      <c r="D732" s="6">
        <v>78.0</v>
      </c>
      <c r="E732" s="6" t="s">
        <v>734</v>
      </c>
      <c r="F732" s="5" t="s">
        <v>152</v>
      </c>
      <c r="G732" s="5" t="s">
        <v>47</v>
      </c>
      <c r="H732" s="5" t="s">
        <v>277</v>
      </c>
      <c r="I732" s="5" t="s">
        <v>402</v>
      </c>
      <c r="J732" s="5" t="s">
        <v>97</v>
      </c>
      <c r="K732" s="5">
        <v>1481.0</v>
      </c>
    </row>
    <row r="733" ht="22.5" customHeight="1">
      <c r="A733" s="5" t="s">
        <v>2664</v>
      </c>
      <c r="B733" s="5" t="s">
        <v>2544</v>
      </c>
      <c r="C733" s="5" t="s">
        <v>2251</v>
      </c>
      <c r="D733" s="6">
        <v>75.0</v>
      </c>
      <c r="E733" s="6" t="s">
        <v>734</v>
      </c>
      <c r="F733" s="5" t="s">
        <v>105</v>
      </c>
      <c r="G733" s="5" t="s">
        <v>237</v>
      </c>
      <c r="H733" s="5" t="s">
        <v>238</v>
      </c>
      <c r="I733" s="5" t="s">
        <v>533</v>
      </c>
      <c r="J733" s="5" t="s">
        <v>97</v>
      </c>
      <c r="K733" s="5">
        <v>1858.0</v>
      </c>
    </row>
    <row r="734" ht="22.5" customHeight="1">
      <c r="A734" s="5" t="s">
        <v>2666</v>
      </c>
      <c r="B734" s="5" t="s">
        <v>2492</v>
      </c>
      <c r="C734" s="5" t="s">
        <v>2667</v>
      </c>
      <c r="D734" s="6"/>
      <c r="E734" s="6" t="s">
        <v>1081</v>
      </c>
      <c r="F734" s="5" t="s">
        <v>152</v>
      </c>
      <c r="G734" s="5" t="s">
        <v>30</v>
      </c>
      <c r="H734" s="5" t="s">
        <v>470</v>
      </c>
      <c r="I734" s="5" t="s">
        <v>179</v>
      </c>
      <c r="J734" s="5" t="s">
        <v>97</v>
      </c>
      <c r="K734" s="5">
        <v>3831.0</v>
      </c>
    </row>
    <row r="735" ht="22.5" customHeight="1">
      <c r="A735" s="5" t="s">
        <v>2669</v>
      </c>
      <c r="B735" s="5" t="s">
        <v>2350</v>
      </c>
      <c r="C735" s="5" t="s">
        <v>2336</v>
      </c>
      <c r="D735" s="6">
        <v>29.0</v>
      </c>
      <c r="E735" s="6" t="s">
        <v>528</v>
      </c>
      <c r="F735" s="5" t="s">
        <v>152</v>
      </c>
      <c r="G735" s="5" t="s">
        <v>393</v>
      </c>
      <c r="H735" s="5" t="s">
        <v>482</v>
      </c>
      <c r="I735" s="5" t="s">
        <v>179</v>
      </c>
      <c r="J735" s="5" t="s">
        <v>559</v>
      </c>
      <c r="K735" s="5">
        <v>4371.0</v>
      </c>
    </row>
    <row r="736" ht="22.5" customHeight="1">
      <c r="A736" s="5" t="s">
        <v>2672</v>
      </c>
      <c r="B736" s="5" t="s">
        <v>2507</v>
      </c>
      <c r="C736" s="5" t="s">
        <v>2217</v>
      </c>
      <c r="D736" s="6">
        <v>77.0</v>
      </c>
      <c r="E736" s="6" t="s">
        <v>734</v>
      </c>
      <c r="F736" s="5" t="s">
        <v>152</v>
      </c>
      <c r="G736" s="5" t="s">
        <v>256</v>
      </c>
      <c r="H736" s="5" t="s">
        <v>164</v>
      </c>
      <c r="I736" s="5" t="s">
        <v>96</v>
      </c>
      <c r="J736" s="5" t="s">
        <v>97</v>
      </c>
      <c r="K736" s="5">
        <v>656.0</v>
      </c>
    </row>
    <row r="737" ht="22.5" customHeight="1">
      <c r="A737" s="5" t="s">
        <v>2675</v>
      </c>
      <c r="B737" s="5" t="s">
        <v>577</v>
      </c>
      <c r="C737" s="5" t="s">
        <v>2154</v>
      </c>
      <c r="D737" s="6">
        <v>55.0</v>
      </c>
      <c r="E737" s="6" t="s">
        <v>591</v>
      </c>
      <c r="F737" s="5" t="s">
        <v>105</v>
      </c>
      <c r="G737" s="5" t="s">
        <v>376</v>
      </c>
      <c r="H737" s="5" t="s">
        <v>470</v>
      </c>
      <c r="I737" s="5" t="s">
        <v>179</v>
      </c>
      <c r="J737" s="5" t="s">
        <v>222</v>
      </c>
      <c r="K737" s="5">
        <v>3510.0</v>
      </c>
    </row>
    <row r="738" ht="22.5" customHeight="1">
      <c r="A738" s="5" t="s">
        <v>2677</v>
      </c>
      <c r="B738" s="5" t="s">
        <v>1237</v>
      </c>
      <c r="C738" s="5" t="s">
        <v>2145</v>
      </c>
      <c r="D738" s="6">
        <v>40.0</v>
      </c>
      <c r="E738" s="6" t="s">
        <v>528</v>
      </c>
      <c r="F738" s="5" t="s">
        <v>105</v>
      </c>
      <c r="G738" s="5" t="s">
        <v>131</v>
      </c>
      <c r="H738" s="5" t="s">
        <v>164</v>
      </c>
      <c r="I738" s="5" t="s">
        <v>96</v>
      </c>
      <c r="J738" s="5" t="s">
        <v>222</v>
      </c>
      <c r="K738" s="5">
        <v>296.0</v>
      </c>
    </row>
    <row r="739" ht="22.5" customHeight="1">
      <c r="A739" s="5" t="s">
        <v>2680</v>
      </c>
      <c r="B739" s="5" t="s">
        <v>2681</v>
      </c>
      <c r="C739" s="5" t="s">
        <v>2159</v>
      </c>
      <c r="D739" s="6"/>
      <c r="E739" s="6" t="s">
        <v>1081</v>
      </c>
      <c r="F739" s="5" t="s">
        <v>105</v>
      </c>
      <c r="G739" s="5" t="s">
        <v>393</v>
      </c>
      <c r="H739" s="5" t="s">
        <v>164</v>
      </c>
      <c r="I739" s="5" t="s">
        <v>607</v>
      </c>
      <c r="J739" s="5" t="s">
        <v>97</v>
      </c>
      <c r="K739" s="5">
        <v>2298.0</v>
      </c>
    </row>
    <row r="740" ht="22.5" customHeight="1">
      <c r="A740" s="5" t="s">
        <v>2683</v>
      </c>
      <c r="B740" s="5" t="s">
        <v>2126</v>
      </c>
      <c r="C740" s="5" t="s">
        <v>2684</v>
      </c>
      <c r="D740" s="6">
        <v>67.0</v>
      </c>
      <c r="E740" s="6" t="s">
        <v>734</v>
      </c>
      <c r="F740" s="5" t="s">
        <v>105</v>
      </c>
      <c r="G740" s="5" t="s">
        <v>176</v>
      </c>
      <c r="H740" s="5" t="s">
        <v>311</v>
      </c>
      <c r="I740" s="5" t="s">
        <v>546</v>
      </c>
      <c r="J740" s="5" t="s">
        <v>97</v>
      </c>
      <c r="K740" s="5">
        <v>2095.0</v>
      </c>
    </row>
    <row r="741" ht="22.5" customHeight="1">
      <c r="A741" s="5" t="s">
        <v>2687</v>
      </c>
      <c r="B741" s="5" t="s">
        <v>2072</v>
      </c>
      <c r="C741" s="5" t="s">
        <v>2667</v>
      </c>
      <c r="D741" s="6">
        <v>76.0</v>
      </c>
      <c r="E741" s="6" t="s">
        <v>734</v>
      </c>
      <c r="F741" s="5" t="s">
        <v>105</v>
      </c>
      <c r="G741" s="5" t="s">
        <v>30</v>
      </c>
      <c r="H741" s="5" t="s">
        <v>439</v>
      </c>
      <c r="I741" s="5" t="s">
        <v>210</v>
      </c>
      <c r="J741" s="5" t="s">
        <v>97</v>
      </c>
      <c r="K741" s="5">
        <v>2040.0</v>
      </c>
    </row>
    <row r="742" ht="22.5" customHeight="1">
      <c r="A742" s="5" t="s">
        <v>2689</v>
      </c>
      <c r="B742" s="5" t="s">
        <v>577</v>
      </c>
      <c r="C742" s="5" t="s">
        <v>2336</v>
      </c>
      <c r="D742" s="6">
        <v>71.0</v>
      </c>
      <c r="E742" s="6" t="s">
        <v>734</v>
      </c>
      <c r="F742" s="5" t="s">
        <v>105</v>
      </c>
      <c r="G742" s="5" t="s">
        <v>571</v>
      </c>
      <c r="H742" s="5" t="s">
        <v>436</v>
      </c>
      <c r="I742" s="5" t="s">
        <v>561</v>
      </c>
      <c r="J742" s="5" t="s">
        <v>97</v>
      </c>
      <c r="K742" s="5">
        <v>2405.0</v>
      </c>
    </row>
    <row r="743" ht="22.5" customHeight="1">
      <c r="A743" s="5" t="s">
        <v>2692</v>
      </c>
      <c r="B743" s="5" t="s">
        <v>2237</v>
      </c>
      <c r="C743" s="5" t="s">
        <v>2277</v>
      </c>
      <c r="D743" s="6">
        <v>39.0</v>
      </c>
      <c r="E743" s="6" t="s">
        <v>528</v>
      </c>
      <c r="F743" s="5" t="s">
        <v>152</v>
      </c>
      <c r="G743" s="5" t="s">
        <v>364</v>
      </c>
      <c r="H743" s="5" t="s">
        <v>551</v>
      </c>
      <c r="I743" s="5" t="s">
        <v>83</v>
      </c>
      <c r="J743" s="5" t="s">
        <v>222</v>
      </c>
      <c r="K743" s="5">
        <v>2193.0</v>
      </c>
    </row>
    <row r="744" ht="22.5" customHeight="1">
      <c r="A744" s="5" t="s">
        <v>2694</v>
      </c>
      <c r="B744" s="5" t="s">
        <v>2326</v>
      </c>
      <c r="C744" s="5" t="s">
        <v>2416</v>
      </c>
      <c r="D744" s="6">
        <v>56.0</v>
      </c>
      <c r="E744" s="6" t="s">
        <v>591</v>
      </c>
      <c r="F744" s="5" t="s">
        <v>105</v>
      </c>
      <c r="G744" s="5" t="s">
        <v>30</v>
      </c>
      <c r="H744" s="5" t="s">
        <v>311</v>
      </c>
      <c r="I744" s="5" t="s">
        <v>96</v>
      </c>
      <c r="J744" s="5" t="s">
        <v>222</v>
      </c>
      <c r="K744" s="5">
        <v>1035.0</v>
      </c>
    </row>
    <row r="745" ht="22.5" customHeight="1">
      <c r="A745" s="5" t="s">
        <v>2695</v>
      </c>
      <c r="B745" s="5" t="s">
        <v>2312</v>
      </c>
      <c r="C745" s="5" t="s">
        <v>2113</v>
      </c>
      <c r="D745" s="6">
        <v>54.0</v>
      </c>
      <c r="E745" s="6" t="s">
        <v>591</v>
      </c>
      <c r="F745" s="5" t="s">
        <v>105</v>
      </c>
      <c r="G745" s="5" t="s">
        <v>237</v>
      </c>
      <c r="H745" s="5" t="s">
        <v>576</v>
      </c>
      <c r="I745" s="5" t="s">
        <v>607</v>
      </c>
      <c r="J745" s="5" t="s">
        <v>211</v>
      </c>
      <c r="K745" s="5">
        <v>2504.0</v>
      </c>
    </row>
    <row r="746" ht="22.5" customHeight="1">
      <c r="A746" s="5" t="s">
        <v>2697</v>
      </c>
      <c r="B746" s="5" t="s">
        <v>2077</v>
      </c>
      <c r="C746" s="5" t="s">
        <v>2226</v>
      </c>
      <c r="D746" s="6">
        <v>27.0</v>
      </c>
      <c r="E746" s="6" t="s">
        <v>528</v>
      </c>
      <c r="F746" s="5" t="s">
        <v>105</v>
      </c>
      <c r="G746" s="5" t="s">
        <v>256</v>
      </c>
      <c r="H746" s="5" t="s">
        <v>482</v>
      </c>
      <c r="I746" s="5" t="s">
        <v>179</v>
      </c>
      <c r="J746" s="5" t="s">
        <v>559</v>
      </c>
      <c r="K746" s="5">
        <v>2838.0</v>
      </c>
    </row>
    <row r="747" ht="22.5" customHeight="1">
      <c r="A747" s="5" t="s">
        <v>2698</v>
      </c>
      <c r="B747" s="5" t="s">
        <v>2134</v>
      </c>
      <c r="C747" s="5" t="s">
        <v>2377</v>
      </c>
      <c r="D747" s="6">
        <v>77.0</v>
      </c>
      <c r="E747" s="6" t="s">
        <v>734</v>
      </c>
      <c r="F747" s="5" t="s">
        <v>105</v>
      </c>
      <c r="G747" s="5" t="s">
        <v>237</v>
      </c>
      <c r="H747" s="5" t="s">
        <v>32</v>
      </c>
      <c r="I747" s="5" t="s">
        <v>83</v>
      </c>
      <c r="J747" s="5" t="s">
        <v>97</v>
      </c>
      <c r="K747" s="5">
        <v>2093.0</v>
      </c>
    </row>
    <row r="748" ht="22.5" customHeight="1">
      <c r="A748" s="5" t="s">
        <v>2700</v>
      </c>
      <c r="B748" s="5" t="s">
        <v>536</v>
      </c>
      <c r="C748" s="5" t="s">
        <v>2368</v>
      </c>
      <c r="D748" s="6">
        <v>84.0</v>
      </c>
      <c r="E748" s="6" t="s">
        <v>734</v>
      </c>
      <c r="F748" s="5" t="s">
        <v>152</v>
      </c>
      <c r="G748" s="5" t="s">
        <v>176</v>
      </c>
      <c r="H748" s="5" t="s">
        <v>277</v>
      </c>
      <c r="I748" s="5" t="s">
        <v>402</v>
      </c>
      <c r="J748" s="5" t="s">
        <v>97</v>
      </c>
      <c r="K748" s="5">
        <v>1509.0</v>
      </c>
    </row>
    <row r="749" ht="22.5" customHeight="1">
      <c r="A749" s="5" t="s">
        <v>2703</v>
      </c>
      <c r="B749" s="5" t="s">
        <v>2281</v>
      </c>
      <c r="C749" s="5" t="s">
        <v>2167</v>
      </c>
      <c r="D749" s="6">
        <v>19.0</v>
      </c>
      <c r="E749" s="6" t="s">
        <v>528</v>
      </c>
      <c r="F749" s="5" t="s">
        <v>105</v>
      </c>
      <c r="G749" s="5" t="s">
        <v>131</v>
      </c>
      <c r="H749" s="5" t="s">
        <v>32</v>
      </c>
      <c r="I749" s="5" t="s">
        <v>83</v>
      </c>
      <c r="J749" s="5" t="s">
        <v>52</v>
      </c>
      <c r="K749" s="5">
        <v>2598.0</v>
      </c>
    </row>
    <row r="750" ht="22.5" customHeight="1">
      <c r="A750" s="5" t="s">
        <v>2705</v>
      </c>
      <c r="B750" s="5" t="s">
        <v>2244</v>
      </c>
      <c r="C750" s="5" t="s">
        <v>2251</v>
      </c>
      <c r="D750" s="6">
        <v>27.0</v>
      </c>
      <c r="E750" s="6" t="s">
        <v>528</v>
      </c>
      <c r="F750" s="5" t="s">
        <v>105</v>
      </c>
      <c r="G750" s="5" t="s">
        <v>30</v>
      </c>
      <c r="H750" s="5" t="s">
        <v>32</v>
      </c>
      <c r="I750" s="5" t="s">
        <v>83</v>
      </c>
      <c r="J750" s="5" t="s">
        <v>559</v>
      </c>
      <c r="K750" s="5">
        <v>1496.0</v>
      </c>
    </row>
    <row r="751" ht="22.5" customHeight="1">
      <c r="A751" s="5" t="s">
        <v>2707</v>
      </c>
      <c r="B751" s="5" t="s">
        <v>2517</v>
      </c>
      <c r="C751" s="5" t="s">
        <v>2194</v>
      </c>
      <c r="D751" s="6">
        <v>69.0</v>
      </c>
      <c r="E751" s="6" t="s">
        <v>734</v>
      </c>
      <c r="F751" s="5" t="s">
        <v>152</v>
      </c>
      <c r="G751" s="5" t="s">
        <v>376</v>
      </c>
      <c r="H751" s="5" t="s">
        <v>277</v>
      </c>
      <c r="I751" s="5" t="s">
        <v>402</v>
      </c>
      <c r="J751" s="5" t="s">
        <v>97</v>
      </c>
      <c r="K751" s="5">
        <v>1661.0</v>
      </c>
    </row>
    <row r="752" ht="22.5" customHeight="1">
      <c r="A752" s="5" t="s">
        <v>2708</v>
      </c>
      <c r="B752" s="5" t="s">
        <v>1237</v>
      </c>
      <c r="C752" s="5" t="s">
        <v>159</v>
      </c>
      <c r="D752" s="6">
        <v>28.0</v>
      </c>
      <c r="E752" s="6" t="s">
        <v>528</v>
      </c>
      <c r="F752" s="5" t="s">
        <v>152</v>
      </c>
      <c r="G752" s="5" t="s">
        <v>309</v>
      </c>
      <c r="H752" s="5" t="s">
        <v>123</v>
      </c>
      <c r="I752" s="5" t="s">
        <v>83</v>
      </c>
      <c r="J752" s="5" t="s">
        <v>52</v>
      </c>
      <c r="K752" s="5">
        <v>3050.0</v>
      </c>
    </row>
    <row r="753" ht="22.5" customHeight="1">
      <c r="A753" s="5" t="s">
        <v>2710</v>
      </c>
      <c r="B753" s="5" t="s">
        <v>2471</v>
      </c>
      <c r="C753" s="5" t="s">
        <v>2368</v>
      </c>
      <c r="D753" s="6">
        <v>36.0</v>
      </c>
      <c r="E753" s="6" t="s">
        <v>528</v>
      </c>
      <c r="F753" s="5" t="s">
        <v>105</v>
      </c>
      <c r="G753" s="5" t="s">
        <v>268</v>
      </c>
      <c r="H753" s="5" t="s">
        <v>311</v>
      </c>
      <c r="I753" s="5" t="s">
        <v>96</v>
      </c>
      <c r="J753" s="5" t="s">
        <v>222</v>
      </c>
      <c r="K753" s="5">
        <v>410.0</v>
      </c>
    </row>
    <row r="754" ht="22.5" customHeight="1">
      <c r="A754" s="5" t="s">
        <v>2712</v>
      </c>
      <c r="B754" s="5" t="s">
        <v>2713</v>
      </c>
      <c r="C754" s="5" t="s">
        <v>629</v>
      </c>
      <c r="D754" s="6">
        <v>89.0</v>
      </c>
      <c r="E754" s="6" t="s">
        <v>734</v>
      </c>
      <c r="F754" s="5" t="s">
        <v>152</v>
      </c>
      <c r="G754" s="5" t="s">
        <v>64</v>
      </c>
      <c r="H754" s="5" t="s">
        <v>916</v>
      </c>
      <c r="I754" s="5" t="s">
        <v>402</v>
      </c>
      <c r="J754" s="5" t="s">
        <v>97</v>
      </c>
      <c r="K754" s="5">
        <v>1800.0</v>
      </c>
    </row>
    <row r="755" ht="22.5" customHeight="1">
      <c r="A755" s="5" t="s">
        <v>2715</v>
      </c>
      <c r="B755" s="5" t="s">
        <v>2123</v>
      </c>
      <c r="C755" s="5" t="s">
        <v>2203</v>
      </c>
      <c r="D755" s="6">
        <v>25.0</v>
      </c>
      <c r="E755" s="6" t="s">
        <v>528</v>
      </c>
      <c r="F755" s="5" t="s">
        <v>152</v>
      </c>
      <c r="G755" s="5" t="s">
        <v>176</v>
      </c>
      <c r="H755" s="5" t="s">
        <v>489</v>
      </c>
      <c r="I755" s="5" t="s">
        <v>179</v>
      </c>
      <c r="J755" s="5" t="s">
        <v>559</v>
      </c>
      <c r="K755" s="5">
        <v>2108.0</v>
      </c>
    </row>
    <row r="756" ht="22.5" customHeight="1">
      <c r="A756" s="5" t="s">
        <v>2717</v>
      </c>
      <c r="B756" s="5" t="s">
        <v>2641</v>
      </c>
      <c r="C756" s="5" t="s">
        <v>2203</v>
      </c>
      <c r="D756" s="6">
        <v>80.0</v>
      </c>
      <c r="E756" s="6" t="s">
        <v>734</v>
      </c>
      <c r="F756" s="5" t="s">
        <v>152</v>
      </c>
      <c r="G756" s="5" t="s">
        <v>256</v>
      </c>
      <c r="H756" s="5" t="s">
        <v>439</v>
      </c>
      <c r="I756" s="5" t="s">
        <v>210</v>
      </c>
      <c r="J756" s="5" t="s">
        <v>97</v>
      </c>
      <c r="K756" s="5">
        <v>813.0</v>
      </c>
    </row>
    <row r="757" ht="22.5" customHeight="1">
      <c r="A757" s="5" t="s">
        <v>2720</v>
      </c>
      <c r="B757" s="5" t="s">
        <v>2721</v>
      </c>
      <c r="C757" s="5" t="s">
        <v>2277</v>
      </c>
      <c r="D757" s="6">
        <v>29.0</v>
      </c>
      <c r="E757" s="6" t="s">
        <v>528</v>
      </c>
      <c r="F757" s="5" t="s">
        <v>105</v>
      </c>
      <c r="G757" s="5" t="s">
        <v>47</v>
      </c>
      <c r="H757" s="5" t="s">
        <v>377</v>
      </c>
      <c r="I757" s="5" t="s">
        <v>402</v>
      </c>
      <c r="J757" s="5" t="s">
        <v>211</v>
      </c>
      <c r="K757" s="5">
        <v>2228.0</v>
      </c>
    </row>
    <row r="758" ht="22.5" customHeight="1">
      <c r="A758" s="5" t="s">
        <v>2724</v>
      </c>
      <c r="B758" s="5" t="s">
        <v>2296</v>
      </c>
      <c r="C758" s="5" t="s">
        <v>2416</v>
      </c>
      <c r="D758" s="6">
        <v>75.0</v>
      </c>
      <c r="E758" s="6" t="s">
        <v>734</v>
      </c>
      <c r="F758" s="5" t="s">
        <v>152</v>
      </c>
      <c r="G758" s="5" t="s">
        <v>30</v>
      </c>
      <c r="H758" s="5" t="s">
        <v>238</v>
      </c>
      <c r="I758" s="5" t="s">
        <v>533</v>
      </c>
      <c r="J758" s="5" t="s">
        <v>97</v>
      </c>
      <c r="K758" s="5">
        <v>1795.0</v>
      </c>
    </row>
    <row r="759" ht="22.5" customHeight="1">
      <c r="A759" s="5" t="s">
        <v>2726</v>
      </c>
      <c r="B759" s="5" t="s">
        <v>2564</v>
      </c>
      <c r="C759" s="5" t="s">
        <v>128</v>
      </c>
      <c r="D759" s="6">
        <v>39.0</v>
      </c>
      <c r="E759" s="6" t="s">
        <v>528</v>
      </c>
      <c r="F759" s="5" t="s">
        <v>105</v>
      </c>
      <c r="G759" s="5" t="s">
        <v>256</v>
      </c>
      <c r="H759" s="5" t="s">
        <v>482</v>
      </c>
      <c r="I759" s="5" t="s">
        <v>179</v>
      </c>
      <c r="J759" s="5" t="s">
        <v>559</v>
      </c>
      <c r="K759" s="5">
        <v>4100.0</v>
      </c>
    </row>
    <row r="760" ht="22.5" customHeight="1">
      <c r="A760" s="5" t="s">
        <v>2729</v>
      </c>
      <c r="B760" s="5" t="s">
        <v>2258</v>
      </c>
      <c r="C760" s="5" t="s">
        <v>2230</v>
      </c>
      <c r="D760" s="6">
        <v>23.0</v>
      </c>
      <c r="E760" s="6" t="s">
        <v>528</v>
      </c>
      <c r="F760" s="5" t="s">
        <v>152</v>
      </c>
      <c r="G760" s="5" t="s">
        <v>309</v>
      </c>
      <c r="H760" s="5" t="s">
        <v>164</v>
      </c>
      <c r="I760" s="5" t="s">
        <v>607</v>
      </c>
      <c r="J760" s="5" t="s">
        <v>211</v>
      </c>
      <c r="K760" s="5">
        <v>2884.0</v>
      </c>
    </row>
    <row r="761" ht="22.5" customHeight="1">
      <c r="A761" s="5" t="s">
        <v>2731</v>
      </c>
      <c r="B761" s="5" t="s">
        <v>2539</v>
      </c>
      <c r="C761" s="5" t="s">
        <v>2187</v>
      </c>
      <c r="D761" s="6">
        <v>76.0</v>
      </c>
      <c r="E761" s="6" t="s">
        <v>734</v>
      </c>
      <c r="F761" s="5" t="s">
        <v>105</v>
      </c>
      <c r="G761" s="5" t="s">
        <v>47</v>
      </c>
      <c r="H761" s="5" t="s">
        <v>164</v>
      </c>
      <c r="I761" s="5" t="s">
        <v>607</v>
      </c>
      <c r="J761" s="5" t="s">
        <v>97</v>
      </c>
      <c r="K761" s="5">
        <v>2411.0</v>
      </c>
    </row>
    <row r="762" ht="22.5" customHeight="1">
      <c r="A762" s="5" t="s">
        <v>2734</v>
      </c>
      <c r="B762" s="5" t="s">
        <v>536</v>
      </c>
      <c r="C762" s="5" t="s">
        <v>556</v>
      </c>
      <c r="D762" s="6">
        <v>71.0</v>
      </c>
      <c r="E762" s="6" t="s">
        <v>734</v>
      </c>
      <c r="F762" s="5" t="s">
        <v>152</v>
      </c>
      <c r="G762" s="5" t="s">
        <v>64</v>
      </c>
      <c r="H762" s="5" t="s">
        <v>916</v>
      </c>
      <c r="I762" s="5" t="s">
        <v>402</v>
      </c>
      <c r="J762" s="5" t="s">
        <v>97</v>
      </c>
      <c r="K762" s="5">
        <v>2671.0</v>
      </c>
    </row>
    <row r="763" ht="22.5" customHeight="1">
      <c r="A763" s="5" t="s">
        <v>2736</v>
      </c>
      <c r="B763" s="5" t="s">
        <v>2475</v>
      </c>
      <c r="C763" s="5" t="s">
        <v>2313</v>
      </c>
      <c r="D763" s="6">
        <v>56.0</v>
      </c>
      <c r="E763" s="6" t="s">
        <v>591</v>
      </c>
      <c r="F763" s="5" t="s">
        <v>152</v>
      </c>
      <c r="G763" s="5" t="s">
        <v>107</v>
      </c>
      <c r="H763" s="5" t="s">
        <v>164</v>
      </c>
      <c r="I763" s="5" t="s">
        <v>607</v>
      </c>
      <c r="J763" s="5" t="s">
        <v>211</v>
      </c>
      <c r="K763" s="5">
        <v>3643.0</v>
      </c>
    </row>
    <row r="764" ht="22.5" customHeight="1">
      <c r="A764" s="5" t="s">
        <v>2739</v>
      </c>
      <c r="B764" s="5" t="s">
        <v>2479</v>
      </c>
      <c r="C764" s="5" t="s">
        <v>2442</v>
      </c>
      <c r="D764" s="6">
        <v>89.0</v>
      </c>
      <c r="E764" s="6" t="s">
        <v>734</v>
      </c>
      <c r="F764" s="5" t="s">
        <v>105</v>
      </c>
      <c r="G764" s="5" t="s">
        <v>237</v>
      </c>
      <c r="H764" s="5" t="s">
        <v>439</v>
      </c>
      <c r="I764" s="5" t="s">
        <v>210</v>
      </c>
      <c r="J764" s="5" t="s">
        <v>97</v>
      </c>
      <c r="K764" s="5">
        <v>560.0</v>
      </c>
    </row>
    <row r="765" ht="22.5" customHeight="1">
      <c r="A765" s="5" t="s">
        <v>2743</v>
      </c>
      <c r="B765" s="5" t="s">
        <v>983</v>
      </c>
      <c r="C765" s="5" t="s">
        <v>2416</v>
      </c>
      <c r="D765" s="6">
        <v>74.0</v>
      </c>
      <c r="E765" s="6" t="s">
        <v>734</v>
      </c>
      <c r="F765" s="5" t="s">
        <v>152</v>
      </c>
      <c r="G765" s="5" t="s">
        <v>30</v>
      </c>
      <c r="H765" s="5" t="s">
        <v>277</v>
      </c>
      <c r="I765" s="5" t="s">
        <v>402</v>
      </c>
      <c r="J765" s="5" t="s">
        <v>97</v>
      </c>
      <c r="K765" s="5">
        <v>2499.0</v>
      </c>
    </row>
    <row r="766" ht="22.5" customHeight="1">
      <c r="A766" s="5" t="s">
        <v>2746</v>
      </c>
      <c r="B766" s="5" t="s">
        <v>2099</v>
      </c>
      <c r="C766" s="5" t="s">
        <v>2135</v>
      </c>
      <c r="D766" s="6">
        <v>90.0</v>
      </c>
      <c r="E766" s="6" t="s">
        <v>734</v>
      </c>
      <c r="F766" s="5" t="s">
        <v>105</v>
      </c>
      <c r="G766" s="5" t="s">
        <v>256</v>
      </c>
      <c r="H766" s="5" t="s">
        <v>164</v>
      </c>
      <c r="I766" s="5" t="s">
        <v>607</v>
      </c>
      <c r="J766" s="5" t="s">
        <v>97</v>
      </c>
      <c r="K766" s="5">
        <v>1954.0</v>
      </c>
    </row>
    <row r="767" ht="22.5" customHeight="1">
      <c r="A767" s="5" t="s">
        <v>2747</v>
      </c>
      <c r="B767" s="5" t="s">
        <v>2086</v>
      </c>
      <c r="C767" s="5" t="s">
        <v>25</v>
      </c>
      <c r="D767" s="6">
        <v>49.0</v>
      </c>
      <c r="E767" s="6" t="s">
        <v>591</v>
      </c>
      <c r="F767" s="5" t="s">
        <v>152</v>
      </c>
      <c r="G767" s="5" t="s">
        <v>107</v>
      </c>
      <c r="H767" s="5" t="s">
        <v>311</v>
      </c>
      <c r="I767" s="5" t="s">
        <v>96</v>
      </c>
      <c r="J767" s="5" t="s">
        <v>211</v>
      </c>
      <c r="K767" s="5">
        <v>465.0</v>
      </c>
    </row>
    <row r="768" ht="22.5" customHeight="1">
      <c r="A768" s="5" t="s">
        <v>2750</v>
      </c>
      <c r="B768" s="5" t="s">
        <v>2153</v>
      </c>
      <c r="C768" s="5" t="s">
        <v>2624</v>
      </c>
      <c r="D768" s="6">
        <v>40.0</v>
      </c>
      <c r="E768" s="6" t="s">
        <v>528</v>
      </c>
      <c r="F768" s="5" t="s">
        <v>105</v>
      </c>
      <c r="G768" s="5" t="s">
        <v>47</v>
      </c>
      <c r="H768" s="5" t="s">
        <v>164</v>
      </c>
      <c r="I768" s="5" t="s">
        <v>96</v>
      </c>
      <c r="J768" s="5" t="s">
        <v>559</v>
      </c>
      <c r="K768" s="5">
        <v>936.0</v>
      </c>
    </row>
    <row r="769" ht="22.5" customHeight="1">
      <c r="A769" s="5" t="s">
        <v>2752</v>
      </c>
      <c r="B769" s="5" t="s">
        <v>2103</v>
      </c>
      <c r="C769" s="5" t="s">
        <v>2753</v>
      </c>
      <c r="D769" s="6">
        <v>54.0</v>
      </c>
      <c r="E769" s="6" t="s">
        <v>591</v>
      </c>
      <c r="F769" s="5" t="s">
        <v>105</v>
      </c>
      <c r="G769" s="5" t="s">
        <v>107</v>
      </c>
      <c r="H769" s="5" t="s">
        <v>311</v>
      </c>
      <c r="I769" s="5" t="s">
        <v>96</v>
      </c>
      <c r="J769" s="5" t="s">
        <v>211</v>
      </c>
      <c r="K769" s="5">
        <v>482.0</v>
      </c>
    </row>
    <row r="770" ht="22.5" customHeight="1">
      <c r="A770" s="5" t="s">
        <v>2755</v>
      </c>
      <c r="B770" s="5" t="s">
        <v>2281</v>
      </c>
      <c r="C770" s="5" t="s">
        <v>2299</v>
      </c>
      <c r="D770" s="6">
        <v>79.0</v>
      </c>
      <c r="E770" s="6" t="s">
        <v>734</v>
      </c>
      <c r="F770" s="5" t="s">
        <v>152</v>
      </c>
      <c r="G770" s="5" t="s">
        <v>237</v>
      </c>
      <c r="H770" s="5" t="s">
        <v>230</v>
      </c>
      <c r="I770" s="5" t="s">
        <v>452</v>
      </c>
      <c r="J770" s="5" t="s">
        <v>97</v>
      </c>
      <c r="K770" s="5">
        <v>4428.0</v>
      </c>
    </row>
    <row r="771" ht="22.5" customHeight="1">
      <c r="A771" s="5" t="s">
        <v>2757</v>
      </c>
      <c r="B771" s="5" t="s">
        <v>2758</v>
      </c>
      <c r="C771" s="5" t="s">
        <v>2351</v>
      </c>
      <c r="D771" s="6">
        <v>18.0</v>
      </c>
      <c r="E771" s="6" t="s">
        <v>528</v>
      </c>
      <c r="F771" s="5" t="s">
        <v>105</v>
      </c>
      <c r="G771" s="5" t="s">
        <v>237</v>
      </c>
      <c r="H771" s="5" t="s">
        <v>576</v>
      </c>
      <c r="I771" s="5" t="s">
        <v>607</v>
      </c>
      <c r="J771" s="5" t="s">
        <v>559</v>
      </c>
      <c r="K771" s="5">
        <v>3308.0</v>
      </c>
    </row>
    <row r="772" ht="22.5" customHeight="1">
      <c r="A772" s="5" t="s">
        <v>2760</v>
      </c>
      <c r="B772" s="5" t="s">
        <v>577</v>
      </c>
      <c r="C772" s="5" t="s">
        <v>2761</v>
      </c>
      <c r="D772" s="6">
        <v>60.0</v>
      </c>
      <c r="E772" s="6" t="s">
        <v>591</v>
      </c>
      <c r="F772" s="5" t="s">
        <v>152</v>
      </c>
      <c r="G772" s="5" t="s">
        <v>47</v>
      </c>
      <c r="H772" s="5" t="s">
        <v>436</v>
      </c>
      <c r="I772" s="5" t="s">
        <v>561</v>
      </c>
      <c r="J772" s="5" t="s">
        <v>222</v>
      </c>
      <c r="K772" s="5">
        <v>3225.0</v>
      </c>
    </row>
    <row r="773" ht="22.5" customHeight="1">
      <c r="A773" s="5" t="s">
        <v>2763</v>
      </c>
      <c r="B773" s="5" t="s">
        <v>2198</v>
      </c>
      <c r="C773" s="5" t="s">
        <v>2753</v>
      </c>
      <c r="D773" s="6">
        <v>21.0</v>
      </c>
      <c r="E773" s="6" t="s">
        <v>528</v>
      </c>
      <c r="F773" s="5" t="s">
        <v>105</v>
      </c>
      <c r="G773" s="5" t="s">
        <v>47</v>
      </c>
      <c r="H773" s="5" t="s">
        <v>439</v>
      </c>
      <c r="I773" s="5" t="s">
        <v>210</v>
      </c>
      <c r="J773" s="5" t="s">
        <v>211</v>
      </c>
      <c r="K773" s="5">
        <v>325.0</v>
      </c>
    </row>
    <row r="774" ht="22.5" customHeight="1">
      <c r="A774" s="5" t="s">
        <v>2766</v>
      </c>
      <c r="B774" s="5" t="s">
        <v>323</v>
      </c>
      <c r="C774" s="5" t="s">
        <v>2486</v>
      </c>
      <c r="D774" s="6">
        <v>86.0</v>
      </c>
      <c r="E774" s="6" t="s">
        <v>734</v>
      </c>
      <c r="F774" s="5" t="s">
        <v>105</v>
      </c>
      <c r="G774" s="5" t="s">
        <v>47</v>
      </c>
      <c r="H774" s="5" t="s">
        <v>277</v>
      </c>
      <c r="I774" s="5" t="s">
        <v>402</v>
      </c>
      <c r="J774" s="5" t="s">
        <v>97</v>
      </c>
      <c r="K774" s="5">
        <v>1302.0</v>
      </c>
    </row>
    <row r="775" ht="22.5" customHeight="1">
      <c r="A775" s="5" t="s">
        <v>2769</v>
      </c>
      <c r="B775" s="5" t="s">
        <v>1143</v>
      </c>
      <c r="C775" s="5" t="s">
        <v>1187</v>
      </c>
      <c r="D775" s="6">
        <v>59.0</v>
      </c>
      <c r="E775" s="6" t="s">
        <v>591</v>
      </c>
      <c r="F775" s="5" t="s">
        <v>152</v>
      </c>
      <c r="G775" s="5" t="s">
        <v>571</v>
      </c>
      <c r="H775" s="5" t="s">
        <v>470</v>
      </c>
      <c r="I775" s="5" t="s">
        <v>96</v>
      </c>
      <c r="J775" s="5" t="s">
        <v>559</v>
      </c>
      <c r="K775" s="5">
        <v>924.0</v>
      </c>
    </row>
    <row r="776" ht="22.5" customHeight="1">
      <c r="A776" s="5" t="s">
        <v>2771</v>
      </c>
      <c r="B776" s="5" t="s">
        <v>2428</v>
      </c>
      <c r="C776" s="5" t="s">
        <v>2351</v>
      </c>
      <c r="D776" s="6">
        <v>30.0</v>
      </c>
      <c r="E776" s="6" t="s">
        <v>528</v>
      </c>
      <c r="F776" s="5" t="s">
        <v>105</v>
      </c>
      <c r="G776" s="5" t="s">
        <v>539</v>
      </c>
      <c r="H776" s="5" t="s">
        <v>123</v>
      </c>
      <c r="I776" s="5" t="s">
        <v>83</v>
      </c>
      <c r="J776" s="5" t="s">
        <v>222</v>
      </c>
      <c r="K776" s="5">
        <v>2208.0</v>
      </c>
    </row>
    <row r="777" ht="22.5" customHeight="1">
      <c r="A777" s="5" t="s">
        <v>2774</v>
      </c>
      <c r="B777" s="5" t="s">
        <v>2193</v>
      </c>
      <c r="C777" s="5" t="s">
        <v>2303</v>
      </c>
      <c r="D777" s="6">
        <v>39.0</v>
      </c>
      <c r="E777" s="6" t="s">
        <v>528</v>
      </c>
      <c r="F777" s="5" t="s">
        <v>105</v>
      </c>
      <c r="G777" s="5" t="s">
        <v>237</v>
      </c>
      <c r="H777" s="5" t="s">
        <v>418</v>
      </c>
      <c r="I777" s="5" t="s">
        <v>210</v>
      </c>
      <c r="J777" s="5" t="s">
        <v>222</v>
      </c>
      <c r="K777" s="5">
        <v>427.0</v>
      </c>
    </row>
    <row r="778" ht="22.5" customHeight="1">
      <c r="A778" s="5" t="s">
        <v>2776</v>
      </c>
      <c r="B778" s="5" t="s">
        <v>2225</v>
      </c>
      <c r="C778" s="5" t="s">
        <v>2667</v>
      </c>
      <c r="D778" s="6">
        <v>24.0</v>
      </c>
      <c r="E778" s="6" t="s">
        <v>528</v>
      </c>
      <c r="F778" s="5" t="s">
        <v>152</v>
      </c>
      <c r="G778" s="5" t="s">
        <v>401</v>
      </c>
      <c r="H778" s="5" t="s">
        <v>32</v>
      </c>
      <c r="I778" s="5" t="s">
        <v>83</v>
      </c>
      <c r="J778" s="5" t="s">
        <v>222</v>
      </c>
      <c r="K778" s="5">
        <v>2520.0</v>
      </c>
    </row>
    <row r="779" ht="22.5" customHeight="1">
      <c r="A779" s="5" t="s">
        <v>2777</v>
      </c>
      <c r="B779" s="5" t="s">
        <v>2183</v>
      </c>
      <c r="C779" s="5" t="s">
        <v>2684</v>
      </c>
      <c r="D779" s="6">
        <v>53.0</v>
      </c>
      <c r="E779" s="6" t="s">
        <v>591</v>
      </c>
      <c r="F779" s="5" t="s">
        <v>152</v>
      </c>
      <c r="G779" s="5" t="s">
        <v>47</v>
      </c>
      <c r="H779" s="5" t="s">
        <v>377</v>
      </c>
      <c r="I779" s="5" t="s">
        <v>402</v>
      </c>
      <c r="J779" s="5" t="s">
        <v>222</v>
      </c>
      <c r="K779" s="5">
        <v>2842.0</v>
      </c>
    </row>
    <row r="780" ht="22.5" customHeight="1">
      <c r="A780" s="5" t="s">
        <v>2779</v>
      </c>
      <c r="B780" s="5" t="s">
        <v>2780</v>
      </c>
      <c r="C780" s="5" t="s">
        <v>2179</v>
      </c>
      <c r="D780" s="6">
        <v>36.0</v>
      </c>
      <c r="E780" s="6" t="s">
        <v>528</v>
      </c>
      <c r="F780" s="5" t="s">
        <v>152</v>
      </c>
      <c r="G780" s="5" t="s">
        <v>107</v>
      </c>
      <c r="H780" s="5" t="s">
        <v>482</v>
      </c>
      <c r="I780" s="5" t="s">
        <v>179</v>
      </c>
      <c r="J780" s="5" t="s">
        <v>222</v>
      </c>
      <c r="K780" s="5">
        <v>4011.0</v>
      </c>
    </row>
    <row r="781" ht="22.5" customHeight="1">
      <c r="A781" s="5" t="s">
        <v>2783</v>
      </c>
      <c r="B781" s="5" t="s">
        <v>2479</v>
      </c>
      <c r="C781" s="5" t="s">
        <v>2217</v>
      </c>
      <c r="D781" s="6">
        <v>68.0</v>
      </c>
      <c r="E781" s="6" t="s">
        <v>734</v>
      </c>
      <c r="F781" s="5" t="s">
        <v>105</v>
      </c>
      <c r="G781" s="5" t="s">
        <v>47</v>
      </c>
      <c r="H781" s="5" t="s">
        <v>482</v>
      </c>
      <c r="I781" s="5" t="s">
        <v>179</v>
      </c>
      <c r="J781" s="5" t="s">
        <v>97</v>
      </c>
      <c r="K781" s="5">
        <v>3051.0</v>
      </c>
    </row>
    <row r="782" ht="22.5" customHeight="1">
      <c r="A782" s="5" t="s">
        <v>2785</v>
      </c>
      <c r="B782" s="5" t="s">
        <v>2410</v>
      </c>
      <c r="C782" s="5" t="s">
        <v>2435</v>
      </c>
      <c r="D782" s="6">
        <v>38.0</v>
      </c>
      <c r="E782" s="6" t="s">
        <v>528</v>
      </c>
      <c r="F782" s="5" t="s">
        <v>152</v>
      </c>
      <c r="G782" s="5" t="s">
        <v>64</v>
      </c>
      <c r="H782" s="5" t="s">
        <v>1290</v>
      </c>
      <c r="I782" s="5" t="s">
        <v>533</v>
      </c>
      <c r="J782" s="5" t="s">
        <v>211</v>
      </c>
      <c r="K782" s="5">
        <v>1848.0</v>
      </c>
    </row>
    <row r="783" ht="22.5" customHeight="1">
      <c r="A783" s="5" t="s">
        <v>2787</v>
      </c>
      <c r="B783" s="5" t="s">
        <v>2108</v>
      </c>
      <c r="C783" s="5" t="s">
        <v>2332</v>
      </c>
      <c r="D783" s="6">
        <v>54.0</v>
      </c>
      <c r="E783" s="6" t="s">
        <v>591</v>
      </c>
      <c r="F783" s="5" t="s">
        <v>105</v>
      </c>
      <c r="G783" s="5" t="s">
        <v>539</v>
      </c>
      <c r="H783" s="5" t="s">
        <v>238</v>
      </c>
      <c r="I783" s="5" t="s">
        <v>533</v>
      </c>
      <c r="J783" s="5" t="s">
        <v>559</v>
      </c>
      <c r="K783" s="5">
        <v>1731.0</v>
      </c>
    </row>
    <row r="784" ht="22.5" customHeight="1">
      <c r="A784" s="5" t="s">
        <v>2789</v>
      </c>
      <c r="B784" s="5" t="s">
        <v>2363</v>
      </c>
      <c r="C784" s="5" t="s">
        <v>2429</v>
      </c>
      <c r="D784" s="6">
        <v>43.0</v>
      </c>
      <c r="E784" s="6" t="s">
        <v>591</v>
      </c>
      <c r="F784" s="5" t="s">
        <v>105</v>
      </c>
      <c r="G784" s="5" t="s">
        <v>268</v>
      </c>
      <c r="H784" s="5" t="s">
        <v>377</v>
      </c>
      <c r="I784" s="5" t="s">
        <v>96</v>
      </c>
      <c r="J784" s="5" t="s">
        <v>222</v>
      </c>
      <c r="K784" s="5">
        <v>569.0</v>
      </c>
    </row>
    <row r="785" ht="22.5" customHeight="1">
      <c r="A785" s="5" t="s">
        <v>2792</v>
      </c>
      <c r="B785" s="5" t="s">
        <v>2193</v>
      </c>
      <c r="C785" s="5" t="s">
        <v>128</v>
      </c>
      <c r="D785" s="6">
        <v>79.0</v>
      </c>
      <c r="E785" s="6" t="s">
        <v>734</v>
      </c>
      <c r="F785" s="5" t="s">
        <v>105</v>
      </c>
      <c r="G785" s="5" t="s">
        <v>176</v>
      </c>
      <c r="H785" s="5" t="s">
        <v>439</v>
      </c>
      <c r="I785" s="5" t="s">
        <v>210</v>
      </c>
      <c r="J785" s="5" t="s">
        <v>97</v>
      </c>
      <c r="K785" s="5">
        <v>382.0</v>
      </c>
    </row>
    <row r="786" ht="22.5" customHeight="1">
      <c r="A786" s="5" t="s">
        <v>2795</v>
      </c>
      <c r="B786" s="5" t="s">
        <v>983</v>
      </c>
      <c r="C786" s="5" t="s">
        <v>556</v>
      </c>
      <c r="D786" s="6">
        <v>24.0</v>
      </c>
      <c r="E786" s="6" t="s">
        <v>528</v>
      </c>
      <c r="F786" s="5" t="s">
        <v>152</v>
      </c>
      <c r="G786" s="5" t="s">
        <v>364</v>
      </c>
      <c r="H786" s="5" t="s">
        <v>164</v>
      </c>
      <c r="I786" s="5" t="s">
        <v>452</v>
      </c>
      <c r="J786" s="5" t="s">
        <v>222</v>
      </c>
      <c r="K786" s="5">
        <v>4950.0</v>
      </c>
    </row>
    <row r="787" ht="22.5" customHeight="1">
      <c r="A787" s="5" t="s">
        <v>2797</v>
      </c>
      <c r="B787" s="5" t="s">
        <v>2548</v>
      </c>
      <c r="C787" s="5" t="s">
        <v>2087</v>
      </c>
      <c r="D787" s="6"/>
      <c r="E787" s="6" t="s">
        <v>1081</v>
      </c>
      <c r="F787" s="5" t="s">
        <v>152</v>
      </c>
      <c r="G787" s="5" t="s">
        <v>107</v>
      </c>
      <c r="H787" s="5" t="s">
        <v>164</v>
      </c>
      <c r="I787" s="5" t="s">
        <v>607</v>
      </c>
      <c r="J787" s="5" t="s">
        <v>97</v>
      </c>
      <c r="K787" s="5">
        <v>2761.0</v>
      </c>
    </row>
    <row r="788" ht="22.5" customHeight="1">
      <c r="A788" s="5" t="s">
        <v>2800</v>
      </c>
      <c r="B788" s="5" t="s">
        <v>827</v>
      </c>
      <c r="C788" s="5" t="s">
        <v>2266</v>
      </c>
      <c r="D788" s="6">
        <v>39.0</v>
      </c>
      <c r="E788" s="6" t="s">
        <v>528</v>
      </c>
      <c r="F788" s="5" t="s">
        <v>152</v>
      </c>
      <c r="G788" s="5" t="s">
        <v>30</v>
      </c>
      <c r="H788" s="5" t="s">
        <v>164</v>
      </c>
      <c r="I788" s="5" t="s">
        <v>96</v>
      </c>
      <c r="J788" s="5" t="s">
        <v>222</v>
      </c>
      <c r="K788" s="5">
        <v>50.0</v>
      </c>
    </row>
    <row r="789" ht="22.5" customHeight="1">
      <c r="A789" s="5" t="s">
        <v>2801</v>
      </c>
      <c r="B789" s="5" t="s">
        <v>1237</v>
      </c>
      <c r="C789" s="5" t="s">
        <v>2332</v>
      </c>
      <c r="D789" s="6">
        <v>43.0</v>
      </c>
      <c r="E789" s="6" t="s">
        <v>591</v>
      </c>
      <c r="F789" s="5" t="s">
        <v>152</v>
      </c>
      <c r="G789" s="5" t="s">
        <v>571</v>
      </c>
      <c r="H789" s="5" t="s">
        <v>436</v>
      </c>
      <c r="I789" s="5" t="s">
        <v>561</v>
      </c>
      <c r="J789" s="5" t="s">
        <v>211</v>
      </c>
      <c r="K789" s="5">
        <v>2282.0</v>
      </c>
    </row>
    <row r="790" ht="22.5" customHeight="1">
      <c r="A790" s="5" t="s">
        <v>2803</v>
      </c>
      <c r="B790" s="5" t="s">
        <v>2410</v>
      </c>
      <c r="C790" s="5" t="s">
        <v>2371</v>
      </c>
      <c r="D790" s="6">
        <v>47.0</v>
      </c>
      <c r="E790" s="6" t="s">
        <v>591</v>
      </c>
      <c r="F790" s="5" t="s">
        <v>105</v>
      </c>
      <c r="G790" s="5" t="s">
        <v>759</v>
      </c>
      <c r="H790" s="5" t="s">
        <v>436</v>
      </c>
      <c r="I790" s="5" t="s">
        <v>561</v>
      </c>
      <c r="J790" s="5" t="s">
        <v>52</v>
      </c>
      <c r="K790" s="5">
        <v>3865.0</v>
      </c>
    </row>
    <row r="791" ht="22.5" customHeight="1">
      <c r="A791" s="5" t="s">
        <v>2806</v>
      </c>
      <c r="B791" s="5" t="s">
        <v>1583</v>
      </c>
      <c r="C791" s="5" t="s">
        <v>2368</v>
      </c>
      <c r="D791" s="6">
        <v>27.0</v>
      </c>
      <c r="E791" s="6" t="s">
        <v>528</v>
      </c>
      <c r="F791" s="5" t="s">
        <v>152</v>
      </c>
      <c r="G791" s="5" t="s">
        <v>47</v>
      </c>
      <c r="H791" s="5" t="s">
        <v>164</v>
      </c>
      <c r="I791" s="5" t="s">
        <v>96</v>
      </c>
      <c r="J791" s="5" t="s">
        <v>211</v>
      </c>
      <c r="K791" s="5">
        <v>1414.0</v>
      </c>
    </row>
    <row r="792" ht="22.5" customHeight="1">
      <c r="A792" s="5" t="s">
        <v>2809</v>
      </c>
      <c r="B792" s="5" t="s">
        <v>1583</v>
      </c>
      <c r="C792" s="5" t="s">
        <v>2217</v>
      </c>
      <c r="D792" s="6">
        <v>58.0</v>
      </c>
      <c r="E792" s="6" t="s">
        <v>591</v>
      </c>
      <c r="F792" s="5" t="s">
        <v>152</v>
      </c>
      <c r="G792" s="5" t="s">
        <v>256</v>
      </c>
      <c r="H792" s="5" t="s">
        <v>238</v>
      </c>
      <c r="I792" s="5" t="s">
        <v>533</v>
      </c>
      <c r="J792" s="5" t="s">
        <v>559</v>
      </c>
      <c r="K792" s="5">
        <v>470.0</v>
      </c>
    </row>
    <row r="793" ht="22.5" customHeight="1">
      <c r="A793" s="5" t="s">
        <v>2811</v>
      </c>
      <c r="B793" s="5" t="s">
        <v>2291</v>
      </c>
      <c r="C793" s="5" t="s">
        <v>2127</v>
      </c>
      <c r="D793" s="6">
        <v>60.0</v>
      </c>
      <c r="E793" s="6" t="s">
        <v>591</v>
      </c>
      <c r="F793" s="5" t="s">
        <v>152</v>
      </c>
      <c r="G793" s="5" t="s">
        <v>208</v>
      </c>
      <c r="H793" s="5" t="s">
        <v>439</v>
      </c>
      <c r="I793" s="5" t="s">
        <v>210</v>
      </c>
      <c r="J793" s="5" t="s">
        <v>52</v>
      </c>
      <c r="K793" s="5">
        <v>514.0</v>
      </c>
    </row>
    <row r="794" ht="22.5" customHeight="1">
      <c r="A794" s="5" t="s">
        <v>2814</v>
      </c>
      <c r="B794" s="5" t="s">
        <v>2350</v>
      </c>
      <c r="C794" s="5" t="s">
        <v>2486</v>
      </c>
      <c r="D794" s="6">
        <v>68.0</v>
      </c>
      <c r="E794" s="6" t="s">
        <v>734</v>
      </c>
      <c r="F794" s="5" t="s">
        <v>105</v>
      </c>
      <c r="G794" s="5" t="s">
        <v>47</v>
      </c>
      <c r="H794" s="5" t="s">
        <v>164</v>
      </c>
      <c r="I794" s="5" t="s">
        <v>607</v>
      </c>
      <c r="J794" s="5" t="s">
        <v>97</v>
      </c>
      <c r="K794" s="5">
        <v>3148.0</v>
      </c>
    </row>
    <row r="795" ht="22.5" customHeight="1">
      <c r="A795" s="5" t="s">
        <v>2817</v>
      </c>
      <c r="B795" s="5" t="s">
        <v>2250</v>
      </c>
      <c r="C795" s="5" t="s">
        <v>128</v>
      </c>
      <c r="D795" s="6">
        <v>32.0</v>
      </c>
      <c r="E795" s="6" t="s">
        <v>528</v>
      </c>
      <c r="F795" s="5" t="s">
        <v>105</v>
      </c>
      <c r="G795" s="5" t="s">
        <v>237</v>
      </c>
      <c r="H795" s="5" t="s">
        <v>377</v>
      </c>
      <c r="I795" s="5" t="s">
        <v>96</v>
      </c>
      <c r="J795" s="5" t="s">
        <v>222</v>
      </c>
      <c r="K795" s="5">
        <v>746.0</v>
      </c>
    </row>
    <row r="796" ht="22.5" customHeight="1">
      <c r="A796" s="5" t="s">
        <v>2819</v>
      </c>
      <c r="B796" s="5" t="s">
        <v>2008</v>
      </c>
      <c r="C796" s="5" t="s">
        <v>2405</v>
      </c>
      <c r="D796" s="6">
        <v>50.0</v>
      </c>
      <c r="E796" s="6" t="s">
        <v>591</v>
      </c>
      <c r="F796" s="5" t="s">
        <v>105</v>
      </c>
      <c r="G796" s="5" t="s">
        <v>237</v>
      </c>
      <c r="H796" s="5" t="s">
        <v>238</v>
      </c>
      <c r="I796" s="5" t="s">
        <v>533</v>
      </c>
      <c r="J796" s="5" t="s">
        <v>559</v>
      </c>
      <c r="K796" s="5">
        <v>119.0</v>
      </c>
    </row>
    <row r="797" ht="22.5" customHeight="1">
      <c r="A797" s="5" t="s">
        <v>2822</v>
      </c>
      <c r="B797" s="5" t="s">
        <v>2086</v>
      </c>
      <c r="C797" s="5" t="s">
        <v>2217</v>
      </c>
      <c r="D797" s="6">
        <v>70.0</v>
      </c>
      <c r="E797" s="6" t="s">
        <v>734</v>
      </c>
      <c r="F797" s="5" t="s">
        <v>105</v>
      </c>
      <c r="G797" s="5" t="s">
        <v>47</v>
      </c>
      <c r="H797" s="5" t="s">
        <v>470</v>
      </c>
      <c r="I797" s="5" t="s">
        <v>96</v>
      </c>
      <c r="J797" s="5" t="s">
        <v>97</v>
      </c>
      <c r="K797" s="5">
        <v>794.0</v>
      </c>
    </row>
    <row r="798" ht="22.5" customHeight="1">
      <c r="A798" s="5" t="s">
        <v>2823</v>
      </c>
      <c r="B798" s="5" t="s">
        <v>620</v>
      </c>
      <c r="C798" s="5" t="s">
        <v>2824</v>
      </c>
      <c r="D798" s="6">
        <v>64.0</v>
      </c>
      <c r="E798" s="6" t="s">
        <v>734</v>
      </c>
      <c r="F798" s="5" t="s">
        <v>152</v>
      </c>
      <c r="G798" s="5" t="s">
        <v>364</v>
      </c>
      <c r="H798" s="5" t="s">
        <v>311</v>
      </c>
      <c r="I798" s="5" t="s">
        <v>546</v>
      </c>
      <c r="J798" s="5" t="s">
        <v>97</v>
      </c>
      <c r="K798" s="5">
        <v>1206.0</v>
      </c>
    </row>
    <row r="799" ht="22.5" customHeight="1">
      <c r="A799" s="5" t="s">
        <v>2826</v>
      </c>
      <c r="B799" s="5" t="s">
        <v>2758</v>
      </c>
      <c r="C799" s="5" t="s">
        <v>2336</v>
      </c>
      <c r="D799" s="6">
        <v>46.0</v>
      </c>
      <c r="E799" s="6" t="s">
        <v>591</v>
      </c>
      <c r="F799" s="5" t="s">
        <v>105</v>
      </c>
      <c r="G799" s="5" t="s">
        <v>571</v>
      </c>
      <c r="H799" s="5" t="s">
        <v>669</v>
      </c>
      <c r="I799" s="5" t="s">
        <v>452</v>
      </c>
      <c r="J799" s="5" t="s">
        <v>52</v>
      </c>
      <c r="K799" s="5">
        <v>4142.0</v>
      </c>
    </row>
    <row r="800" ht="22.5" customHeight="1">
      <c r="A800" s="5" t="s">
        <v>2829</v>
      </c>
      <c r="B800" s="5" t="s">
        <v>2326</v>
      </c>
      <c r="C800" s="5" t="s">
        <v>2179</v>
      </c>
      <c r="D800" s="6">
        <v>79.0</v>
      </c>
      <c r="E800" s="6" t="s">
        <v>734</v>
      </c>
      <c r="F800" s="5" t="s">
        <v>152</v>
      </c>
      <c r="G800" s="5" t="s">
        <v>571</v>
      </c>
      <c r="H800" s="5" t="s">
        <v>637</v>
      </c>
      <c r="I800" s="5" t="s">
        <v>546</v>
      </c>
      <c r="J800" s="5" t="s">
        <v>97</v>
      </c>
      <c r="K800" s="5">
        <v>2791.0</v>
      </c>
    </row>
    <row r="801" ht="22.5" customHeight="1">
      <c r="A801" s="5" t="s">
        <v>2831</v>
      </c>
      <c r="B801" s="5" t="s">
        <v>2206</v>
      </c>
      <c r="C801" s="5" t="s">
        <v>2145</v>
      </c>
      <c r="D801" s="6">
        <v>66.0</v>
      </c>
      <c r="E801" s="6" t="s">
        <v>734</v>
      </c>
      <c r="F801" s="5" t="s">
        <v>105</v>
      </c>
      <c r="G801" s="5" t="s">
        <v>64</v>
      </c>
      <c r="H801" s="5" t="s">
        <v>377</v>
      </c>
      <c r="I801" s="5" t="s">
        <v>402</v>
      </c>
      <c r="J801" s="5" t="s">
        <v>97</v>
      </c>
      <c r="K801" s="5">
        <v>1323.0</v>
      </c>
    </row>
    <row r="802" ht="22.5" customHeight="1">
      <c r="A802" s="5" t="s">
        <v>2833</v>
      </c>
      <c r="B802" s="5" t="s">
        <v>2618</v>
      </c>
      <c r="C802" s="5" t="s">
        <v>2187</v>
      </c>
      <c r="D802" s="6">
        <v>60.0</v>
      </c>
      <c r="E802" s="6" t="s">
        <v>591</v>
      </c>
      <c r="F802" s="5" t="s">
        <v>152</v>
      </c>
      <c r="G802" s="5" t="s">
        <v>107</v>
      </c>
      <c r="H802" s="5" t="s">
        <v>551</v>
      </c>
      <c r="I802" s="5" t="s">
        <v>83</v>
      </c>
      <c r="J802" s="5" t="s">
        <v>559</v>
      </c>
      <c r="K802" s="5">
        <v>1273.0</v>
      </c>
    </row>
    <row r="803" ht="22.5" customHeight="1">
      <c r="A803" s="5" t="s">
        <v>2835</v>
      </c>
      <c r="B803" s="5" t="s">
        <v>2123</v>
      </c>
      <c r="C803" s="5" t="s">
        <v>713</v>
      </c>
      <c r="D803" s="6">
        <v>76.0</v>
      </c>
      <c r="E803" s="6" t="s">
        <v>734</v>
      </c>
      <c r="F803" s="5" t="s">
        <v>152</v>
      </c>
      <c r="G803" s="5" t="s">
        <v>208</v>
      </c>
      <c r="H803" s="5" t="s">
        <v>439</v>
      </c>
      <c r="I803" s="5" t="s">
        <v>210</v>
      </c>
      <c r="J803" s="5" t="s">
        <v>97</v>
      </c>
      <c r="K803" s="5">
        <v>723.0</v>
      </c>
    </row>
    <row r="804" ht="22.5" customHeight="1">
      <c r="A804" s="5" t="s">
        <v>2837</v>
      </c>
      <c r="B804" s="5" t="s">
        <v>925</v>
      </c>
      <c r="C804" s="5" t="s">
        <v>2163</v>
      </c>
      <c r="D804" s="6">
        <v>31.0</v>
      </c>
      <c r="E804" s="6" t="s">
        <v>528</v>
      </c>
      <c r="F804" s="5" t="s">
        <v>105</v>
      </c>
      <c r="G804" s="5" t="s">
        <v>47</v>
      </c>
      <c r="H804" s="5" t="s">
        <v>377</v>
      </c>
      <c r="I804" s="5" t="s">
        <v>402</v>
      </c>
      <c r="J804" s="5" t="s">
        <v>211</v>
      </c>
      <c r="K804" s="5">
        <v>2222.0</v>
      </c>
    </row>
    <row r="805" ht="22.5" customHeight="1">
      <c r="A805" s="5" t="s">
        <v>2838</v>
      </c>
      <c r="B805" s="5" t="s">
        <v>2681</v>
      </c>
      <c r="C805" s="5" t="s">
        <v>2154</v>
      </c>
      <c r="D805" s="6">
        <v>90.0</v>
      </c>
      <c r="E805" s="6" t="s">
        <v>734</v>
      </c>
      <c r="F805" s="5" t="s">
        <v>105</v>
      </c>
      <c r="G805" s="5" t="s">
        <v>364</v>
      </c>
      <c r="H805" s="5" t="s">
        <v>637</v>
      </c>
      <c r="I805" s="5" t="s">
        <v>546</v>
      </c>
      <c r="J805" s="5" t="s">
        <v>97</v>
      </c>
      <c r="K805" s="5">
        <v>2382.0</v>
      </c>
    </row>
    <row r="806" ht="22.5" customHeight="1">
      <c r="A806" s="5" t="s">
        <v>2840</v>
      </c>
      <c r="B806" s="5" t="s">
        <v>2455</v>
      </c>
      <c r="C806" s="5" t="s">
        <v>2203</v>
      </c>
      <c r="D806" s="6">
        <v>43.0</v>
      </c>
      <c r="E806" s="6" t="s">
        <v>591</v>
      </c>
      <c r="F806" s="5" t="s">
        <v>152</v>
      </c>
      <c r="G806" s="5" t="s">
        <v>256</v>
      </c>
      <c r="H806" s="5" t="s">
        <v>164</v>
      </c>
      <c r="I806" s="5" t="s">
        <v>452</v>
      </c>
      <c r="J806" s="5" t="s">
        <v>52</v>
      </c>
      <c r="K806" s="5">
        <v>3409.0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17</v>
      </c>
      <c r="L1" s="1" t="s">
        <v>19</v>
      </c>
    </row>
    <row r="2">
      <c r="A2" s="1" t="s">
        <v>21</v>
      </c>
      <c r="B2" s="1" t="s">
        <v>22</v>
      </c>
      <c r="C2" s="2" t="s">
        <v>23</v>
      </c>
      <c r="D2" s="2" t="s">
        <v>27</v>
      </c>
      <c r="E2" s="2" t="s">
        <v>29</v>
      </c>
      <c r="F2" s="2" t="s">
        <v>31</v>
      </c>
      <c r="G2" s="2" t="s">
        <v>33</v>
      </c>
      <c r="H2" s="2" t="s">
        <v>36</v>
      </c>
      <c r="I2" s="2" t="s">
        <v>38</v>
      </c>
      <c r="J2" s="2" t="s">
        <v>39</v>
      </c>
      <c r="K2" s="2" t="s">
        <v>23</v>
      </c>
    </row>
    <row r="3">
      <c r="A3" s="1" t="s">
        <v>40</v>
      </c>
      <c r="B3" s="1" t="s">
        <v>44</v>
      </c>
      <c r="C3" s="2" t="s">
        <v>46</v>
      </c>
      <c r="D3" s="2" t="s">
        <v>48</v>
      </c>
      <c r="E3" s="2" t="s">
        <v>51</v>
      </c>
      <c r="F3" s="2" t="s">
        <v>53</v>
      </c>
      <c r="G3" s="2" t="s">
        <v>54</v>
      </c>
      <c r="H3" s="2" t="s">
        <v>56</v>
      </c>
      <c r="I3" s="2" t="s">
        <v>58</v>
      </c>
      <c r="J3" s="2" t="s">
        <v>60</v>
      </c>
      <c r="K3" s="2" t="s">
        <v>23</v>
      </c>
      <c r="L3" s="1" t="s">
        <v>62</v>
      </c>
    </row>
    <row r="4">
      <c r="A4" s="1" t="s">
        <v>57</v>
      </c>
      <c r="B4" s="1" t="s">
        <v>65</v>
      </c>
      <c r="C4" s="2" t="s">
        <v>46</v>
      </c>
      <c r="D4" s="2" t="s">
        <v>68</v>
      </c>
      <c r="E4" s="2" t="s">
        <v>69</v>
      </c>
      <c r="F4" s="2" t="s">
        <v>71</v>
      </c>
      <c r="G4" s="2" t="s">
        <v>73</v>
      </c>
      <c r="H4" s="2" t="s">
        <v>75</v>
      </c>
      <c r="I4" s="2" t="s">
        <v>77</v>
      </c>
      <c r="J4" s="2" t="s">
        <v>79</v>
      </c>
      <c r="K4" s="2" t="s">
        <v>23</v>
      </c>
      <c r="L4" s="1" t="s">
        <v>62</v>
      </c>
    </row>
    <row r="5">
      <c r="A5" s="1" t="s">
        <v>72</v>
      </c>
      <c r="B5" s="1" t="s">
        <v>84</v>
      </c>
      <c r="C5" s="2" t="s">
        <v>23</v>
      </c>
      <c r="D5" s="2" t="s">
        <v>86</v>
      </c>
      <c r="E5" s="2" t="s">
        <v>88</v>
      </c>
      <c r="F5" s="2" t="s">
        <v>53</v>
      </c>
      <c r="G5" s="2" t="s">
        <v>68</v>
      </c>
      <c r="H5" s="2" t="s">
        <v>92</v>
      </c>
      <c r="I5" s="2" t="s">
        <v>38</v>
      </c>
      <c r="J5" s="2" t="s">
        <v>93</v>
      </c>
      <c r="K5" s="2" t="s">
        <v>95</v>
      </c>
      <c r="L5" s="1" t="s">
        <v>62</v>
      </c>
    </row>
    <row r="6">
      <c r="A6" s="1" t="s">
        <v>87</v>
      </c>
      <c r="B6" s="1" t="s">
        <v>22</v>
      </c>
      <c r="C6" s="2" t="s">
        <v>23</v>
      </c>
      <c r="D6" s="2" t="s">
        <v>71</v>
      </c>
      <c r="E6" s="2" t="s">
        <v>102</v>
      </c>
      <c r="F6" s="2" t="s">
        <v>104</v>
      </c>
      <c r="G6" s="2" t="s">
        <v>106</v>
      </c>
      <c r="H6" s="2" t="s">
        <v>108</v>
      </c>
      <c r="I6" s="2" t="s">
        <v>46</v>
      </c>
      <c r="J6" s="2" t="s">
        <v>111</v>
      </c>
      <c r="K6" s="2" t="s">
        <v>77</v>
      </c>
      <c r="L6" s="1" t="s">
        <v>113</v>
      </c>
    </row>
    <row r="7">
      <c r="A7" s="1" t="s">
        <v>99</v>
      </c>
      <c r="B7" s="1" t="s">
        <v>22</v>
      </c>
      <c r="C7" s="2" t="s">
        <v>38</v>
      </c>
      <c r="D7" s="2" t="s">
        <v>33</v>
      </c>
      <c r="E7" s="2" t="s">
        <v>114</v>
      </c>
      <c r="F7" s="2" t="s">
        <v>115</v>
      </c>
      <c r="G7" s="2" t="s">
        <v>33</v>
      </c>
      <c r="H7" s="2" t="s">
        <v>116</v>
      </c>
      <c r="I7" s="2" t="s">
        <v>117</v>
      </c>
      <c r="J7" s="2" t="s">
        <v>118</v>
      </c>
      <c r="K7" s="2" t="s">
        <v>46</v>
      </c>
      <c r="L7" s="1" t="s">
        <v>113</v>
      </c>
    </row>
    <row r="8">
      <c r="A8" s="1" t="s">
        <v>99</v>
      </c>
      <c r="B8" s="1" t="s">
        <v>22</v>
      </c>
      <c r="C8" s="2" t="s">
        <v>38</v>
      </c>
      <c r="D8" s="2" t="s">
        <v>33</v>
      </c>
      <c r="E8" s="2" t="s">
        <v>114</v>
      </c>
      <c r="F8" s="2" t="s">
        <v>115</v>
      </c>
      <c r="G8" s="2" t="s">
        <v>33</v>
      </c>
      <c r="H8" s="2" t="s">
        <v>116</v>
      </c>
      <c r="I8" s="2" t="s">
        <v>117</v>
      </c>
      <c r="J8" s="2" t="s">
        <v>118</v>
      </c>
      <c r="K8" s="2" t="s">
        <v>46</v>
      </c>
      <c r="L8" s="1" t="s">
        <v>113</v>
      </c>
    </row>
    <row r="9">
      <c r="A9" s="1" t="s">
        <v>119</v>
      </c>
      <c r="B9" s="1" t="s">
        <v>44</v>
      </c>
      <c r="C9" s="2" t="s">
        <v>46</v>
      </c>
      <c r="D9" s="2" t="s">
        <v>48</v>
      </c>
      <c r="E9" s="2" t="s">
        <v>88</v>
      </c>
      <c r="F9" s="2" t="s">
        <v>53</v>
      </c>
      <c r="G9" s="2" t="s">
        <v>135</v>
      </c>
      <c r="H9" s="2" t="s">
        <v>92</v>
      </c>
      <c r="I9" s="2" t="s">
        <v>138</v>
      </c>
      <c r="J9" s="2" t="s">
        <v>140</v>
      </c>
      <c r="K9" s="2" t="s">
        <v>38</v>
      </c>
      <c r="L9" s="1" t="s">
        <v>113</v>
      </c>
    </row>
    <row r="10">
      <c r="A10" s="1" t="s">
        <v>126</v>
      </c>
      <c r="B10" s="1" t="s">
        <v>84</v>
      </c>
      <c r="C10" s="2" t="s">
        <v>95</v>
      </c>
      <c r="D10" s="2" t="s">
        <v>71</v>
      </c>
      <c r="E10" s="2" t="s">
        <v>146</v>
      </c>
      <c r="F10" s="2" t="s">
        <v>106</v>
      </c>
      <c r="G10" s="2" t="s">
        <v>149</v>
      </c>
      <c r="H10" s="2" t="s">
        <v>151</v>
      </c>
      <c r="I10" s="2" t="s">
        <v>77</v>
      </c>
      <c r="J10" s="2" t="s">
        <v>153</v>
      </c>
      <c r="K10" s="2" t="s">
        <v>154</v>
      </c>
      <c r="L10" s="1" t="s">
        <v>62</v>
      </c>
    </row>
    <row r="11">
      <c r="A11" s="1" t="s">
        <v>134</v>
      </c>
      <c r="B11" s="1" t="s">
        <v>65</v>
      </c>
      <c r="C11" s="2" t="s">
        <v>157</v>
      </c>
      <c r="D11" s="2" t="s">
        <v>135</v>
      </c>
      <c r="E11" s="2" t="s">
        <v>160</v>
      </c>
      <c r="F11" s="2" t="s">
        <v>104</v>
      </c>
      <c r="G11" s="2" t="s">
        <v>162</v>
      </c>
      <c r="H11" s="2" t="s">
        <v>163</v>
      </c>
      <c r="I11" s="2" t="s">
        <v>38</v>
      </c>
      <c r="J11" s="2" t="s">
        <v>166</v>
      </c>
      <c r="K11" s="2" t="s">
        <v>167</v>
      </c>
    </row>
    <row r="12">
      <c r="A12" s="1" t="s">
        <v>145</v>
      </c>
      <c r="B12" s="1" t="s">
        <v>170</v>
      </c>
      <c r="C12" s="2" t="s">
        <v>117</v>
      </c>
      <c r="D12" s="2" t="s">
        <v>95</v>
      </c>
      <c r="E12" s="2" t="s">
        <v>174</v>
      </c>
      <c r="F12" s="2" t="s">
        <v>175</v>
      </c>
      <c r="G12" s="2" t="s">
        <v>68</v>
      </c>
      <c r="H12" s="2" t="s">
        <v>178</v>
      </c>
      <c r="I12" s="2" t="s">
        <v>38</v>
      </c>
      <c r="J12" s="2" t="s">
        <v>180</v>
      </c>
      <c r="K12" s="2" t="s">
        <v>23</v>
      </c>
    </row>
    <row r="13">
      <c r="A13" s="1" t="s">
        <v>156</v>
      </c>
      <c r="B13" s="1" t="s">
        <v>44</v>
      </c>
      <c r="C13" s="2" t="s">
        <v>23</v>
      </c>
      <c r="D13" s="2" t="s">
        <v>186</v>
      </c>
      <c r="E13" s="2" t="s">
        <v>187</v>
      </c>
      <c r="F13" s="2" t="s">
        <v>149</v>
      </c>
      <c r="G13" s="2" t="s">
        <v>106</v>
      </c>
      <c r="H13" s="2" t="s">
        <v>178</v>
      </c>
      <c r="I13" s="2" t="s">
        <v>58</v>
      </c>
      <c r="J13" s="2" t="s">
        <v>191</v>
      </c>
      <c r="K13" s="2" t="s">
        <v>157</v>
      </c>
      <c r="L13" s="1" t="s">
        <v>62</v>
      </c>
    </row>
    <row r="14">
      <c r="A14" s="1" t="s">
        <v>169</v>
      </c>
      <c r="B14" s="1" t="s">
        <v>65</v>
      </c>
      <c r="C14" s="2" t="s">
        <v>23</v>
      </c>
      <c r="D14" s="2" t="s">
        <v>48</v>
      </c>
      <c r="E14" s="2" t="s">
        <v>198</v>
      </c>
      <c r="F14" s="2" t="s">
        <v>199</v>
      </c>
      <c r="G14" s="2" t="s">
        <v>201</v>
      </c>
      <c r="H14" s="2" t="s">
        <v>203</v>
      </c>
      <c r="I14" s="2" t="s">
        <v>138</v>
      </c>
      <c r="J14" s="2" t="s">
        <v>206</v>
      </c>
      <c r="K14" s="2" t="s">
        <v>95</v>
      </c>
      <c r="L14" s="1" t="s">
        <v>62</v>
      </c>
    </row>
    <row r="15">
      <c r="A15" s="1" t="s">
        <v>182</v>
      </c>
      <c r="B15" s="1" t="s">
        <v>22</v>
      </c>
      <c r="C15" s="2" t="s">
        <v>95</v>
      </c>
      <c r="D15" s="2" t="s">
        <v>213</v>
      </c>
      <c r="E15" s="2" t="s">
        <v>215</v>
      </c>
      <c r="F15" s="2" t="s">
        <v>104</v>
      </c>
      <c r="G15" s="2" t="s">
        <v>106</v>
      </c>
      <c r="H15" s="2" t="s">
        <v>218</v>
      </c>
      <c r="I15" s="2" t="s">
        <v>58</v>
      </c>
      <c r="J15" s="2" t="s">
        <v>219</v>
      </c>
      <c r="K15" s="2" t="s">
        <v>58</v>
      </c>
      <c r="L15" s="1" t="s">
        <v>113</v>
      </c>
    </row>
    <row r="16">
      <c r="A16" s="1" t="s">
        <v>192</v>
      </c>
      <c r="B16" s="1" t="s">
        <v>22</v>
      </c>
      <c r="C16" s="2" t="s">
        <v>46</v>
      </c>
      <c r="D16" s="2" t="s">
        <v>224</v>
      </c>
      <c r="E16" s="2" t="s">
        <v>226</v>
      </c>
      <c r="F16" s="2" t="s">
        <v>228</v>
      </c>
      <c r="G16" s="2" t="s">
        <v>115</v>
      </c>
      <c r="H16" s="2" t="s">
        <v>56</v>
      </c>
      <c r="I16" s="2" t="s">
        <v>46</v>
      </c>
      <c r="K16" s="2" t="s">
        <v>154</v>
      </c>
      <c r="L16" s="1" t="s">
        <v>62</v>
      </c>
    </row>
    <row r="17">
      <c r="A17" s="1" t="s">
        <v>202</v>
      </c>
      <c r="B17" s="1" t="s">
        <v>22</v>
      </c>
      <c r="C17" s="2" t="s">
        <v>95</v>
      </c>
      <c r="D17" s="2" t="s">
        <v>106</v>
      </c>
      <c r="E17" s="2" t="s">
        <v>235</v>
      </c>
      <c r="F17" s="2" t="s">
        <v>115</v>
      </c>
      <c r="G17" s="2" t="s">
        <v>201</v>
      </c>
      <c r="H17" s="2" t="s">
        <v>114</v>
      </c>
      <c r="I17" s="2" t="s">
        <v>117</v>
      </c>
      <c r="J17" s="2" t="s">
        <v>239</v>
      </c>
      <c r="K17" s="2" t="s">
        <v>38</v>
      </c>
      <c r="L17" s="1" t="s">
        <v>113</v>
      </c>
    </row>
    <row r="18">
      <c r="A18" s="1" t="s">
        <v>214</v>
      </c>
      <c r="B18" s="1" t="s">
        <v>22</v>
      </c>
      <c r="C18" s="2" t="s">
        <v>95</v>
      </c>
      <c r="D18" s="2" t="s">
        <v>245</v>
      </c>
      <c r="E18" s="2" t="s">
        <v>246</v>
      </c>
      <c r="F18" s="2" t="s">
        <v>247</v>
      </c>
      <c r="G18" s="2" t="s">
        <v>248</v>
      </c>
      <c r="H18" s="2" t="s">
        <v>250</v>
      </c>
      <c r="I18" s="2" t="s">
        <v>117</v>
      </c>
      <c r="J18" s="2" t="s">
        <v>251</v>
      </c>
      <c r="K18" s="2" t="s">
        <v>38</v>
      </c>
      <c r="L18" s="1" t="s">
        <v>113</v>
      </c>
    </row>
    <row r="19">
      <c r="A19" s="1" t="s">
        <v>225</v>
      </c>
      <c r="B19" s="1" t="s">
        <v>84</v>
      </c>
      <c r="C19" s="2" t="s">
        <v>77</v>
      </c>
      <c r="D19" s="2" t="s">
        <v>46</v>
      </c>
      <c r="E19" s="2" t="s">
        <v>187</v>
      </c>
      <c r="F19" s="2" t="s">
        <v>257</v>
      </c>
      <c r="G19" s="2" t="s">
        <v>245</v>
      </c>
      <c r="H19" s="2" t="s">
        <v>178</v>
      </c>
      <c r="I19" s="2" t="s">
        <v>38</v>
      </c>
      <c r="J19" s="2" t="s">
        <v>259</v>
      </c>
      <c r="K19" s="2" t="s">
        <v>23</v>
      </c>
      <c r="L19" s="1" t="s">
        <v>62</v>
      </c>
    </row>
    <row r="20">
      <c r="A20" s="1" t="s">
        <v>233</v>
      </c>
      <c r="B20" s="1" t="s">
        <v>84</v>
      </c>
      <c r="C20" s="2" t="s">
        <v>157</v>
      </c>
      <c r="D20" s="2" t="s">
        <v>265</v>
      </c>
      <c r="E20" s="2" t="s">
        <v>178</v>
      </c>
      <c r="F20" s="2" t="s">
        <v>267</v>
      </c>
      <c r="G20" s="2" t="s">
        <v>73</v>
      </c>
      <c r="H20" s="2" t="s">
        <v>270</v>
      </c>
      <c r="I20" s="2" t="s">
        <v>38</v>
      </c>
      <c r="J20" s="2" t="s">
        <v>272</v>
      </c>
      <c r="K20" s="2" t="s">
        <v>77</v>
      </c>
      <c r="L20" s="1" t="s">
        <v>113</v>
      </c>
    </row>
    <row r="21">
      <c r="A21" s="1" t="s">
        <v>242</v>
      </c>
      <c r="B21" s="1" t="s">
        <v>22</v>
      </c>
      <c r="C21" s="2" t="s">
        <v>117</v>
      </c>
      <c r="D21" s="2" t="s">
        <v>33</v>
      </c>
      <c r="E21" s="2" t="s">
        <v>278</v>
      </c>
      <c r="F21" s="2" t="s">
        <v>135</v>
      </c>
      <c r="G21" s="2" t="s">
        <v>68</v>
      </c>
      <c r="H21" s="2" t="s">
        <v>270</v>
      </c>
      <c r="I21" s="2" t="s">
        <v>46</v>
      </c>
      <c r="J21" s="2" t="s">
        <v>282</v>
      </c>
      <c r="K21" s="2" t="s">
        <v>23</v>
      </c>
      <c r="L21" s="1" t="s">
        <v>62</v>
      </c>
    </row>
    <row r="22">
      <c r="A22" s="1" t="s">
        <v>253</v>
      </c>
      <c r="B22" s="1" t="s">
        <v>84</v>
      </c>
      <c r="C22" s="2" t="s">
        <v>224</v>
      </c>
      <c r="D22" s="2" t="s">
        <v>287</v>
      </c>
      <c r="E22" s="2" t="s">
        <v>288</v>
      </c>
      <c r="F22" s="2" t="s">
        <v>290</v>
      </c>
      <c r="G22" s="2" t="s">
        <v>186</v>
      </c>
      <c r="H22" s="2" t="s">
        <v>178</v>
      </c>
      <c r="I22" s="2" t="s">
        <v>117</v>
      </c>
      <c r="J22" s="2" t="s">
        <v>294</v>
      </c>
      <c r="K22" s="2" t="s">
        <v>157</v>
      </c>
      <c r="L22" s="1" t="s">
        <v>62</v>
      </c>
    </row>
    <row r="23">
      <c r="A23" s="1" t="s">
        <v>262</v>
      </c>
      <c r="B23" s="1" t="s">
        <v>22</v>
      </c>
      <c r="C23" s="2" t="s">
        <v>46</v>
      </c>
      <c r="D23" s="2" t="s">
        <v>224</v>
      </c>
      <c r="E23" s="2" t="s">
        <v>297</v>
      </c>
      <c r="F23" s="2" t="s">
        <v>48</v>
      </c>
      <c r="G23" s="2" t="s">
        <v>300</v>
      </c>
      <c r="H23" s="2" t="s">
        <v>218</v>
      </c>
      <c r="I23" s="2" t="s">
        <v>117</v>
      </c>
      <c r="J23" s="2" t="s">
        <v>303</v>
      </c>
      <c r="K23" s="2" t="s">
        <v>38</v>
      </c>
      <c r="L23" s="1" t="s">
        <v>113</v>
      </c>
    </row>
    <row r="24">
      <c r="A24" s="1" t="s">
        <v>274</v>
      </c>
      <c r="B24" s="1" t="s">
        <v>22</v>
      </c>
      <c r="C24" s="2" t="s">
        <v>38</v>
      </c>
      <c r="D24" s="2" t="s">
        <v>95</v>
      </c>
      <c r="E24" s="2" t="s">
        <v>174</v>
      </c>
      <c r="F24" s="2" t="s">
        <v>46</v>
      </c>
      <c r="G24" s="2" t="s">
        <v>68</v>
      </c>
      <c r="H24" s="2" t="s">
        <v>310</v>
      </c>
      <c r="I24" s="2" t="s">
        <v>46</v>
      </c>
      <c r="J24" s="2" t="s">
        <v>312</v>
      </c>
      <c r="K24" s="2" t="s">
        <v>117</v>
      </c>
      <c r="L24" s="1" t="s">
        <v>113</v>
      </c>
    </row>
    <row r="25">
      <c r="A25" s="1" t="s">
        <v>281</v>
      </c>
      <c r="B25" s="1" t="s">
        <v>22</v>
      </c>
      <c r="C25" s="2" t="s">
        <v>167</v>
      </c>
      <c r="D25" s="2" t="s">
        <v>248</v>
      </c>
      <c r="E25" s="2" t="s">
        <v>163</v>
      </c>
      <c r="F25" s="2" t="s">
        <v>224</v>
      </c>
      <c r="G25" s="2" t="s">
        <v>201</v>
      </c>
      <c r="H25" s="2" t="s">
        <v>92</v>
      </c>
      <c r="I25" s="2" t="s">
        <v>46</v>
      </c>
      <c r="J25" s="2" t="s">
        <v>322</v>
      </c>
      <c r="K25" s="2" t="s">
        <v>23</v>
      </c>
      <c r="L25" s="1" t="s">
        <v>62</v>
      </c>
    </row>
    <row r="26">
      <c r="A26" s="1" t="s">
        <v>291</v>
      </c>
      <c r="B26" s="1" t="s">
        <v>84</v>
      </c>
      <c r="C26" s="2" t="s">
        <v>38</v>
      </c>
      <c r="D26" s="2" t="s">
        <v>31</v>
      </c>
      <c r="E26" s="2" t="s">
        <v>328</v>
      </c>
      <c r="F26" s="2" t="s">
        <v>224</v>
      </c>
      <c r="G26" s="2" t="s">
        <v>224</v>
      </c>
      <c r="H26" s="2" t="s">
        <v>108</v>
      </c>
      <c r="I26" s="2" t="s">
        <v>117</v>
      </c>
      <c r="J26" s="2" t="s">
        <v>332</v>
      </c>
      <c r="K26" s="2" t="s">
        <v>95</v>
      </c>
      <c r="L26" s="1" t="s">
        <v>62</v>
      </c>
    </row>
    <row r="27">
      <c r="A27" s="1" t="s">
        <v>298</v>
      </c>
      <c r="B27" s="1" t="s">
        <v>65</v>
      </c>
      <c r="C27" s="2" t="s">
        <v>38</v>
      </c>
      <c r="D27" s="2" t="s">
        <v>149</v>
      </c>
      <c r="E27" s="2" t="s">
        <v>337</v>
      </c>
      <c r="F27" s="2" t="s">
        <v>338</v>
      </c>
      <c r="G27" s="2" t="s">
        <v>339</v>
      </c>
      <c r="H27" s="2" t="s">
        <v>163</v>
      </c>
      <c r="I27" s="2" t="s">
        <v>77</v>
      </c>
      <c r="J27" s="2" t="s">
        <v>342</v>
      </c>
      <c r="K27" s="2" t="s">
        <v>23</v>
      </c>
      <c r="L27" s="1" t="s">
        <v>62</v>
      </c>
    </row>
    <row r="28">
      <c r="A28" s="1" t="s">
        <v>306</v>
      </c>
      <c r="B28" s="1" t="s">
        <v>22</v>
      </c>
      <c r="C28" s="2" t="s">
        <v>23</v>
      </c>
      <c r="D28" s="2" t="s">
        <v>265</v>
      </c>
      <c r="E28" s="2" t="s">
        <v>348</v>
      </c>
      <c r="F28" s="2" t="s">
        <v>351</v>
      </c>
      <c r="G28" s="2" t="s">
        <v>106</v>
      </c>
      <c r="H28" s="2" t="s">
        <v>250</v>
      </c>
      <c r="I28" s="2" t="s">
        <v>58</v>
      </c>
      <c r="J28" s="2" t="s">
        <v>354</v>
      </c>
      <c r="K28" s="2" t="s">
        <v>157</v>
      </c>
      <c r="L28" s="1" t="s">
        <v>62</v>
      </c>
    </row>
    <row r="29">
      <c r="A29" s="1" t="s">
        <v>314</v>
      </c>
      <c r="B29" s="1" t="s">
        <v>84</v>
      </c>
      <c r="C29" s="2" t="s">
        <v>167</v>
      </c>
      <c r="D29" s="2" t="s">
        <v>175</v>
      </c>
      <c r="E29" s="2" t="s">
        <v>357</v>
      </c>
      <c r="F29" s="2" t="s">
        <v>31</v>
      </c>
      <c r="G29" s="2" t="s">
        <v>199</v>
      </c>
      <c r="I29" s="2" t="s">
        <v>58</v>
      </c>
      <c r="J29" s="1" t="s">
        <v>360</v>
      </c>
      <c r="K29" s="2" t="s">
        <v>95</v>
      </c>
      <c r="L29" s="1" t="s">
        <v>62</v>
      </c>
    </row>
    <row r="30">
      <c r="A30" s="1" t="s">
        <v>321</v>
      </c>
      <c r="B30" s="1" t="s">
        <v>84</v>
      </c>
      <c r="C30" s="2" t="s">
        <v>38</v>
      </c>
      <c r="D30" s="2" t="s">
        <v>290</v>
      </c>
      <c r="E30" s="2" t="s">
        <v>146</v>
      </c>
      <c r="F30" s="2" t="s">
        <v>365</v>
      </c>
      <c r="G30" s="2" t="s">
        <v>162</v>
      </c>
      <c r="H30" s="2" t="s">
        <v>203</v>
      </c>
      <c r="I30" s="2" t="s">
        <v>77</v>
      </c>
      <c r="J30" s="2" t="s">
        <v>369</v>
      </c>
      <c r="K30" s="2" t="s">
        <v>58</v>
      </c>
      <c r="L30" s="1" t="s">
        <v>113</v>
      </c>
    </row>
    <row r="31">
      <c r="A31" s="1" t="s">
        <v>329</v>
      </c>
      <c r="B31" s="1" t="s">
        <v>170</v>
      </c>
      <c r="C31" s="2" t="s">
        <v>117</v>
      </c>
      <c r="D31" s="2" t="s">
        <v>27</v>
      </c>
      <c r="E31" s="2" t="s">
        <v>372</v>
      </c>
      <c r="F31" s="2" t="s">
        <v>162</v>
      </c>
      <c r="G31" s="2" t="s">
        <v>375</v>
      </c>
      <c r="I31" s="2" t="s">
        <v>46</v>
      </c>
      <c r="J31" s="2" t="s">
        <v>378</v>
      </c>
      <c r="K31" s="2" t="s">
        <v>23</v>
      </c>
      <c r="L31" s="1" t="s">
        <v>62</v>
      </c>
    </row>
    <row r="32">
      <c r="A32" s="1" t="s">
        <v>335</v>
      </c>
      <c r="B32" s="1" t="s">
        <v>84</v>
      </c>
      <c r="C32" s="2" t="s">
        <v>23</v>
      </c>
      <c r="D32" s="2" t="s">
        <v>201</v>
      </c>
      <c r="E32" s="2" t="s">
        <v>384</v>
      </c>
      <c r="F32" s="2" t="s">
        <v>387</v>
      </c>
      <c r="G32" s="2" t="s">
        <v>106</v>
      </c>
      <c r="H32" s="2" t="s">
        <v>108</v>
      </c>
      <c r="I32" s="2" t="s">
        <v>46</v>
      </c>
      <c r="J32" s="2" t="s">
        <v>391</v>
      </c>
      <c r="K32" s="2" t="s">
        <v>58</v>
      </c>
      <c r="L32" s="1" t="s">
        <v>113</v>
      </c>
    </row>
    <row r="33">
      <c r="A33" s="1" t="s">
        <v>341</v>
      </c>
      <c r="B33" s="1" t="s">
        <v>22</v>
      </c>
      <c r="C33" s="2" t="s">
        <v>38</v>
      </c>
      <c r="D33" s="2" t="s">
        <v>395</v>
      </c>
      <c r="E33" s="2" t="s">
        <v>396</v>
      </c>
      <c r="F33" s="2" t="s">
        <v>149</v>
      </c>
      <c r="G33" s="2" t="s">
        <v>339</v>
      </c>
      <c r="H33" s="2" t="s">
        <v>56</v>
      </c>
      <c r="I33" s="2" t="s">
        <v>117</v>
      </c>
      <c r="J33" s="2" t="s">
        <v>400</v>
      </c>
      <c r="K33" s="2" t="s">
        <v>117</v>
      </c>
      <c r="L33" s="1" t="s">
        <v>62</v>
      </c>
    </row>
    <row r="34">
      <c r="A34" s="1" t="s">
        <v>349</v>
      </c>
      <c r="B34" s="1" t="s">
        <v>170</v>
      </c>
      <c r="C34" s="2" t="s">
        <v>167</v>
      </c>
      <c r="D34" s="2" t="s">
        <v>375</v>
      </c>
      <c r="E34" s="2" t="s">
        <v>405</v>
      </c>
      <c r="F34" s="2" t="s">
        <v>33</v>
      </c>
      <c r="G34" s="2" t="s">
        <v>154</v>
      </c>
      <c r="H34" s="2" t="s">
        <v>151</v>
      </c>
      <c r="I34" s="2" t="s">
        <v>46</v>
      </c>
      <c r="J34" s="2" t="s">
        <v>407</v>
      </c>
      <c r="K34" s="2" t="s">
        <v>157</v>
      </c>
      <c r="L34" s="1" t="s">
        <v>62</v>
      </c>
    </row>
    <row r="35">
      <c r="A35" s="1" t="s">
        <v>356</v>
      </c>
      <c r="B35" s="1" t="s">
        <v>44</v>
      </c>
      <c r="C35" s="2" t="s">
        <v>290</v>
      </c>
      <c r="D35" s="2" t="s">
        <v>162</v>
      </c>
      <c r="E35" s="2" t="s">
        <v>278</v>
      </c>
      <c r="F35" s="2" t="s">
        <v>33</v>
      </c>
      <c r="G35" s="2" t="s">
        <v>395</v>
      </c>
      <c r="H35" s="2" t="s">
        <v>412</v>
      </c>
      <c r="I35" s="2" t="s">
        <v>46</v>
      </c>
      <c r="J35" s="2" t="s">
        <v>413</v>
      </c>
      <c r="K35" s="2" t="s">
        <v>117</v>
      </c>
      <c r="L35" s="1" t="s">
        <v>113</v>
      </c>
    </row>
    <row r="36">
      <c r="A36" s="1" t="s">
        <v>362</v>
      </c>
      <c r="B36" s="1" t="s">
        <v>44</v>
      </c>
      <c r="C36" s="2" t="s">
        <v>38</v>
      </c>
      <c r="D36" s="2" t="s">
        <v>290</v>
      </c>
      <c r="E36" s="2" t="s">
        <v>146</v>
      </c>
      <c r="F36" s="2" t="s">
        <v>339</v>
      </c>
      <c r="G36" s="2" t="s">
        <v>339</v>
      </c>
      <c r="H36" s="2" t="s">
        <v>203</v>
      </c>
      <c r="I36" s="2" t="s">
        <v>77</v>
      </c>
      <c r="J36" s="2" t="s">
        <v>420</v>
      </c>
      <c r="K36" s="2" t="s">
        <v>117</v>
      </c>
      <c r="L36" s="1" t="s">
        <v>113</v>
      </c>
    </row>
    <row r="37">
      <c r="A37" s="1" t="s">
        <v>367</v>
      </c>
      <c r="B37" s="1" t="s">
        <v>65</v>
      </c>
      <c r="C37" s="2" t="s">
        <v>117</v>
      </c>
      <c r="D37" s="2" t="s">
        <v>95</v>
      </c>
      <c r="E37" s="2" t="s">
        <v>424</v>
      </c>
      <c r="F37" s="2" t="s">
        <v>351</v>
      </c>
      <c r="G37" s="2" t="s">
        <v>339</v>
      </c>
      <c r="H37" s="2" t="s">
        <v>163</v>
      </c>
      <c r="I37" s="2" t="s">
        <v>138</v>
      </c>
      <c r="J37" s="2" t="s">
        <v>427</v>
      </c>
      <c r="K37" s="2" t="s">
        <v>38</v>
      </c>
      <c r="L37" s="1" t="s">
        <v>62</v>
      </c>
    </row>
    <row r="38">
      <c r="A38" s="1" t="s">
        <v>373</v>
      </c>
      <c r="B38" s="1" t="s">
        <v>22</v>
      </c>
      <c r="C38" s="2" t="s">
        <v>23</v>
      </c>
      <c r="D38" s="2" t="s">
        <v>48</v>
      </c>
      <c r="E38" s="2" t="s">
        <v>198</v>
      </c>
      <c r="F38" s="2" t="s">
        <v>224</v>
      </c>
      <c r="G38" s="2" t="s">
        <v>351</v>
      </c>
      <c r="H38" s="2" t="s">
        <v>116</v>
      </c>
      <c r="I38" s="2" t="s">
        <v>46</v>
      </c>
      <c r="J38" s="2" t="s">
        <v>435</v>
      </c>
      <c r="K38" s="2" t="s">
        <v>58</v>
      </c>
      <c r="L38" s="1" t="s">
        <v>113</v>
      </c>
    </row>
    <row r="39">
      <c r="A39" s="1" t="s">
        <v>380</v>
      </c>
      <c r="B39" s="1" t="s">
        <v>170</v>
      </c>
      <c r="C39" s="2" t="s">
        <v>157</v>
      </c>
      <c r="D39" s="2" t="s">
        <v>106</v>
      </c>
      <c r="E39" s="2" t="s">
        <v>198</v>
      </c>
      <c r="F39" s="2" t="s">
        <v>267</v>
      </c>
      <c r="G39" s="2" t="s">
        <v>339</v>
      </c>
      <c r="H39" s="2" t="s">
        <v>114</v>
      </c>
      <c r="I39" s="2" t="s">
        <v>46</v>
      </c>
      <c r="J39" s="2" t="s">
        <v>440</v>
      </c>
      <c r="K39" s="2" t="s">
        <v>157</v>
      </c>
      <c r="L39" s="1" t="s">
        <v>62</v>
      </c>
    </row>
    <row r="40">
      <c r="A40" s="1" t="s">
        <v>389</v>
      </c>
      <c r="B40" s="1" t="s">
        <v>65</v>
      </c>
      <c r="C40" s="2" t="s">
        <v>95</v>
      </c>
      <c r="D40" s="2" t="s">
        <v>71</v>
      </c>
      <c r="E40" s="2" t="s">
        <v>446</v>
      </c>
      <c r="F40" s="2" t="s">
        <v>448</v>
      </c>
      <c r="G40" s="2" t="s">
        <v>154</v>
      </c>
      <c r="H40" s="2" t="s">
        <v>203</v>
      </c>
      <c r="I40" s="2" t="s">
        <v>58</v>
      </c>
      <c r="J40" s="2" t="s">
        <v>451</v>
      </c>
      <c r="K40" s="2" t="s">
        <v>167</v>
      </c>
      <c r="L40" s="1" t="s">
        <v>62</v>
      </c>
    </row>
    <row r="41">
      <c r="A41" s="1" t="s">
        <v>398</v>
      </c>
      <c r="B41" s="1" t="s">
        <v>84</v>
      </c>
      <c r="C41" s="2" t="s">
        <v>95</v>
      </c>
      <c r="D41" s="2" t="s">
        <v>213</v>
      </c>
      <c r="E41" s="2" t="s">
        <v>457</v>
      </c>
      <c r="F41" s="2" t="s">
        <v>461</v>
      </c>
      <c r="G41" s="2" t="s">
        <v>265</v>
      </c>
      <c r="H41" s="2" t="s">
        <v>463</v>
      </c>
      <c r="I41" s="2" t="s">
        <v>138</v>
      </c>
      <c r="J41" s="2" t="s">
        <v>465</v>
      </c>
      <c r="K41" s="2" t="s">
        <v>157</v>
      </c>
      <c r="L41" s="1" t="s">
        <v>62</v>
      </c>
    </row>
    <row r="42">
      <c r="A42" s="1" t="s">
        <v>404</v>
      </c>
      <c r="B42" s="1" t="s">
        <v>22</v>
      </c>
      <c r="C42" s="2" t="s">
        <v>117</v>
      </c>
      <c r="D42" s="2" t="s">
        <v>31</v>
      </c>
      <c r="E42" s="2" t="s">
        <v>116</v>
      </c>
      <c r="F42" s="2" t="s">
        <v>265</v>
      </c>
      <c r="G42" s="2" t="s">
        <v>71</v>
      </c>
      <c r="H42" s="2" t="s">
        <v>116</v>
      </c>
      <c r="I42" s="2" t="s">
        <v>77</v>
      </c>
      <c r="J42" s="2" t="s">
        <v>475</v>
      </c>
      <c r="K42" s="2" t="s">
        <v>95</v>
      </c>
      <c r="L42" s="1" t="s">
        <v>62</v>
      </c>
    </row>
    <row r="43">
      <c r="A43" s="1" t="s">
        <v>410</v>
      </c>
      <c r="B43" s="1" t="s">
        <v>84</v>
      </c>
      <c r="C43" s="2" t="s">
        <v>46</v>
      </c>
      <c r="D43" s="2" t="s">
        <v>339</v>
      </c>
      <c r="E43" s="2" t="s">
        <v>337</v>
      </c>
      <c r="F43" s="2" t="s">
        <v>265</v>
      </c>
      <c r="G43" s="2" t="s">
        <v>115</v>
      </c>
      <c r="H43" s="2" t="s">
        <v>75</v>
      </c>
      <c r="I43" s="2" t="s">
        <v>77</v>
      </c>
      <c r="J43" s="2" t="s">
        <v>485</v>
      </c>
      <c r="K43" s="2" t="s">
        <v>167</v>
      </c>
      <c r="L43" s="1" t="s">
        <v>62</v>
      </c>
    </row>
    <row r="44">
      <c r="A44" s="1" t="s">
        <v>415</v>
      </c>
      <c r="B44" s="1" t="s">
        <v>170</v>
      </c>
      <c r="C44" s="2" t="s">
        <v>154</v>
      </c>
      <c r="D44" s="2" t="s">
        <v>491</v>
      </c>
      <c r="E44" s="2" t="s">
        <v>494</v>
      </c>
      <c r="F44" s="2" t="s">
        <v>395</v>
      </c>
      <c r="G44" s="2" t="s">
        <v>48</v>
      </c>
      <c r="H44" s="2" t="s">
        <v>497</v>
      </c>
      <c r="I44" s="2" t="s">
        <v>38</v>
      </c>
      <c r="J44" s="2" t="s">
        <v>498</v>
      </c>
      <c r="K44" s="2" t="s">
        <v>167</v>
      </c>
      <c r="L44" s="1" t="s">
        <v>62</v>
      </c>
    </row>
    <row r="45">
      <c r="A45" s="1" t="s">
        <v>421</v>
      </c>
      <c r="B45" s="1" t="s">
        <v>44</v>
      </c>
      <c r="C45" s="2" t="s">
        <v>157</v>
      </c>
      <c r="D45" s="2" t="s">
        <v>375</v>
      </c>
      <c r="E45" s="2" t="s">
        <v>505</v>
      </c>
      <c r="F45" s="2" t="s">
        <v>375</v>
      </c>
      <c r="G45" s="2" t="s">
        <v>68</v>
      </c>
      <c r="H45" s="2" t="s">
        <v>250</v>
      </c>
      <c r="I45" s="2" t="s">
        <v>46</v>
      </c>
      <c r="J45" s="2" t="s">
        <v>508</v>
      </c>
      <c r="K45" s="2" t="s">
        <v>77</v>
      </c>
      <c r="L45" s="1" t="s">
        <v>113</v>
      </c>
    </row>
    <row r="46">
      <c r="A46" s="1" t="s">
        <v>426</v>
      </c>
      <c r="B46" s="1" t="s">
        <v>22</v>
      </c>
      <c r="C46" s="2" t="s">
        <v>224</v>
      </c>
      <c r="D46" s="2" t="s">
        <v>48</v>
      </c>
      <c r="E46" s="2" t="s">
        <v>424</v>
      </c>
      <c r="F46" s="2" t="s">
        <v>514</v>
      </c>
      <c r="G46" s="2" t="s">
        <v>86</v>
      </c>
      <c r="H46" s="2" t="s">
        <v>203</v>
      </c>
      <c r="I46" s="2" t="s">
        <v>138</v>
      </c>
      <c r="J46" s="2" t="s">
        <v>516</v>
      </c>
      <c r="K46" s="2" t="s">
        <v>77</v>
      </c>
      <c r="L46" s="1" t="s">
        <v>113</v>
      </c>
    </row>
    <row r="47">
      <c r="A47" s="1" t="s">
        <v>431</v>
      </c>
      <c r="B47" s="1" t="s">
        <v>65</v>
      </c>
      <c r="C47" s="2" t="s">
        <v>167</v>
      </c>
      <c r="D47" s="2" t="s">
        <v>33</v>
      </c>
      <c r="E47" s="2" t="s">
        <v>522</v>
      </c>
      <c r="F47" s="2" t="s">
        <v>201</v>
      </c>
      <c r="G47" s="2" t="s">
        <v>154</v>
      </c>
      <c r="H47" s="2" t="s">
        <v>218</v>
      </c>
      <c r="I47" s="2" t="s">
        <v>46</v>
      </c>
      <c r="J47" s="2" t="s">
        <v>525</v>
      </c>
      <c r="K47" s="2" t="s">
        <v>38</v>
      </c>
    </row>
    <row r="48">
      <c r="A48" s="1" t="s">
        <v>438</v>
      </c>
      <c r="B48" s="1" t="s">
        <v>22</v>
      </c>
      <c r="C48" s="2" t="s">
        <v>38</v>
      </c>
      <c r="D48" s="2" t="s">
        <v>213</v>
      </c>
      <c r="E48" s="2" t="s">
        <v>178</v>
      </c>
      <c r="F48" s="2" t="s">
        <v>154</v>
      </c>
      <c r="G48" s="2" t="s">
        <v>149</v>
      </c>
      <c r="H48" s="2" t="s">
        <v>92</v>
      </c>
      <c r="I48" s="2" t="s">
        <v>46</v>
      </c>
      <c r="J48" s="2" t="s">
        <v>532</v>
      </c>
      <c r="K48" s="2" t="s">
        <v>95</v>
      </c>
      <c r="L48" s="1" t="s">
        <v>62</v>
      </c>
    </row>
    <row r="49">
      <c r="A49" s="1" t="s">
        <v>443</v>
      </c>
      <c r="B49" s="1" t="s">
        <v>84</v>
      </c>
      <c r="C49" s="2" t="s">
        <v>117</v>
      </c>
      <c r="D49" s="2" t="s">
        <v>167</v>
      </c>
      <c r="E49" s="2" t="s">
        <v>538</v>
      </c>
      <c r="F49" s="2" t="s">
        <v>245</v>
      </c>
      <c r="G49" s="2" t="s">
        <v>213</v>
      </c>
      <c r="H49" s="2" t="s">
        <v>178</v>
      </c>
      <c r="I49" s="2" t="s">
        <v>38</v>
      </c>
      <c r="J49" s="2" t="s">
        <v>543</v>
      </c>
      <c r="K49" s="2" t="s">
        <v>117</v>
      </c>
      <c r="L49" s="1" t="s">
        <v>113</v>
      </c>
    </row>
    <row r="50">
      <c r="A50" s="1" t="s">
        <v>450</v>
      </c>
      <c r="B50" s="1" t="s">
        <v>84</v>
      </c>
      <c r="C50" s="2" t="s">
        <v>38</v>
      </c>
      <c r="D50" s="2" t="s">
        <v>27</v>
      </c>
      <c r="E50" s="2" t="s">
        <v>146</v>
      </c>
      <c r="F50" s="2" t="s">
        <v>175</v>
      </c>
      <c r="G50" s="2" t="s">
        <v>351</v>
      </c>
      <c r="H50" s="2" t="s">
        <v>463</v>
      </c>
      <c r="I50" s="2" t="s">
        <v>46</v>
      </c>
      <c r="J50" s="2" t="s">
        <v>552</v>
      </c>
      <c r="K50" s="2" t="s">
        <v>23</v>
      </c>
      <c r="L50" s="1" t="s">
        <v>62</v>
      </c>
    </row>
    <row r="51">
      <c r="A51" s="1" t="s">
        <v>455</v>
      </c>
      <c r="B51" s="1" t="s">
        <v>22</v>
      </c>
      <c r="C51" s="2" t="s">
        <v>46</v>
      </c>
      <c r="D51" s="2" t="s">
        <v>157</v>
      </c>
      <c r="E51" s="2" t="s">
        <v>560</v>
      </c>
      <c r="F51" s="2" t="s">
        <v>267</v>
      </c>
      <c r="G51" s="2" t="s">
        <v>154</v>
      </c>
      <c r="H51" s="2" t="s">
        <v>218</v>
      </c>
      <c r="I51" s="2" t="s">
        <v>58</v>
      </c>
      <c r="J51" s="2" t="s">
        <v>564</v>
      </c>
      <c r="K51" s="2" t="s">
        <v>117</v>
      </c>
    </row>
    <row r="52">
      <c r="A52" s="1" t="s">
        <v>467</v>
      </c>
      <c r="B52" s="1" t="s">
        <v>44</v>
      </c>
      <c r="C52" s="2" t="s">
        <v>23</v>
      </c>
      <c r="D52" s="2" t="s">
        <v>201</v>
      </c>
      <c r="E52" s="2" t="s">
        <v>567</v>
      </c>
      <c r="F52" s="2" t="s">
        <v>115</v>
      </c>
      <c r="G52" s="2" t="s">
        <v>115</v>
      </c>
      <c r="H52" s="2" t="s">
        <v>270</v>
      </c>
      <c r="I52" s="2" t="s">
        <v>117</v>
      </c>
      <c r="J52" s="2" t="s">
        <v>570</v>
      </c>
      <c r="K52" s="2" t="s">
        <v>46</v>
      </c>
      <c r="L52" s="1" t="s">
        <v>113</v>
      </c>
    </row>
    <row r="53">
      <c r="A53" s="1" t="s">
        <v>472</v>
      </c>
      <c r="B53" s="1" t="s">
        <v>65</v>
      </c>
      <c r="C53" s="2" t="s">
        <v>23</v>
      </c>
      <c r="D53" s="2" t="s">
        <v>154</v>
      </c>
      <c r="E53" s="2" t="s">
        <v>29</v>
      </c>
      <c r="F53" s="2" t="s">
        <v>175</v>
      </c>
      <c r="G53" s="2" t="s">
        <v>395</v>
      </c>
      <c r="H53" s="2" t="s">
        <v>575</v>
      </c>
      <c r="I53" s="2" t="s">
        <v>77</v>
      </c>
      <c r="J53" s="2" t="s">
        <v>578</v>
      </c>
      <c r="K53" s="2" t="s">
        <v>38</v>
      </c>
      <c r="L53" s="1" t="s">
        <v>113</v>
      </c>
    </row>
    <row r="54">
      <c r="A54" s="1" t="s">
        <v>479</v>
      </c>
      <c r="B54" s="1" t="s">
        <v>44</v>
      </c>
      <c r="C54" s="2" t="s">
        <v>46</v>
      </c>
      <c r="D54" s="2" t="s">
        <v>265</v>
      </c>
      <c r="E54" s="2" t="s">
        <v>584</v>
      </c>
      <c r="F54" s="2" t="s">
        <v>68</v>
      </c>
      <c r="G54" s="2" t="s">
        <v>48</v>
      </c>
      <c r="H54" s="2" t="s">
        <v>310</v>
      </c>
      <c r="I54" s="2" t="s">
        <v>117</v>
      </c>
      <c r="J54" s="2" t="s">
        <v>587</v>
      </c>
      <c r="K54" s="2" t="s">
        <v>95</v>
      </c>
      <c r="L54" s="1" t="s">
        <v>62</v>
      </c>
    </row>
    <row r="55">
      <c r="A55" s="1" t="s">
        <v>484</v>
      </c>
      <c r="B55" s="1" t="s">
        <v>44</v>
      </c>
      <c r="C55" s="2" t="s">
        <v>38</v>
      </c>
      <c r="D55" s="2" t="s">
        <v>154</v>
      </c>
      <c r="E55" s="2" t="s">
        <v>270</v>
      </c>
      <c r="F55" s="2" t="s">
        <v>257</v>
      </c>
      <c r="G55" s="2" t="s">
        <v>265</v>
      </c>
      <c r="H55" s="2" t="s">
        <v>92</v>
      </c>
      <c r="I55" s="2" t="s">
        <v>38</v>
      </c>
      <c r="J55" s="2" t="s">
        <v>594</v>
      </c>
      <c r="K55" s="2" t="s">
        <v>95</v>
      </c>
      <c r="L55" s="1" t="s">
        <v>62</v>
      </c>
    </row>
    <row r="56">
      <c r="A56" s="1" t="s">
        <v>493</v>
      </c>
      <c r="B56" s="1" t="s">
        <v>84</v>
      </c>
      <c r="C56" s="2" t="s">
        <v>167</v>
      </c>
      <c r="D56" s="2" t="s">
        <v>115</v>
      </c>
      <c r="E56" s="2" t="s">
        <v>599</v>
      </c>
      <c r="F56" s="2" t="s">
        <v>154</v>
      </c>
      <c r="G56" s="2" t="s">
        <v>135</v>
      </c>
      <c r="H56" s="2" t="s">
        <v>575</v>
      </c>
      <c r="I56" s="2" t="s">
        <v>38</v>
      </c>
      <c r="J56" s="2" t="s">
        <v>601</v>
      </c>
      <c r="K56" s="2" t="s">
        <v>58</v>
      </c>
      <c r="L56" s="1" t="s">
        <v>113</v>
      </c>
    </row>
    <row r="57">
      <c r="A57" s="1" t="s">
        <v>502</v>
      </c>
      <c r="B57" s="1" t="s">
        <v>44</v>
      </c>
      <c r="C57" s="2" t="s">
        <v>117</v>
      </c>
      <c r="D57" s="2" t="s">
        <v>46</v>
      </c>
      <c r="E57" s="2" t="s">
        <v>412</v>
      </c>
      <c r="F57" s="2" t="s">
        <v>86</v>
      </c>
      <c r="G57" s="2" t="s">
        <v>154</v>
      </c>
      <c r="H57" s="2" t="s">
        <v>114</v>
      </c>
      <c r="I57" s="2" t="s">
        <v>38</v>
      </c>
      <c r="J57" s="2" t="s">
        <v>259</v>
      </c>
      <c r="K57" s="2" t="s">
        <v>167</v>
      </c>
      <c r="L57" s="1" t="s">
        <v>62</v>
      </c>
    </row>
    <row r="58">
      <c r="A58" s="1" t="s">
        <v>507</v>
      </c>
      <c r="B58" s="1" t="s">
        <v>170</v>
      </c>
      <c r="C58" s="2" t="s">
        <v>77</v>
      </c>
      <c r="D58" s="2" t="s">
        <v>167</v>
      </c>
      <c r="E58" s="2" t="s">
        <v>611</v>
      </c>
      <c r="F58" s="2" t="s">
        <v>351</v>
      </c>
      <c r="G58" s="2" t="s">
        <v>339</v>
      </c>
      <c r="H58" s="2" t="s">
        <v>412</v>
      </c>
      <c r="I58" s="2" t="s">
        <v>46</v>
      </c>
      <c r="J58" s="2" t="s">
        <v>614</v>
      </c>
      <c r="K58" s="2" t="s">
        <v>157</v>
      </c>
      <c r="L58" s="1" t="s">
        <v>62</v>
      </c>
    </row>
    <row r="59">
      <c r="A59" s="1" t="s">
        <v>513</v>
      </c>
      <c r="B59" s="1" t="s">
        <v>22</v>
      </c>
      <c r="C59" s="2" t="s">
        <v>46</v>
      </c>
      <c r="D59" s="2" t="s">
        <v>300</v>
      </c>
      <c r="E59" s="2" t="s">
        <v>618</v>
      </c>
      <c r="F59" s="2" t="s">
        <v>73</v>
      </c>
      <c r="G59" s="2" t="s">
        <v>86</v>
      </c>
      <c r="H59" s="2" t="s">
        <v>114</v>
      </c>
      <c r="I59" s="2" t="s">
        <v>46</v>
      </c>
      <c r="J59" s="2" t="s">
        <v>621</v>
      </c>
      <c r="K59" s="2" t="s">
        <v>157</v>
      </c>
      <c r="L59" s="1" t="s">
        <v>62</v>
      </c>
    </row>
    <row r="60">
      <c r="A60" s="1" t="s">
        <v>519</v>
      </c>
      <c r="B60" s="1" t="s">
        <v>170</v>
      </c>
      <c r="C60" s="2" t="s">
        <v>23</v>
      </c>
      <c r="D60" s="2" t="s">
        <v>162</v>
      </c>
      <c r="E60" s="2" t="s">
        <v>626</v>
      </c>
      <c r="F60" s="2" t="s">
        <v>157</v>
      </c>
      <c r="G60" s="2" t="s">
        <v>68</v>
      </c>
      <c r="H60" s="2" t="s">
        <v>270</v>
      </c>
      <c r="I60" s="2" t="s">
        <v>117</v>
      </c>
      <c r="J60" s="2" t="s">
        <v>630</v>
      </c>
      <c r="K60" s="2" t="s">
        <v>38</v>
      </c>
      <c r="L60" s="1" t="s">
        <v>113</v>
      </c>
    </row>
    <row r="61">
      <c r="A61" s="1" t="s">
        <v>524</v>
      </c>
      <c r="B61" s="1" t="s">
        <v>22</v>
      </c>
      <c r="C61" s="2" t="s">
        <v>46</v>
      </c>
      <c r="D61" s="2" t="s">
        <v>265</v>
      </c>
      <c r="E61" s="2" t="s">
        <v>108</v>
      </c>
      <c r="F61" s="2" t="s">
        <v>53</v>
      </c>
      <c r="G61" s="2" t="s">
        <v>33</v>
      </c>
      <c r="H61" s="2" t="s">
        <v>92</v>
      </c>
      <c r="I61" s="2" t="s">
        <v>38</v>
      </c>
      <c r="K61" s="2" t="s">
        <v>23</v>
      </c>
    </row>
    <row r="62">
      <c r="A62" s="1" t="s">
        <v>530</v>
      </c>
      <c r="B62" s="1" t="s">
        <v>22</v>
      </c>
      <c r="C62" s="2" t="s">
        <v>38</v>
      </c>
      <c r="D62" s="2" t="s">
        <v>224</v>
      </c>
      <c r="E62" s="2" t="s">
        <v>108</v>
      </c>
      <c r="F62" s="2" t="s">
        <v>448</v>
      </c>
      <c r="G62" s="2" t="s">
        <v>106</v>
      </c>
      <c r="H62" s="2" t="s">
        <v>36</v>
      </c>
      <c r="I62" s="2" t="s">
        <v>117</v>
      </c>
      <c r="J62" s="2" t="s">
        <v>635</v>
      </c>
      <c r="K62" s="2" t="s">
        <v>23</v>
      </c>
    </row>
    <row r="63">
      <c r="A63" s="1" t="s">
        <v>535</v>
      </c>
      <c r="B63" s="1" t="s">
        <v>22</v>
      </c>
      <c r="C63" s="2" t="s">
        <v>46</v>
      </c>
      <c r="D63" s="2" t="s">
        <v>48</v>
      </c>
      <c r="E63" s="2" t="s">
        <v>639</v>
      </c>
      <c r="F63" s="2" t="s">
        <v>201</v>
      </c>
      <c r="G63" s="2" t="s">
        <v>186</v>
      </c>
      <c r="H63" s="2" t="s">
        <v>56</v>
      </c>
      <c r="I63" s="2" t="s">
        <v>138</v>
      </c>
      <c r="J63" s="2" t="s">
        <v>641</v>
      </c>
      <c r="K63" s="2" t="s">
        <v>117</v>
      </c>
      <c r="L63" s="1" t="s">
        <v>113</v>
      </c>
    </row>
    <row r="64">
      <c r="A64" s="1" t="s">
        <v>541</v>
      </c>
      <c r="B64" s="1" t="s">
        <v>65</v>
      </c>
      <c r="C64" s="2" t="s">
        <v>167</v>
      </c>
      <c r="D64" s="2" t="s">
        <v>387</v>
      </c>
      <c r="E64" s="2" t="s">
        <v>276</v>
      </c>
      <c r="F64" s="2" t="s">
        <v>71</v>
      </c>
      <c r="G64" s="2" t="s">
        <v>213</v>
      </c>
      <c r="H64" s="2" t="s">
        <v>163</v>
      </c>
      <c r="I64" s="2" t="s">
        <v>46</v>
      </c>
      <c r="J64" s="2" t="s">
        <v>646</v>
      </c>
      <c r="K64" s="2" t="s">
        <v>117</v>
      </c>
      <c r="L64" s="1" t="s">
        <v>113</v>
      </c>
    </row>
    <row r="65">
      <c r="A65" s="1" t="s">
        <v>548</v>
      </c>
      <c r="B65" s="1" t="s">
        <v>22</v>
      </c>
      <c r="C65" s="2" t="s">
        <v>117</v>
      </c>
      <c r="D65" s="2" t="s">
        <v>201</v>
      </c>
      <c r="E65" s="2" t="s">
        <v>651</v>
      </c>
      <c r="F65" s="2" t="s">
        <v>387</v>
      </c>
      <c r="G65" s="2" t="s">
        <v>68</v>
      </c>
      <c r="H65" s="2" t="s">
        <v>218</v>
      </c>
      <c r="I65" s="2" t="s">
        <v>38</v>
      </c>
      <c r="J65" s="2" t="s">
        <v>654</v>
      </c>
      <c r="K65" s="2" t="s">
        <v>38</v>
      </c>
      <c r="L65" s="1" t="s">
        <v>113</v>
      </c>
    </row>
    <row r="66">
      <c r="A66" s="1" t="s">
        <v>554</v>
      </c>
      <c r="B66" s="1" t="s">
        <v>22</v>
      </c>
      <c r="C66" s="2" t="s">
        <v>117</v>
      </c>
      <c r="D66" s="2" t="s">
        <v>201</v>
      </c>
      <c r="E66" s="2" t="s">
        <v>75</v>
      </c>
      <c r="F66" s="2" t="s">
        <v>53</v>
      </c>
      <c r="G66" s="2" t="s">
        <v>365</v>
      </c>
      <c r="H66" s="2" t="s">
        <v>92</v>
      </c>
      <c r="I66" s="2" t="s">
        <v>117</v>
      </c>
      <c r="J66" s="2" t="s">
        <v>659</v>
      </c>
      <c r="K66" s="2" t="s">
        <v>157</v>
      </c>
      <c r="L66" s="1" t="s">
        <v>62</v>
      </c>
    </row>
    <row r="67">
      <c r="A67" s="1" t="s">
        <v>563</v>
      </c>
      <c r="B67" s="1" t="s">
        <v>84</v>
      </c>
      <c r="C67" s="2" t="s">
        <v>117</v>
      </c>
      <c r="D67" s="2" t="s">
        <v>157</v>
      </c>
      <c r="E67" s="2" t="s">
        <v>664</v>
      </c>
      <c r="F67" s="2" t="s">
        <v>213</v>
      </c>
      <c r="G67" s="2" t="s">
        <v>106</v>
      </c>
      <c r="H67" s="2" t="s">
        <v>270</v>
      </c>
      <c r="I67" s="2" t="s">
        <v>77</v>
      </c>
      <c r="J67" s="2" t="s">
        <v>668</v>
      </c>
      <c r="K67" s="2" t="s">
        <v>46</v>
      </c>
      <c r="L67" s="1" t="s">
        <v>113</v>
      </c>
    </row>
    <row r="68">
      <c r="A68" s="1" t="s">
        <v>568</v>
      </c>
      <c r="B68" s="1" t="s">
        <v>22</v>
      </c>
      <c r="C68" s="2" t="s">
        <v>157</v>
      </c>
      <c r="D68" s="2" t="s">
        <v>162</v>
      </c>
      <c r="E68" s="2" t="s">
        <v>672</v>
      </c>
      <c r="F68" s="2" t="s">
        <v>48</v>
      </c>
      <c r="G68" s="2" t="s">
        <v>149</v>
      </c>
      <c r="H68" s="2" t="s">
        <v>116</v>
      </c>
      <c r="I68" s="2" t="s">
        <v>138</v>
      </c>
      <c r="J68" s="2" t="s">
        <v>676</v>
      </c>
      <c r="K68" s="2" t="s">
        <v>46</v>
      </c>
    </row>
    <row r="69">
      <c r="A69" s="1" t="s">
        <v>574</v>
      </c>
      <c r="B69" s="1" t="s">
        <v>65</v>
      </c>
      <c r="C69" s="2" t="s">
        <v>95</v>
      </c>
      <c r="D69" s="2" t="s">
        <v>31</v>
      </c>
      <c r="E69" s="2" t="s">
        <v>396</v>
      </c>
      <c r="F69" s="2" t="s">
        <v>23</v>
      </c>
      <c r="G69" s="2" t="s">
        <v>71</v>
      </c>
      <c r="H69" s="2" t="s">
        <v>116</v>
      </c>
      <c r="I69" s="2" t="s">
        <v>46</v>
      </c>
      <c r="J69" s="2" t="s">
        <v>682</v>
      </c>
      <c r="K69" s="2" t="s">
        <v>117</v>
      </c>
      <c r="L69" s="1" t="s">
        <v>113</v>
      </c>
    </row>
    <row r="70">
      <c r="A70" s="1" t="s">
        <v>580</v>
      </c>
      <c r="B70" s="1" t="s">
        <v>170</v>
      </c>
      <c r="C70" s="2" t="s">
        <v>157</v>
      </c>
      <c r="D70" s="2" t="s">
        <v>300</v>
      </c>
      <c r="E70" s="2" t="s">
        <v>685</v>
      </c>
      <c r="F70" s="2" t="s">
        <v>686</v>
      </c>
      <c r="G70" s="2" t="s">
        <v>68</v>
      </c>
      <c r="H70" s="2" t="s">
        <v>163</v>
      </c>
      <c r="I70" s="2" t="s">
        <v>46</v>
      </c>
      <c r="J70" s="2" t="s">
        <v>690</v>
      </c>
      <c r="K70" s="2" t="s">
        <v>167</v>
      </c>
      <c r="L70" s="1" t="s">
        <v>62</v>
      </c>
    </row>
    <row r="71">
      <c r="A71" s="1" t="s">
        <v>586</v>
      </c>
      <c r="B71" s="1" t="s">
        <v>44</v>
      </c>
      <c r="C71" s="2" t="s">
        <v>95</v>
      </c>
      <c r="D71" s="2" t="s">
        <v>248</v>
      </c>
      <c r="E71" s="2" t="s">
        <v>694</v>
      </c>
      <c r="F71" s="2" t="s">
        <v>73</v>
      </c>
      <c r="G71" s="2" t="s">
        <v>27</v>
      </c>
      <c r="H71" s="2" t="s">
        <v>203</v>
      </c>
      <c r="I71" s="2" t="s">
        <v>46</v>
      </c>
      <c r="J71" s="2" t="s">
        <v>697</v>
      </c>
      <c r="K71" s="2" t="s">
        <v>46</v>
      </c>
      <c r="L71" s="1" t="s">
        <v>62</v>
      </c>
    </row>
    <row r="72">
      <c r="A72" s="1" t="s">
        <v>589</v>
      </c>
      <c r="B72" s="1" t="s">
        <v>65</v>
      </c>
      <c r="C72" s="2" t="s">
        <v>157</v>
      </c>
      <c r="D72" s="2" t="s">
        <v>68</v>
      </c>
      <c r="E72" s="2" t="s">
        <v>698</v>
      </c>
      <c r="F72" s="2" t="s">
        <v>257</v>
      </c>
      <c r="G72" s="2" t="s">
        <v>351</v>
      </c>
      <c r="H72" s="2" t="s">
        <v>36</v>
      </c>
      <c r="I72" s="2" t="s">
        <v>38</v>
      </c>
      <c r="J72" s="2" t="s">
        <v>702</v>
      </c>
      <c r="K72" s="2" t="s">
        <v>23</v>
      </c>
      <c r="L72" s="1" t="s">
        <v>62</v>
      </c>
    </row>
    <row r="73">
      <c r="A73" s="1" t="s">
        <v>595</v>
      </c>
      <c r="B73" s="1" t="s">
        <v>22</v>
      </c>
      <c r="C73" s="2" t="s">
        <v>95</v>
      </c>
      <c r="D73" s="2" t="s">
        <v>86</v>
      </c>
      <c r="E73" s="2" t="s">
        <v>522</v>
      </c>
      <c r="F73" s="2" t="s">
        <v>247</v>
      </c>
      <c r="G73" s="2" t="s">
        <v>68</v>
      </c>
      <c r="H73" s="2" t="s">
        <v>116</v>
      </c>
      <c r="I73" s="2" t="s">
        <v>117</v>
      </c>
      <c r="J73" s="2" t="s">
        <v>705</v>
      </c>
      <c r="K73" s="2" t="s">
        <v>23</v>
      </c>
      <c r="L73" s="1" t="s">
        <v>62</v>
      </c>
    </row>
    <row r="74">
      <c r="A74" s="1" t="s">
        <v>600</v>
      </c>
      <c r="B74" s="1" t="s">
        <v>170</v>
      </c>
      <c r="C74" s="2" t="s">
        <v>46</v>
      </c>
      <c r="D74" s="2" t="s">
        <v>339</v>
      </c>
      <c r="E74" s="2" t="s">
        <v>708</v>
      </c>
      <c r="F74" s="2" t="s">
        <v>213</v>
      </c>
      <c r="G74" s="2" t="s">
        <v>162</v>
      </c>
      <c r="H74" s="2" t="s">
        <v>575</v>
      </c>
      <c r="I74" s="2" t="s">
        <v>138</v>
      </c>
      <c r="J74" s="2" t="s">
        <v>710</v>
      </c>
      <c r="K74" s="2" t="s">
        <v>23</v>
      </c>
    </row>
    <row r="75">
      <c r="A75" s="1" t="s">
        <v>603</v>
      </c>
      <c r="B75" s="1" t="s">
        <v>65</v>
      </c>
      <c r="C75" s="2" t="s">
        <v>117</v>
      </c>
      <c r="D75" s="2" t="s">
        <v>201</v>
      </c>
      <c r="E75" s="2" t="s">
        <v>151</v>
      </c>
      <c r="F75" s="2" t="s">
        <v>300</v>
      </c>
      <c r="G75" s="2" t="s">
        <v>33</v>
      </c>
      <c r="H75" s="2" t="s">
        <v>218</v>
      </c>
      <c r="I75" s="2" t="s">
        <v>138</v>
      </c>
      <c r="J75" s="2" t="s">
        <v>715</v>
      </c>
      <c r="K75" s="2" t="s">
        <v>95</v>
      </c>
      <c r="L75" s="1" t="s">
        <v>62</v>
      </c>
    </row>
    <row r="76">
      <c r="A76" s="1" t="s">
        <v>606</v>
      </c>
      <c r="B76" s="1" t="s">
        <v>65</v>
      </c>
      <c r="C76" s="2" t="s">
        <v>38</v>
      </c>
      <c r="D76" s="2" t="s">
        <v>68</v>
      </c>
      <c r="E76" s="2" t="s">
        <v>719</v>
      </c>
      <c r="F76" s="2" t="s">
        <v>157</v>
      </c>
      <c r="G76" s="2" t="s">
        <v>162</v>
      </c>
      <c r="H76" s="2" t="s">
        <v>575</v>
      </c>
      <c r="I76" s="2" t="s">
        <v>138</v>
      </c>
      <c r="J76" s="2" t="s">
        <v>724</v>
      </c>
      <c r="K76" s="2" t="s">
        <v>95</v>
      </c>
      <c r="L76" s="1" t="s">
        <v>62</v>
      </c>
    </row>
    <row r="77">
      <c r="A77" s="1" t="s">
        <v>610</v>
      </c>
      <c r="B77" s="1" t="s">
        <v>65</v>
      </c>
      <c r="C77" s="2" t="s">
        <v>46</v>
      </c>
      <c r="D77" s="2" t="s">
        <v>31</v>
      </c>
      <c r="E77" s="2" t="s">
        <v>725</v>
      </c>
      <c r="F77" s="2" t="s">
        <v>201</v>
      </c>
      <c r="G77" s="2" t="s">
        <v>68</v>
      </c>
      <c r="H77" s="2" t="s">
        <v>463</v>
      </c>
      <c r="I77" s="2" t="s">
        <v>58</v>
      </c>
      <c r="J77" s="2" t="s">
        <v>728</v>
      </c>
      <c r="K77" s="2" t="s">
        <v>77</v>
      </c>
      <c r="L77" s="1" t="s">
        <v>113</v>
      </c>
    </row>
    <row r="78">
      <c r="A78" s="1" t="s">
        <v>615</v>
      </c>
      <c r="B78" s="1" t="s">
        <v>65</v>
      </c>
      <c r="C78" s="2" t="s">
        <v>157</v>
      </c>
      <c r="D78" s="2" t="s">
        <v>31</v>
      </c>
      <c r="E78" s="2" t="s">
        <v>732</v>
      </c>
      <c r="F78" s="2" t="s">
        <v>448</v>
      </c>
      <c r="G78" s="2" t="s">
        <v>201</v>
      </c>
      <c r="H78" s="2" t="s">
        <v>497</v>
      </c>
      <c r="I78" s="2" t="s">
        <v>38</v>
      </c>
      <c r="J78" s="2" t="s">
        <v>735</v>
      </c>
      <c r="K78" s="2" t="s">
        <v>77</v>
      </c>
      <c r="L78" s="1" t="s">
        <v>113</v>
      </c>
    </row>
    <row r="79">
      <c r="A79" s="1" t="s">
        <v>619</v>
      </c>
      <c r="B79" s="1" t="s">
        <v>170</v>
      </c>
      <c r="C79" s="2" t="s">
        <v>46</v>
      </c>
      <c r="D79" s="2" t="s">
        <v>33</v>
      </c>
      <c r="E79" s="2" t="s">
        <v>739</v>
      </c>
      <c r="F79" s="2" t="s">
        <v>106</v>
      </c>
      <c r="G79" s="2" t="s">
        <v>300</v>
      </c>
      <c r="H79" s="2" t="s">
        <v>250</v>
      </c>
      <c r="I79" s="2" t="s">
        <v>58</v>
      </c>
      <c r="J79" s="2" t="s">
        <v>742</v>
      </c>
      <c r="K79" s="2" t="s">
        <v>95</v>
      </c>
      <c r="L79" s="1" t="s">
        <v>62</v>
      </c>
    </row>
    <row r="80">
      <c r="A80" s="1" t="s">
        <v>623</v>
      </c>
      <c r="B80" s="1" t="s">
        <v>22</v>
      </c>
      <c r="C80" s="2" t="s">
        <v>38</v>
      </c>
      <c r="D80" s="2" t="s">
        <v>157</v>
      </c>
      <c r="E80" s="2" t="s">
        <v>746</v>
      </c>
      <c r="F80" s="2" t="s">
        <v>27</v>
      </c>
      <c r="G80" s="2" t="s">
        <v>448</v>
      </c>
      <c r="H80" s="2" t="s">
        <v>575</v>
      </c>
      <c r="I80" s="2" t="s">
        <v>58</v>
      </c>
      <c r="J80" s="2" t="s">
        <v>747</v>
      </c>
      <c r="K80" s="2" t="s">
        <v>154</v>
      </c>
      <c r="L80" s="1" t="s">
        <v>62</v>
      </c>
    </row>
    <row r="81">
      <c r="A81" s="1" t="s">
        <v>628</v>
      </c>
      <c r="B81" s="1" t="s">
        <v>22</v>
      </c>
      <c r="C81" s="2" t="s">
        <v>117</v>
      </c>
      <c r="D81" s="2" t="s">
        <v>46</v>
      </c>
      <c r="E81" s="2" t="s">
        <v>584</v>
      </c>
      <c r="F81" s="2" t="s">
        <v>351</v>
      </c>
      <c r="G81" s="2" t="s">
        <v>68</v>
      </c>
      <c r="H81" s="2" t="s">
        <v>116</v>
      </c>
      <c r="I81" s="2" t="s">
        <v>58</v>
      </c>
      <c r="J81" s="2" t="s">
        <v>754</v>
      </c>
      <c r="K81" s="2" t="s">
        <v>46</v>
      </c>
      <c r="L81" s="1" t="s">
        <v>62</v>
      </c>
    </row>
    <row r="82">
      <c r="A82" s="1" t="s">
        <v>633</v>
      </c>
      <c r="B82" s="1" t="s">
        <v>44</v>
      </c>
      <c r="C82" s="2" t="s">
        <v>95</v>
      </c>
      <c r="D82" s="2" t="s">
        <v>186</v>
      </c>
      <c r="E82" s="2" t="s">
        <v>758</v>
      </c>
      <c r="F82" s="2" t="s">
        <v>365</v>
      </c>
      <c r="G82" s="2" t="s">
        <v>104</v>
      </c>
      <c r="H82" s="2" t="s">
        <v>75</v>
      </c>
      <c r="I82" s="2" t="s">
        <v>138</v>
      </c>
      <c r="J82" s="2" t="s">
        <v>761</v>
      </c>
      <c r="K82" s="2" t="s">
        <v>23</v>
      </c>
      <c r="L82" s="1" t="s">
        <v>62</v>
      </c>
    </row>
    <row r="83">
      <c r="A83" s="1" t="s">
        <v>633</v>
      </c>
      <c r="B83" s="1" t="s">
        <v>44</v>
      </c>
      <c r="C83" s="2" t="s">
        <v>95</v>
      </c>
      <c r="D83" s="2" t="s">
        <v>186</v>
      </c>
      <c r="E83" s="2" t="s">
        <v>758</v>
      </c>
      <c r="F83" s="2" t="s">
        <v>365</v>
      </c>
      <c r="G83" s="2" t="s">
        <v>104</v>
      </c>
      <c r="H83" s="2" t="s">
        <v>75</v>
      </c>
      <c r="I83" s="2" t="s">
        <v>138</v>
      </c>
      <c r="J83" s="2" t="s">
        <v>761</v>
      </c>
      <c r="K83" s="2" t="s">
        <v>23</v>
      </c>
      <c r="L83" s="1" t="s">
        <v>62</v>
      </c>
    </row>
    <row r="84">
      <c r="A84" s="1" t="s">
        <v>636</v>
      </c>
      <c r="B84" s="1" t="s">
        <v>22</v>
      </c>
      <c r="C84" s="2" t="s">
        <v>23</v>
      </c>
      <c r="D84" s="2" t="s">
        <v>68</v>
      </c>
      <c r="E84" s="2" t="s">
        <v>560</v>
      </c>
      <c r="F84" s="2" t="s">
        <v>365</v>
      </c>
      <c r="G84" s="2" t="s">
        <v>175</v>
      </c>
      <c r="H84" s="2" t="s">
        <v>75</v>
      </c>
      <c r="I84" s="2" t="s">
        <v>38</v>
      </c>
      <c r="J84" s="2" t="s">
        <v>773</v>
      </c>
      <c r="K84" s="2" t="s">
        <v>95</v>
      </c>
      <c r="L84" s="1" t="s">
        <v>62</v>
      </c>
    </row>
    <row r="85">
      <c r="A85" s="1" t="s">
        <v>640</v>
      </c>
      <c r="B85" s="1" t="s">
        <v>170</v>
      </c>
      <c r="C85" s="2" t="s">
        <v>154</v>
      </c>
      <c r="D85" s="2" t="s">
        <v>71</v>
      </c>
      <c r="E85" s="2" t="s">
        <v>779</v>
      </c>
      <c r="F85" s="2" t="s">
        <v>106</v>
      </c>
      <c r="G85" s="2" t="s">
        <v>104</v>
      </c>
      <c r="H85" s="2" t="s">
        <v>114</v>
      </c>
      <c r="I85" s="2" t="s">
        <v>117</v>
      </c>
      <c r="J85" s="2" t="s">
        <v>781</v>
      </c>
      <c r="K85" s="2" t="s">
        <v>46</v>
      </c>
      <c r="L85" s="1" t="s">
        <v>62</v>
      </c>
    </row>
    <row r="86">
      <c r="A86" s="1" t="s">
        <v>644</v>
      </c>
      <c r="B86" s="1" t="s">
        <v>22</v>
      </c>
      <c r="C86" s="2" t="s">
        <v>95</v>
      </c>
      <c r="D86" s="2" t="s">
        <v>73</v>
      </c>
      <c r="E86" s="2" t="s">
        <v>732</v>
      </c>
      <c r="F86" s="2" t="s">
        <v>154</v>
      </c>
      <c r="G86" s="2" t="s">
        <v>395</v>
      </c>
      <c r="H86" s="2" t="s">
        <v>178</v>
      </c>
      <c r="I86" s="2" t="s">
        <v>77</v>
      </c>
      <c r="J86" s="2" t="s">
        <v>787</v>
      </c>
      <c r="K86" s="2" t="s">
        <v>117</v>
      </c>
      <c r="L86" s="1" t="s">
        <v>113</v>
      </c>
    </row>
    <row r="87">
      <c r="A87" s="1" t="s">
        <v>649</v>
      </c>
      <c r="B87" s="1" t="s">
        <v>22</v>
      </c>
      <c r="C87" s="2" t="s">
        <v>95</v>
      </c>
      <c r="D87" s="2" t="s">
        <v>245</v>
      </c>
      <c r="E87" s="2" t="s">
        <v>792</v>
      </c>
      <c r="F87" s="2" t="s">
        <v>23</v>
      </c>
      <c r="G87" s="2" t="s">
        <v>395</v>
      </c>
      <c r="H87" s="2" t="s">
        <v>92</v>
      </c>
      <c r="I87" s="2" t="s">
        <v>58</v>
      </c>
      <c r="J87" s="2" t="s">
        <v>793</v>
      </c>
      <c r="K87" s="2" t="s">
        <v>23</v>
      </c>
      <c r="L87" s="1" t="s">
        <v>113</v>
      </c>
    </row>
    <row r="88">
      <c r="A88" s="1" t="s">
        <v>653</v>
      </c>
      <c r="B88" s="1" t="s">
        <v>65</v>
      </c>
      <c r="C88" s="2" t="s">
        <v>154</v>
      </c>
      <c r="D88" s="2" t="s">
        <v>201</v>
      </c>
      <c r="E88" s="2" t="s">
        <v>796</v>
      </c>
      <c r="F88" s="2" t="s">
        <v>448</v>
      </c>
      <c r="G88" s="2" t="s">
        <v>73</v>
      </c>
      <c r="H88" s="2" t="s">
        <v>116</v>
      </c>
      <c r="I88" s="2" t="s">
        <v>46</v>
      </c>
      <c r="J88" s="2" t="s">
        <v>799</v>
      </c>
      <c r="K88" s="2" t="s">
        <v>23</v>
      </c>
      <c r="L88" s="1" t="s">
        <v>62</v>
      </c>
    </row>
    <row r="89">
      <c r="A89" s="1" t="s">
        <v>657</v>
      </c>
      <c r="B89" s="1" t="s">
        <v>65</v>
      </c>
      <c r="C89" s="2" t="s">
        <v>46</v>
      </c>
      <c r="D89" s="2" t="s">
        <v>351</v>
      </c>
      <c r="E89" s="2" t="s">
        <v>246</v>
      </c>
      <c r="F89" s="2" t="s">
        <v>491</v>
      </c>
      <c r="G89" s="2" t="s">
        <v>54</v>
      </c>
      <c r="H89" s="2" t="s">
        <v>75</v>
      </c>
      <c r="I89" s="2" t="s">
        <v>58</v>
      </c>
      <c r="J89" s="2" t="s">
        <v>807</v>
      </c>
      <c r="K89" s="2" t="s">
        <v>157</v>
      </c>
      <c r="L89" s="1" t="s">
        <v>62</v>
      </c>
    </row>
    <row r="90">
      <c r="A90" s="1" t="s">
        <v>661</v>
      </c>
      <c r="B90" s="1" t="s">
        <v>44</v>
      </c>
      <c r="C90" s="2" t="s">
        <v>154</v>
      </c>
      <c r="D90" s="2" t="s">
        <v>808</v>
      </c>
      <c r="E90" s="2" t="s">
        <v>809</v>
      </c>
      <c r="F90" s="2" t="s">
        <v>338</v>
      </c>
      <c r="G90" s="2" t="s">
        <v>339</v>
      </c>
      <c r="H90" s="2" t="s">
        <v>75</v>
      </c>
      <c r="I90" s="2" t="s">
        <v>38</v>
      </c>
      <c r="J90" s="2" t="s">
        <v>813</v>
      </c>
      <c r="K90" s="2" t="s">
        <v>38</v>
      </c>
      <c r="L90" s="1" t="s">
        <v>113</v>
      </c>
    </row>
    <row r="91">
      <c r="A91" s="1" t="s">
        <v>665</v>
      </c>
      <c r="B91" s="1" t="s">
        <v>84</v>
      </c>
      <c r="C91" s="2" t="s">
        <v>117</v>
      </c>
      <c r="D91" s="2" t="s">
        <v>300</v>
      </c>
      <c r="E91" s="2" t="s">
        <v>816</v>
      </c>
      <c r="F91" s="2" t="s">
        <v>199</v>
      </c>
      <c r="G91" s="2" t="s">
        <v>351</v>
      </c>
      <c r="H91" s="2" t="s">
        <v>250</v>
      </c>
      <c r="I91" s="2" t="s">
        <v>38</v>
      </c>
      <c r="J91" s="2" t="s">
        <v>818</v>
      </c>
      <c r="K91" s="2" t="s">
        <v>38</v>
      </c>
      <c r="L91" s="1" t="s">
        <v>113</v>
      </c>
    </row>
    <row r="92">
      <c r="A92" s="1" t="s">
        <v>671</v>
      </c>
      <c r="B92" s="1" t="s">
        <v>22</v>
      </c>
      <c r="C92" s="2" t="s">
        <v>290</v>
      </c>
      <c r="D92" s="2" t="s">
        <v>245</v>
      </c>
      <c r="E92" s="2" t="s">
        <v>719</v>
      </c>
      <c r="F92" s="2" t="s">
        <v>201</v>
      </c>
      <c r="G92" s="2" t="s">
        <v>71</v>
      </c>
      <c r="H92" s="2" t="s">
        <v>56</v>
      </c>
      <c r="I92" s="2" t="s">
        <v>138</v>
      </c>
      <c r="J92" s="2" t="s">
        <v>824</v>
      </c>
      <c r="K92" s="2" t="s">
        <v>117</v>
      </c>
      <c r="L92" s="1" t="s">
        <v>113</v>
      </c>
    </row>
    <row r="93">
      <c r="A93" s="1" t="s">
        <v>674</v>
      </c>
      <c r="B93" s="1" t="s">
        <v>65</v>
      </c>
      <c r="C93" s="2" t="s">
        <v>95</v>
      </c>
      <c r="D93" s="2" t="s">
        <v>365</v>
      </c>
      <c r="E93" s="2" t="s">
        <v>203</v>
      </c>
      <c r="F93" s="2" t="s">
        <v>186</v>
      </c>
      <c r="G93" s="2" t="s">
        <v>290</v>
      </c>
      <c r="H93" s="2" t="s">
        <v>116</v>
      </c>
      <c r="I93" s="2" t="s">
        <v>46</v>
      </c>
      <c r="J93" s="2" t="s">
        <v>832</v>
      </c>
      <c r="K93" s="2" t="s">
        <v>117</v>
      </c>
      <c r="L93" s="1" t="s">
        <v>113</v>
      </c>
    </row>
    <row r="94">
      <c r="A94" s="1" t="s">
        <v>679</v>
      </c>
      <c r="B94" s="1" t="s">
        <v>65</v>
      </c>
      <c r="C94" s="2" t="s">
        <v>154</v>
      </c>
      <c r="D94" s="2" t="s">
        <v>808</v>
      </c>
      <c r="E94" s="2" t="s">
        <v>396</v>
      </c>
      <c r="F94" s="2" t="s">
        <v>224</v>
      </c>
      <c r="G94" s="2" t="s">
        <v>186</v>
      </c>
      <c r="H94" s="2" t="s">
        <v>575</v>
      </c>
      <c r="I94" s="2" t="s">
        <v>58</v>
      </c>
      <c r="J94" s="2" t="s">
        <v>835</v>
      </c>
      <c r="K94" s="2" t="s">
        <v>167</v>
      </c>
      <c r="L94" s="1" t="s">
        <v>62</v>
      </c>
    </row>
    <row r="95">
      <c r="A95" s="1" t="s">
        <v>683</v>
      </c>
      <c r="B95" s="1" t="s">
        <v>84</v>
      </c>
      <c r="C95" s="2" t="s">
        <v>46</v>
      </c>
      <c r="D95" s="2" t="s">
        <v>106</v>
      </c>
      <c r="E95" s="2" t="s">
        <v>839</v>
      </c>
      <c r="F95" s="2" t="s">
        <v>247</v>
      </c>
      <c r="G95" s="2" t="s">
        <v>224</v>
      </c>
      <c r="H95" s="2" t="s">
        <v>108</v>
      </c>
      <c r="I95" s="2" t="s">
        <v>38</v>
      </c>
      <c r="J95" s="2" t="s">
        <v>842</v>
      </c>
      <c r="K95" s="2" t="s">
        <v>95</v>
      </c>
      <c r="L95" s="1" t="s">
        <v>62</v>
      </c>
    </row>
    <row r="96">
      <c r="A96" s="1" t="s">
        <v>687</v>
      </c>
      <c r="B96" s="1" t="s">
        <v>65</v>
      </c>
      <c r="C96" s="2" t="s">
        <v>77</v>
      </c>
      <c r="D96" s="2" t="s">
        <v>167</v>
      </c>
      <c r="E96" s="2" t="s">
        <v>846</v>
      </c>
      <c r="F96" s="2" t="s">
        <v>339</v>
      </c>
      <c r="G96" s="2" t="s">
        <v>54</v>
      </c>
      <c r="H96" s="2" t="s">
        <v>92</v>
      </c>
      <c r="I96" s="2" t="s">
        <v>46</v>
      </c>
      <c r="J96" s="2" t="s">
        <v>847</v>
      </c>
      <c r="K96" s="2" t="s">
        <v>154</v>
      </c>
      <c r="L96" s="1" t="s">
        <v>62</v>
      </c>
    </row>
    <row r="97">
      <c r="A97" s="1" t="s">
        <v>693</v>
      </c>
      <c r="B97" s="1" t="s">
        <v>84</v>
      </c>
      <c r="C97" s="2" t="s">
        <v>95</v>
      </c>
      <c r="D97" s="2" t="s">
        <v>199</v>
      </c>
      <c r="E97" s="2" t="s">
        <v>114</v>
      </c>
      <c r="F97" s="2" t="s">
        <v>167</v>
      </c>
      <c r="G97" s="2" t="s">
        <v>106</v>
      </c>
      <c r="H97" s="2" t="s">
        <v>116</v>
      </c>
      <c r="I97" s="2" t="s">
        <v>58</v>
      </c>
      <c r="J97" s="2" t="s">
        <v>852</v>
      </c>
      <c r="K97" s="2" t="s">
        <v>167</v>
      </c>
      <c r="L97" s="1" t="s">
        <v>62</v>
      </c>
    </row>
    <row r="98">
      <c r="A98" s="1" t="s">
        <v>695</v>
      </c>
      <c r="B98" s="1" t="s">
        <v>84</v>
      </c>
      <c r="C98" s="2" t="s">
        <v>167</v>
      </c>
      <c r="D98" s="2" t="s">
        <v>365</v>
      </c>
      <c r="E98" s="2" t="s">
        <v>855</v>
      </c>
      <c r="F98" s="2" t="s">
        <v>267</v>
      </c>
      <c r="G98" s="2" t="s">
        <v>224</v>
      </c>
      <c r="H98" s="2" t="s">
        <v>108</v>
      </c>
      <c r="I98" s="2" t="s">
        <v>46</v>
      </c>
      <c r="J98" s="2" t="s">
        <v>859</v>
      </c>
      <c r="K98" s="2" t="s">
        <v>95</v>
      </c>
    </row>
    <row r="99">
      <c r="A99" s="1" t="s">
        <v>701</v>
      </c>
      <c r="B99" s="1" t="s">
        <v>84</v>
      </c>
      <c r="C99" s="2" t="s">
        <v>95</v>
      </c>
      <c r="D99" s="2" t="s">
        <v>71</v>
      </c>
      <c r="E99" s="2" t="s">
        <v>88</v>
      </c>
      <c r="F99" s="2" t="s">
        <v>351</v>
      </c>
      <c r="G99" s="2" t="s">
        <v>213</v>
      </c>
      <c r="H99" s="2" t="s">
        <v>463</v>
      </c>
      <c r="I99" s="2" t="s">
        <v>77</v>
      </c>
      <c r="J99" s="2" t="s">
        <v>863</v>
      </c>
      <c r="K99" s="2" t="s">
        <v>167</v>
      </c>
      <c r="L99" s="1" t="s">
        <v>62</v>
      </c>
    </row>
    <row r="100">
      <c r="A100" s="1" t="s">
        <v>704</v>
      </c>
      <c r="B100" s="1" t="s">
        <v>170</v>
      </c>
      <c r="C100" s="2" t="s">
        <v>117</v>
      </c>
      <c r="D100" s="2" t="s">
        <v>245</v>
      </c>
      <c r="E100" s="2" t="s">
        <v>868</v>
      </c>
      <c r="F100" s="2" t="s">
        <v>869</v>
      </c>
      <c r="G100" s="2" t="s">
        <v>339</v>
      </c>
      <c r="H100" s="2" t="s">
        <v>56</v>
      </c>
      <c r="I100" s="2" t="s">
        <v>58</v>
      </c>
      <c r="J100" s="2" t="s">
        <v>206</v>
      </c>
      <c r="K100" s="2" t="s">
        <v>117</v>
      </c>
      <c r="L100" s="1" t="s">
        <v>62</v>
      </c>
    </row>
    <row r="101">
      <c r="A101" s="1" t="s">
        <v>707</v>
      </c>
      <c r="B101" s="1" t="s">
        <v>22</v>
      </c>
      <c r="C101" s="2" t="s">
        <v>38</v>
      </c>
      <c r="D101" s="2" t="s">
        <v>106</v>
      </c>
      <c r="E101" s="2" t="s">
        <v>198</v>
      </c>
      <c r="F101" s="2" t="s">
        <v>287</v>
      </c>
      <c r="G101" s="2" t="s">
        <v>395</v>
      </c>
      <c r="H101" s="2" t="s">
        <v>412</v>
      </c>
      <c r="I101" s="2" t="s">
        <v>46</v>
      </c>
      <c r="J101" s="2" t="s">
        <v>879</v>
      </c>
      <c r="K101" s="2" t="s">
        <v>117</v>
      </c>
      <c r="L101" s="1" t="s">
        <v>113</v>
      </c>
    </row>
    <row r="102">
      <c r="A102" s="1" t="s">
        <v>712</v>
      </c>
      <c r="B102" s="1" t="s">
        <v>170</v>
      </c>
      <c r="C102" s="2" t="s">
        <v>23</v>
      </c>
      <c r="D102" s="2" t="s">
        <v>149</v>
      </c>
      <c r="E102" s="2" t="s">
        <v>882</v>
      </c>
      <c r="F102" s="2" t="s">
        <v>54</v>
      </c>
      <c r="G102" s="2" t="s">
        <v>201</v>
      </c>
      <c r="H102" s="2" t="s">
        <v>463</v>
      </c>
      <c r="I102" s="2" t="s">
        <v>58</v>
      </c>
      <c r="J102" s="2" t="s">
        <v>887</v>
      </c>
      <c r="K102" s="2" t="s">
        <v>95</v>
      </c>
      <c r="L102" s="1" t="s">
        <v>62</v>
      </c>
    </row>
    <row r="103">
      <c r="A103" s="1" t="s">
        <v>717</v>
      </c>
      <c r="B103" s="1" t="s">
        <v>65</v>
      </c>
      <c r="C103" s="2" t="s">
        <v>38</v>
      </c>
      <c r="D103" s="2" t="s">
        <v>213</v>
      </c>
      <c r="E103" s="2" t="s">
        <v>890</v>
      </c>
      <c r="F103" s="2" t="s">
        <v>162</v>
      </c>
      <c r="G103" s="2" t="s">
        <v>290</v>
      </c>
      <c r="H103" s="2" t="s">
        <v>203</v>
      </c>
      <c r="I103" s="2" t="s">
        <v>46</v>
      </c>
      <c r="J103" s="2" t="s">
        <v>893</v>
      </c>
      <c r="K103" s="2" t="s">
        <v>46</v>
      </c>
      <c r="L103" s="1" t="s">
        <v>62</v>
      </c>
    </row>
    <row r="104">
      <c r="A104" s="1" t="s">
        <v>722</v>
      </c>
      <c r="B104" s="1" t="s">
        <v>22</v>
      </c>
      <c r="C104" s="2" t="s">
        <v>38</v>
      </c>
      <c r="D104" s="2" t="s">
        <v>31</v>
      </c>
      <c r="E104" s="2" t="s">
        <v>896</v>
      </c>
      <c r="F104" s="2" t="s">
        <v>167</v>
      </c>
      <c r="G104" s="2" t="s">
        <v>339</v>
      </c>
      <c r="H104" s="2" t="s">
        <v>116</v>
      </c>
      <c r="I104" s="2" t="s">
        <v>46</v>
      </c>
      <c r="J104" s="2" t="s">
        <v>899</v>
      </c>
      <c r="K104" s="2" t="s">
        <v>58</v>
      </c>
      <c r="L104" s="1" t="s">
        <v>113</v>
      </c>
    </row>
    <row r="105">
      <c r="A105" s="1" t="s">
        <v>727</v>
      </c>
      <c r="B105" s="1" t="s">
        <v>84</v>
      </c>
      <c r="C105" s="2" t="s">
        <v>23</v>
      </c>
      <c r="D105" s="2" t="s">
        <v>300</v>
      </c>
      <c r="E105" s="2" t="s">
        <v>904</v>
      </c>
      <c r="F105" s="2" t="s">
        <v>31</v>
      </c>
      <c r="G105" s="2" t="s">
        <v>106</v>
      </c>
      <c r="H105" s="2" t="s">
        <v>497</v>
      </c>
      <c r="I105" s="2" t="s">
        <v>117</v>
      </c>
      <c r="J105" s="2" t="s">
        <v>908</v>
      </c>
      <c r="K105" s="2" t="s">
        <v>77</v>
      </c>
    </row>
    <row r="106">
      <c r="A106" s="1" t="s">
        <v>730</v>
      </c>
      <c r="B106" s="1" t="s">
        <v>44</v>
      </c>
      <c r="C106" s="2" t="s">
        <v>95</v>
      </c>
      <c r="D106" s="2" t="s">
        <v>71</v>
      </c>
      <c r="E106" s="2" t="s">
        <v>297</v>
      </c>
      <c r="F106" s="2" t="s">
        <v>53</v>
      </c>
      <c r="G106" s="2" t="s">
        <v>395</v>
      </c>
      <c r="H106" s="2" t="s">
        <v>203</v>
      </c>
      <c r="I106" s="2" t="s">
        <v>138</v>
      </c>
      <c r="J106" s="2" t="s">
        <v>914</v>
      </c>
      <c r="K106" s="2" t="s">
        <v>38</v>
      </c>
      <c r="L106" s="1" t="s">
        <v>113</v>
      </c>
    </row>
    <row r="107">
      <c r="A107" s="1" t="s">
        <v>737</v>
      </c>
      <c r="B107" s="1" t="s">
        <v>22</v>
      </c>
      <c r="C107" s="2" t="s">
        <v>23</v>
      </c>
      <c r="D107" s="2" t="s">
        <v>86</v>
      </c>
      <c r="E107" s="2" t="s">
        <v>917</v>
      </c>
      <c r="F107" s="2" t="s">
        <v>247</v>
      </c>
      <c r="G107" s="2" t="s">
        <v>68</v>
      </c>
      <c r="H107" s="2" t="s">
        <v>250</v>
      </c>
      <c r="I107" s="2" t="s">
        <v>38</v>
      </c>
      <c r="J107" s="2" t="s">
        <v>920</v>
      </c>
      <c r="K107" s="2" t="s">
        <v>157</v>
      </c>
      <c r="L107" s="1" t="s">
        <v>62</v>
      </c>
    </row>
    <row r="108">
      <c r="A108" s="1" t="s">
        <v>741</v>
      </c>
      <c r="B108" s="1" t="s">
        <v>22</v>
      </c>
      <c r="C108" s="2" t="s">
        <v>38</v>
      </c>
      <c r="D108" s="2" t="s">
        <v>395</v>
      </c>
      <c r="E108" s="2" t="s">
        <v>108</v>
      </c>
      <c r="F108" s="2" t="s">
        <v>73</v>
      </c>
      <c r="G108" s="2" t="s">
        <v>48</v>
      </c>
      <c r="H108" s="2" t="s">
        <v>497</v>
      </c>
      <c r="I108" s="2" t="s">
        <v>46</v>
      </c>
      <c r="J108" s="2" t="s">
        <v>926</v>
      </c>
      <c r="K108" s="2" t="s">
        <v>95</v>
      </c>
      <c r="L108" s="1" t="s">
        <v>62</v>
      </c>
    </row>
    <row r="109">
      <c r="A109" s="1" t="s">
        <v>744</v>
      </c>
      <c r="B109" s="1" t="s">
        <v>65</v>
      </c>
      <c r="C109" s="2" t="s">
        <v>23</v>
      </c>
      <c r="D109" s="2" t="s">
        <v>245</v>
      </c>
      <c r="E109" s="2" t="s">
        <v>929</v>
      </c>
      <c r="F109" s="2" t="s">
        <v>365</v>
      </c>
      <c r="G109" s="2" t="s">
        <v>104</v>
      </c>
      <c r="H109" s="2" t="s">
        <v>36</v>
      </c>
      <c r="I109" s="2" t="s">
        <v>138</v>
      </c>
      <c r="J109" s="2" t="s">
        <v>932</v>
      </c>
      <c r="K109" s="2" t="s">
        <v>38</v>
      </c>
      <c r="L109" s="1" t="s">
        <v>113</v>
      </c>
    </row>
    <row r="110">
      <c r="A110" s="1" t="s">
        <v>749</v>
      </c>
      <c r="B110" s="1" t="s">
        <v>22</v>
      </c>
      <c r="C110" s="2" t="s">
        <v>38</v>
      </c>
      <c r="D110" s="2" t="s">
        <v>300</v>
      </c>
      <c r="E110" s="2" t="s">
        <v>457</v>
      </c>
      <c r="F110" s="2" t="s">
        <v>175</v>
      </c>
      <c r="G110" s="2" t="s">
        <v>339</v>
      </c>
      <c r="H110" s="2" t="s">
        <v>310</v>
      </c>
      <c r="I110" s="2" t="s">
        <v>77</v>
      </c>
      <c r="J110" s="2" t="s">
        <v>938</v>
      </c>
      <c r="K110" s="2" t="s">
        <v>46</v>
      </c>
      <c r="L110" s="1" t="s">
        <v>113</v>
      </c>
    </row>
    <row r="111">
      <c r="A111" s="1" t="s">
        <v>751</v>
      </c>
      <c r="B111" s="1" t="s">
        <v>170</v>
      </c>
      <c r="C111" s="2" t="s">
        <v>38</v>
      </c>
      <c r="D111" s="2" t="s">
        <v>154</v>
      </c>
      <c r="E111" s="2" t="s">
        <v>944</v>
      </c>
      <c r="F111" s="2" t="s">
        <v>135</v>
      </c>
      <c r="G111" s="2" t="s">
        <v>186</v>
      </c>
      <c r="H111" s="2" t="s">
        <v>92</v>
      </c>
      <c r="I111" s="2" t="s">
        <v>77</v>
      </c>
      <c r="J111" s="2" t="s">
        <v>948</v>
      </c>
      <c r="K111" s="2" t="s">
        <v>117</v>
      </c>
      <c r="L111" s="1" t="s">
        <v>113</v>
      </c>
    </row>
    <row r="112">
      <c r="A112" s="1" t="s">
        <v>756</v>
      </c>
      <c r="B112" s="1" t="s">
        <v>22</v>
      </c>
      <c r="C112" s="2" t="s">
        <v>95</v>
      </c>
      <c r="D112" s="2" t="s">
        <v>248</v>
      </c>
      <c r="E112" s="2" t="s">
        <v>951</v>
      </c>
      <c r="F112" s="2" t="s">
        <v>33</v>
      </c>
      <c r="G112" s="2" t="s">
        <v>351</v>
      </c>
      <c r="H112" s="2" t="s">
        <v>114</v>
      </c>
      <c r="I112" s="2" t="s">
        <v>117</v>
      </c>
      <c r="J112" s="2" t="s">
        <v>953</v>
      </c>
      <c r="K112" s="2" t="s">
        <v>117</v>
      </c>
      <c r="L112" s="1" t="s">
        <v>113</v>
      </c>
    </row>
    <row r="113">
      <c r="A113" s="1" t="s">
        <v>762</v>
      </c>
      <c r="B113" s="1" t="s">
        <v>22</v>
      </c>
      <c r="C113" s="2" t="s">
        <v>23</v>
      </c>
      <c r="D113" s="2" t="s">
        <v>135</v>
      </c>
      <c r="E113" s="2" t="s">
        <v>955</v>
      </c>
      <c r="F113" s="2" t="s">
        <v>247</v>
      </c>
      <c r="G113" s="2" t="s">
        <v>186</v>
      </c>
      <c r="H113" s="2" t="s">
        <v>163</v>
      </c>
      <c r="I113" s="2" t="s">
        <v>38</v>
      </c>
      <c r="J113" s="2" t="s">
        <v>960</v>
      </c>
      <c r="K113" s="2" t="s">
        <v>77</v>
      </c>
      <c r="L113" s="1" t="s">
        <v>113</v>
      </c>
    </row>
    <row r="114">
      <c r="A114" s="1" t="s">
        <v>766</v>
      </c>
      <c r="B114" s="1" t="s">
        <v>44</v>
      </c>
      <c r="C114" s="2" t="s">
        <v>95</v>
      </c>
      <c r="D114" s="2" t="s">
        <v>73</v>
      </c>
      <c r="E114" s="2" t="s">
        <v>868</v>
      </c>
      <c r="F114" s="2" t="s">
        <v>224</v>
      </c>
      <c r="G114" s="2" t="s">
        <v>224</v>
      </c>
      <c r="H114" s="2" t="s">
        <v>575</v>
      </c>
      <c r="I114" s="2" t="s">
        <v>117</v>
      </c>
      <c r="J114" s="2" t="s">
        <v>710</v>
      </c>
      <c r="K114" s="2" t="s">
        <v>157</v>
      </c>
      <c r="L114" s="1" t="s">
        <v>62</v>
      </c>
    </row>
    <row r="115">
      <c r="A115" s="1" t="s">
        <v>768</v>
      </c>
      <c r="B115" s="1" t="s">
        <v>65</v>
      </c>
      <c r="C115" s="2" t="s">
        <v>117</v>
      </c>
      <c r="D115" s="2" t="s">
        <v>300</v>
      </c>
      <c r="E115" s="2" t="s">
        <v>384</v>
      </c>
      <c r="F115" s="2" t="s">
        <v>86</v>
      </c>
      <c r="G115" s="2" t="s">
        <v>86</v>
      </c>
      <c r="H115" s="2" t="s">
        <v>575</v>
      </c>
      <c r="I115" s="2" t="s">
        <v>46</v>
      </c>
      <c r="J115" s="1" t="s">
        <v>970</v>
      </c>
      <c r="K115" s="2" t="s">
        <v>77</v>
      </c>
      <c r="L115" s="1" t="s">
        <v>113</v>
      </c>
    </row>
    <row r="116">
      <c r="A116" s="1" t="s">
        <v>771</v>
      </c>
      <c r="B116" s="1" t="s">
        <v>65</v>
      </c>
      <c r="C116" s="2" t="s">
        <v>46</v>
      </c>
      <c r="D116" s="2" t="s">
        <v>68</v>
      </c>
      <c r="E116" s="2" t="s">
        <v>971</v>
      </c>
      <c r="F116" s="2" t="s">
        <v>175</v>
      </c>
      <c r="G116" s="2" t="s">
        <v>104</v>
      </c>
      <c r="H116" s="2" t="s">
        <v>270</v>
      </c>
      <c r="I116" s="2" t="s">
        <v>46</v>
      </c>
      <c r="J116" s="2" t="s">
        <v>972</v>
      </c>
      <c r="K116" s="2" t="s">
        <v>95</v>
      </c>
      <c r="L116" s="1" t="s">
        <v>62</v>
      </c>
    </row>
    <row r="117">
      <c r="A117" s="1" t="s">
        <v>775</v>
      </c>
      <c r="B117" s="1" t="s">
        <v>44</v>
      </c>
      <c r="C117" s="2" t="s">
        <v>157</v>
      </c>
      <c r="D117" s="2" t="s">
        <v>162</v>
      </c>
      <c r="E117" s="2" t="s">
        <v>973</v>
      </c>
      <c r="F117" s="2" t="s">
        <v>265</v>
      </c>
      <c r="G117" s="2" t="s">
        <v>338</v>
      </c>
      <c r="H117" s="2" t="s">
        <v>203</v>
      </c>
      <c r="I117" s="2" t="s">
        <v>117</v>
      </c>
      <c r="J117" s="2" t="s">
        <v>974</v>
      </c>
      <c r="K117" s="2" t="s">
        <v>157</v>
      </c>
      <c r="L117" s="1" t="s">
        <v>62</v>
      </c>
    </row>
    <row r="118">
      <c r="A118" s="1" t="s">
        <v>780</v>
      </c>
      <c r="B118" s="1" t="s">
        <v>65</v>
      </c>
      <c r="C118" s="2" t="s">
        <v>95</v>
      </c>
      <c r="D118" s="2" t="s">
        <v>224</v>
      </c>
      <c r="E118" s="2" t="s">
        <v>651</v>
      </c>
      <c r="F118" s="2" t="s">
        <v>290</v>
      </c>
      <c r="G118" s="2" t="s">
        <v>808</v>
      </c>
      <c r="H118" s="2" t="s">
        <v>36</v>
      </c>
      <c r="I118" s="2" t="s">
        <v>117</v>
      </c>
      <c r="J118" s="2" t="s">
        <v>976</v>
      </c>
      <c r="K118" s="2" t="s">
        <v>46</v>
      </c>
      <c r="L118" s="1" t="s">
        <v>113</v>
      </c>
    </row>
    <row r="119">
      <c r="A119" s="1" t="s">
        <v>783</v>
      </c>
      <c r="B119" s="1" t="s">
        <v>22</v>
      </c>
      <c r="C119" s="2" t="s">
        <v>23</v>
      </c>
      <c r="D119" s="2" t="s">
        <v>149</v>
      </c>
      <c r="E119" s="2" t="s">
        <v>278</v>
      </c>
      <c r="F119" s="2" t="s">
        <v>491</v>
      </c>
      <c r="G119" s="2" t="s">
        <v>201</v>
      </c>
      <c r="H119" s="2" t="s">
        <v>151</v>
      </c>
      <c r="I119" s="2" t="s">
        <v>38</v>
      </c>
      <c r="J119" s="2" t="s">
        <v>981</v>
      </c>
      <c r="K119" s="2" t="s">
        <v>38</v>
      </c>
      <c r="L119" s="1" t="s">
        <v>113</v>
      </c>
    </row>
    <row r="120">
      <c r="A120" s="1" t="s">
        <v>786</v>
      </c>
      <c r="B120" s="1" t="s">
        <v>44</v>
      </c>
      <c r="C120" s="2" t="s">
        <v>46</v>
      </c>
      <c r="D120" s="2" t="s">
        <v>395</v>
      </c>
      <c r="E120" s="2" t="s">
        <v>984</v>
      </c>
      <c r="F120" s="2" t="s">
        <v>448</v>
      </c>
      <c r="G120" s="2" t="s">
        <v>186</v>
      </c>
      <c r="H120" s="2" t="s">
        <v>270</v>
      </c>
      <c r="I120" s="2" t="s">
        <v>117</v>
      </c>
      <c r="J120" s="2" t="s">
        <v>987</v>
      </c>
      <c r="K120" s="2" t="s">
        <v>157</v>
      </c>
      <c r="L120" s="1" t="s">
        <v>62</v>
      </c>
    </row>
    <row r="121">
      <c r="A121" s="1" t="s">
        <v>791</v>
      </c>
      <c r="B121" s="1" t="s">
        <v>84</v>
      </c>
      <c r="C121" s="2" t="s">
        <v>38</v>
      </c>
      <c r="D121" s="2" t="s">
        <v>245</v>
      </c>
      <c r="E121" s="2" t="s">
        <v>990</v>
      </c>
      <c r="F121" s="2" t="s">
        <v>154</v>
      </c>
      <c r="G121" s="2" t="s">
        <v>287</v>
      </c>
      <c r="H121" s="2" t="s">
        <v>203</v>
      </c>
      <c r="I121" s="2" t="s">
        <v>138</v>
      </c>
      <c r="J121" s="2" t="s">
        <v>993</v>
      </c>
      <c r="K121" s="2" t="s">
        <v>77</v>
      </c>
      <c r="L121" s="1" t="s">
        <v>113</v>
      </c>
    </row>
    <row r="122">
      <c r="A122" s="1" t="s">
        <v>795</v>
      </c>
      <c r="B122" s="1" t="s">
        <v>65</v>
      </c>
      <c r="C122" s="2" t="s">
        <v>38</v>
      </c>
      <c r="D122" s="2" t="s">
        <v>31</v>
      </c>
      <c r="E122" s="2" t="s">
        <v>996</v>
      </c>
      <c r="F122" s="2" t="s">
        <v>290</v>
      </c>
      <c r="G122" s="2" t="s">
        <v>351</v>
      </c>
      <c r="H122" s="2" t="s">
        <v>250</v>
      </c>
      <c r="I122" s="2" t="s">
        <v>77</v>
      </c>
      <c r="J122" s="2" t="s">
        <v>1000</v>
      </c>
      <c r="K122" s="2" t="s">
        <v>77</v>
      </c>
      <c r="L122" s="1" t="s">
        <v>113</v>
      </c>
    </row>
    <row r="123">
      <c r="A123" s="1" t="s">
        <v>798</v>
      </c>
      <c r="B123" s="1" t="s">
        <v>44</v>
      </c>
      <c r="C123" s="2" t="s">
        <v>157</v>
      </c>
      <c r="D123" s="2" t="s">
        <v>175</v>
      </c>
      <c r="E123" s="2" t="s">
        <v>708</v>
      </c>
      <c r="F123" s="2" t="s">
        <v>53</v>
      </c>
      <c r="G123" s="2" t="s">
        <v>265</v>
      </c>
      <c r="I123" s="2" t="s">
        <v>38</v>
      </c>
      <c r="J123" s="2" t="s">
        <v>1007</v>
      </c>
      <c r="K123" s="2" t="s">
        <v>58</v>
      </c>
      <c r="L123" s="1" t="s">
        <v>113</v>
      </c>
    </row>
    <row r="124">
      <c r="A124" s="1" t="s">
        <v>801</v>
      </c>
      <c r="B124" s="1" t="s">
        <v>22</v>
      </c>
      <c r="C124" s="2" t="s">
        <v>157</v>
      </c>
      <c r="D124" s="2" t="s">
        <v>245</v>
      </c>
      <c r="E124" s="2" t="s">
        <v>685</v>
      </c>
      <c r="F124" s="2" t="s">
        <v>167</v>
      </c>
      <c r="G124" s="2" t="s">
        <v>31</v>
      </c>
      <c r="H124" s="2" t="s">
        <v>151</v>
      </c>
      <c r="I124" s="2" t="s">
        <v>138</v>
      </c>
      <c r="J124" s="2" t="s">
        <v>1009</v>
      </c>
      <c r="K124" s="2" t="s">
        <v>58</v>
      </c>
      <c r="L124" s="1" t="s">
        <v>113</v>
      </c>
    </row>
    <row r="125">
      <c r="A125" s="1" t="s">
        <v>805</v>
      </c>
      <c r="B125" s="1" t="s">
        <v>22</v>
      </c>
      <c r="C125" s="2" t="s">
        <v>95</v>
      </c>
      <c r="D125" s="2" t="s">
        <v>339</v>
      </c>
      <c r="E125" s="2" t="s">
        <v>996</v>
      </c>
      <c r="F125" s="2" t="s">
        <v>387</v>
      </c>
      <c r="G125" s="2" t="s">
        <v>339</v>
      </c>
      <c r="H125" s="2" t="s">
        <v>163</v>
      </c>
      <c r="I125" s="2" t="s">
        <v>117</v>
      </c>
      <c r="J125" s="2" t="s">
        <v>1014</v>
      </c>
      <c r="K125" s="2" t="s">
        <v>157</v>
      </c>
      <c r="L125" s="1" t="s">
        <v>62</v>
      </c>
    </row>
    <row r="126">
      <c r="A126" s="1" t="s">
        <v>811</v>
      </c>
      <c r="B126" s="1" t="s">
        <v>22</v>
      </c>
      <c r="C126" s="2" t="s">
        <v>95</v>
      </c>
      <c r="D126" s="2" t="s">
        <v>104</v>
      </c>
      <c r="E126" s="2" t="s">
        <v>685</v>
      </c>
      <c r="F126" s="2" t="s">
        <v>68</v>
      </c>
      <c r="G126" s="2" t="s">
        <v>448</v>
      </c>
      <c r="H126" s="2" t="s">
        <v>203</v>
      </c>
      <c r="I126" s="2" t="s">
        <v>138</v>
      </c>
      <c r="J126" s="2" t="s">
        <v>1022</v>
      </c>
      <c r="K126" s="2" t="s">
        <v>38</v>
      </c>
      <c r="L126" s="1" t="s">
        <v>113</v>
      </c>
    </row>
    <row r="127">
      <c r="A127" s="1" t="s">
        <v>815</v>
      </c>
      <c r="B127" s="1" t="s">
        <v>84</v>
      </c>
      <c r="C127" s="2" t="s">
        <v>157</v>
      </c>
      <c r="D127" s="2" t="s">
        <v>365</v>
      </c>
      <c r="E127" s="2" t="s">
        <v>1024</v>
      </c>
      <c r="F127" s="2" t="s">
        <v>1026</v>
      </c>
      <c r="G127" s="2" t="s">
        <v>135</v>
      </c>
      <c r="H127" s="2" t="s">
        <v>114</v>
      </c>
      <c r="I127" s="2" t="s">
        <v>77</v>
      </c>
      <c r="J127" s="1" t="s">
        <v>1028</v>
      </c>
      <c r="K127" s="2" t="s">
        <v>157</v>
      </c>
      <c r="L127" s="1" t="s">
        <v>62</v>
      </c>
    </row>
    <row r="128">
      <c r="A128" s="1" t="s">
        <v>819</v>
      </c>
      <c r="B128" s="1" t="s">
        <v>65</v>
      </c>
      <c r="C128" s="2" t="s">
        <v>167</v>
      </c>
      <c r="D128" s="2" t="s">
        <v>448</v>
      </c>
      <c r="E128" s="2" t="s">
        <v>203</v>
      </c>
      <c r="F128" s="2" t="s">
        <v>461</v>
      </c>
      <c r="G128" s="2" t="s">
        <v>106</v>
      </c>
      <c r="H128" s="2" t="s">
        <v>163</v>
      </c>
      <c r="I128" s="2" t="s">
        <v>46</v>
      </c>
      <c r="J128" s="2" t="s">
        <v>1032</v>
      </c>
      <c r="K128" s="2" t="s">
        <v>23</v>
      </c>
      <c r="L128" s="1" t="s">
        <v>113</v>
      </c>
    </row>
    <row r="129">
      <c r="A129" s="1" t="s">
        <v>822</v>
      </c>
      <c r="B129" s="1" t="s">
        <v>44</v>
      </c>
      <c r="C129" s="2" t="s">
        <v>95</v>
      </c>
      <c r="D129" s="2" t="s">
        <v>213</v>
      </c>
      <c r="E129" s="2" t="s">
        <v>1036</v>
      </c>
      <c r="F129" s="2" t="s">
        <v>338</v>
      </c>
      <c r="G129" s="2" t="s">
        <v>186</v>
      </c>
      <c r="H129" s="2" t="s">
        <v>92</v>
      </c>
      <c r="I129" s="2" t="s">
        <v>77</v>
      </c>
      <c r="J129" s="1" t="s">
        <v>1039</v>
      </c>
      <c r="K129" s="2" t="s">
        <v>117</v>
      </c>
      <c r="L129" s="1" t="s">
        <v>113</v>
      </c>
    </row>
    <row r="130">
      <c r="A130" s="1" t="s">
        <v>826</v>
      </c>
      <c r="B130" s="1" t="s">
        <v>170</v>
      </c>
      <c r="C130" s="2" t="s">
        <v>38</v>
      </c>
      <c r="D130" s="2" t="s">
        <v>167</v>
      </c>
      <c r="E130" s="2" t="s">
        <v>1044</v>
      </c>
      <c r="F130" s="2" t="s">
        <v>265</v>
      </c>
      <c r="G130" s="2" t="s">
        <v>201</v>
      </c>
      <c r="H130" s="2" t="s">
        <v>36</v>
      </c>
      <c r="I130" s="2" t="s">
        <v>58</v>
      </c>
      <c r="J130" s="2" t="s">
        <v>1045</v>
      </c>
      <c r="K130" s="2" t="s">
        <v>157</v>
      </c>
      <c r="L130" s="1" t="s">
        <v>62</v>
      </c>
    </row>
    <row r="131">
      <c r="A131" s="1" t="s">
        <v>830</v>
      </c>
      <c r="B131" s="1" t="s">
        <v>84</v>
      </c>
      <c r="C131" s="2" t="s">
        <v>157</v>
      </c>
      <c r="D131" s="2" t="s">
        <v>135</v>
      </c>
      <c r="E131" s="2" t="s">
        <v>1048</v>
      </c>
      <c r="F131" s="2" t="s">
        <v>1049</v>
      </c>
      <c r="G131" s="2" t="s">
        <v>245</v>
      </c>
      <c r="H131" s="2" t="s">
        <v>108</v>
      </c>
      <c r="I131" s="2" t="s">
        <v>38</v>
      </c>
      <c r="J131" s="2" t="s">
        <v>1052</v>
      </c>
      <c r="K131" s="2" t="s">
        <v>95</v>
      </c>
      <c r="L131" s="1" t="s">
        <v>62</v>
      </c>
    </row>
    <row r="132">
      <c r="A132" s="1" t="s">
        <v>834</v>
      </c>
      <c r="B132" s="1" t="s">
        <v>22</v>
      </c>
      <c r="C132" s="2" t="s">
        <v>23</v>
      </c>
      <c r="D132" s="2" t="s">
        <v>351</v>
      </c>
      <c r="E132" s="2" t="s">
        <v>1055</v>
      </c>
      <c r="F132" s="2" t="s">
        <v>95</v>
      </c>
      <c r="G132" s="2" t="s">
        <v>154</v>
      </c>
      <c r="H132" s="2" t="s">
        <v>36</v>
      </c>
      <c r="I132" s="2" t="s">
        <v>58</v>
      </c>
      <c r="J132" s="2" t="s">
        <v>1057</v>
      </c>
      <c r="K132" s="2" t="s">
        <v>38</v>
      </c>
      <c r="L132" s="1" t="s">
        <v>62</v>
      </c>
    </row>
    <row r="133">
      <c r="A133" s="1" t="s">
        <v>837</v>
      </c>
      <c r="B133" s="1" t="s">
        <v>22</v>
      </c>
      <c r="C133" s="2" t="s">
        <v>23</v>
      </c>
      <c r="D133" s="2" t="s">
        <v>27</v>
      </c>
      <c r="E133" s="2" t="s">
        <v>1061</v>
      </c>
      <c r="F133" s="2" t="s">
        <v>54</v>
      </c>
      <c r="G133" s="2" t="s">
        <v>68</v>
      </c>
      <c r="H133" s="2" t="s">
        <v>56</v>
      </c>
      <c r="I133" s="2" t="s">
        <v>38</v>
      </c>
      <c r="J133" s="2" t="s">
        <v>1064</v>
      </c>
      <c r="K133" s="2" t="s">
        <v>117</v>
      </c>
      <c r="L133" s="1" t="s">
        <v>113</v>
      </c>
    </row>
    <row r="134">
      <c r="A134" s="1" t="s">
        <v>841</v>
      </c>
      <c r="B134" s="1" t="s">
        <v>22</v>
      </c>
      <c r="C134" s="2" t="s">
        <v>157</v>
      </c>
      <c r="D134" s="2" t="s">
        <v>365</v>
      </c>
      <c r="E134" s="2" t="s">
        <v>584</v>
      </c>
      <c r="F134" s="2" t="s">
        <v>135</v>
      </c>
      <c r="G134" s="2" t="s">
        <v>365</v>
      </c>
      <c r="H134" s="2" t="s">
        <v>250</v>
      </c>
      <c r="I134" s="2" t="s">
        <v>38</v>
      </c>
      <c r="J134" s="2" t="s">
        <v>1075</v>
      </c>
      <c r="K134" s="2" t="s">
        <v>117</v>
      </c>
      <c r="L134" s="1" t="s">
        <v>113</v>
      </c>
    </row>
    <row r="135">
      <c r="A135" s="1" t="s">
        <v>845</v>
      </c>
      <c r="B135" s="1" t="s">
        <v>22</v>
      </c>
      <c r="C135" s="2" t="s">
        <v>46</v>
      </c>
      <c r="D135" s="2" t="s">
        <v>245</v>
      </c>
      <c r="E135" s="2" t="s">
        <v>672</v>
      </c>
      <c r="F135" s="2" t="s">
        <v>186</v>
      </c>
      <c r="G135" s="2" t="s">
        <v>48</v>
      </c>
      <c r="H135" s="2" t="s">
        <v>412</v>
      </c>
      <c r="I135" s="2" t="s">
        <v>77</v>
      </c>
      <c r="J135" s="2" t="s">
        <v>1082</v>
      </c>
      <c r="K135" s="2" t="s">
        <v>38</v>
      </c>
      <c r="L135" s="1" t="s">
        <v>113</v>
      </c>
    </row>
    <row r="136">
      <c r="A136" s="1" t="s">
        <v>849</v>
      </c>
      <c r="B136" s="1" t="s">
        <v>44</v>
      </c>
      <c r="C136" s="2" t="s">
        <v>154</v>
      </c>
      <c r="D136" s="2" t="s">
        <v>287</v>
      </c>
      <c r="E136" s="2" t="s">
        <v>457</v>
      </c>
      <c r="F136" s="2" t="s">
        <v>1088</v>
      </c>
      <c r="G136" s="2" t="s">
        <v>115</v>
      </c>
      <c r="H136" s="2" t="s">
        <v>1091</v>
      </c>
      <c r="I136" s="2" t="s">
        <v>58</v>
      </c>
      <c r="J136" s="2" t="s">
        <v>1093</v>
      </c>
      <c r="K136" s="2" t="s">
        <v>117</v>
      </c>
      <c r="L136" s="1" t="s">
        <v>113</v>
      </c>
    </row>
    <row r="137">
      <c r="A137" s="1" t="s">
        <v>854</v>
      </c>
      <c r="B137" s="1" t="s">
        <v>22</v>
      </c>
      <c r="C137" s="2" t="s">
        <v>46</v>
      </c>
      <c r="D137" s="2" t="s">
        <v>339</v>
      </c>
      <c r="E137" s="2" t="s">
        <v>1096</v>
      </c>
      <c r="F137" s="2" t="s">
        <v>27</v>
      </c>
      <c r="G137" s="2" t="s">
        <v>86</v>
      </c>
      <c r="I137" s="2" t="s">
        <v>117</v>
      </c>
      <c r="J137" s="2" t="s">
        <v>1097</v>
      </c>
      <c r="K137" s="2" t="s">
        <v>23</v>
      </c>
      <c r="L137" s="1" t="s">
        <v>62</v>
      </c>
    </row>
    <row r="138">
      <c r="A138" s="1" t="s">
        <v>857</v>
      </c>
      <c r="B138" s="1" t="s">
        <v>84</v>
      </c>
      <c r="C138" s="2" t="s">
        <v>23</v>
      </c>
      <c r="D138" s="2" t="s">
        <v>27</v>
      </c>
      <c r="E138" s="2" t="s">
        <v>405</v>
      </c>
      <c r="F138" s="2" t="s">
        <v>31</v>
      </c>
      <c r="G138" s="2" t="s">
        <v>149</v>
      </c>
      <c r="H138" s="2" t="s">
        <v>36</v>
      </c>
      <c r="I138" s="2" t="s">
        <v>46</v>
      </c>
      <c r="J138" s="2" t="s">
        <v>1101</v>
      </c>
      <c r="K138" s="2" t="s">
        <v>38</v>
      </c>
      <c r="L138" s="1" t="s">
        <v>113</v>
      </c>
    </row>
    <row r="139">
      <c r="A139" s="1" t="s">
        <v>861</v>
      </c>
      <c r="B139" s="1" t="s">
        <v>65</v>
      </c>
      <c r="C139" s="2" t="s">
        <v>117</v>
      </c>
      <c r="D139" s="2" t="s">
        <v>46</v>
      </c>
      <c r="E139" s="2" t="s">
        <v>611</v>
      </c>
      <c r="F139" s="2" t="s">
        <v>514</v>
      </c>
      <c r="G139" s="2" t="s">
        <v>213</v>
      </c>
      <c r="H139" s="2" t="s">
        <v>36</v>
      </c>
      <c r="I139" s="2" t="s">
        <v>77</v>
      </c>
      <c r="J139" s="2" t="s">
        <v>1106</v>
      </c>
      <c r="K139" s="2" t="s">
        <v>23</v>
      </c>
      <c r="L139" s="1" t="s">
        <v>62</v>
      </c>
    </row>
    <row r="140">
      <c r="A140" s="1" t="s">
        <v>864</v>
      </c>
      <c r="B140" s="1" t="s">
        <v>22</v>
      </c>
      <c r="C140" s="2" t="s">
        <v>95</v>
      </c>
      <c r="D140" s="2" t="s">
        <v>135</v>
      </c>
      <c r="E140" s="2" t="s">
        <v>1109</v>
      </c>
      <c r="F140" s="2" t="s">
        <v>115</v>
      </c>
      <c r="G140" s="2" t="s">
        <v>213</v>
      </c>
      <c r="H140" s="2" t="s">
        <v>56</v>
      </c>
      <c r="I140" s="2" t="s">
        <v>46</v>
      </c>
      <c r="J140" s="2" t="s">
        <v>1112</v>
      </c>
      <c r="K140" s="2" t="s">
        <v>23</v>
      </c>
      <c r="L140" s="1" t="s">
        <v>62</v>
      </c>
    </row>
    <row r="141">
      <c r="A141" s="1" t="s">
        <v>871</v>
      </c>
      <c r="B141" s="1" t="s">
        <v>44</v>
      </c>
      <c r="C141" s="2" t="s">
        <v>38</v>
      </c>
      <c r="D141" s="2" t="s">
        <v>33</v>
      </c>
      <c r="E141" s="2" t="s">
        <v>1116</v>
      </c>
      <c r="F141" s="2" t="s">
        <v>869</v>
      </c>
      <c r="G141" s="2" t="s">
        <v>290</v>
      </c>
      <c r="H141" s="2" t="s">
        <v>75</v>
      </c>
      <c r="I141" s="2" t="s">
        <v>46</v>
      </c>
      <c r="J141" s="2" t="s">
        <v>1119</v>
      </c>
      <c r="K141" s="2" t="s">
        <v>58</v>
      </c>
      <c r="L141" s="1" t="s">
        <v>113</v>
      </c>
    </row>
    <row r="142">
      <c r="A142" s="1" t="s">
        <v>876</v>
      </c>
      <c r="B142" s="1" t="s">
        <v>44</v>
      </c>
      <c r="C142" s="2" t="s">
        <v>95</v>
      </c>
      <c r="D142" s="2" t="s">
        <v>162</v>
      </c>
      <c r="E142" s="2" t="s">
        <v>187</v>
      </c>
      <c r="F142" s="2" t="s">
        <v>375</v>
      </c>
      <c r="G142" s="2" t="s">
        <v>351</v>
      </c>
      <c r="H142" s="2" t="s">
        <v>116</v>
      </c>
      <c r="I142" s="2" t="s">
        <v>58</v>
      </c>
      <c r="J142" s="2" t="s">
        <v>1125</v>
      </c>
      <c r="K142" s="2" t="s">
        <v>167</v>
      </c>
      <c r="L142" s="1" t="s">
        <v>62</v>
      </c>
    </row>
    <row r="143">
      <c r="A143" s="1" t="s">
        <v>881</v>
      </c>
      <c r="B143" s="1" t="s">
        <v>22</v>
      </c>
      <c r="C143" s="2" t="s">
        <v>117</v>
      </c>
      <c r="D143" s="2" t="s">
        <v>201</v>
      </c>
      <c r="E143" s="2" t="s">
        <v>1128</v>
      </c>
      <c r="F143" s="2" t="s">
        <v>23</v>
      </c>
      <c r="G143" s="2" t="s">
        <v>154</v>
      </c>
      <c r="H143" s="2" t="s">
        <v>250</v>
      </c>
      <c r="I143" s="2" t="s">
        <v>38</v>
      </c>
      <c r="J143" s="2" t="s">
        <v>1130</v>
      </c>
      <c r="K143" s="2" t="s">
        <v>77</v>
      </c>
      <c r="L143" s="1" t="s">
        <v>113</v>
      </c>
    </row>
    <row r="144">
      <c r="A144" s="1" t="s">
        <v>884</v>
      </c>
      <c r="B144" s="1" t="s">
        <v>84</v>
      </c>
      <c r="C144" s="2" t="s">
        <v>38</v>
      </c>
      <c r="D144" s="2" t="s">
        <v>106</v>
      </c>
      <c r="E144" s="2" t="s">
        <v>1133</v>
      </c>
      <c r="F144" s="2" t="s">
        <v>199</v>
      </c>
      <c r="G144" s="2" t="s">
        <v>54</v>
      </c>
      <c r="H144" s="2" t="s">
        <v>497</v>
      </c>
      <c r="I144" s="2" t="s">
        <v>58</v>
      </c>
      <c r="J144" s="2" t="s">
        <v>1134</v>
      </c>
      <c r="K144" s="2" t="s">
        <v>58</v>
      </c>
      <c r="L144" s="1" t="s">
        <v>113</v>
      </c>
    </row>
    <row r="145">
      <c r="A145" s="1" t="s">
        <v>889</v>
      </c>
      <c r="B145" s="1" t="s">
        <v>22</v>
      </c>
      <c r="C145" s="2" t="s">
        <v>23</v>
      </c>
      <c r="D145" s="2" t="s">
        <v>135</v>
      </c>
      <c r="E145" s="2" t="s">
        <v>75</v>
      </c>
      <c r="F145" s="2" t="s">
        <v>1137</v>
      </c>
      <c r="G145" s="2" t="s">
        <v>339</v>
      </c>
      <c r="I145" s="2" t="s">
        <v>46</v>
      </c>
      <c r="J145" s="2" t="s">
        <v>1140</v>
      </c>
      <c r="K145" s="2" t="s">
        <v>95</v>
      </c>
      <c r="L145" s="1" t="s">
        <v>62</v>
      </c>
    </row>
    <row r="146">
      <c r="A146" s="1" t="s">
        <v>892</v>
      </c>
      <c r="B146" s="1" t="s">
        <v>22</v>
      </c>
      <c r="C146" s="2" t="s">
        <v>38</v>
      </c>
      <c r="D146" s="2" t="s">
        <v>201</v>
      </c>
      <c r="E146" s="2" t="s">
        <v>882</v>
      </c>
      <c r="F146" s="2" t="s">
        <v>27</v>
      </c>
      <c r="G146" s="2" t="s">
        <v>71</v>
      </c>
      <c r="H146" s="2" t="s">
        <v>163</v>
      </c>
      <c r="I146" s="2" t="s">
        <v>38</v>
      </c>
      <c r="J146" s="2" t="s">
        <v>1146</v>
      </c>
      <c r="K146" s="2" t="s">
        <v>117</v>
      </c>
      <c r="L146" s="1" t="s">
        <v>113</v>
      </c>
    </row>
    <row r="147">
      <c r="A147" s="1" t="s">
        <v>897</v>
      </c>
      <c r="B147" s="1" t="s">
        <v>170</v>
      </c>
      <c r="C147" s="2" t="s">
        <v>46</v>
      </c>
      <c r="D147" s="2" t="s">
        <v>245</v>
      </c>
      <c r="E147" s="2" t="s">
        <v>1055</v>
      </c>
      <c r="F147" s="2" t="s">
        <v>31</v>
      </c>
      <c r="G147" s="2" t="s">
        <v>162</v>
      </c>
      <c r="H147" s="2" t="s">
        <v>463</v>
      </c>
      <c r="I147" s="2" t="s">
        <v>117</v>
      </c>
      <c r="J147" s="2" t="s">
        <v>1153</v>
      </c>
      <c r="K147" s="2" t="s">
        <v>167</v>
      </c>
      <c r="L147" s="1" t="s">
        <v>62</v>
      </c>
    </row>
    <row r="148">
      <c r="A148" s="1" t="s">
        <v>901</v>
      </c>
      <c r="B148" s="1" t="s">
        <v>84</v>
      </c>
      <c r="C148" s="2" t="s">
        <v>23</v>
      </c>
      <c r="D148" s="2" t="s">
        <v>106</v>
      </c>
      <c r="E148" s="2" t="s">
        <v>1156</v>
      </c>
      <c r="F148" s="2" t="s">
        <v>257</v>
      </c>
      <c r="G148" s="2" t="s">
        <v>265</v>
      </c>
      <c r="H148" s="2" t="s">
        <v>203</v>
      </c>
      <c r="I148" s="2" t="s">
        <v>38</v>
      </c>
      <c r="J148" s="2" t="s">
        <v>1159</v>
      </c>
      <c r="K148" s="2" t="s">
        <v>154</v>
      </c>
      <c r="L148" s="1" t="s">
        <v>62</v>
      </c>
    </row>
    <row r="149">
      <c r="A149" s="1" t="s">
        <v>906</v>
      </c>
      <c r="B149" s="1" t="s">
        <v>84</v>
      </c>
      <c r="C149" s="2" t="s">
        <v>95</v>
      </c>
      <c r="D149" s="2" t="s">
        <v>300</v>
      </c>
      <c r="E149" s="2" t="s">
        <v>278</v>
      </c>
      <c r="F149" s="2" t="s">
        <v>461</v>
      </c>
      <c r="G149" s="2" t="s">
        <v>199</v>
      </c>
      <c r="H149" s="2" t="s">
        <v>250</v>
      </c>
      <c r="I149" s="2" t="s">
        <v>38</v>
      </c>
      <c r="J149" s="2" t="s">
        <v>1162</v>
      </c>
      <c r="K149" s="2" t="s">
        <v>167</v>
      </c>
      <c r="L149" s="1" t="s">
        <v>62</v>
      </c>
    </row>
    <row r="150">
      <c r="A150" s="1" t="s">
        <v>910</v>
      </c>
      <c r="B150" s="1" t="s">
        <v>170</v>
      </c>
      <c r="C150" s="2" t="s">
        <v>38</v>
      </c>
      <c r="D150" s="2" t="s">
        <v>201</v>
      </c>
      <c r="E150" s="2" t="s">
        <v>1116</v>
      </c>
      <c r="F150" s="2" t="s">
        <v>162</v>
      </c>
      <c r="G150" s="2" t="s">
        <v>54</v>
      </c>
      <c r="H150" s="2" t="s">
        <v>178</v>
      </c>
      <c r="I150" s="2" t="s">
        <v>138</v>
      </c>
      <c r="J150" s="2" t="s">
        <v>1167</v>
      </c>
      <c r="K150" s="2" t="s">
        <v>157</v>
      </c>
      <c r="L150" s="1" t="s">
        <v>62</v>
      </c>
    </row>
    <row r="151">
      <c r="A151" s="1" t="s">
        <v>915</v>
      </c>
      <c r="B151" s="1" t="s">
        <v>22</v>
      </c>
      <c r="C151" s="2" t="s">
        <v>38</v>
      </c>
      <c r="D151" s="2" t="s">
        <v>290</v>
      </c>
      <c r="E151" s="2" t="s">
        <v>1170</v>
      </c>
      <c r="F151" s="2" t="s">
        <v>154</v>
      </c>
      <c r="G151" s="2" t="s">
        <v>213</v>
      </c>
      <c r="H151" s="2" t="s">
        <v>310</v>
      </c>
      <c r="I151" s="2" t="s">
        <v>117</v>
      </c>
      <c r="J151" s="2" t="s">
        <v>1172</v>
      </c>
      <c r="K151" s="2" t="s">
        <v>157</v>
      </c>
      <c r="L151" s="1" t="s">
        <v>62</v>
      </c>
    </row>
    <row r="152">
      <c r="A152" s="1" t="s">
        <v>919</v>
      </c>
      <c r="B152" s="1" t="s">
        <v>44</v>
      </c>
      <c r="C152" s="2" t="s">
        <v>46</v>
      </c>
      <c r="D152" s="2" t="s">
        <v>48</v>
      </c>
      <c r="E152" s="2" t="s">
        <v>618</v>
      </c>
      <c r="F152" s="2" t="s">
        <v>31</v>
      </c>
      <c r="G152" s="2" t="s">
        <v>395</v>
      </c>
      <c r="H152" s="2" t="s">
        <v>178</v>
      </c>
      <c r="I152" s="2" t="s">
        <v>117</v>
      </c>
      <c r="J152" s="2" t="s">
        <v>1176</v>
      </c>
      <c r="K152" s="2" t="s">
        <v>157</v>
      </c>
      <c r="L152" s="1" t="s">
        <v>62</v>
      </c>
    </row>
    <row r="153">
      <c r="A153" s="1" t="s">
        <v>922</v>
      </c>
      <c r="B153" s="1" t="s">
        <v>22</v>
      </c>
      <c r="C153" s="2" t="s">
        <v>23</v>
      </c>
      <c r="D153" s="2" t="s">
        <v>351</v>
      </c>
      <c r="E153" s="2" t="s">
        <v>424</v>
      </c>
      <c r="F153" s="2" t="s">
        <v>461</v>
      </c>
      <c r="G153" s="2" t="s">
        <v>154</v>
      </c>
      <c r="H153" s="2" t="s">
        <v>270</v>
      </c>
      <c r="I153" s="2" t="s">
        <v>117</v>
      </c>
      <c r="J153" s="2" t="s">
        <v>1183</v>
      </c>
      <c r="K153" s="2" t="s">
        <v>117</v>
      </c>
      <c r="L153" s="1" t="s">
        <v>113</v>
      </c>
    </row>
    <row r="154">
      <c r="A154" s="1" t="s">
        <v>924</v>
      </c>
      <c r="B154" s="1" t="s">
        <v>22</v>
      </c>
      <c r="C154" s="2" t="s">
        <v>46</v>
      </c>
      <c r="D154" s="2" t="s">
        <v>149</v>
      </c>
      <c r="E154" s="2" t="s">
        <v>463</v>
      </c>
      <c r="F154" s="2" t="s">
        <v>514</v>
      </c>
      <c r="G154" s="2" t="s">
        <v>245</v>
      </c>
      <c r="H154" s="2" t="s">
        <v>108</v>
      </c>
      <c r="I154" s="2" t="s">
        <v>117</v>
      </c>
      <c r="J154" s="2" t="s">
        <v>1189</v>
      </c>
      <c r="K154" s="2" t="s">
        <v>117</v>
      </c>
      <c r="L154" s="1" t="s">
        <v>113</v>
      </c>
    </row>
    <row r="155">
      <c r="A155" s="1" t="s">
        <v>928</v>
      </c>
      <c r="B155" s="1" t="s">
        <v>84</v>
      </c>
      <c r="C155" s="2" t="s">
        <v>117</v>
      </c>
      <c r="D155" s="2" t="s">
        <v>167</v>
      </c>
      <c r="E155" s="2" t="s">
        <v>522</v>
      </c>
      <c r="F155" s="2" t="s">
        <v>287</v>
      </c>
      <c r="G155" s="2" t="s">
        <v>186</v>
      </c>
      <c r="I155" s="2" t="s">
        <v>38</v>
      </c>
      <c r="J155" s="2" t="s">
        <v>1194</v>
      </c>
      <c r="K155" s="2" t="s">
        <v>46</v>
      </c>
      <c r="L155" s="1" t="s">
        <v>113</v>
      </c>
    </row>
    <row r="156">
      <c r="A156" s="1" t="s">
        <v>931</v>
      </c>
      <c r="B156" s="1" t="s">
        <v>44</v>
      </c>
      <c r="C156" s="2" t="s">
        <v>95</v>
      </c>
      <c r="D156" s="2" t="s">
        <v>224</v>
      </c>
      <c r="E156" s="2" t="s">
        <v>584</v>
      </c>
      <c r="F156" s="2" t="s">
        <v>167</v>
      </c>
      <c r="G156" s="2" t="s">
        <v>71</v>
      </c>
      <c r="H156" s="2" t="s">
        <v>75</v>
      </c>
      <c r="I156" s="2" t="s">
        <v>38</v>
      </c>
      <c r="K156" s="2" t="s">
        <v>167</v>
      </c>
      <c r="L156" s="1" t="s">
        <v>62</v>
      </c>
    </row>
    <row r="157">
      <c r="A157" s="1" t="s">
        <v>934</v>
      </c>
      <c r="B157" s="1" t="s">
        <v>22</v>
      </c>
      <c r="C157" s="2" t="s">
        <v>95</v>
      </c>
      <c r="D157" s="2" t="s">
        <v>290</v>
      </c>
      <c r="E157" s="2" t="s">
        <v>178</v>
      </c>
      <c r="F157" s="2" t="s">
        <v>71</v>
      </c>
      <c r="G157" s="2" t="s">
        <v>213</v>
      </c>
      <c r="H157" s="2" t="s">
        <v>218</v>
      </c>
      <c r="I157" s="2" t="s">
        <v>138</v>
      </c>
      <c r="J157" s="2" t="s">
        <v>1203</v>
      </c>
      <c r="K157" s="2" t="s">
        <v>38</v>
      </c>
      <c r="L157" s="1" t="s">
        <v>113</v>
      </c>
    </row>
    <row r="158">
      <c r="A158" s="1" t="s">
        <v>936</v>
      </c>
      <c r="B158" s="1" t="s">
        <v>65</v>
      </c>
      <c r="C158" s="2" t="s">
        <v>167</v>
      </c>
      <c r="D158" s="2" t="s">
        <v>73</v>
      </c>
      <c r="E158" s="2" t="s">
        <v>719</v>
      </c>
      <c r="F158" s="2" t="s">
        <v>686</v>
      </c>
      <c r="G158" s="2" t="s">
        <v>300</v>
      </c>
      <c r="H158" s="2" t="s">
        <v>310</v>
      </c>
      <c r="I158" s="2" t="s">
        <v>46</v>
      </c>
      <c r="J158" s="2" t="s">
        <v>1208</v>
      </c>
      <c r="K158" s="2" t="s">
        <v>77</v>
      </c>
      <c r="L158" s="1" t="s">
        <v>113</v>
      </c>
    </row>
    <row r="159">
      <c r="A159" s="1" t="s">
        <v>940</v>
      </c>
      <c r="B159" s="1" t="s">
        <v>65</v>
      </c>
      <c r="C159" s="2" t="s">
        <v>77</v>
      </c>
      <c r="D159" s="2" t="s">
        <v>38</v>
      </c>
      <c r="E159" s="2" t="s">
        <v>1211</v>
      </c>
      <c r="F159" s="2" t="s">
        <v>73</v>
      </c>
      <c r="G159" s="2" t="s">
        <v>154</v>
      </c>
      <c r="H159" s="2" t="s">
        <v>270</v>
      </c>
      <c r="I159" s="2" t="s">
        <v>117</v>
      </c>
      <c r="J159" s="2" t="s">
        <v>1214</v>
      </c>
      <c r="K159" s="2" t="s">
        <v>95</v>
      </c>
      <c r="L159" s="1" t="s">
        <v>62</v>
      </c>
    </row>
    <row r="160">
      <c r="A160" s="1" t="s">
        <v>943</v>
      </c>
      <c r="B160" s="1" t="s">
        <v>22</v>
      </c>
      <c r="C160" s="2" t="s">
        <v>95</v>
      </c>
      <c r="D160" s="2" t="s">
        <v>54</v>
      </c>
      <c r="E160" s="2" t="s">
        <v>1128</v>
      </c>
      <c r="F160" s="2" t="s">
        <v>68</v>
      </c>
      <c r="G160" s="2" t="s">
        <v>106</v>
      </c>
      <c r="H160" s="2" t="s">
        <v>270</v>
      </c>
      <c r="I160" s="2" t="s">
        <v>38</v>
      </c>
      <c r="J160" s="2" t="s">
        <v>1216</v>
      </c>
      <c r="K160" s="2" t="s">
        <v>77</v>
      </c>
      <c r="L160" s="1" t="s">
        <v>113</v>
      </c>
    </row>
    <row r="161">
      <c r="A161" s="1" t="s">
        <v>947</v>
      </c>
      <c r="B161" s="1" t="s">
        <v>65</v>
      </c>
      <c r="C161" s="2" t="s">
        <v>117</v>
      </c>
      <c r="D161" s="2" t="s">
        <v>201</v>
      </c>
      <c r="E161" s="2" t="s">
        <v>725</v>
      </c>
      <c r="F161" s="2" t="s">
        <v>175</v>
      </c>
      <c r="G161" s="2" t="s">
        <v>338</v>
      </c>
      <c r="H161" s="2" t="s">
        <v>270</v>
      </c>
      <c r="I161" s="2" t="s">
        <v>138</v>
      </c>
      <c r="J161" s="2" t="s">
        <v>1222</v>
      </c>
      <c r="K161" s="2" t="s">
        <v>167</v>
      </c>
      <c r="L161" s="1" t="s">
        <v>62</v>
      </c>
    </row>
    <row r="162">
      <c r="A162" s="1" t="s">
        <v>950</v>
      </c>
      <c r="B162" s="1" t="s">
        <v>22</v>
      </c>
      <c r="C162" s="2" t="s">
        <v>23</v>
      </c>
      <c r="D162" s="2" t="s">
        <v>162</v>
      </c>
      <c r="E162" s="2" t="s">
        <v>809</v>
      </c>
      <c r="F162" s="2" t="s">
        <v>395</v>
      </c>
      <c r="G162" s="2" t="s">
        <v>265</v>
      </c>
      <c r="H162" s="2" t="s">
        <v>497</v>
      </c>
      <c r="I162" s="2" t="s">
        <v>138</v>
      </c>
      <c r="J162" s="2" t="s">
        <v>1216</v>
      </c>
      <c r="K162" s="2" t="s">
        <v>117</v>
      </c>
      <c r="L162" s="1" t="s">
        <v>113</v>
      </c>
    </row>
    <row r="163">
      <c r="A163" s="1" t="s">
        <v>954</v>
      </c>
      <c r="B163" s="1" t="s">
        <v>65</v>
      </c>
      <c r="C163" s="2" t="s">
        <v>117</v>
      </c>
      <c r="D163" s="2" t="s">
        <v>31</v>
      </c>
      <c r="E163" s="2" t="s">
        <v>288</v>
      </c>
      <c r="F163" s="2" t="s">
        <v>1049</v>
      </c>
      <c r="G163" s="2" t="s">
        <v>162</v>
      </c>
      <c r="H163" s="2" t="s">
        <v>151</v>
      </c>
      <c r="I163" s="2" t="s">
        <v>77</v>
      </c>
      <c r="J163" s="2" t="s">
        <v>1232</v>
      </c>
      <c r="K163" s="2" t="s">
        <v>117</v>
      </c>
      <c r="L163" s="1" t="s">
        <v>113</v>
      </c>
    </row>
    <row r="164">
      <c r="A164" s="1" t="s">
        <v>957</v>
      </c>
      <c r="B164" s="1" t="s">
        <v>65</v>
      </c>
      <c r="C164" s="2" t="s">
        <v>95</v>
      </c>
      <c r="D164" s="2" t="s">
        <v>33</v>
      </c>
      <c r="E164" s="2" t="s">
        <v>955</v>
      </c>
      <c r="F164" s="2" t="s">
        <v>351</v>
      </c>
      <c r="G164" s="2" t="s">
        <v>245</v>
      </c>
      <c r="H164" s="2" t="s">
        <v>575</v>
      </c>
      <c r="I164" s="2" t="s">
        <v>138</v>
      </c>
      <c r="J164" s="2" t="s">
        <v>1239</v>
      </c>
      <c r="K164" s="2" t="s">
        <v>157</v>
      </c>
      <c r="L164" s="1" t="s">
        <v>62</v>
      </c>
    </row>
    <row r="165">
      <c r="A165" s="1" t="s">
        <v>962</v>
      </c>
      <c r="B165" s="1" t="s">
        <v>84</v>
      </c>
      <c r="C165" s="2" t="s">
        <v>46</v>
      </c>
      <c r="D165" s="2" t="s">
        <v>265</v>
      </c>
      <c r="E165" s="2" t="s">
        <v>1242</v>
      </c>
      <c r="F165" s="2" t="s">
        <v>106</v>
      </c>
      <c r="G165" s="2" t="s">
        <v>224</v>
      </c>
      <c r="H165" s="2" t="s">
        <v>310</v>
      </c>
      <c r="I165" s="2" t="s">
        <v>38</v>
      </c>
      <c r="J165" s="2" t="s">
        <v>1244</v>
      </c>
      <c r="K165" s="2" t="s">
        <v>38</v>
      </c>
      <c r="L165" s="1" t="s">
        <v>113</v>
      </c>
    </row>
    <row r="166">
      <c r="A166" s="1" t="s">
        <v>965</v>
      </c>
      <c r="B166" s="1" t="s">
        <v>170</v>
      </c>
      <c r="C166" s="2" t="s">
        <v>38</v>
      </c>
      <c r="D166" s="2" t="s">
        <v>186</v>
      </c>
      <c r="E166" s="2" t="s">
        <v>1246</v>
      </c>
      <c r="F166" s="2" t="s">
        <v>686</v>
      </c>
      <c r="G166" s="2" t="s">
        <v>300</v>
      </c>
      <c r="H166" s="2" t="s">
        <v>218</v>
      </c>
      <c r="I166" s="2" t="s">
        <v>46</v>
      </c>
      <c r="J166" s="2" t="s">
        <v>1249</v>
      </c>
      <c r="K166" s="2" t="s">
        <v>23</v>
      </c>
      <c r="L166" s="1" t="s">
        <v>62</v>
      </c>
    </row>
    <row r="167">
      <c r="A167" s="1" t="s">
        <v>969</v>
      </c>
      <c r="B167" s="1" t="s">
        <v>65</v>
      </c>
      <c r="C167" s="2" t="s">
        <v>23</v>
      </c>
      <c r="D167" s="2" t="s">
        <v>27</v>
      </c>
      <c r="E167" s="2" t="s">
        <v>278</v>
      </c>
      <c r="F167" s="2" t="s">
        <v>1049</v>
      </c>
      <c r="G167" s="2" t="s">
        <v>68</v>
      </c>
      <c r="H167" s="2" t="s">
        <v>463</v>
      </c>
      <c r="I167" s="2" t="s">
        <v>58</v>
      </c>
      <c r="J167" s="2" t="s">
        <v>1253</v>
      </c>
      <c r="K167" s="2" t="s">
        <v>95</v>
      </c>
      <c r="L167" s="1" t="s">
        <v>62</v>
      </c>
    </row>
    <row r="168">
      <c r="A168" s="1" t="s">
        <v>975</v>
      </c>
      <c r="B168" s="1" t="s">
        <v>22</v>
      </c>
      <c r="C168" s="2" t="s">
        <v>95</v>
      </c>
      <c r="D168" s="2" t="s">
        <v>86</v>
      </c>
      <c r="E168" s="2" t="s">
        <v>685</v>
      </c>
      <c r="F168" s="2" t="s">
        <v>339</v>
      </c>
      <c r="G168" s="2" t="s">
        <v>154</v>
      </c>
      <c r="H168" s="2" t="s">
        <v>310</v>
      </c>
      <c r="I168" s="2" t="s">
        <v>38</v>
      </c>
      <c r="J168" s="2" t="s">
        <v>1259</v>
      </c>
      <c r="K168" s="2" t="s">
        <v>154</v>
      </c>
      <c r="L168" s="1" t="s">
        <v>62</v>
      </c>
    </row>
    <row r="169">
      <c r="A169" s="1" t="s">
        <v>979</v>
      </c>
      <c r="B169" s="1" t="s">
        <v>22</v>
      </c>
      <c r="C169" s="2" t="s">
        <v>38</v>
      </c>
      <c r="D169" s="2" t="s">
        <v>290</v>
      </c>
      <c r="E169" s="2" t="s">
        <v>1091</v>
      </c>
      <c r="F169" s="2" t="s">
        <v>154</v>
      </c>
      <c r="G169" s="2" t="s">
        <v>33</v>
      </c>
      <c r="H169" s="2" t="s">
        <v>114</v>
      </c>
      <c r="I169" s="2" t="s">
        <v>77</v>
      </c>
      <c r="J169" s="2" t="s">
        <v>1262</v>
      </c>
      <c r="K169" s="2" t="s">
        <v>38</v>
      </c>
      <c r="L169" s="1" t="s">
        <v>113</v>
      </c>
    </row>
    <row r="170">
      <c r="A170" s="1" t="s">
        <v>982</v>
      </c>
      <c r="B170" s="1" t="s">
        <v>170</v>
      </c>
      <c r="C170" s="2" t="s">
        <v>46</v>
      </c>
      <c r="D170" s="2" t="s">
        <v>339</v>
      </c>
      <c r="E170" s="2" t="s">
        <v>1265</v>
      </c>
      <c r="F170" s="2" t="s">
        <v>53</v>
      </c>
      <c r="G170" s="2" t="s">
        <v>106</v>
      </c>
      <c r="H170" s="2" t="s">
        <v>36</v>
      </c>
      <c r="I170" s="2" t="s">
        <v>77</v>
      </c>
      <c r="J170" s="2" t="s">
        <v>1268</v>
      </c>
      <c r="K170" s="2" t="s">
        <v>117</v>
      </c>
      <c r="L170" s="1" t="s">
        <v>113</v>
      </c>
    </row>
    <row r="171">
      <c r="A171" s="1" t="s">
        <v>986</v>
      </c>
      <c r="B171" s="1" t="s">
        <v>84</v>
      </c>
      <c r="C171" s="2" t="s">
        <v>167</v>
      </c>
      <c r="D171" s="2" t="s">
        <v>387</v>
      </c>
      <c r="E171" s="2" t="s">
        <v>1096</v>
      </c>
      <c r="F171" s="2" t="s">
        <v>1088</v>
      </c>
      <c r="G171" s="2" t="s">
        <v>27</v>
      </c>
      <c r="H171" s="2" t="s">
        <v>92</v>
      </c>
      <c r="I171" s="2" t="s">
        <v>46</v>
      </c>
      <c r="J171" s="2" t="s">
        <v>1272</v>
      </c>
      <c r="K171" s="2" t="s">
        <v>38</v>
      </c>
      <c r="L171" s="1" t="s">
        <v>113</v>
      </c>
    </row>
    <row r="172">
      <c r="A172" s="1" t="s">
        <v>989</v>
      </c>
      <c r="B172" s="1" t="s">
        <v>65</v>
      </c>
      <c r="C172" s="2" t="s">
        <v>46</v>
      </c>
      <c r="D172" s="2" t="s">
        <v>157</v>
      </c>
      <c r="E172" s="2" t="s">
        <v>1275</v>
      </c>
      <c r="F172" s="2" t="s">
        <v>461</v>
      </c>
      <c r="G172" s="2" t="s">
        <v>154</v>
      </c>
      <c r="H172" s="2" t="s">
        <v>497</v>
      </c>
      <c r="I172" s="2" t="s">
        <v>138</v>
      </c>
      <c r="J172" s="2" t="s">
        <v>1276</v>
      </c>
      <c r="K172" s="2" t="s">
        <v>38</v>
      </c>
      <c r="L172" s="1" t="s">
        <v>113</v>
      </c>
    </row>
    <row r="173">
      <c r="A173" s="1" t="s">
        <v>992</v>
      </c>
      <c r="B173" s="1" t="s">
        <v>170</v>
      </c>
      <c r="C173" s="2" t="s">
        <v>290</v>
      </c>
      <c r="D173" s="2" t="s">
        <v>1280</v>
      </c>
      <c r="E173" s="2" t="s">
        <v>215</v>
      </c>
      <c r="F173" s="2" t="s">
        <v>95</v>
      </c>
      <c r="G173" s="2" t="s">
        <v>265</v>
      </c>
      <c r="H173" s="2" t="s">
        <v>92</v>
      </c>
      <c r="I173" s="2" t="s">
        <v>58</v>
      </c>
      <c r="J173" s="2" t="s">
        <v>1284</v>
      </c>
      <c r="K173" s="2" t="s">
        <v>23</v>
      </c>
      <c r="L173" s="1" t="s">
        <v>62</v>
      </c>
    </row>
    <row r="174">
      <c r="A174" s="1" t="s">
        <v>995</v>
      </c>
      <c r="B174" s="1" t="s">
        <v>84</v>
      </c>
      <c r="C174" s="2" t="s">
        <v>46</v>
      </c>
      <c r="D174" s="2" t="s">
        <v>186</v>
      </c>
      <c r="E174" s="2" t="s">
        <v>88</v>
      </c>
      <c r="F174" s="2" t="s">
        <v>387</v>
      </c>
      <c r="G174" s="2" t="s">
        <v>351</v>
      </c>
      <c r="H174" s="2" t="s">
        <v>178</v>
      </c>
      <c r="I174" s="2" t="s">
        <v>138</v>
      </c>
      <c r="J174" s="2" t="s">
        <v>1287</v>
      </c>
      <c r="K174" s="2" t="s">
        <v>117</v>
      </c>
      <c r="L174" s="1" t="s">
        <v>113</v>
      </c>
    </row>
    <row r="175">
      <c r="A175" s="1" t="s">
        <v>998</v>
      </c>
      <c r="B175" s="1" t="s">
        <v>22</v>
      </c>
      <c r="C175" s="2" t="s">
        <v>23</v>
      </c>
      <c r="D175" s="2" t="s">
        <v>135</v>
      </c>
      <c r="E175" s="2" t="s">
        <v>1061</v>
      </c>
      <c r="F175" s="2" t="s">
        <v>53</v>
      </c>
      <c r="G175" s="2" t="s">
        <v>73</v>
      </c>
      <c r="H175" s="2" t="s">
        <v>178</v>
      </c>
      <c r="I175" s="2" t="s">
        <v>117</v>
      </c>
      <c r="J175" s="2" t="s">
        <v>1291</v>
      </c>
      <c r="K175" s="2" t="s">
        <v>38</v>
      </c>
      <c r="L175" s="1" t="s">
        <v>113</v>
      </c>
    </row>
    <row r="176">
      <c r="A176" s="1" t="s">
        <v>1002</v>
      </c>
      <c r="B176" s="1" t="s">
        <v>65</v>
      </c>
      <c r="C176" s="2" t="s">
        <v>290</v>
      </c>
      <c r="D176" s="2" t="s">
        <v>448</v>
      </c>
      <c r="E176" s="2" t="s">
        <v>1061</v>
      </c>
      <c r="F176" s="2" t="s">
        <v>257</v>
      </c>
      <c r="G176" s="2" t="s">
        <v>201</v>
      </c>
      <c r="H176" s="2" t="s">
        <v>575</v>
      </c>
      <c r="I176" s="2" t="s">
        <v>46</v>
      </c>
      <c r="J176" s="2" t="s">
        <v>1297</v>
      </c>
      <c r="K176" s="2" t="s">
        <v>117</v>
      </c>
    </row>
    <row r="177">
      <c r="A177" s="1" t="s">
        <v>1003</v>
      </c>
      <c r="B177" s="1" t="s">
        <v>22</v>
      </c>
      <c r="C177" s="2" t="s">
        <v>38</v>
      </c>
      <c r="D177" s="2" t="s">
        <v>149</v>
      </c>
      <c r="E177" s="2" t="s">
        <v>412</v>
      </c>
      <c r="F177" s="2" t="s">
        <v>1088</v>
      </c>
      <c r="G177" s="2" t="s">
        <v>73</v>
      </c>
      <c r="H177" s="2" t="s">
        <v>75</v>
      </c>
      <c r="I177" s="2" t="s">
        <v>117</v>
      </c>
      <c r="J177" s="2" t="s">
        <v>1300</v>
      </c>
      <c r="K177" s="2" t="s">
        <v>38</v>
      </c>
      <c r="L177" s="1" t="s">
        <v>113</v>
      </c>
    </row>
    <row r="178">
      <c r="A178" s="1" t="s">
        <v>1006</v>
      </c>
      <c r="B178" s="1" t="s">
        <v>65</v>
      </c>
      <c r="C178" s="2" t="s">
        <v>46</v>
      </c>
      <c r="D178" s="2" t="s">
        <v>167</v>
      </c>
      <c r="E178" s="2" t="s">
        <v>1303</v>
      </c>
      <c r="F178" s="2" t="s">
        <v>135</v>
      </c>
      <c r="G178" s="2" t="s">
        <v>365</v>
      </c>
      <c r="H178" s="2" t="s">
        <v>36</v>
      </c>
      <c r="I178" s="2" t="s">
        <v>58</v>
      </c>
      <c r="J178" s="2" t="s">
        <v>1307</v>
      </c>
      <c r="K178" s="2" t="s">
        <v>167</v>
      </c>
      <c r="L178" s="1" t="s">
        <v>62</v>
      </c>
    </row>
    <row r="179">
      <c r="A179" s="1" t="s">
        <v>1006</v>
      </c>
      <c r="B179" s="1" t="s">
        <v>65</v>
      </c>
      <c r="C179" s="2" t="s">
        <v>46</v>
      </c>
      <c r="D179" s="2" t="s">
        <v>167</v>
      </c>
      <c r="E179" s="2" t="s">
        <v>1303</v>
      </c>
      <c r="F179" s="2" t="s">
        <v>135</v>
      </c>
      <c r="G179" s="2" t="s">
        <v>365</v>
      </c>
      <c r="H179" s="2" t="s">
        <v>36</v>
      </c>
      <c r="I179" s="2" t="s">
        <v>58</v>
      </c>
      <c r="J179" s="2" t="s">
        <v>1307</v>
      </c>
      <c r="K179" s="2" t="s">
        <v>167</v>
      </c>
      <c r="L179" s="1" t="s">
        <v>62</v>
      </c>
    </row>
    <row r="180">
      <c r="A180" s="1" t="s">
        <v>1010</v>
      </c>
      <c r="B180" s="1" t="s">
        <v>44</v>
      </c>
      <c r="C180" s="2" t="s">
        <v>23</v>
      </c>
      <c r="D180" s="2" t="s">
        <v>290</v>
      </c>
      <c r="E180" s="2" t="s">
        <v>560</v>
      </c>
      <c r="F180" s="2" t="s">
        <v>491</v>
      </c>
      <c r="G180" s="2" t="s">
        <v>106</v>
      </c>
      <c r="H180" s="2" t="s">
        <v>56</v>
      </c>
      <c r="I180" s="2" t="s">
        <v>46</v>
      </c>
      <c r="J180" s="2" t="s">
        <v>1315</v>
      </c>
      <c r="K180" s="2" t="s">
        <v>38</v>
      </c>
      <c r="L180" s="1" t="s">
        <v>62</v>
      </c>
    </row>
    <row r="181">
      <c r="A181" s="1" t="s">
        <v>1012</v>
      </c>
      <c r="B181" s="1" t="s">
        <v>22</v>
      </c>
      <c r="C181" s="2" t="s">
        <v>290</v>
      </c>
      <c r="D181" s="2" t="s">
        <v>1318</v>
      </c>
      <c r="E181" s="2" t="s">
        <v>672</v>
      </c>
      <c r="F181" s="2" t="s">
        <v>248</v>
      </c>
      <c r="G181" s="2" t="s">
        <v>339</v>
      </c>
      <c r="H181" s="2" t="s">
        <v>497</v>
      </c>
      <c r="I181" s="2" t="s">
        <v>38</v>
      </c>
      <c r="J181" s="2" t="s">
        <v>1319</v>
      </c>
      <c r="K181" s="2" t="s">
        <v>157</v>
      </c>
      <c r="L181" s="1" t="s">
        <v>62</v>
      </c>
    </row>
    <row r="182">
      <c r="A182" s="1" t="s">
        <v>1016</v>
      </c>
      <c r="B182" s="1" t="s">
        <v>22</v>
      </c>
      <c r="C182" s="2" t="s">
        <v>46</v>
      </c>
      <c r="D182" s="2" t="s">
        <v>339</v>
      </c>
      <c r="E182" s="2" t="s">
        <v>146</v>
      </c>
      <c r="F182" s="2" t="s">
        <v>149</v>
      </c>
      <c r="G182" s="2" t="s">
        <v>106</v>
      </c>
      <c r="H182" s="2" t="s">
        <v>270</v>
      </c>
      <c r="I182" s="2" t="s">
        <v>38</v>
      </c>
      <c r="J182" s="2" t="s">
        <v>1325</v>
      </c>
      <c r="K182" s="2" t="s">
        <v>95</v>
      </c>
      <c r="L182" s="1" t="s">
        <v>62</v>
      </c>
    </row>
    <row r="183">
      <c r="A183" s="1" t="s">
        <v>1019</v>
      </c>
      <c r="B183" s="1" t="s">
        <v>22</v>
      </c>
      <c r="C183" s="2" t="s">
        <v>117</v>
      </c>
      <c r="D183" s="2" t="s">
        <v>201</v>
      </c>
      <c r="E183" s="2" t="s">
        <v>396</v>
      </c>
      <c r="F183" s="2" t="s">
        <v>265</v>
      </c>
      <c r="G183" s="2" t="s">
        <v>245</v>
      </c>
      <c r="H183" s="2" t="s">
        <v>218</v>
      </c>
      <c r="I183" s="2" t="s">
        <v>38</v>
      </c>
      <c r="J183" s="2" t="s">
        <v>1331</v>
      </c>
      <c r="K183" s="2" t="s">
        <v>46</v>
      </c>
      <c r="L183" s="1" t="s">
        <v>62</v>
      </c>
    </row>
    <row r="184">
      <c r="A184" s="1" t="s">
        <v>1023</v>
      </c>
      <c r="B184" s="1" t="s">
        <v>44</v>
      </c>
      <c r="C184" s="2" t="s">
        <v>38</v>
      </c>
      <c r="D184" s="2" t="s">
        <v>395</v>
      </c>
      <c r="E184" s="2" t="s">
        <v>1333</v>
      </c>
      <c r="F184" s="2" t="s">
        <v>448</v>
      </c>
      <c r="G184" s="2" t="s">
        <v>54</v>
      </c>
      <c r="H184" s="2" t="s">
        <v>108</v>
      </c>
      <c r="I184" s="2" t="s">
        <v>117</v>
      </c>
      <c r="J184" s="2" t="s">
        <v>1334</v>
      </c>
      <c r="K184" s="2" t="s">
        <v>95</v>
      </c>
      <c r="L184" s="1" t="s">
        <v>62</v>
      </c>
    </row>
    <row r="185">
      <c r="A185" s="1" t="s">
        <v>1029</v>
      </c>
      <c r="B185" s="1" t="s">
        <v>44</v>
      </c>
      <c r="C185" s="2" t="s">
        <v>23</v>
      </c>
      <c r="D185" s="2" t="s">
        <v>290</v>
      </c>
      <c r="E185" s="2" t="s">
        <v>218</v>
      </c>
      <c r="F185" s="2" t="s">
        <v>54</v>
      </c>
      <c r="G185" s="2" t="s">
        <v>68</v>
      </c>
      <c r="H185" s="2" t="s">
        <v>250</v>
      </c>
      <c r="I185" s="2" t="s">
        <v>58</v>
      </c>
      <c r="J185" s="2" t="s">
        <v>1338</v>
      </c>
      <c r="K185" s="2" t="s">
        <v>157</v>
      </c>
      <c r="L185" s="1" t="s">
        <v>62</v>
      </c>
    </row>
    <row r="186">
      <c r="A186" s="1" t="s">
        <v>1031</v>
      </c>
      <c r="B186" s="1" t="s">
        <v>22</v>
      </c>
      <c r="C186" s="2" t="s">
        <v>167</v>
      </c>
      <c r="D186" s="2" t="s">
        <v>71</v>
      </c>
      <c r="E186" s="2" t="s">
        <v>694</v>
      </c>
      <c r="F186" s="2" t="s">
        <v>387</v>
      </c>
      <c r="G186" s="2" t="s">
        <v>135</v>
      </c>
      <c r="H186" s="2" t="s">
        <v>218</v>
      </c>
      <c r="I186" s="2" t="s">
        <v>77</v>
      </c>
      <c r="J186" s="2" t="s">
        <v>1342</v>
      </c>
      <c r="K186" s="2" t="s">
        <v>58</v>
      </c>
      <c r="L186" s="1" t="s">
        <v>113</v>
      </c>
    </row>
    <row r="187">
      <c r="A187" s="1" t="s">
        <v>1034</v>
      </c>
      <c r="B187" s="1" t="s">
        <v>65</v>
      </c>
      <c r="C187" s="2" t="s">
        <v>46</v>
      </c>
      <c r="D187" s="2" t="s">
        <v>167</v>
      </c>
      <c r="E187" s="2" t="s">
        <v>1346</v>
      </c>
      <c r="F187" s="2" t="s">
        <v>257</v>
      </c>
      <c r="G187" s="2" t="s">
        <v>149</v>
      </c>
      <c r="H187" s="2" t="s">
        <v>575</v>
      </c>
      <c r="I187" s="2" t="s">
        <v>46</v>
      </c>
      <c r="J187" s="2" t="s">
        <v>1348</v>
      </c>
      <c r="K187" s="2" t="s">
        <v>46</v>
      </c>
      <c r="L187" s="1" t="s">
        <v>113</v>
      </c>
    </row>
    <row r="188">
      <c r="A188" s="1" t="s">
        <v>1038</v>
      </c>
      <c r="B188" s="1" t="s">
        <v>65</v>
      </c>
      <c r="C188" s="2" t="s">
        <v>38</v>
      </c>
      <c r="D188" s="2" t="s">
        <v>154</v>
      </c>
      <c r="E188" s="2" t="s">
        <v>725</v>
      </c>
      <c r="F188" s="2" t="s">
        <v>175</v>
      </c>
      <c r="G188" s="2" t="s">
        <v>186</v>
      </c>
      <c r="H188" s="2" t="s">
        <v>1091</v>
      </c>
      <c r="I188" s="2" t="s">
        <v>46</v>
      </c>
      <c r="J188" s="2" t="s">
        <v>1348</v>
      </c>
      <c r="K188" s="2" t="s">
        <v>77</v>
      </c>
    </row>
    <row r="189">
      <c r="A189" s="1" t="s">
        <v>1043</v>
      </c>
      <c r="B189" s="1" t="s">
        <v>84</v>
      </c>
      <c r="C189" s="2" t="s">
        <v>167</v>
      </c>
      <c r="D189" s="2" t="s">
        <v>395</v>
      </c>
      <c r="E189" s="2" t="s">
        <v>1133</v>
      </c>
      <c r="F189" s="2" t="s">
        <v>115</v>
      </c>
      <c r="G189" s="2" t="s">
        <v>106</v>
      </c>
      <c r="H189" s="2" t="s">
        <v>412</v>
      </c>
      <c r="I189" s="2" t="s">
        <v>46</v>
      </c>
      <c r="J189" s="2" t="s">
        <v>1354</v>
      </c>
      <c r="K189" s="2" t="s">
        <v>77</v>
      </c>
      <c r="L189" s="1" t="s">
        <v>113</v>
      </c>
    </row>
    <row r="190">
      <c r="A190" s="1" t="s">
        <v>1047</v>
      </c>
      <c r="B190" s="1" t="s">
        <v>84</v>
      </c>
      <c r="C190" s="2" t="s">
        <v>95</v>
      </c>
      <c r="D190" s="2" t="s">
        <v>351</v>
      </c>
      <c r="E190" s="2" t="s">
        <v>246</v>
      </c>
      <c r="F190" s="2" t="s">
        <v>73</v>
      </c>
      <c r="G190" s="2" t="s">
        <v>201</v>
      </c>
      <c r="H190" s="2" t="s">
        <v>203</v>
      </c>
      <c r="I190" s="2" t="s">
        <v>58</v>
      </c>
      <c r="J190" s="2" t="s">
        <v>641</v>
      </c>
      <c r="K190" s="2" t="s">
        <v>77</v>
      </c>
      <c r="L190" s="1" t="s">
        <v>113</v>
      </c>
    </row>
    <row r="191">
      <c r="A191" s="1" t="s">
        <v>1051</v>
      </c>
      <c r="B191" s="1" t="s">
        <v>22</v>
      </c>
      <c r="C191" s="2" t="s">
        <v>167</v>
      </c>
      <c r="D191" s="2" t="s">
        <v>68</v>
      </c>
      <c r="E191" s="2" t="s">
        <v>725</v>
      </c>
      <c r="F191" s="2" t="s">
        <v>300</v>
      </c>
      <c r="G191" s="2" t="s">
        <v>104</v>
      </c>
      <c r="H191" s="2" t="s">
        <v>310</v>
      </c>
      <c r="I191" s="2" t="s">
        <v>46</v>
      </c>
      <c r="J191" s="2" t="s">
        <v>1362</v>
      </c>
      <c r="K191" s="2" t="s">
        <v>117</v>
      </c>
      <c r="L191" s="1" t="s">
        <v>113</v>
      </c>
    </row>
    <row r="192">
      <c r="A192" s="1" t="s">
        <v>1054</v>
      </c>
      <c r="B192" s="1" t="s">
        <v>170</v>
      </c>
      <c r="C192" s="2" t="s">
        <v>38</v>
      </c>
      <c r="D192" s="2" t="s">
        <v>157</v>
      </c>
      <c r="E192" s="2" t="s">
        <v>396</v>
      </c>
      <c r="F192" s="2" t="s">
        <v>257</v>
      </c>
      <c r="G192" s="2" t="s">
        <v>248</v>
      </c>
      <c r="H192" s="2" t="s">
        <v>497</v>
      </c>
      <c r="I192" s="2" t="s">
        <v>38</v>
      </c>
      <c r="J192" s="2" t="s">
        <v>1366</v>
      </c>
      <c r="K192" s="2" t="s">
        <v>23</v>
      </c>
      <c r="L192" s="1" t="s">
        <v>62</v>
      </c>
    </row>
    <row r="193">
      <c r="A193" s="1" t="s">
        <v>1056</v>
      </c>
      <c r="B193" s="1" t="s">
        <v>44</v>
      </c>
      <c r="C193" s="2" t="s">
        <v>38</v>
      </c>
      <c r="D193" s="2" t="s">
        <v>167</v>
      </c>
      <c r="E193" s="2" t="s">
        <v>160</v>
      </c>
      <c r="F193" s="2" t="s">
        <v>491</v>
      </c>
      <c r="G193" s="2" t="s">
        <v>186</v>
      </c>
      <c r="H193" s="2" t="s">
        <v>75</v>
      </c>
      <c r="I193" s="2" t="s">
        <v>117</v>
      </c>
      <c r="J193" s="2" t="s">
        <v>1370</v>
      </c>
      <c r="K193" s="2" t="s">
        <v>154</v>
      </c>
      <c r="L193" s="1" t="s">
        <v>62</v>
      </c>
    </row>
    <row r="194">
      <c r="A194" s="1" t="s">
        <v>1059</v>
      </c>
      <c r="B194" s="1" t="s">
        <v>44</v>
      </c>
      <c r="C194" s="2" t="s">
        <v>23</v>
      </c>
      <c r="D194" s="2" t="s">
        <v>31</v>
      </c>
      <c r="E194" s="2" t="s">
        <v>1375</v>
      </c>
      <c r="F194" s="2" t="s">
        <v>395</v>
      </c>
      <c r="G194" s="2" t="s">
        <v>106</v>
      </c>
      <c r="H194" s="2" t="s">
        <v>163</v>
      </c>
      <c r="I194" s="2" t="s">
        <v>117</v>
      </c>
      <c r="J194" s="2" t="s">
        <v>1378</v>
      </c>
      <c r="K194" s="2" t="s">
        <v>23</v>
      </c>
    </row>
    <row r="195">
      <c r="A195" s="1" t="s">
        <v>1063</v>
      </c>
      <c r="B195" s="1" t="s">
        <v>65</v>
      </c>
      <c r="C195" s="2" t="s">
        <v>224</v>
      </c>
      <c r="D195" s="2" t="s">
        <v>1381</v>
      </c>
      <c r="E195" s="2" t="s">
        <v>1382</v>
      </c>
      <c r="F195" s="2" t="s">
        <v>375</v>
      </c>
      <c r="G195" s="2" t="s">
        <v>213</v>
      </c>
      <c r="H195" s="2" t="s">
        <v>575</v>
      </c>
      <c r="I195" s="2" t="s">
        <v>58</v>
      </c>
      <c r="J195" s="2" t="s">
        <v>1385</v>
      </c>
      <c r="K195" s="2" t="s">
        <v>117</v>
      </c>
      <c r="L195" s="1" t="s">
        <v>113</v>
      </c>
    </row>
    <row r="196">
      <c r="A196" s="1" t="s">
        <v>1066</v>
      </c>
      <c r="B196" s="1" t="s">
        <v>22</v>
      </c>
      <c r="C196" s="2" t="s">
        <v>157</v>
      </c>
      <c r="D196" s="2" t="s">
        <v>375</v>
      </c>
      <c r="E196" s="2" t="s">
        <v>405</v>
      </c>
      <c r="F196" s="2" t="s">
        <v>154</v>
      </c>
      <c r="G196" s="2" t="s">
        <v>106</v>
      </c>
      <c r="H196" s="2" t="s">
        <v>75</v>
      </c>
      <c r="I196" s="2" t="s">
        <v>38</v>
      </c>
      <c r="J196" s="2" t="s">
        <v>1390</v>
      </c>
      <c r="K196" s="2" t="s">
        <v>95</v>
      </c>
      <c r="L196" s="1" t="s">
        <v>62</v>
      </c>
    </row>
    <row r="197">
      <c r="A197" s="1" t="s">
        <v>1068</v>
      </c>
      <c r="B197" s="1" t="s">
        <v>22</v>
      </c>
      <c r="C197" s="2" t="s">
        <v>46</v>
      </c>
      <c r="D197" s="2" t="s">
        <v>71</v>
      </c>
      <c r="E197" s="2" t="s">
        <v>1392</v>
      </c>
      <c r="F197" s="2" t="s">
        <v>1137</v>
      </c>
      <c r="G197" s="2" t="s">
        <v>199</v>
      </c>
      <c r="H197" s="2" t="s">
        <v>178</v>
      </c>
      <c r="I197" s="2" t="s">
        <v>38</v>
      </c>
      <c r="J197" s="2" t="s">
        <v>953</v>
      </c>
      <c r="K197" s="2" t="s">
        <v>117</v>
      </c>
      <c r="L197" s="1" t="s">
        <v>113</v>
      </c>
    </row>
    <row r="198">
      <c r="A198" s="1" t="s">
        <v>1072</v>
      </c>
      <c r="B198" s="1" t="s">
        <v>65</v>
      </c>
      <c r="C198" s="2" t="s">
        <v>38</v>
      </c>
      <c r="D198" s="2" t="s">
        <v>27</v>
      </c>
      <c r="E198" s="2" t="s">
        <v>1396</v>
      </c>
      <c r="F198" s="2" t="s">
        <v>338</v>
      </c>
      <c r="G198" s="2" t="s">
        <v>213</v>
      </c>
      <c r="H198" s="2" t="s">
        <v>92</v>
      </c>
      <c r="I198" s="2" t="s">
        <v>117</v>
      </c>
      <c r="J198" s="2" t="s">
        <v>1398</v>
      </c>
      <c r="K198" s="2" t="s">
        <v>157</v>
      </c>
      <c r="L198" s="1" t="s">
        <v>62</v>
      </c>
    </row>
    <row r="199">
      <c r="A199" s="1" t="s">
        <v>1076</v>
      </c>
      <c r="B199" s="1" t="s">
        <v>44</v>
      </c>
      <c r="C199" s="2" t="s">
        <v>167</v>
      </c>
      <c r="D199" s="2" t="s">
        <v>351</v>
      </c>
      <c r="E199" s="2" t="s">
        <v>108</v>
      </c>
      <c r="F199" s="2" t="s">
        <v>33</v>
      </c>
      <c r="G199" s="2" t="s">
        <v>106</v>
      </c>
      <c r="H199" s="2" t="s">
        <v>114</v>
      </c>
      <c r="I199" s="2" t="s">
        <v>117</v>
      </c>
      <c r="K199" s="2" t="s">
        <v>157</v>
      </c>
      <c r="L199" s="1" t="s">
        <v>62</v>
      </c>
    </row>
    <row r="200">
      <c r="A200" s="1" t="s">
        <v>1080</v>
      </c>
      <c r="B200" s="1" t="s">
        <v>44</v>
      </c>
      <c r="C200" s="2" t="s">
        <v>167</v>
      </c>
      <c r="D200" s="2" t="s">
        <v>175</v>
      </c>
      <c r="E200" s="2" t="s">
        <v>246</v>
      </c>
      <c r="F200" s="2" t="s">
        <v>1049</v>
      </c>
      <c r="G200" s="2" t="s">
        <v>300</v>
      </c>
      <c r="H200" s="2" t="s">
        <v>92</v>
      </c>
      <c r="I200" s="2" t="s">
        <v>46</v>
      </c>
      <c r="J200" s="2" t="s">
        <v>1401</v>
      </c>
      <c r="K200" s="2" t="s">
        <v>46</v>
      </c>
      <c r="L200" s="1" t="s">
        <v>62</v>
      </c>
    </row>
    <row r="201">
      <c r="A201" s="1" t="s">
        <v>1084</v>
      </c>
      <c r="B201" s="1" t="s">
        <v>65</v>
      </c>
      <c r="C201" s="2" t="s">
        <v>38</v>
      </c>
      <c r="D201" s="2" t="s">
        <v>224</v>
      </c>
      <c r="E201" s="2" t="s">
        <v>746</v>
      </c>
      <c r="F201" s="2" t="s">
        <v>338</v>
      </c>
      <c r="G201" s="2" t="s">
        <v>265</v>
      </c>
      <c r="H201" s="2" t="s">
        <v>114</v>
      </c>
      <c r="I201" s="2" t="s">
        <v>46</v>
      </c>
      <c r="J201" s="2" t="s">
        <v>1403</v>
      </c>
      <c r="K201" s="2" t="s">
        <v>38</v>
      </c>
      <c r="L201" s="1" t="s">
        <v>62</v>
      </c>
    </row>
    <row r="202">
      <c r="A202" s="1" t="s">
        <v>1087</v>
      </c>
      <c r="B202" s="1" t="s">
        <v>65</v>
      </c>
      <c r="C202" s="2" t="s">
        <v>38</v>
      </c>
      <c r="D202" s="2" t="s">
        <v>290</v>
      </c>
      <c r="E202" s="2" t="s">
        <v>88</v>
      </c>
      <c r="F202" s="2" t="s">
        <v>265</v>
      </c>
      <c r="G202" s="2" t="s">
        <v>68</v>
      </c>
      <c r="H202" s="2" t="s">
        <v>497</v>
      </c>
      <c r="I202" s="2" t="s">
        <v>58</v>
      </c>
      <c r="J202" s="2" t="s">
        <v>1405</v>
      </c>
      <c r="K202" s="2" t="s">
        <v>77</v>
      </c>
    </row>
    <row r="203">
      <c r="A203" s="1" t="s">
        <v>1090</v>
      </c>
      <c r="B203" s="1" t="s">
        <v>170</v>
      </c>
      <c r="C203" s="2" t="s">
        <v>95</v>
      </c>
      <c r="D203" s="2" t="s">
        <v>245</v>
      </c>
      <c r="E203" s="2" t="s">
        <v>1116</v>
      </c>
      <c r="F203" s="2" t="s">
        <v>157</v>
      </c>
      <c r="G203" s="2" t="s">
        <v>201</v>
      </c>
      <c r="H203" s="2" t="s">
        <v>56</v>
      </c>
      <c r="I203" s="2" t="s">
        <v>58</v>
      </c>
      <c r="J203" s="2" t="s">
        <v>1409</v>
      </c>
      <c r="K203" s="2" t="s">
        <v>157</v>
      </c>
    </row>
    <row r="204">
      <c r="A204" s="1" t="s">
        <v>1095</v>
      </c>
      <c r="B204" s="1" t="s">
        <v>22</v>
      </c>
      <c r="C204" s="2" t="s">
        <v>117</v>
      </c>
      <c r="D204" s="2" t="s">
        <v>23</v>
      </c>
      <c r="E204" s="2" t="s">
        <v>446</v>
      </c>
      <c r="F204" s="2" t="s">
        <v>338</v>
      </c>
      <c r="G204" s="2" t="s">
        <v>245</v>
      </c>
      <c r="H204" s="2" t="s">
        <v>203</v>
      </c>
      <c r="I204" s="2" t="s">
        <v>46</v>
      </c>
      <c r="J204" s="2" t="s">
        <v>1413</v>
      </c>
      <c r="K204" s="2" t="s">
        <v>117</v>
      </c>
    </row>
    <row r="205">
      <c r="A205" s="1" t="s">
        <v>1099</v>
      </c>
      <c r="B205" s="1" t="s">
        <v>44</v>
      </c>
      <c r="C205" s="2" t="s">
        <v>157</v>
      </c>
      <c r="D205" s="2" t="s">
        <v>149</v>
      </c>
      <c r="E205" s="2" t="s">
        <v>1416</v>
      </c>
      <c r="F205" s="2" t="s">
        <v>395</v>
      </c>
      <c r="G205" s="2" t="s">
        <v>365</v>
      </c>
      <c r="H205" s="2" t="s">
        <v>310</v>
      </c>
      <c r="I205" s="2" t="s">
        <v>58</v>
      </c>
      <c r="J205" s="2" t="s">
        <v>1420</v>
      </c>
      <c r="K205" s="2" t="s">
        <v>167</v>
      </c>
      <c r="L205" s="1" t="s">
        <v>62</v>
      </c>
    </row>
    <row r="206">
      <c r="A206" s="1" t="s">
        <v>1102</v>
      </c>
      <c r="B206" s="1" t="s">
        <v>84</v>
      </c>
      <c r="C206" s="2" t="s">
        <v>23</v>
      </c>
      <c r="D206" s="2" t="s">
        <v>213</v>
      </c>
      <c r="E206" s="2" t="s">
        <v>1423</v>
      </c>
      <c r="F206" s="2" t="s">
        <v>245</v>
      </c>
      <c r="G206" s="2" t="s">
        <v>351</v>
      </c>
      <c r="H206" s="2" t="s">
        <v>36</v>
      </c>
      <c r="I206" s="2" t="s">
        <v>58</v>
      </c>
      <c r="K206" s="2" t="s">
        <v>38</v>
      </c>
      <c r="L206" s="1" t="s">
        <v>113</v>
      </c>
    </row>
    <row r="207">
      <c r="A207" s="1" t="s">
        <v>1104</v>
      </c>
      <c r="B207" s="1" t="s">
        <v>170</v>
      </c>
      <c r="C207" s="2" t="s">
        <v>23</v>
      </c>
      <c r="D207" s="2" t="s">
        <v>265</v>
      </c>
      <c r="E207" s="2" t="s">
        <v>246</v>
      </c>
      <c r="F207" s="2" t="s">
        <v>365</v>
      </c>
      <c r="G207" s="2" t="s">
        <v>339</v>
      </c>
      <c r="H207" s="2" t="s">
        <v>151</v>
      </c>
      <c r="I207" s="2" t="s">
        <v>58</v>
      </c>
      <c r="J207" s="2" t="s">
        <v>1429</v>
      </c>
      <c r="K207" s="2" t="s">
        <v>157</v>
      </c>
      <c r="L207" s="1" t="s">
        <v>62</v>
      </c>
    </row>
    <row r="208">
      <c r="A208" s="1" t="s">
        <v>1108</v>
      </c>
      <c r="B208" s="1" t="s">
        <v>22</v>
      </c>
      <c r="C208" s="2" t="s">
        <v>95</v>
      </c>
      <c r="D208" s="2" t="s">
        <v>224</v>
      </c>
      <c r="E208" s="2" t="s">
        <v>116</v>
      </c>
      <c r="F208" s="2" t="s">
        <v>135</v>
      </c>
      <c r="G208" s="2" t="s">
        <v>339</v>
      </c>
      <c r="H208" s="2" t="s">
        <v>92</v>
      </c>
      <c r="I208" s="2" t="s">
        <v>138</v>
      </c>
      <c r="J208" s="2" t="s">
        <v>1433</v>
      </c>
      <c r="K208" s="2" t="s">
        <v>77</v>
      </c>
      <c r="L208" s="1" t="s">
        <v>113</v>
      </c>
    </row>
    <row r="209">
      <c r="A209" s="1" t="s">
        <v>1111</v>
      </c>
      <c r="B209" s="1" t="s">
        <v>65</v>
      </c>
      <c r="C209" s="2" t="s">
        <v>77</v>
      </c>
      <c r="D209" s="2" t="s">
        <v>46</v>
      </c>
      <c r="E209" s="2" t="s">
        <v>1436</v>
      </c>
      <c r="F209" s="2" t="s">
        <v>157</v>
      </c>
      <c r="G209" s="2" t="s">
        <v>115</v>
      </c>
      <c r="H209" s="2" t="s">
        <v>75</v>
      </c>
      <c r="I209" s="2" t="s">
        <v>77</v>
      </c>
      <c r="J209" s="2" t="s">
        <v>1439</v>
      </c>
      <c r="K209" s="2" t="s">
        <v>95</v>
      </c>
      <c r="L209" s="1" t="s">
        <v>62</v>
      </c>
    </row>
    <row r="210">
      <c r="A210" s="1" t="s">
        <v>1114</v>
      </c>
      <c r="B210" s="1" t="s">
        <v>170</v>
      </c>
      <c r="C210" s="2" t="s">
        <v>290</v>
      </c>
      <c r="D210" s="2" t="s">
        <v>1026</v>
      </c>
      <c r="E210" s="2" t="s">
        <v>1044</v>
      </c>
      <c r="F210" s="2" t="s">
        <v>149</v>
      </c>
      <c r="G210" s="2" t="s">
        <v>33</v>
      </c>
      <c r="H210" s="2" t="s">
        <v>412</v>
      </c>
      <c r="I210" s="2" t="s">
        <v>77</v>
      </c>
      <c r="J210" s="2" t="s">
        <v>1445</v>
      </c>
      <c r="K210" s="2" t="s">
        <v>23</v>
      </c>
      <c r="L210" s="1" t="s">
        <v>62</v>
      </c>
    </row>
    <row r="211">
      <c r="A211" s="1" t="s">
        <v>1118</v>
      </c>
      <c r="B211" s="1" t="s">
        <v>22</v>
      </c>
      <c r="C211" s="2" t="s">
        <v>117</v>
      </c>
      <c r="D211" s="2" t="s">
        <v>23</v>
      </c>
      <c r="E211" s="2" t="s">
        <v>626</v>
      </c>
      <c r="F211" s="2" t="s">
        <v>106</v>
      </c>
      <c r="G211" s="2" t="s">
        <v>186</v>
      </c>
      <c r="H211" s="2" t="s">
        <v>116</v>
      </c>
      <c r="I211" s="2" t="s">
        <v>58</v>
      </c>
      <c r="J211" s="2" t="s">
        <v>1448</v>
      </c>
      <c r="K211" s="2" t="s">
        <v>154</v>
      </c>
      <c r="L211" s="1" t="s">
        <v>62</v>
      </c>
    </row>
    <row r="212">
      <c r="A212" s="1" t="s">
        <v>1121</v>
      </c>
      <c r="B212" s="1" t="s">
        <v>84</v>
      </c>
      <c r="C212" s="2" t="s">
        <v>23</v>
      </c>
      <c r="D212" s="2" t="s">
        <v>245</v>
      </c>
      <c r="E212" s="2" t="s">
        <v>1452</v>
      </c>
      <c r="F212" s="2" t="s">
        <v>157</v>
      </c>
      <c r="G212" s="2" t="s">
        <v>68</v>
      </c>
      <c r="H212" s="2" t="s">
        <v>108</v>
      </c>
      <c r="I212" s="2" t="s">
        <v>77</v>
      </c>
      <c r="J212" s="2" t="s">
        <v>1456</v>
      </c>
      <c r="K212" s="2" t="s">
        <v>77</v>
      </c>
      <c r="L212" s="1" t="s">
        <v>113</v>
      </c>
    </row>
    <row r="213">
      <c r="A213" s="1" t="s">
        <v>1123</v>
      </c>
      <c r="B213" s="1" t="s">
        <v>65</v>
      </c>
      <c r="C213" s="2" t="s">
        <v>46</v>
      </c>
      <c r="D213" s="2" t="s">
        <v>265</v>
      </c>
      <c r="E213" s="2" t="s">
        <v>1460</v>
      </c>
      <c r="F213" s="2" t="s">
        <v>267</v>
      </c>
      <c r="G213" s="2" t="s">
        <v>290</v>
      </c>
      <c r="H213" s="2" t="s">
        <v>151</v>
      </c>
      <c r="I213" s="2" t="s">
        <v>38</v>
      </c>
      <c r="J213" s="2" t="s">
        <v>1462</v>
      </c>
      <c r="K213" s="2" t="s">
        <v>167</v>
      </c>
      <c r="L213" s="1" t="s">
        <v>62</v>
      </c>
    </row>
    <row r="214">
      <c r="A214" s="1" t="s">
        <v>1127</v>
      </c>
      <c r="B214" s="1" t="s">
        <v>65</v>
      </c>
      <c r="C214" s="2" t="s">
        <v>23</v>
      </c>
      <c r="D214" s="2" t="s">
        <v>31</v>
      </c>
      <c r="E214" s="2" t="s">
        <v>809</v>
      </c>
      <c r="F214" s="2" t="s">
        <v>1049</v>
      </c>
      <c r="G214" s="2" t="s">
        <v>245</v>
      </c>
      <c r="H214" s="2" t="s">
        <v>56</v>
      </c>
      <c r="I214" s="2" t="s">
        <v>77</v>
      </c>
      <c r="J214" s="2" t="s">
        <v>594</v>
      </c>
      <c r="K214" s="2" t="s">
        <v>95</v>
      </c>
    </row>
    <row r="215">
      <c r="A215" s="1" t="s">
        <v>1129</v>
      </c>
      <c r="B215" s="1" t="s">
        <v>22</v>
      </c>
      <c r="C215" s="2" t="s">
        <v>46</v>
      </c>
      <c r="D215" s="2" t="s">
        <v>167</v>
      </c>
      <c r="E215" s="2" t="s">
        <v>567</v>
      </c>
      <c r="F215" s="2" t="s">
        <v>248</v>
      </c>
      <c r="G215" s="2" t="s">
        <v>162</v>
      </c>
      <c r="H215" s="2" t="s">
        <v>75</v>
      </c>
      <c r="I215" s="2" t="s">
        <v>38</v>
      </c>
      <c r="J215" s="2" t="s">
        <v>1470</v>
      </c>
      <c r="K215" s="2" t="s">
        <v>46</v>
      </c>
      <c r="L215" s="1" t="s">
        <v>113</v>
      </c>
    </row>
    <row r="216">
      <c r="A216" s="1" t="s">
        <v>1132</v>
      </c>
      <c r="B216" s="1" t="s">
        <v>65</v>
      </c>
      <c r="C216" s="2" t="s">
        <v>23</v>
      </c>
      <c r="D216" s="2" t="s">
        <v>186</v>
      </c>
      <c r="E216" s="2" t="s">
        <v>310</v>
      </c>
      <c r="F216" s="2" t="s">
        <v>186</v>
      </c>
      <c r="G216" s="2" t="s">
        <v>73</v>
      </c>
      <c r="H216" s="2" t="s">
        <v>270</v>
      </c>
      <c r="I216" s="2" t="s">
        <v>46</v>
      </c>
      <c r="J216" s="2" t="s">
        <v>1475</v>
      </c>
      <c r="K216" s="2" t="s">
        <v>23</v>
      </c>
      <c r="L216" s="1" t="s">
        <v>62</v>
      </c>
    </row>
    <row r="217">
      <c r="A217" s="1" t="s">
        <v>1135</v>
      </c>
      <c r="B217" s="1" t="s">
        <v>22</v>
      </c>
      <c r="C217" s="2" t="s">
        <v>95</v>
      </c>
      <c r="D217" s="2" t="s">
        <v>106</v>
      </c>
      <c r="E217" s="2" t="s">
        <v>1333</v>
      </c>
      <c r="F217" s="2" t="s">
        <v>154</v>
      </c>
      <c r="G217" s="2" t="s">
        <v>104</v>
      </c>
      <c r="H217" s="2" t="s">
        <v>75</v>
      </c>
      <c r="I217" s="2" t="s">
        <v>138</v>
      </c>
      <c r="J217" s="2" t="s">
        <v>1479</v>
      </c>
      <c r="K217" s="2" t="s">
        <v>95</v>
      </c>
      <c r="L217" s="1" t="s">
        <v>62</v>
      </c>
    </row>
    <row r="218">
      <c r="A218" s="1" t="s">
        <v>1138</v>
      </c>
      <c r="B218" s="1" t="s">
        <v>22</v>
      </c>
      <c r="C218" s="2" t="s">
        <v>77</v>
      </c>
      <c r="D218" s="2" t="s">
        <v>157</v>
      </c>
      <c r="E218" s="2" t="s">
        <v>890</v>
      </c>
      <c r="F218" s="2" t="s">
        <v>71</v>
      </c>
      <c r="G218" s="2" t="s">
        <v>106</v>
      </c>
      <c r="H218" s="2" t="s">
        <v>1091</v>
      </c>
      <c r="I218" s="2" t="s">
        <v>58</v>
      </c>
      <c r="J218" s="2" t="s">
        <v>1485</v>
      </c>
      <c r="K218" s="2" t="s">
        <v>95</v>
      </c>
      <c r="L218" s="1" t="s">
        <v>62</v>
      </c>
    </row>
    <row r="219">
      <c r="A219" s="1" t="s">
        <v>1142</v>
      </c>
      <c r="B219" s="1" t="s">
        <v>65</v>
      </c>
      <c r="C219" s="2" t="s">
        <v>38</v>
      </c>
      <c r="D219" s="2" t="s">
        <v>106</v>
      </c>
      <c r="E219" s="2" t="s">
        <v>732</v>
      </c>
      <c r="F219" s="2" t="s">
        <v>491</v>
      </c>
      <c r="G219" s="2" t="s">
        <v>149</v>
      </c>
      <c r="H219" s="2" t="s">
        <v>250</v>
      </c>
      <c r="I219" s="2" t="s">
        <v>46</v>
      </c>
      <c r="J219" s="2" t="s">
        <v>1491</v>
      </c>
      <c r="K219" s="2" t="s">
        <v>77</v>
      </c>
      <c r="L219" s="1" t="s">
        <v>113</v>
      </c>
    </row>
    <row r="220">
      <c r="A220" s="1" t="s">
        <v>1145</v>
      </c>
      <c r="B220" s="1" t="s">
        <v>65</v>
      </c>
      <c r="C220" s="2" t="s">
        <v>117</v>
      </c>
      <c r="D220" s="2" t="s">
        <v>23</v>
      </c>
      <c r="E220" s="2" t="s">
        <v>599</v>
      </c>
      <c r="F220" s="2" t="s">
        <v>387</v>
      </c>
      <c r="G220" s="2" t="s">
        <v>290</v>
      </c>
      <c r="H220" s="2" t="s">
        <v>250</v>
      </c>
      <c r="I220" s="2" t="s">
        <v>46</v>
      </c>
      <c r="J220" s="2" t="s">
        <v>1496</v>
      </c>
      <c r="K220" s="2" t="s">
        <v>95</v>
      </c>
      <c r="L220" s="1" t="s">
        <v>62</v>
      </c>
    </row>
    <row r="221">
      <c r="A221" s="1" t="s">
        <v>1148</v>
      </c>
      <c r="B221" s="1" t="s">
        <v>65</v>
      </c>
      <c r="C221" s="2" t="s">
        <v>23</v>
      </c>
      <c r="D221" s="2" t="s">
        <v>351</v>
      </c>
      <c r="E221" s="2" t="s">
        <v>1499</v>
      </c>
      <c r="F221" s="2" t="s">
        <v>290</v>
      </c>
      <c r="G221" s="2" t="s">
        <v>104</v>
      </c>
      <c r="H221" s="2" t="s">
        <v>75</v>
      </c>
      <c r="I221" s="2" t="s">
        <v>38</v>
      </c>
      <c r="J221" s="2" t="s">
        <v>1502</v>
      </c>
      <c r="K221" s="2" t="s">
        <v>38</v>
      </c>
      <c r="L221" s="1" t="s">
        <v>113</v>
      </c>
    </row>
    <row r="222">
      <c r="A222" s="1" t="s">
        <v>1152</v>
      </c>
      <c r="B222" s="1" t="s">
        <v>65</v>
      </c>
      <c r="C222" s="2" t="s">
        <v>46</v>
      </c>
      <c r="D222" s="2" t="s">
        <v>213</v>
      </c>
      <c r="E222" s="2" t="s">
        <v>1505</v>
      </c>
      <c r="F222" s="2" t="s">
        <v>351</v>
      </c>
      <c r="G222" s="2" t="s">
        <v>86</v>
      </c>
      <c r="H222" s="2" t="s">
        <v>178</v>
      </c>
      <c r="I222" s="2" t="s">
        <v>138</v>
      </c>
      <c r="J222" s="2" t="s">
        <v>1508</v>
      </c>
      <c r="K222" s="2" t="s">
        <v>38</v>
      </c>
      <c r="L222" s="1" t="s">
        <v>113</v>
      </c>
    </row>
    <row r="223">
      <c r="A223" s="1" t="s">
        <v>1155</v>
      </c>
      <c r="B223" s="1" t="s">
        <v>84</v>
      </c>
      <c r="C223" s="2" t="s">
        <v>157</v>
      </c>
      <c r="D223" s="2" t="s">
        <v>33</v>
      </c>
      <c r="E223" s="2" t="s">
        <v>1382</v>
      </c>
      <c r="F223" s="2" t="s">
        <v>869</v>
      </c>
      <c r="G223" s="2" t="s">
        <v>86</v>
      </c>
      <c r="H223" s="2" t="s">
        <v>497</v>
      </c>
      <c r="I223" s="2" t="s">
        <v>58</v>
      </c>
      <c r="J223" s="2" t="s">
        <v>1511</v>
      </c>
      <c r="K223" s="2" t="s">
        <v>117</v>
      </c>
      <c r="L223" s="1" t="s">
        <v>113</v>
      </c>
    </row>
    <row r="224">
      <c r="A224" s="1" t="s">
        <v>1158</v>
      </c>
      <c r="B224" s="1" t="s">
        <v>170</v>
      </c>
      <c r="C224" s="2" t="s">
        <v>157</v>
      </c>
      <c r="D224" s="2" t="s">
        <v>86</v>
      </c>
      <c r="E224" s="2" t="s">
        <v>337</v>
      </c>
      <c r="F224" s="2" t="s">
        <v>224</v>
      </c>
      <c r="G224" s="2" t="s">
        <v>199</v>
      </c>
      <c r="H224" s="2" t="s">
        <v>218</v>
      </c>
      <c r="I224" s="2" t="s">
        <v>77</v>
      </c>
      <c r="J224" s="2" t="s">
        <v>659</v>
      </c>
      <c r="K224" s="2" t="s">
        <v>95</v>
      </c>
      <c r="L224" s="1" t="s">
        <v>62</v>
      </c>
    </row>
    <row r="225">
      <c r="A225" s="1" t="s">
        <v>1158</v>
      </c>
      <c r="B225" s="1" t="s">
        <v>170</v>
      </c>
      <c r="C225" s="2" t="s">
        <v>157</v>
      </c>
      <c r="D225" s="2" t="s">
        <v>86</v>
      </c>
      <c r="E225" s="2" t="s">
        <v>337</v>
      </c>
      <c r="F225" s="2" t="s">
        <v>224</v>
      </c>
      <c r="G225" s="2" t="s">
        <v>199</v>
      </c>
      <c r="H225" s="2" t="s">
        <v>218</v>
      </c>
      <c r="I225" s="2" t="s">
        <v>77</v>
      </c>
      <c r="J225" s="2" t="s">
        <v>659</v>
      </c>
      <c r="K225" s="2" t="s">
        <v>95</v>
      </c>
      <c r="L225" s="1" t="s">
        <v>62</v>
      </c>
    </row>
    <row r="226">
      <c r="A226" s="1" t="s">
        <v>1163</v>
      </c>
      <c r="B226" s="1" t="s">
        <v>22</v>
      </c>
      <c r="C226" s="2" t="s">
        <v>95</v>
      </c>
      <c r="D226" s="2" t="s">
        <v>339</v>
      </c>
      <c r="E226" s="2" t="s">
        <v>1519</v>
      </c>
      <c r="F226" s="2" t="s">
        <v>162</v>
      </c>
      <c r="G226" s="2" t="s">
        <v>365</v>
      </c>
      <c r="H226" s="2" t="s">
        <v>1091</v>
      </c>
      <c r="I226" s="2" t="s">
        <v>117</v>
      </c>
      <c r="J226" s="2" t="s">
        <v>1520</v>
      </c>
      <c r="K226" s="2" t="s">
        <v>46</v>
      </c>
      <c r="L226" s="1" t="s">
        <v>113</v>
      </c>
    </row>
    <row r="227">
      <c r="A227" s="1" t="s">
        <v>1165</v>
      </c>
      <c r="B227" s="1" t="s">
        <v>22</v>
      </c>
      <c r="C227" s="2" t="s">
        <v>157</v>
      </c>
      <c r="D227" s="2" t="s">
        <v>300</v>
      </c>
      <c r="E227" s="2" t="s">
        <v>896</v>
      </c>
      <c r="F227" s="2" t="s">
        <v>199</v>
      </c>
      <c r="G227" s="2" t="s">
        <v>395</v>
      </c>
      <c r="H227" s="2" t="s">
        <v>203</v>
      </c>
      <c r="I227" s="2" t="s">
        <v>46</v>
      </c>
      <c r="J227" s="2" t="s">
        <v>1526</v>
      </c>
      <c r="K227" s="2" t="s">
        <v>23</v>
      </c>
      <c r="L227" s="1" t="s">
        <v>62</v>
      </c>
    </row>
    <row r="228">
      <c r="A228" s="1" t="s">
        <v>1169</v>
      </c>
      <c r="B228" s="1" t="s">
        <v>44</v>
      </c>
      <c r="C228" s="2" t="s">
        <v>117</v>
      </c>
      <c r="D228" s="2" t="s">
        <v>290</v>
      </c>
      <c r="E228" s="2" t="s">
        <v>618</v>
      </c>
      <c r="F228" s="2" t="s">
        <v>213</v>
      </c>
      <c r="G228" s="2" t="s">
        <v>290</v>
      </c>
      <c r="H228" s="2" t="s">
        <v>218</v>
      </c>
      <c r="I228" s="2" t="s">
        <v>38</v>
      </c>
      <c r="J228" s="2" t="s">
        <v>1532</v>
      </c>
      <c r="K228" s="2" t="s">
        <v>117</v>
      </c>
      <c r="L228" s="1" t="s">
        <v>113</v>
      </c>
    </row>
    <row r="229">
      <c r="A229" s="1" t="s">
        <v>1173</v>
      </c>
      <c r="B229" s="1" t="s">
        <v>22</v>
      </c>
      <c r="C229" s="2" t="s">
        <v>157</v>
      </c>
      <c r="D229" s="2" t="s">
        <v>395</v>
      </c>
      <c r="E229" s="2" t="s">
        <v>1333</v>
      </c>
      <c r="F229" s="2" t="s">
        <v>167</v>
      </c>
      <c r="G229" s="2" t="s">
        <v>104</v>
      </c>
      <c r="H229" s="2" t="s">
        <v>178</v>
      </c>
      <c r="I229" s="2" t="s">
        <v>117</v>
      </c>
      <c r="J229" s="2" t="s">
        <v>1537</v>
      </c>
      <c r="K229" s="2" t="s">
        <v>117</v>
      </c>
      <c r="L229" s="1" t="s">
        <v>113</v>
      </c>
    </row>
    <row r="230">
      <c r="A230" s="1" t="s">
        <v>1175</v>
      </c>
      <c r="B230" s="1" t="s">
        <v>44</v>
      </c>
      <c r="C230" s="2" t="s">
        <v>23</v>
      </c>
      <c r="D230" s="2" t="s">
        <v>73</v>
      </c>
      <c r="E230" s="2" t="s">
        <v>412</v>
      </c>
      <c r="F230" s="2" t="s">
        <v>48</v>
      </c>
      <c r="G230" s="2" t="s">
        <v>290</v>
      </c>
      <c r="H230" s="2" t="s">
        <v>151</v>
      </c>
      <c r="I230" s="2" t="s">
        <v>58</v>
      </c>
      <c r="J230" s="2" t="s">
        <v>1543</v>
      </c>
      <c r="K230" s="2" t="s">
        <v>117</v>
      </c>
      <c r="L230" s="1" t="s">
        <v>113</v>
      </c>
    </row>
    <row r="231">
      <c r="A231" s="1" t="s">
        <v>1179</v>
      </c>
      <c r="B231" s="1" t="s">
        <v>65</v>
      </c>
      <c r="C231" s="2" t="s">
        <v>157</v>
      </c>
      <c r="D231" s="2" t="s">
        <v>27</v>
      </c>
      <c r="E231" s="2" t="s">
        <v>904</v>
      </c>
      <c r="F231" s="2" t="s">
        <v>115</v>
      </c>
      <c r="G231" s="2" t="s">
        <v>339</v>
      </c>
      <c r="H231" s="2" t="s">
        <v>575</v>
      </c>
      <c r="I231" s="2" t="s">
        <v>117</v>
      </c>
      <c r="J231" s="2" t="s">
        <v>1547</v>
      </c>
      <c r="K231" s="2" t="s">
        <v>157</v>
      </c>
      <c r="L231" s="1" t="s">
        <v>62</v>
      </c>
    </row>
    <row r="232">
      <c r="A232" s="1" t="s">
        <v>1182</v>
      </c>
      <c r="B232" s="1" t="s">
        <v>65</v>
      </c>
      <c r="C232" s="2" t="s">
        <v>95</v>
      </c>
      <c r="D232" s="2" t="s">
        <v>68</v>
      </c>
      <c r="E232" s="2" t="s">
        <v>102</v>
      </c>
      <c r="F232" s="2" t="s">
        <v>175</v>
      </c>
      <c r="G232" s="2" t="s">
        <v>162</v>
      </c>
      <c r="H232" s="2" t="s">
        <v>218</v>
      </c>
      <c r="I232" s="2" t="s">
        <v>77</v>
      </c>
      <c r="J232" s="2" t="s">
        <v>1551</v>
      </c>
      <c r="K232" s="2" t="s">
        <v>77</v>
      </c>
      <c r="L232" s="1" t="s">
        <v>113</v>
      </c>
    </row>
    <row r="233">
      <c r="A233" s="1" t="s">
        <v>1185</v>
      </c>
      <c r="B233" s="1" t="s">
        <v>84</v>
      </c>
      <c r="C233" s="2" t="s">
        <v>23</v>
      </c>
      <c r="D233" s="2" t="s">
        <v>149</v>
      </c>
      <c r="E233" s="2" t="s">
        <v>337</v>
      </c>
      <c r="F233" s="2" t="s">
        <v>287</v>
      </c>
      <c r="G233" s="2" t="s">
        <v>48</v>
      </c>
      <c r="H233" s="2" t="s">
        <v>56</v>
      </c>
      <c r="I233" s="2" t="s">
        <v>58</v>
      </c>
      <c r="J233" s="2" t="s">
        <v>1555</v>
      </c>
      <c r="K233" s="2" t="s">
        <v>157</v>
      </c>
      <c r="L233" s="1" t="s">
        <v>62</v>
      </c>
    </row>
    <row r="234">
      <c r="A234" s="1" t="s">
        <v>1191</v>
      </c>
      <c r="B234" s="1" t="s">
        <v>84</v>
      </c>
      <c r="C234" s="2" t="s">
        <v>95</v>
      </c>
      <c r="D234" s="2" t="s">
        <v>162</v>
      </c>
      <c r="E234" s="2" t="s">
        <v>890</v>
      </c>
      <c r="F234" s="2" t="s">
        <v>338</v>
      </c>
      <c r="G234" s="2" t="s">
        <v>808</v>
      </c>
      <c r="H234" s="2" t="s">
        <v>412</v>
      </c>
      <c r="I234" s="2" t="s">
        <v>117</v>
      </c>
      <c r="J234" s="2" t="s">
        <v>1559</v>
      </c>
      <c r="K234" s="2" t="s">
        <v>117</v>
      </c>
      <c r="L234" s="1" t="s">
        <v>113</v>
      </c>
    </row>
    <row r="235">
      <c r="A235" s="1" t="s">
        <v>1193</v>
      </c>
      <c r="B235" s="1" t="s">
        <v>84</v>
      </c>
      <c r="C235" s="2" t="s">
        <v>23</v>
      </c>
      <c r="D235" s="2" t="s">
        <v>351</v>
      </c>
      <c r="E235" s="2" t="s">
        <v>890</v>
      </c>
      <c r="F235" s="2" t="s">
        <v>265</v>
      </c>
      <c r="G235" s="2" t="s">
        <v>154</v>
      </c>
      <c r="H235" s="2" t="s">
        <v>497</v>
      </c>
      <c r="I235" s="2" t="s">
        <v>58</v>
      </c>
      <c r="J235" s="2" t="s">
        <v>1565</v>
      </c>
      <c r="K235" s="2" t="s">
        <v>157</v>
      </c>
    </row>
    <row r="236">
      <c r="A236" s="1" t="s">
        <v>1196</v>
      </c>
      <c r="B236" s="1" t="s">
        <v>22</v>
      </c>
      <c r="C236" s="2" t="s">
        <v>46</v>
      </c>
      <c r="D236" s="2" t="s">
        <v>395</v>
      </c>
      <c r="E236" s="2" t="s">
        <v>996</v>
      </c>
      <c r="F236" s="2" t="s">
        <v>115</v>
      </c>
      <c r="G236" s="2" t="s">
        <v>68</v>
      </c>
      <c r="H236" s="2" t="s">
        <v>178</v>
      </c>
      <c r="I236" s="2" t="s">
        <v>58</v>
      </c>
      <c r="J236" s="2" t="s">
        <v>1569</v>
      </c>
      <c r="K236" s="2" t="s">
        <v>95</v>
      </c>
      <c r="L236" s="1" t="s">
        <v>62</v>
      </c>
    </row>
    <row r="237">
      <c r="A237" s="1" t="s">
        <v>1198</v>
      </c>
      <c r="B237" s="1" t="s">
        <v>65</v>
      </c>
      <c r="C237" s="2" t="s">
        <v>157</v>
      </c>
      <c r="D237" s="2" t="s">
        <v>448</v>
      </c>
      <c r="E237" s="2" t="s">
        <v>1061</v>
      </c>
      <c r="F237" s="2" t="s">
        <v>86</v>
      </c>
      <c r="G237" s="2" t="s">
        <v>351</v>
      </c>
      <c r="H237" s="2" t="s">
        <v>497</v>
      </c>
      <c r="I237" s="2" t="s">
        <v>77</v>
      </c>
      <c r="J237" s="2" t="s">
        <v>1575</v>
      </c>
      <c r="K237" s="2" t="s">
        <v>77</v>
      </c>
      <c r="L237" s="1" t="s">
        <v>113</v>
      </c>
    </row>
    <row r="238">
      <c r="A238" s="1" t="s">
        <v>1201</v>
      </c>
      <c r="B238" s="1" t="s">
        <v>22</v>
      </c>
      <c r="C238" s="2" t="s">
        <v>77</v>
      </c>
      <c r="D238" s="2" t="s">
        <v>290</v>
      </c>
      <c r="E238" s="2" t="s">
        <v>56</v>
      </c>
      <c r="F238" s="2" t="s">
        <v>869</v>
      </c>
      <c r="G238" s="2" t="s">
        <v>27</v>
      </c>
      <c r="H238" s="2" t="s">
        <v>250</v>
      </c>
      <c r="I238" s="2" t="s">
        <v>38</v>
      </c>
      <c r="J238" s="2" t="s">
        <v>1580</v>
      </c>
      <c r="K238" s="2" t="s">
        <v>46</v>
      </c>
      <c r="L238" s="1" t="s">
        <v>62</v>
      </c>
    </row>
    <row r="239">
      <c r="A239" s="1" t="s">
        <v>1204</v>
      </c>
      <c r="B239" s="1" t="s">
        <v>170</v>
      </c>
      <c r="C239" s="2" t="s">
        <v>167</v>
      </c>
      <c r="D239" s="2" t="s">
        <v>339</v>
      </c>
      <c r="E239" s="2" t="s">
        <v>868</v>
      </c>
      <c r="F239" s="2" t="s">
        <v>387</v>
      </c>
      <c r="G239" s="2" t="s">
        <v>201</v>
      </c>
      <c r="H239" s="2" t="s">
        <v>310</v>
      </c>
      <c r="I239" s="2" t="s">
        <v>117</v>
      </c>
      <c r="J239" s="2" t="s">
        <v>1586</v>
      </c>
      <c r="K239" s="2" t="s">
        <v>38</v>
      </c>
      <c r="L239" s="1" t="s">
        <v>62</v>
      </c>
    </row>
    <row r="240">
      <c r="A240" s="1" t="s">
        <v>1206</v>
      </c>
      <c r="B240" s="1" t="s">
        <v>65</v>
      </c>
      <c r="C240" s="2" t="s">
        <v>46</v>
      </c>
      <c r="D240" s="2" t="s">
        <v>106</v>
      </c>
      <c r="E240" s="2" t="s">
        <v>396</v>
      </c>
      <c r="F240" s="2" t="s">
        <v>265</v>
      </c>
      <c r="G240" s="2" t="s">
        <v>245</v>
      </c>
      <c r="H240" s="2" t="s">
        <v>310</v>
      </c>
      <c r="I240" s="2" t="s">
        <v>138</v>
      </c>
      <c r="J240" s="2" t="s">
        <v>960</v>
      </c>
      <c r="K240" s="2" t="s">
        <v>77</v>
      </c>
      <c r="L240" s="1" t="s">
        <v>113</v>
      </c>
    </row>
    <row r="241">
      <c r="A241" s="1" t="s">
        <v>1210</v>
      </c>
      <c r="B241" s="1" t="s">
        <v>22</v>
      </c>
      <c r="C241" s="2" t="s">
        <v>23</v>
      </c>
      <c r="D241" s="2" t="s">
        <v>104</v>
      </c>
      <c r="E241" s="2" t="s">
        <v>405</v>
      </c>
      <c r="F241" s="2" t="s">
        <v>149</v>
      </c>
      <c r="G241" s="2" t="s">
        <v>201</v>
      </c>
      <c r="H241" s="2" t="s">
        <v>1091</v>
      </c>
      <c r="I241" s="2" t="s">
        <v>117</v>
      </c>
      <c r="J241" s="2" t="s">
        <v>1595</v>
      </c>
      <c r="K241" s="2" t="s">
        <v>58</v>
      </c>
      <c r="L241" s="1" t="s">
        <v>113</v>
      </c>
    </row>
    <row r="242">
      <c r="A242" s="1" t="s">
        <v>1213</v>
      </c>
      <c r="B242" s="1" t="s">
        <v>44</v>
      </c>
      <c r="C242" s="2" t="s">
        <v>38</v>
      </c>
      <c r="D242" s="2" t="s">
        <v>68</v>
      </c>
      <c r="E242" s="2" t="s">
        <v>1416</v>
      </c>
      <c r="F242" s="2" t="s">
        <v>339</v>
      </c>
      <c r="G242" s="2" t="s">
        <v>68</v>
      </c>
      <c r="H242" s="2" t="s">
        <v>75</v>
      </c>
      <c r="I242" s="2" t="s">
        <v>77</v>
      </c>
      <c r="J242" s="2" t="s">
        <v>1601</v>
      </c>
      <c r="K242" s="2" t="s">
        <v>167</v>
      </c>
    </row>
    <row r="243">
      <c r="A243" s="1" t="s">
        <v>1215</v>
      </c>
      <c r="B243" s="1" t="s">
        <v>44</v>
      </c>
      <c r="C243" s="2" t="s">
        <v>157</v>
      </c>
      <c r="D243" s="2" t="s">
        <v>53</v>
      </c>
      <c r="E243" s="2" t="s">
        <v>396</v>
      </c>
      <c r="F243" s="2" t="s">
        <v>514</v>
      </c>
      <c r="G243" s="2" t="s">
        <v>106</v>
      </c>
      <c r="H243" s="2" t="s">
        <v>92</v>
      </c>
      <c r="I243" s="2" t="s">
        <v>138</v>
      </c>
      <c r="J243" s="2" t="s">
        <v>1604</v>
      </c>
      <c r="K243" s="2" t="s">
        <v>23</v>
      </c>
      <c r="L243" s="1" t="s">
        <v>62</v>
      </c>
    </row>
    <row r="244">
      <c r="A244" s="1" t="s">
        <v>1218</v>
      </c>
      <c r="B244" s="1" t="s">
        <v>44</v>
      </c>
      <c r="C244" s="2" t="s">
        <v>117</v>
      </c>
      <c r="D244" s="2" t="s">
        <v>154</v>
      </c>
      <c r="E244" s="2" t="s">
        <v>328</v>
      </c>
      <c r="F244" s="2" t="s">
        <v>514</v>
      </c>
      <c r="G244" s="2" t="s">
        <v>48</v>
      </c>
      <c r="H244" s="2" t="s">
        <v>575</v>
      </c>
      <c r="I244" s="2" t="s">
        <v>117</v>
      </c>
      <c r="J244" s="2" t="s">
        <v>1609</v>
      </c>
      <c r="K244" s="2" t="s">
        <v>77</v>
      </c>
    </row>
    <row r="245">
      <c r="A245" s="1" t="s">
        <v>1221</v>
      </c>
      <c r="B245" s="1" t="s">
        <v>22</v>
      </c>
      <c r="C245" s="2" t="s">
        <v>23</v>
      </c>
      <c r="D245" s="2" t="s">
        <v>27</v>
      </c>
      <c r="E245" s="2" t="s">
        <v>116</v>
      </c>
      <c r="F245" s="2" t="s">
        <v>104</v>
      </c>
      <c r="G245" s="2" t="s">
        <v>54</v>
      </c>
      <c r="H245" s="2" t="s">
        <v>114</v>
      </c>
      <c r="I245" s="2" t="s">
        <v>38</v>
      </c>
      <c r="J245" s="2" t="s">
        <v>1612</v>
      </c>
      <c r="K245" s="2" t="s">
        <v>38</v>
      </c>
      <c r="L245" s="1" t="s">
        <v>113</v>
      </c>
    </row>
    <row r="246">
      <c r="A246" s="1" t="s">
        <v>1224</v>
      </c>
      <c r="B246" s="1" t="s">
        <v>170</v>
      </c>
      <c r="C246" s="2" t="s">
        <v>290</v>
      </c>
      <c r="D246" s="2" t="s">
        <v>338</v>
      </c>
      <c r="E246" s="2" t="s">
        <v>685</v>
      </c>
      <c r="F246" s="2" t="s">
        <v>228</v>
      </c>
      <c r="G246" s="2" t="s">
        <v>54</v>
      </c>
      <c r="H246" s="2" t="s">
        <v>92</v>
      </c>
      <c r="I246" s="2" t="s">
        <v>117</v>
      </c>
      <c r="J246" s="2" t="s">
        <v>1617</v>
      </c>
      <c r="K246" s="2" t="s">
        <v>117</v>
      </c>
      <c r="L246" s="1" t="s">
        <v>113</v>
      </c>
    </row>
    <row r="247">
      <c r="A247" s="1" t="s">
        <v>1227</v>
      </c>
      <c r="B247" s="1" t="s">
        <v>44</v>
      </c>
      <c r="C247" s="2" t="s">
        <v>157</v>
      </c>
      <c r="D247" s="2" t="s">
        <v>375</v>
      </c>
      <c r="E247" s="2" t="s">
        <v>1620</v>
      </c>
      <c r="F247" s="2" t="s">
        <v>23</v>
      </c>
      <c r="G247" s="2" t="s">
        <v>186</v>
      </c>
      <c r="H247" s="2" t="s">
        <v>114</v>
      </c>
      <c r="I247" s="2" t="s">
        <v>138</v>
      </c>
      <c r="J247" s="2" t="s">
        <v>1621</v>
      </c>
      <c r="K247" s="2" t="s">
        <v>38</v>
      </c>
      <c r="L247" s="1" t="s">
        <v>62</v>
      </c>
    </row>
    <row r="248">
      <c r="A248" s="1" t="s">
        <v>1229</v>
      </c>
      <c r="B248" s="1" t="s">
        <v>84</v>
      </c>
      <c r="C248" s="2" t="s">
        <v>157</v>
      </c>
      <c r="D248" s="2" t="s">
        <v>54</v>
      </c>
      <c r="E248" s="2" t="s">
        <v>1275</v>
      </c>
      <c r="F248" s="2" t="s">
        <v>365</v>
      </c>
      <c r="G248" s="2" t="s">
        <v>265</v>
      </c>
      <c r="H248" s="2" t="s">
        <v>36</v>
      </c>
      <c r="I248" s="2" t="s">
        <v>77</v>
      </c>
      <c r="J248" s="2" t="s">
        <v>1626</v>
      </c>
      <c r="K248" s="2" t="s">
        <v>117</v>
      </c>
      <c r="L248" s="1" t="s">
        <v>113</v>
      </c>
    </row>
    <row r="249">
      <c r="A249" s="1" t="s">
        <v>1230</v>
      </c>
      <c r="B249" s="1" t="s">
        <v>44</v>
      </c>
      <c r="C249" s="2" t="s">
        <v>290</v>
      </c>
      <c r="D249" s="2" t="s">
        <v>448</v>
      </c>
      <c r="E249" s="2" t="s">
        <v>626</v>
      </c>
      <c r="F249" s="2" t="s">
        <v>27</v>
      </c>
      <c r="G249" s="2" t="s">
        <v>162</v>
      </c>
      <c r="H249" s="2" t="s">
        <v>250</v>
      </c>
      <c r="I249" s="2" t="s">
        <v>38</v>
      </c>
      <c r="J249" s="2" t="s">
        <v>1630</v>
      </c>
      <c r="K249" s="2" t="s">
        <v>95</v>
      </c>
      <c r="L249" s="1" t="s">
        <v>62</v>
      </c>
    </row>
    <row r="250">
      <c r="A250" s="1" t="s">
        <v>1234</v>
      </c>
      <c r="B250" s="1" t="s">
        <v>44</v>
      </c>
      <c r="C250" s="2" t="s">
        <v>77</v>
      </c>
      <c r="D250" s="2" t="s">
        <v>290</v>
      </c>
      <c r="E250" s="2" t="s">
        <v>664</v>
      </c>
      <c r="F250" s="2" t="s">
        <v>71</v>
      </c>
      <c r="G250" s="2" t="s">
        <v>71</v>
      </c>
      <c r="H250" s="2" t="s">
        <v>116</v>
      </c>
      <c r="I250" s="2" t="s">
        <v>138</v>
      </c>
      <c r="J250" s="2" t="s">
        <v>1634</v>
      </c>
      <c r="K250" s="2" t="s">
        <v>95</v>
      </c>
      <c r="L250" s="1" t="s">
        <v>62</v>
      </c>
    </row>
    <row r="251">
      <c r="A251" s="1" t="s">
        <v>1236</v>
      </c>
      <c r="B251" s="1" t="s">
        <v>44</v>
      </c>
      <c r="C251" s="2" t="s">
        <v>23</v>
      </c>
      <c r="D251" s="2" t="s">
        <v>213</v>
      </c>
      <c r="E251" s="2" t="s">
        <v>732</v>
      </c>
      <c r="F251" s="2" t="s">
        <v>135</v>
      </c>
      <c r="G251" s="2" t="s">
        <v>448</v>
      </c>
      <c r="H251" s="2" t="s">
        <v>163</v>
      </c>
      <c r="I251" s="2" t="s">
        <v>77</v>
      </c>
      <c r="J251" s="2" t="s">
        <v>1640</v>
      </c>
      <c r="K251" s="2" t="s">
        <v>167</v>
      </c>
      <c r="L251" s="1" t="s">
        <v>62</v>
      </c>
    </row>
    <row r="252">
      <c r="A252" s="1" t="s">
        <v>1241</v>
      </c>
      <c r="B252" s="1" t="s">
        <v>22</v>
      </c>
      <c r="C252" s="2" t="s">
        <v>38</v>
      </c>
      <c r="D252" s="2" t="s">
        <v>149</v>
      </c>
      <c r="E252" s="2" t="s">
        <v>146</v>
      </c>
      <c r="F252" s="2" t="s">
        <v>167</v>
      </c>
      <c r="G252" s="2" t="s">
        <v>162</v>
      </c>
      <c r="H252" s="2" t="s">
        <v>56</v>
      </c>
      <c r="I252" s="2" t="s">
        <v>138</v>
      </c>
      <c r="J252" s="2" t="s">
        <v>1645</v>
      </c>
      <c r="K252" s="2" t="s">
        <v>95</v>
      </c>
      <c r="L252" s="1" t="s">
        <v>62</v>
      </c>
    </row>
    <row r="253">
      <c r="A253" s="1" t="s">
        <v>1245</v>
      </c>
      <c r="B253" s="1" t="s">
        <v>22</v>
      </c>
      <c r="C253" s="2" t="s">
        <v>167</v>
      </c>
      <c r="D253" s="2" t="s">
        <v>54</v>
      </c>
      <c r="E253" s="2" t="s">
        <v>494</v>
      </c>
      <c r="F253" s="2" t="s">
        <v>514</v>
      </c>
      <c r="G253" s="2" t="s">
        <v>375</v>
      </c>
      <c r="H253" s="2" t="s">
        <v>36</v>
      </c>
      <c r="I253" s="2" t="s">
        <v>77</v>
      </c>
      <c r="J253" s="2" t="s">
        <v>435</v>
      </c>
      <c r="K253" s="2" t="s">
        <v>117</v>
      </c>
      <c r="L253" s="1" t="s">
        <v>113</v>
      </c>
    </row>
    <row r="254">
      <c r="A254" s="1" t="s">
        <v>1248</v>
      </c>
      <c r="B254" s="1" t="s">
        <v>44</v>
      </c>
      <c r="C254" s="2" t="s">
        <v>157</v>
      </c>
      <c r="D254" s="2" t="s">
        <v>68</v>
      </c>
      <c r="E254" s="2" t="s">
        <v>896</v>
      </c>
      <c r="F254" s="2" t="s">
        <v>104</v>
      </c>
      <c r="G254" s="2" t="s">
        <v>154</v>
      </c>
      <c r="H254" s="2" t="s">
        <v>75</v>
      </c>
      <c r="I254" s="2" t="s">
        <v>38</v>
      </c>
      <c r="J254" s="2" t="s">
        <v>1654</v>
      </c>
      <c r="K254" s="2" t="s">
        <v>77</v>
      </c>
      <c r="L254" s="1" t="s">
        <v>113</v>
      </c>
    </row>
    <row r="255">
      <c r="A255" s="1" t="s">
        <v>1251</v>
      </c>
      <c r="B255" s="1" t="s">
        <v>22</v>
      </c>
      <c r="C255" s="2" t="s">
        <v>38</v>
      </c>
      <c r="D255" s="2" t="s">
        <v>27</v>
      </c>
      <c r="E255" s="2" t="s">
        <v>1416</v>
      </c>
      <c r="F255" s="2" t="s">
        <v>808</v>
      </c>
      <c r="G255" s="2" t="s">
        <v>339</v>
      </c>
      <c r="H255" s="2" t="s">
        <v>114</v>
      </c>
      <c r="I255" s="2" t="s">
        <v>117</v>
      </c>
      <c r="J255" s="2" t="s">
        <v>1658</v>
      </c>
      <c r="K255" s="2" t="s">
        <v>157</v>
      </c>
    </row>
    <row r="256">
      <c r="A256" s="1" t="s">
        <v>1255</v>
      </c>
      <c r="B256" s="1" t="s">
        <v>22</v>
      </c>
      <c r="C256" s="2" t="s">
        <v>77</v>
      </c>
      <c r="D256" s="2" t="s">
        <v>154</v>
      </c>
      <c r="E256" s="2" t="s">
        <v>996</v>
      </c>
      <c r="F256" s="2" t="s">
        <v>135</v>
      </c>
      <c r="G256" s="2" t="s">
        <v>186</v>
      </c>
      <c r="H256" s="2" t="s">
        <v>114</v>
      </c>
      <c r="I256" s="2" t="s">
        <v>77</v>
      </c>
      <c r="J256" s="2" t="s">
        <v>1662</v>
      </c>
      <c r="K256" s="2" t="s">
        <v>77</v>
      </c>
      <c r="L256" s="1" t="s">
        <v>113</v>
      </c>
    </row>
    <row r="257">
      <c r="A257" s="1" t="s">
        <v>1258</v>
      </c>
      <c r="B257" s="1" t="s">
        <v>84</v>
      </c>
      <c r="C257" s="2" t="s">
        <v>23</v>
      </c>
      <c r="D257" s="2" t="s">
        <v>224</v>
      </c>
      <c r="E257" s="2" t="s">
        <v>1242</v>
      </c>
      <c r="F257" s="2" t="s">
        <v>228</v>
      </c>
      <c r="G257" s="2" t="s">
        <v>68</v>
      </c>
      <c r="H257" s="2" t="s">
        <v>56</v>
      </c>
      <c r="I257" s="2" t="s">
        <v>138</v>
      </c>
      <c r="J257" s="2" t="s">
        <v>1666</v>
      </c>
      <c r="K257" s="2" t="s">
        <v>95</v>
      </c>
      <c r="L257" s="1" t="s">
        <v>62</v>
      </c>
    </row>
    <row r="258">
      <c r="A258" s="1" t="s">
        <v>1261</v>
      </c>
      <c r="B258" s="1" t="s">
        <v>44</v>
      </c>
      <c r="C258" s="2" t="s">
        <v>38</v>
      </c>
      <c r="D258" s="2" t="s">
        <v>154</v>
      </c>
      <c r="E258" s="2" t="s">
        <v>497</v>
      </c>
      <c r="F258" s="2" t="s">
        <v>228</v>
      </c>
      <c r="G258" s="2" t="s">
        <v>213</v>
      </c>
      <c r="H258" s="2" t="s">
        <v>310</v>
      </c>
      <c r="I258" s="2" t="s">
        <v>117</v>
      </c>
      <c r="J258" s="2" t="s">
        <v>1671</v>
      </c>
      <c r="K258" s="2" t="s">
        <v>23</v>
      </c>
      <c r="L258" s="1" t="s">
        <v>62</v>
      </c>
    </row>
    <row r="259">
      <c r="A259" s="1" t="s">
        <v>1263</v>
      </c>
      <c r="B259" s="1" t="s">
        <v>65</v>
      </c>
      <c r="C259" s="2" t="s">
        <v>95</v>
      </c>
      <c r="D259" s="2" t="s">
        <v>448</v>
      </c>
      <c r="E259" s="2" t="s">
        <v>114</v>
      </c>
      <c r="F259" s="2" t="s">
        <v>224</v>
      </c>
      <c r="G259" s="2" t="s">
        <v>48</v>
      </c>
      <c r="H259" s="2" t="s">
        <v>56</v>
      </c>
      <c r="I259" s="2" t="s">
        <v>138</v>
      </c>
      <c r="J259" s="2" t="s">
        <v>1676</v>
      </c>
      <c r="K259" s="2" t="s">
        <v>157</v>
      </c>
      <c r="L259" s="1" t="s">
        <v>62</v>
      </c>
    </row>
    <row r="260">
      <c r="A260" s="1" t="s">
        <v>1266</v>
      </c>
      <c r="B260" s="1" t="s">
        <v>84</v>
      </c>
      <c r="C260" s="2" t="s">
        <v>38</v>
      </c>
      <c r="D260" s="2" t="s">
        <v>167</v>
      </c>
      <c r="E260" s="2" t="s">
        <v>611</v>
      </c>
      <c r="F260" s="2" t="s">
        <v>154</v>
      </c>
      <c r="G260" s="2" t="s">
        <v>290</v>
      </c>
      <c r="H260" s="2" t="s">
        <v>163</v>
      </c>
      <c r="I260" s="2" t="s">
        <v>58</v>
      </c>
      <c r="J260" s="2" t="s">
        <v>1680</v>
      </c>
      <c r="K260" s="2" t="s">
        <v>23</v>
      </c>
      <c r="L260" s="1" t="s">
        <v>113</v>
      </c>
    </row>
    <row r="261">
      <c r="A261" s="1" t="s">
        <v>1271</v>
      </c>
      <c r="B261" s="1" t="s">
        <v>170</v>
      </c>
      <c r="C261" s="2" t="s">
        <v>46</v>
      </c>
      <c r="D261" s="2" t="s">
        <v>106</v>
      </c>
      <c r="E261" s="2" t="s">
        <v>372</v>
      </c>
      <c r="F261" s="2" t="s">
        <v>31</v>
      </c>
      <c r="G261" s="2" t="s">
        <v>48</v>
      </c>
      <c r="H261" s="2" t="s">
        <v>92</v>
      </c>
      <c r="I261" s="2" t="s">
        <v>58</v>
      </c>
      <c r="J261" s="2" t="s">
        <v>1686</v>
      </c>
      <c r="K261" s="2" t="s">
        <v>46</v>
      </c>
      <c r="L261" s="1" t="s">
        <v>113</v>
      </c>
    </row>
    <row r="262">
      <c r="A262" s="1" t="s">
        <v>1274</v>
      </c>
      <c r="B262" s="1" t="s">
        <v>84</v>
      </c>
      <c r="C262" s="2" t="s">
        <v>23</v>
      </c>
      <c r="D262" s="2" t="s">
        <v>351</v>
      </c>
      <c r="E262" s="2" t="s">
        <v>1689</v>
      </c>
      <c r="F262" s="2" t="s">
        <v>375</v>
      </c>
      <c r="G262" s="2" t="s">
        <v>213</v>
      </c>
      <c r="H262" s="2" t="s">
        <v>163</v>
      </c>
      <c r="I262" s="2" t="s">
        <v>58</v>
      </c>
      <c r="K262" s="2" t="s">
        <v>46</v>
      </c>
      <c r="L262" s="1" t="s">
        <v>113</v>
      </c>
    </row>
    <row r="263">
      <c r="A263" s="1" t="s">
        <v>1279</v>
      </c>
      <c r="B263" s="1" t="s">
        <v>44</v>
      </c>
      <c r="C263" s="2" t="s">
        <v>167</v>
      </c>
      <c r="D263" s="2" t="s">
        <v>162</v>
      </c>
      <c r="E263" s="2" t="s">
        <v>1693</v>
      </c>
      <c r="F263" s="2" t="s">
        <v>48</v>
      </c>
      <c r="G263" s="2" t="s">
        <v>149</v>
      </c>
      <c r="I263" s="2" t="s">
        <v>38</v>
      </c>
      <c r="J263" s="2" t="s">
        <v>1695</v>
      </c>
      <c r="K263" s="2" t="s">
        <v>117</v>
      </c>
      <c r="L263" s="1" t="s">
        <v>113</v>
      </c>
    </row>
    <row r="264">
      <c r="A264" s="1" t="s">
        <v>1282</v>
      </c>
      <c r="B264" s="1" t="s">
        <v>22</v>
      </c>
      <c r="C264" s="2" t="s">
        <v>157</v>
      </c>
      <c r="D264" s="2" t="s">
        <v>135</v>
      </c>
      <c r="E264" s="2" t="s">
        <v>664</v>
      </c>
      <c r="F264" s="2" t="s">
        <v>267</v>
      </c>
      <c r="G264" s="2" t="s">
        <v>71</v>
      </c>
      <c r="H264" s="2" t="s">
        <v>203</v>
      </c>
      <c r="I264" s="2" t="s">
        <v>58</v>
      </c>
      <c r="J264" s="2" t="s">
        <v>1701</v>
      </c>
      <c r="K264" s="2" t="s">
        <v>38</v>
      </c>
      <c r="L264" s="1" t="s">
        <v>113</v>
      </c>
    </row>
    <row r="265">
      <c r="A265" s="1" t="s">
        <v>1286</v>
      </c>
      <c r="B265" s="1" t="s">
        <v>84</v>
      </c>
      <c r="C265" s="2" t="s">
        <v>23</v>
      </c>
      <c r="D265" s="2" t="s">
        <v>300</v>
      </c>
      <c r="E265" s="2" t="s">
        <v>372</v>
      </c>
      <c r="F265" s="2" t="s">
        <v>247</v>
      </c>
      <c r="G265" s="2" t="s">
        <v>339</v>
      </c>
      <c r="H265" s="2" t="s">
        <v>250</v>
      </c>
      <c r="I265" s="2" t="s">
        <v>117</v>
      </c>
      <c r="J265" s="2" t="s">
        <v>1705</v>
      </c>
      <c r="K265" s="2" t="s">
        <v>95</v>
      </c>
      <c r="L265" s="1" t="s">
        <v>62</v>
      </c>
    </row>
    <row r="266">
      <c r="A266" s="1" t="s">
        <v>1289</v>
      </c>
      <c r="B266" s="1" t="s">
        <v>44</v>
      </c>
      <c r="C266" s="2" t="s">
        <v>46</v>
      </c>
      <c r="D266" s="2" t="s">
        <v>106</v>
      </c>
      <c r="E266" s="2" t="s">
        <v>1708</v>
      </c>
      <c r="F266" s="2" t="s">
        <v>162</v>
      </c>
      <c r="G266" s="2" t="s">
        <v>162</v>
      </c>
      <c r="H266" s="2" t="s">
        <v>108</v>
      </c>
      <c r="I266" s="2" t="s">
        <v>38</v>
      </c>
      <c r="J266" s="2" t="s">
        <v>1710</v>
      </c>
      <c r="K266" s="2" t="s">
        <v>95</v>
      </c>
      <c r="L266" s="1" t="s">
        <v>62</v>
      </c>
    </row>
    <row r="267">
      <c r="A267" s="1" t="s">
        <v>1293</v>
      </c>
      <c r="B267" s="1" t="s">
        <v>65</v>
      </c>
      <c r="C267" s="2" t="s">
        <v>95</v>
      </c>
      <c r="D267" s="2" t="s">
        <v>186</v>
      </c>
      <c r="E267" s="2" t="s">
        <v>955</v>
      </c>
      <c r="F267" s="2" t="s">
        <v>247</v>
      </c>
      <c r="G267" s="2" t="s">
        <v>33</v>
      </c>
      <c r="I267" s="2" t="s">
        <v>38</v>
      </c>
      <c r="J267" s="2" t="s">
        <v>1716</v>
      </c>
      <c r="K267" s="2" t="s">
        <v>58</v>
      </c>
      <c r="L267" s="1" t="s">
        <v>113</v>
      </c>
    </row>
    <row r="268">
      <c r="A268" s="1" t="s">
        <v>1296</v>
      </c>
      <c r="B268" s="1" t="s">
        <v>65</v>
      </c>
      <c r="C268" s="2" t="s">
        <v>167</v>
      </c>
      <c r="D268" s="2" t="s">
        <v>448</v>
      </c>
      <c r="E268" s="2" t="s">
        <v>297</v>
      </c>
      <c r="F268" s="2" t="s">
        <v>267</v>
      </c>
      <c r="G268" s="2" t="s">
        <v>68</v>
      </c>
      <c r="H268" s="2" t="s">
        <v>218</v>
      </c>
      <c r="I268" s="2" t="s">
        <v>138</v>
      </c>
      <c r="J268" s="2" t="s">
        <v>1719</v>
      </c>
      <c r="K268" s="2" t="s">
        <v>23</v>
      </c>
      <c r="L268" s="1" t="s">
        <v>62</v>
      </c>
    </row>
    <row r="269">
      <c r="A269" s="1" t="s">
        <v>1299</v>
      </c>
      <c r="B269" s="1" t="s">
        <v>65</v>
      </c>
      <c r="C269" s="2" t="s">
        <v>46</v>
      </c>
      <c r="D269" s="2" t="s">
        <v>290</v>
      </c>
      <c r="E269" s="2" t="s">
        <v>270</v>
      </c>
      <c r="F269" s="2" t="s">
        <v>33</v>
      </c>
      <c r="G269" s="2" t="s">
        <v>104</v>
      </c>
      <c r="I269" s="2" t="s">
        <v>77</v>
      </c>
      <c r="J269" s="2" t="s">
        <v>1724</v>
      </c>
      <c r="K269" s="2" t="s">
        <v>117</v>
      </c>
      <c r="L269" s="1" t="s">
        <v>113</v>
      </c>
    </row>
    <row r="270">
      <c r="A270" s="1" t="s">
        <v>1302</v>
      </c>
      <c r="B270" s="1" t="s">
        <v>22</v>
      </c>
      <c r="C270" s="2" t="s">
        <v>38</v>
      </c>
      <c r="D270" s="2" t="s">
        <v>201</v>
      </c>
      <c r="E270" s="2" t="s">
        <v>1727</v>
      </c>
      <c r="F270" s="2" t="s">
        <v>157</v>
      </c>
      <c r="G270" s="2" t="s">
        <v>48</v>
      </c>
      <c r="H270" s="2" t="s">
        <v>92</v>
      </c>
      <c r="I270" s="2" t="s">
        <v>138</v>
      </c>
      <c r="J270" s="2" t="s">
        <v>1731</v>
      </c>
      <c r="K270" s="2" t="s">
        <v>38</v>
      </c>
    </row>
    <row r="271">
      <c r="A271" s="1" t="s">
        <v>1305</v>
      </c>
      <c r="B271" s="1" t="s">
        <v>22</v>
      </c>
      <c r="C271" s="2" t="s">
        <v>117</v>
      </c>
      <c r="D271" s="2" t="s">
        <v>95</v>
      </c>
      <c r="E271" s="2" t="s">
        <v>890</v>
      </c>
      <c r="F271" s="2" t="s">
        <v>224</v>
      </c>
      <c r="G271" s="2" t="s">
        <v>48</v>
      </c>
      <c r="H271" s="2" t="s">
        <v>203</v>
      </c>
      <c r="I271" s="2" t="s">
        <v>38</v>
      </c>
      <c r="J271" s="2" t="s">
        <v>1733</v>
      </c>
      <c r="K271" s="2" t="s">
        <v>58</v>
      </c>
    </row>
    <row r="272">
      <c r="A272" s="1" t="s">
        <v>1309</v>
      </c>
      <c r="B272" s="1" t="s">
        <v>65</v>
      </c>
      <c r="C272" s="2" t="s">
        <v>38</v>
      </c>
      <c r="D272" s="2" t="s">
        <v>290</v>
      </c>
      <c r="E272" s="2" t="s">
        <v>1737</v>
      </c>
      <c r="F272" s="2" t="s">
        <v>48</v>
      </c>
      <c r="G272" s="2" t="s">
        <v>86</v>
      </c>
      <c r="H272" s="2" t="s">
        <v>1091</v>
      </c>
      <c r="I272" s="2" t="s">
        <v>138</v>
      </c>
      <c r="J272" s="2" t="s">
        <v>1739</v>
      </c>
      <c r="K272" s="2" t="s">
        <v>117</v>
      </c>
      <c r="L272" s="1" t="s">
        <v>113</v>
      </c>
    </row>
    <row r="273">
      <c r="A273" s="1" t="s">
        <v>1311</v>
      </c>
      <c r="B273" s="1" t="s">
        <v>65</v>
      </c>
      <c r="C273" s="2" t="s">
        <v>154</v>
      </c>
      <c r="D273" s="2" t="s">
        <v>351</v>
      </c>
      <c r="E273" s="2" t="s">
        <v>235</v>
      </c>
      <c r="F273" s="2" t="s">
        <v>149</v>
      </c>
      <c r="G273" s="2" t="s">
        <v>186</v>
      </c>
      <c r="H273" s="2" t="s">
        <v>75</v>
      </c>
      <c r="I273" s="2" t="s">
        <v>58</v>
      </c>
      <c r="J273" s="2" t="s">
        <v>1744</v>
      </c>
      <c r="K273" s="2" t="s">
        <v>38</v>
      </c>
      <c r="L273" s="1" t="s">
        <v>62</v>
      </c>
    </row>
    <row r="274">
      <c r="A274" s="1" t="s">
        <v>1314</v>
      </c>
      <c r="B274" s="1" t="s">
        <v>44</v>
      </c>
      <c r="C274" s="2" t="s">
        <v>23</v>
      </c>
      <c r="D274" s="2" t="s">
        <v>27</v>
      </c>
      <c r="E274" s="2" t="s">
        <v>1747</v>
      </c>
      <c r="F274" s="2" t="s">
        <v>514</v>
      </c>
      <c r="G274" s="2" t="s">
        <v>106</v>
      </c>
      <c r="H274" s="2" t="s">
        <v>412</v>
      </c>
      <c r="I274" s="2" t="s">
        <v>77</v>
      </c>
      <c r="J274" s="2" t="s">
        <v>1748</v>
      </c>
      <c r="K274" s="2" t="s">
        <v>46</v>
      </c>
      <c r="L274" s="1" t="s">
        <v>62</v>
      </c>
    </row>
    <row r="275">
      <c r="A275" s="1" t="s">
        <v>1317</v>
      </c>
      <c r="B275" s="1" t="s">
        <v>44</v>
      </c>
      <c r="C275" s="2" t="s">
        <v>46</v>
      </c>
      <c r="D275" s="2" t="s">
        <v>339</v>
      </c>
      <c r="E275" s="2" t="s">
        <v>357</v>
      </c>
      <c r="F275" s="2" t="s">
        <v>338</v>
      </c>
      <c r="G275" s="2" t="s">
        <v>54</v>
      </c>
      <c r="H275" s="2" t="s">
        <v>75</v>
      </c>
      <c r="I275" s="2" t="s">
        <v>138</v>
      </c>
      <c r="J275" s="2" t="s">
        <v>1753</v>
      </c>
      <c r="K275" s="2" t="s">
        <v>77</v>
      </c>
      <c r="L275" s="1" t="s">
        <v>113</v>
      </c>
    </row>
    <row r="276">
      <c r="A276" s="1" t="s">
        <v>1321</v>
      </c>
      <c r="B276" s="1" t="s">
        <v>84</v>
      </c>
      <c r="C276" s="2" t="s">
        <v>157</v>
      </c>
      <c r="D276" s="2" t="s">
        <v>186</v>
      </c>
      <c r="E276" s="2" t="s">
        <v>246</v>
      </c>
      <c r="F276" s="2" t="s">
        <v>514</v>
      </c>
      <c r="G276" s="2" t="s">
        <v>68</v>
      </c>
      <c r="H276" s="2" t="s">
        <v>463</v>
      </c>
      <c r="I276" s="2" t="s">
        <v>77</v>
      </c>
      <c r="J276" s="2" t="s">
        <v>1758</v>
      </c>
      <c r="K276" s="2" t="s">
        <v>77</v>
      </c>
      <c r="L276" s="1" t="s">
        <v>113</v>
      </c>
    </row>
    <row r="277">
      <c r="A277" s="1" t="s">
        <v>1324</v>
      </c>
      <c r="B277" s="1" t="s">
        <v>84</v>
      </c>
      <c r="C277" s="2" t="s">
        <v>167</v>
      </c>
      <c r="D277" s="2" t="s">
        <v>461</v>
      </c>
      <c r="E277" s="2" t="s">
        <v>746</v>
      </c>
      <c r="F277" s="2" t="s">
        <v>53</v>
      </c>
      <c r="G277" s="2" t="s">
        <v>86</v>
      </c>
      <c r="H277" s="2" t="s">
        <v>116</v>
      </c>
      <c r="I277" s="2" t="s">
        <v>138</v>
      </c>
      <c r="J277" s="2" t="s">
        <v>1763</v>
      </c>
      <c r="K277" s="2" t="s">
        <v>154</v>
      </c>
      <c r="L277" s="1" t="s">
        <v>62</v>
      </c>
    </row>
    <row r="278">
      <c r="A278" s="1" t="s">
        <v>1328</v>
      </c>
      <c r="B278" s="1" t="s">
        <v>65</v>
      </c>
      <c r="C278" s="2" t="s">
        <v>46</v>
      </c>
      <c r="D278" s="2" t="s">
        <v>71</v>
      </c>
      <c r="E278" s="2" t="s">
        <v>1416</v>
      </c>
      <c r="F278" s="2" t="s">
        <v>228</v>
      </c>
      <c r="G278" s="2" t="s">
        <v>48</v>
      </c>
      <c r="H278" s="2" t="s">
        <v>497</v>
      </c>
      <c r="I278" s="2" t="s">
        <v>46</v>
      </c>
      <c r="J278" s="2" t="s">
        <v>1768</v>
      </c>
      <c r="K278" s="2" t="s">
        <v>46</v>
      </c>
      <c r="L278" s="1" t="s">
        <v>62</v>
      </c>
    </row>
    <row r="279">
      <c r="A279" s="1" t="s">
        <v>1332</v>
      </c>
      <c r="B279" s="1" t="s">
        <v>65</v>
      </c>
      <c r="C279" s="2" t="s">
        <v>46</v>
      </c>
      <c r="D279" s="2" t="s">
        <v>106</v>
      </c>
      <c r="E279" s="2" t="s">
        <v>732</v>
      </c>
      <c r="F279" s="2" t="s">
        <v>31</v>
      </c>
      <c r="G279" s="2" t="s">
        <v>106</v>
      </c>
      <c r="H279" s="2" t="s">
        <v>75</v>
      </c>
      <c r="I279" s="2" t="s">
        <v>46</v>
      </c>
      <c r="J279" s="2" t="s">
        <v>1771</v>
      </c>
      <c r="K279" s="2" t="s">
        <v>58</v>
      </c>
      <c r="L279" s="1" t="s">
        <v>113</v>
      </c>
    </row>
    <row r="280">
      <c r="A280" s="1" t="s">
        <v>1336</v>
      </c>
      <c r="B280" s="1" t="s">
        <v>65</v>
      </c>
      <c r="C280" s="2" t="s">
        <v>167</v>
      </c>
      <c r="D280" s="2" t="s">
        <v>213</v>
      </c>
      <c r="E280" s="2" t="s">
        <v>92</v>
      </c>
      <c r="F280" s="2" t="s">
        <v>53</v>
      </c>
      <c r="G280" s="2" t="s">
        <v>48</v>
      </c>
      <c r="H280" s="2" t="s">
        <v>56</v>
      </c>
      <c r="I280" s="2" t="s">
        <v>38</v>
      </c>
      <c r="J280" s="2" t="s">
        <v>1775</v>
      </c>
      <c r="K280" s="2" t="s">
        <v>58</v>
      </c>
      <c r="L280" s="1" t="s">
        <v>113</v>
      </c>
    </row>
    <row r="281">
      <c r="A281" s="1" t="s">
        <v>1339</v>
      </c>
      <c r="B281" s="1" t="s">
        <v>65</v>
      </c>
      <c r="C281" s="2" t="s">
        <v>23</v>
      </c>
      <c r="D281" s="2" t="s">
        <v>213</v>
      </c>
      <c r="E281" s="2" t="s">
        <v>494</v>
      </c>
      <c r="F281" s="2" t="s">
        <v>53</v>
      </c>
      <c r="G281" s="2" t="s">
        <v>245</v>
      </c>
      <c r="H281" s="2" t="s">
        <v>412</v>
      </c>
      <c r="I281" s="2" t="s">
        <v>77</v>
      </c>
      <c r="J281" s="2" t="s">
        <v>1778</v>
      </c>
      <c r="K281" s="2" t="s">
        <v>38</v>
      </c>
      <c r="L281" s="1" t="s">
        <v>113</v>
      </c>
    </row>
    <row r="282">
      <c r="A282" s="1" t="s">
        <v>1341</v>
      </c>
      <c r="B282" s="1" t="s">
        <v>44</v>
      </c>
      <c r="C282" s="2" t="s">
        <v>23</v>
      </c>
      <c r="D282" s="2" t="s">
        <v>73</v>
      </c>
      <c r="E282" s="2" t="s">
        <v>36</v>
      </c>
      <c r="F282" s="2" t="s">
        <v>104</v>
      </c>
      <c r="G282" s="2" t="s">
        <v>162</v>
      </c>
      <c r="H282" s="2" t="s">
        <v>497</v>
      </c>
      <c r="I282" s="2" t="s">
        <v>46</v>
      </c>
      <c r="J282" s="2" t="s">
        <v>1783</v>
      </c>
      <c r="K282" s="2" t="s">
        <v>58</v>
      </c>
      <c r="L282" s="1" t="s">
        <v>113</v>
      </c>
    </row>
    <row r="283">
      <c r="A283" s="1" t="s">
        <v>1345</v>
      </c>
      <c r="B283" s="1" t="s">
        <v>22</v>
      </c>
      <c r="C283" s="2" t="s">
        <v>95</v>
      </c>
      <c r="D283" s="2" t="s">
        <v>186</v>
      </c>
      <c r="E283" s="2" t="s">
        <v>246</v>
      </c>
      <c r="F283" s="2" t="s">
        <v>1088</v>
      </c>
      <c r="G283" s="2" t="s">
        <v>27</v>
      </c>
      <c r="H283" s="2" t="s">
        <v>36</v>
      </c>
      <c r="I283" s="2" t="s">
        <v>138</v>
      </c>
      <c r="J283" s="2" t="s">
        <v>1789</v>
      </c>
      <c r="K283" s="2" t="s">
        <v>157</v>
      </c>
      <c r="L283" s="1" t="s">
        <v>62</v>
      </c>
    </row>
    <row r="284">
      <c r="A284" s="1" t="s">
        <v>1350</v>
      </c>
      <c r="B284" s="1" t="s">
        <v>22</v>
      </c>
      <c r="C284" s="2" t="s">
        <v>157</v>
      </c>
      <c r="D284" s="2" t="s">
        <v>300</v>
      </c>
      <c r="E284" s="2" t="s">
        <v>1156</v>
      </c>
      <c r="F284" s="2" t="s">
        <v>869</v>
      </c>
      <c r="G284" s="2" t="s">
        <v>135</v>
      </c>
      <c r="H284" s="2" t="s">
        <v>178</v>
      </c>
      <c r="I284" s="2" t="s">
        <v>138</v>
      </c>
      <c r="J284" s="2" t="s">
        <v>1792</v>
      </c>
      <c r="K284" s="2" t="s">
        <v>38</v>
      </c>
      <c r="L284" s="1" t="s">
        <v>113</v>
      </c>
    </row>
    <row r="285">
      <c r="A285" s="1" t="s">
        <v>1352</v>
      </c>
      <c r="B285" s="1" t="s">
        <v>170</v>
      </c>
      <c r="C285" s="2" t="s">
        <v>117</v>
      </c>
      <c r="D285" s="2" t="s">
        <v>224</v>
      </c>
      <c r="E285" s="2" t="s">
        <v>1346</v>
      </c>
      <c r="F285" s="2" t="s">
        <v>46</v>
      </c>
      <c r="G285" s="2" t="s">
        <v>48</v>
      </c>
      <c r="H285" s="2" t="s">
        <v>75</v>
      </c>
      <c r="I285" s="2" t="s">
        <v>46</v>
      </c>
      <c r="J285" s="2" t="s">
        <v>1797</v>
      </c>
      <c r="K285" s="2" t="s">
        <v>157</v>
      </c>
      <c r="L285" s="1" t="s">
        <v>62</v>
      </c>
    </row>
    <row r="286">
      <c r="A286" s="1" t="s">
        <v>1353</v>
      </c>
      <c r="B286" s="1" t="s">
        <v>84</v>
      </c>
      <c r="C286" s="2" t="s">
        <v>77</v>
      </c>
      <c r="D286" s="2" t="s">
        <v>290</v>
      </c>
      <c r="E286" s="2" t="s">
        <v>203</v>
      </c>
      <c r="F286" s="2" t="s">
        <v>23</v>
      </c>
      <c r="G286" s="2" t="s">
        <v>68</v>
      </c>
      <c r="H286" s="2" t="s">
        <v>412</v>
      </c>
      <c r="I286" s="2" t="s">
        <v>77</v>
      </c>
      <c r="J286" s="2" t="s">
        <v>1800</v>
      </c>
      <c r="K286" s="2" t="s">
        <v>38</v>
      </c>
      <c r="L286" s="1" t="s">
        <v>113</v>
      </c>
    </row>
    <row r="287">
      <c r="A287" s="1" t="s">
        <v>1356</v>
      </c>
      <c r="B287" s="1" t="s">
        <v>170</v>
      </c>
      <c r="C287" s="2" t="s">
        <v>157</v>
      </c>
      <c r="D287" s="2" t="s">
        <v>338</v>
      </c>
      <c r="E287" s="2" t="s">
        <v>846</v>
      </c>
      <c r="F287" s="2" t="s">
        <v>869</v>
      </c>
      <c r="G287" s="2" t="s">
        <v>73</v>
      </c>
      <c r="H287" s="2" t="s">
        <v>108</v>
      </c>
      <c r="I287" s="2" t="s">
        <v>138</v>
      </c>
      <c r="K287" s="2" t="s">
        <v>95</v>
      </c>
      <c r="L287" s="1" t="s">
        <v>62</v>
      </c>
    </row>
    <row r="288">
      <c r="A288" s="1" t="s">
        <v>1357</v>
      </c>
      <c r="B288" s="1" t="s">
        <v>84</v>
      </c>
      <c r="C288" s="2" t="s">
        <v>23</v>
      </c>
      <c r="D288" s="2" t="s">
        <v>27</v>
      </c>
      <c r="E288" s="2" t="s">
        <v>1807</v>
      </c>
      <c r="F288" s="2" t="s">
        <v>514</v>
      </c>
      <c r="G288" s="2" t="s">
        <v>71</v>
      </c>
      <c r="H288" s="2" t="s">
        <v>1091</v>
      </c>
      <c r="I288" s="2" t="s">
        <v>138</v>
      </c>
      <c r="J288" s="2" t="s">
        <v>1810</v>
      </c>
      <c r="K288" s="2" t="s">
        <v>117</v>
      </c>
      <c r="L288" s="1" t="s">
        <v>113</v>
      </c>
    </row>
    <row r="289">
      <c r="A289" s="1" t="s">
        <v>1358</v>
      </c>
      <c r="B289" s="1" t="s">
        <v>84</v>
      </c>
      <c r="C289" s="2" t="s">
        <v>46</v>
      </c>
      <c r="D289" s="2" t="s">
        <v>395</v>
      </c>
      <c r="E289" s="2" t="s">
        <v>1813</v>
      </c>
      <c r="F289" s="2" t="s">
        <v>213</v>
      </c>
      <c r="G289" s="2" t="s">
        <v>115</v>
      </c>
      <c r="H289" s="2" t="s">
        <v>163</v>
      </c>
      <c r="I289" s="2" t="s">
        <v>77</v>
      </c>
      <c r="J289" s="2" t="s">
        <v>1815</v>
      </c>
      <c r="K289" s="2" t="s">
        <v>23</v>
      </c>
      <c r="L289" s="1" t="s">
        <v>62</v>
      </c>
    </row>
    <row r="290">
      <c r="A290" s="1" t="s">
        <v>1360</v>
      </c>
      <c r="B290" s="1" t="s">
        <v>22</v>
      </c>
      <c r="C290" s="2" t="s">
        <v>46</v>
      </c>
      <c r="D290" s="2" t="s">
        <v>224</v>
      </c>
      <c r="E290" s="2" t="s">
        <v>584</v>
      </c>
      <c r="F290" s="2" t="s">
        <v>808</v>
      </c>
      <c r="G290" s="2" t="s">
        <v>115</v>
      </c>
      <c r="H290" s="2" t="s">
        <v>250</v>
      </c>
      <c r="I290" s="2" t="s">
        <v>117</v>
      </c>
      <c r="J290" s="2" t="s">
        <v>1820</v>
      </c>
      <c r="K290" s="2" t="s">
        <v>95</v>
      </c>
    </row>
    <row r="291">
      <c r="A291" s="1" t="s">
        <v>1364</v>
      </c>
      <c r="B291" s="1" t="s">
        <v>84</v>
      </c>
      <c r="C291" s="2" t="s">
        <v>38</v>
      </c>
      <c r="D291" s="2" t="s">
        <v>154</v>
      </c>
      <c r="E291" s="2" t="s">
        <v>796</v>
      </c>
      <c r="F291" s="2" t="s">
        <v>33</v>
      </c>
      <c r="G291" s="2" t="s">
        <v>48</v>
      </c>
      <c r="H291" s="2" t="s">
        <v>178</v>
      </c>
      <c r="I291" s="2" t="s">
        <v>46</v>
      </c>
      <c r="J291" s="2" t="s">
        <v>1823</v>
      </c>
      <c r="K291" s="2" t="s">
        <v>154</v>
      </c>
      <c r="L291" s="1" t="s">
        <v>62</v>
      </c>
    </row>
    <row r="292">
      <c r="A292" s="1" t="s">
        <v>1367</v>
      </c>
      <c r="B292" s="1" t="s">
        <v>170</v>
      </c>
      <c r="C292" s="2" t="s">
        <v>167</v>
      </c>
      <c r="D292" s="2" t="s">
        <v>1137</v>
      </c>
      <c r="E292" s="2" t="s">
        <v>996</v>
      </c>
      <c r="F292" s="2" t="s">
        <v>491</v>
      </c>
      <c r="G292" s="2" t="s">
        <v>245</v>
      </c>
      <c r="H292" s="2" t="s">
        <v>92</v>
      </c>
      <c r="I292" s="2" t="s">
        <v>117</v>
      </c>
      <c r="J292" s="2" t="s">
        <v>1827</v>
      </c>
      <c r="K292" s="2" t="s">
        <v>38</v>
      </c>
      <c r="L292" s="1" t="s">
        <v>113</v>
      </c>
    </row>
    <row r="293">
      <c r="A293" s="1" t="s">
        <v>1369</v>
      </c>
      <c r="B293" s="1" t="s">
        <v>170</v>
      </c>
      <c r="C293" s="2" t="s">
        <v>157</v>
      </c>
      <c r="D293" s="2" t="s">
        <v>149</v>
      </c>
      <c r="E293" s="2" t="s">
        <v>1333</v>
      </c>
      <c r="F293" s="2" t="s">
        <v>115</v>
      </c>
      <c r="G293" s="2" t="s">
        <v>149</v>
      </c>
      <c r="H293" s="2" t="s">
        <v>116</v>
      </c>
      <c r="I293" s="2" t="s">
        <v>138</v>
      </c>
      <c r="J293" s="2" t="s">
        <v>465</v>
      </c>
      <c r="K293" s="2" t="s">
        <v>154</v>
      </c>
      <c r="L293" s="1" t="s">
        <v>62</v>
      </c>
    </row>
    <row r="294">
      <c r="A294" s="1" t="s">
        <v>1372</v>
      </c>
      <c r="B294" s="1" t="s">
        <v>65</v>
      </c>
      <c r="C294" s="2" t="s">
        <v>77</v>
      </c>
      <c r="D294" s="2" t="s">
        <v>46</v>
      </c>
      <c r="E294" s="2" t="s">
        <v>218</v>
      </c>
      <c r="F294" s="2" t="s">
        <v>265</v>
      </c>
      <c r="G294" s="2" t="s">
        <v>68</v>
      </c>
      <c r="H294" s="2" t="s">
        <v>497</v>
      </c>
      <c r="I294" s="2" t="s">
        <v>38</v>
      </c>
      <c r="J294" s="2" t="s">
        <v>1836</v>
      </c>
      <c r="K294" s="2" t="s">
        <v>117</v>
      </c>
    </row>
    <row r="295">
      <c r="A295" s="1" t="s">
        <v>1374</v>
      </c>
      <c r="B295" s="1" t="s">
        <v>22</v>
      </c>
      <c r="C295" s="2" t="s">
        <v>117</v>
      </c>
      <c r="D295" s="2" t="s">
        <v>46</v>
      </c>
      <c r="E295" s="2" t="s">
        <v>1044</v>
      </c>
      <c r="F295" s="2" t="s">
        <v>201</v>
      </c>
      <c r="G295" s="2" t="s">
        <v>86</v>
      </c>
      <c r="H295" s="2" t="s">
        <v>497</v>
      </c>
      <c r="I295" s="2" t="s">
        <v>117</v>
      </c>
      <c r="J295" s="2" t="s">
        <v>1841</v>
      </c>
      <c r="K295" s="2" t="s">
        <v>46</v>
      </c>
      <c r="L295" s="1" t="s">
        <v>62</v>
      </c>
    </row>
    <row r="296">
      <c r="A296" s="1" t="s">
        <v>1377</v>
      </c>
      <c r="B296" s="1" t="s">
        <v>22</v>
      </c>
      <c r="C296" s="2" t="s">
        <v>46</v>
      </c>
      <c r="D296" s="2" t="s">
        <v>265</v>
      </c>
      <c r="E296" s="2" t="s">
        <v>270</v>
      </c>
      <c r="F296" s="2" t="s">
        <v>461</v>
      </c>
      <c r="G296" s="2" t="s">
        <v>149</v>
      </c>
      <c r="H296" s="2" t="s">
        <v>575</v>
      </c>
      <c r="I296" s="2" t="s">
        <v>77</v>
      </c>
      <c r="J296" s="2" t="s">
        <v>1845</v>
      </c>
      <c r="K296" s="2" t="s">
        <v>95</v>
      </c>
      <c r="L296" s="1" t="s">
        <v>62</v>
      </c>
    </row>
    <row r="297">
      <c r="A297" s="1" t="s">
        <v>1380</v>
      </c>
      <c r="B297" s="1" t="s">
        <v>84</v>
      </c>
      <c r="C297" s="2" t="s">
        <v>95</v>
      </c>
      <c r="D297" s="2" t="s">
        <v>135</v>
      </c>
      <c r="E297" s="2" t="s">
        <v>235</v>
      </c>
      <c r="F297" s="2" t="s">
        <v>300</v>
      </c>
      <c r="G297" s="2" t="s">
        <v>186</v>
      </c>
      <c r="H297" s="2" t="s">
        <v>36</v>
      </c>
      <c r="I297" s="2" t="s">
        <v>58</v>
      </c>
      <c r="J297" s="2" t="s">
        <v>1849</v>
      </c>
      <c r="K297" s="2" t="s">
        <v>157</v>
      </c>
      <c r="L297" s="1" t="s">
        <v>62</v>
      </c>
    </row>
    <row r="298">
      <c r="A298" s="1" t="s">
        <v>1384</v>
      </c>
      <c r="B298" s="1" t="s">
        <v>65</v>
      </c>
      <c r="C298" s="2" t="s">
        <v>46</v>
      </c>
      <c r="D298" s="2" t="s">
        <v>186</v>
      </c>
      <c r="E298" s="2" t="s">
        <v>384</v>
      </c>
      <c r="F298" s="2" t="s">
        <v>68</v>
      </c>
      <c r="G298" s="2" t="s">
        <v>448</v>
      </c>
      <c r="H298" s="2" t="s">
        <v>575</v>
      </c>
      <c r="I298" s="2" t="s">
        <v>38</v>
      </c>
      <c r="J298" s="2" t="s">
        <v>1853</v>
      </c>
      <c r="K298" s="2" t="s">
        <v>38</v>
      </c>
      <c r="L298" s="1" t="s">
        <v>113</v>
      </c>
    </row>
    <row r="299">
      <c r="A299" s="1" t="s">
        <v>1387</v>
      </c>
      <c r="B299" s="1" t="s">
        <v>22</v>
      </c>
      <c r="C299" s="2" t="s">
        <v>95</v>
      </c>
      <c r="D299" s="2" t="s">
        <v>86</v>
      </c>
      <c r="E299" s="2" t="s">
        <v>505</v>
      </c>
      <c r="F299" s="2" t="s">
        <v>267</v>
      </c>
      <c r="G299" s="2" t="s">
        <v>68</v>
      </c>
      <c r="H299" s="2" t="s">
        <v>1091</v>
      </c>
      <c r="I299" s="2" t="s">
        <v>77</v>
      </c>
      <c r="K299" s="2" t="s">
        <v>46</v>
      </c>
      <c r="L299" s="1" t="s">
        <v>113</v>
      </c>
    </row>
    <row r="300">
      <c r="A300" s="1" t="s">
        <v>1389</v>
      </c>
      <c r="B300" s="1" t="s">
        <v>65</v>
      </c>
      <c r="C300" s="2" t="s">
        <v>167</v>
      </c>
      <c r="D300" s="2" t="s">
        <v>106</v>
      </c>
      <c r="E300" s="2" t="s">
        <v>1860</v>
      </c>
      <c r="F300" s="2" t="s">
        <v>338</v>
      </c>
      <c r="G300" s="2" t="s">
        <v>106</v>
      </c>
      <c r="H300" s="2" t="s">
        <v>163</v>
      </c>
      <c r="I300" s="2" t="s">
        <v>138</v>
      </c>
      <c r="J300" s="2" t="s">
        <v>1863</v>
      </c>
      <c r="K300" s="2" t="s">
        <v>154</v>
      </c>
      <c r="L300" s="1" t="s">
        <v>62</v>
      </c>
    </row>
    <row r="301">
      <c r="A301" s="1" t="s">
        <v>1394</v>
      </c>
      <c r="B301" s="1" t="s">
        <v>170</v>
      </c>
      <c r="C301" s="2" t="s">
        <v>157</v>
      </c>
      <c r="D301" s="2" t="s">
        <v>48</v>
      </c>
      <c r="E301" s="2" t="s">
        <v>929</v>
      </c>
      <c r="F301" s="2" t="s">
        <v>95</v>
      </c>
      <c r="G301" s="2" t="s">
        <v>73</v>
      </c>
      <c r="H301" s="2" t="s">
        <v>151</v>
      </c>
      <c r="I301" s="2" t="s">
        <v>58</v>
      </c>
      <c r="J301" s="2" t="s">
        <v>1867</v>
      </c>
      <c r="K301" s="2" t="s">
        <v>117</v>
      </c>
      <c r="L301" s="1" t="s">
        <v>113</v>
      </c>
    </row>
    <row r="302">
      <c r="A302" s="1" t="s">
        <v>1397</v>
      </c>
      <c r="B302" s="1" t="s">
        <v>170</v>
      </c>
      <c r="C302" s="2" t="s">
        <v>23</v>
      </c>
      <c r="D302" s="2" t="s">
        <v>245</v>
      </c>
      <c r="E302" s="2" t="s">
        <v>584</v>
      </c>
      <c r="F302" s="2" t="s">
        <v>1137</v>
      </c>
      <c r="G302" s="2" t="s">
        <v>351</v>
      </c>
      <c r="H302" s="2" t="s">
        <v>497</v>
      </c>
      <c r="I302" s="2" t="s">
        <v>117</v>
      </c>
      <c r="J302" s="2" t="s">
        <v>1871</v>
      </c>
      <c r="K302" s="2" t="s">
        <v>95</v>
      </c>
      <c r="L302" s="1" t="s">
        <v>62</v>
      </c>
    </row>
    <row r="303">
      <c r="A303" s="1" t="s">
        <v>1400</v>
      </c>
      <c r="B303" s="1" t="s">
        <v>84</v>
      </c>
      <c r="C303" s="2" t="s">
        <v>117</v>
      </c>
      <c r="D303" s="2" t="s">
        <v>23</v>
      </c>
      <c r="E303" s="2" t="s">
        <v>278</v>
      </c>
      <c r="F303" s="2" t="s">
        <v>199</v>
      </c>
      <c r="G303" s="2" t="s">
        <v>27</v>
      </c>
      <c r="H303" s="2" t="s">
        <v>497</v>
      </c>
      <c r="I303" s="2" t="s">
        <v>46</v>
      </c>
      <c r="J303" s="2" t="s">
        <v>1877</v>
      </c>
      <c r="K303" s="2" t="s">
        <v>117</v>
      </c>
      <c r="L303" s="1" t="s">
        <v>113</v>
      </c>
    </row>
    <row r="304">
      <c r="A304" s="1" t="s">
        <v>1400</v>
      </c>
      <c r="B304" s="1" t="s">
        <v>84</v>
      </c>
      <c r="C304" s="2" t="s">
        <v>117</v>
      </c>
      <c r="D304" s="2" t="s">
        <v>23</v>
      </c>
      <c r="E304" s="2" t="s">
        <v>278</v>
      </c>
      <c r="F304" s="2" t="s">
        <v>199</v>
      </c>
      <c r="G304" s="2" t="s">
        <v>27</v>
      </c>
      <c r="H304" s="2" t="s">
        <v>497</v>
      </c>
      <c r="I304" s="2" t="s">
        <v>46</v>
      </c>
      <c r="J304" s="2" t="s">
        <v>1877</v>
      </c>
      <c r="K304" s="2" t="s">
        <v>117</v>
      </c>
      <c r="L304" s="1" t="s">
        <v>113</v>
      </c>
    </row>
    <row r="305">
      <c r="A305" s="1" t="s">
        <v>1404</v>
      </c>
      <c r="B305" s="1" t="s">
        <v>65</v>
      </c>
      <c r="C305" s="2" t="s">
        <v>157</v>
      </c>
      <c r="D305" s="2" t="s">
        <v>287</v>
      </c>
      <c r="E305" s="2" t="s">
        <v>1689</v>
      </c>
      <c r="F305" s="2" t="s">
        <v>300</v>
      </c>
      <c r="G305" s="2" t="s">
        <v>213</v>
      </c>
      <c r="H305" s="2" t="s">
        <v>36</v>
      </c>
      <c r="I305" s="2" t="s">
        <v>117</v>
      </c>
      <c r="J305" s="2" t="s">
        <v>1885</v>
      </c>
      <c r="K305" s="2" t="s">
        <v>77</v>
      </c>
      <c r="L305" s="1" t="s">
        <v>113</v>
      </c>
    </row>
    <row r="306">
      <c r="A306" s="1" t="s">
        <v>1406</v>
      </c>
      <c r="B306" s="1" t="s">
        <v>65</v>
      </c>
      <c r="C306" s="2" t="s">
        <v>46</v>
      </c>
      <c r="D306" s="2" t="s">
        <v>157</v>
      </c>
      <c r="E306" s="2" t="s">
        <v>1460</v>
      </c>
      <c r="F306" s="2" t="s">
        <v>54</v>
      </c>
      <c r="G306" s="2" t="s">
        <v>351</v>
      </c>
      <c r="H306" s="2" t="s">
        <v>92</v>
      </c>
      <c r="I306" s="2" t="s">
        <v>46</v>
      </c>
      <c r="J306" s="2" t="s">
        <v>1890</v>
      </c>
      <c r="K306" s="2" t="s">
        <v>95</v>
      </c>
      <c r="L306" s="1" t="s">
        <v>62</v>
      </c>
    </row>
    <row r="307">
      <c r="A307" s="1" t="s">
        <v>1408</v>
      </c>
      <c r="B307" s="1" t="s">
        <v>44</v>
      </c>
      <c r="C307" s="2" t="s">
        <v>77</v>
      </c>
      <c r="D307" s="2" t="s">
        <v>23</v>
      </c>
      <c r="E307" s="2" t="s">
        <v>685</v>
      </c>
      <c r="F307" s="2" t="s">
        <v>54</v>
      </c>
      <c r="G307" s="2" t="s">
        <v>68</v>
      </c>
      <c r="H307" s="2" t="s">
        <v>1091</v>
      </c>
      <c r="I307" s="2" t="s">
        <v>77</v>
      </c>
      <c r="J307" s="2" t="s">
        <v>1893</v>
      </c>
      <c r="K307" s="2" t="s">
        <v>77</v>
      </c>
    </row>
    <row r="308">
      <c r="A308" s="1" t="s">
        <v>1411</v>
      </c>
      <c r="B308" s="1" t="s">
        <v>84</v>
      </c>
      <c r="C308" s="2" t="s">
        <v>95</v>
      </c>
      <c r="D308" s="2" t="s">
        <v>33</v>
      </c>
      <c r="E308" s="2" t="s">
        <v>971</v>
      </c>
      <c r="F308" s="2" t="s">
        <v>1026</v>
      </c>
      <c r="G308" s="2" t="s">
        <v>265</v>
      </c>
      <c r="H308" s="2" t="s">
        <v>151</v>
      </c>
      <c r="I308" s="2" t="s">
        <v>138</v>
      </c>
      <c r="J308" s="2" t="s">
        <v>1898</v>
      </c>
      <c r="K308" s="2" t="s">
        <v>77</v>
      </c>
      <c r="L308" s="1" t="s">
        <v>113</v>
      </c>
    </row>
    <row r="309">
      <c r="A309" s="1" t="s">
        <v>1414</v>
      </c>
      <c r="B309" s="1" t="s">
        <v>22</v>
      </c>
      <c r="C309" s="2" t="s">
        <v>23</v>
      </c>
      <c r="D309" s="2" t="s">
        <v>300</v>
      </c>
      <c r="E309" s="2" t="s">
        <v>651</v>
      </c>
      <c r="F309" s="2" t="s">
        <v>73</v>
      </c>
      <c r="G309" s="2" t="s">
        <v>154</v>
      </c>
      <c r="H309" s="2" t="s">
        <v>250</v>
      </c>
      <c r="I309" s="2" t="s">
        <v>77</v>
      </c>
      <c r="J309" s="2" t="s">
        <v>1903</v>
      </c>
      <c r="K309" s="2" t="s">
        <v>117</v>
      </c>
      <c r="L309" s="1" t="s">
        <v>113</v>
      </c>
    </row>
    <row r="310">
      <c r="A310" s="1" t="s">
        <v>1418</v>
      </c>
      <c r="B310" s="1" t="s">
        <v>65</v>
      </c>
      <c r="C310" s="2" t="s">
        <v>167</v>
      </c>
      <c r="D310" s="2" t="s">
        <v>491</v>
      </c>
      <c r="E310" s="2" t="s">
        <v>882</v>
      </c>
      <c r="F310" s="2" t="s">
        <v>375</v>
      </c>
      <c r="G310" s="2" t="s">
        <v>186</v>
      </c>
      <c r="H310" s="2" t="s">
        <v>151</v>
      </c>
      <c r="I310" s="2" t="s">
        <v>38</v>
      </c>
      <c r="J310" s="2" t="s">
        <v>1907</v>
      </c>
      <c r="K310" s="2" t="s">
        <v>38</v>
      </c>
      <c r="L310" s="1" t="s">
        <v>113</v>
      </c>
    </row>
    <row r="311">
      <c r="A311" s="1" t="s">
        <v>1421</v>
      </c>
      <c r="B311" s="1" t="s">
        <v>22</v>
      </c>
      <c r="C311" s="2" t="s">
        <v>23</v>
      </c>
      <c r="D311" s="2" t="s">
        <v>186</v>
      </c>
      <c r="E311" s="2" t="s">
        <v>1909</v>
      </c>
      <c r="F311" s="2" t="s">
        <v>27</v>
      </c>
      <c r="G311" s="2" t="s">
        <v>86</v>
      </c>
      <c r="H311" s="2" t="s">
        <v>497</v>
      </c>
      <c r="I311" s="2" t="s">
        <v>38</v>
      </c>
      <c r="J311" s="2" t="s">
        <v>1910</v>
      </c>
      <c r="K311" s="2" t="s">
        <v>154</v>
      </c>
      <c r="L311" s="1" t="s">
        <v>62</v>
      </c>
    </row>
    <row r="312">
      <c r="A312" s="1" t="s">
        <v>1425</v>
      </c>
      <c r="B312" s="1" t="s">
        <v>84</v>
      </c>
      <c r="C312" s="2" t="s">
        <v>46</v>
      </c>
      <c r="D312" s="2" t="s">
        <v>245</v>
      </c>
      <c r="E312" s="2" t="s">
        <v>618</v>
      </c>
      <c r="F312" s="2" t="s">
        <v>186</v>
      </c>
      <c r="G312" s="2" t="s">
        <v>135</v>
      </c>
      <c r="H312" s="2" t="s">
        <v>108</v>
      </c>
      <c r="I312" s="2" t="s">
        <v>138</v>
      </c>
      <c r="J312" s="2" t="s">
        <v>1912</v>
      </c>
      <c r="K312" s="2" t="s">
        <v>157</v>
      </c>
      <c r="L312" s="1" t="s">
        <v>62</v>
      </c>
    </row>
    <row r="313">
      <c r="A313" s="1" t="s">
        <v>1427</v>
      </c>
      <c r="B313" s="1" t="s">
        <v>170</v>
      </c>
      <c r="C313" s="2" t="s">
        <v>290</v>
      </c>
      <c r="D313" s="2" t="s">
        <v>387</v>
      </c>
      <c r="E313" s="2" t="s">
        <v>855</v>
      </c>
      <c r="F313" s="2" t="s">
        <v>267</v>
      </c>
      <c r="G313" s="2" t="s">
        <v>33</v>
      </c>
      <c r="H313" s="2" t="s">
        <v>463</v>
      </c>
      <c r="I313" s="2" t="s">
        <v>46</v>
      </c>
      <c r="J313" s="2" t="s">
        <v>1917</v>
      </c>
      <c r="K313" s="2" t="s">
        <v>38</v>
      </c>
      <c r="L313" s="1" t="s">
        <v>113</v>
      </c>
    </row>
    <row r="314">
      <c r="A314" s="1" t="s">
        <v>1430</v>
      </c>
      <c r="B314" s="1" t="s">
        <v>170</v>
      </c>
      <c r="C314" s="2" t="s">
        <v>157</v>
      </c>
      <c r="D314" s="2" t="s">
        <v>245</v>
      </c>
      <c r="E314" s="2" t="s">
        <v>1170</v>
      </c>
      <c r="F314" s="2" t="s">
        <v>73</v>
      </c>
      <c r="G314" s="2" t="s">
        <v>104</v>
      </c>
      <c r="H314" s="2" t="s">
        <v>178</v>
      </c>
      <c r="I314" s="2" t="s">
        <v>77</v>
      </c>
      <c r="J314" s="2" t="s">
        <v>1922</v>
      </c>
      <c r="K314" s="2" t="s">
        <v>154</v>
      </c>
      <c r="L314" s="1" t="s">
        <v>62</v>
      </c>
    </row>
    <row r="315">
      <c r="A315" s="1" t="s">
        <v>1432</v>
      </c>
      <c r="B315" s="1" t="s">
        <v>44</v>
      </c>
      <c r="C315" s="2" t="s">
        <v>46</v>
      </c>
      <c r="D315" s="2" t="s">
        <v>245</v>
      </c>
      <c r="E315" s="2" t="s">
        <v>102</v>
      </c>
      <c r="F315" s="2" t="s">
        <v>686</v>
      </c>
      <c r="G315" s="2" t="s">
        <v>213</v>
      </c>
      <c r="H315" s="2" t="s">
        <v>108</v>
      </c>
      <c r="I315" s="2" t="s">
        <v>38</v>
      </c>
      <c r="J315" s="2" t="s">
        <v>1926</v>
      </c>
      <c r="K315" s="2" t="s">
        <v>157</v>
      </c>
      <c r="L315" s="1" t="s">
        <v>62</v>
      </c>
    </row>
    <row r="316">
      <c r="A316" s="1" t="s">
        <v>1435</v>
      </c>
      <c r="B316" s="1" t="s">
        <v>65</v>
      </c>
      <c r="C316" s="2" t="s">
        <v>167</v>
      </c>
      <c r="D316" s="2" t="s">
        <v>73</v>
      </c>
      <c r="E316" s="2" t="s">
        <v>1416</v>
      </c>
      <c r="F316" s="2" t="s">
        <v>201</v>
      </c>
      <c r="G316" s="2" t="s">
        <v>186</v>
      </c>
      <c r="H316" s="2" t="s">
        <v>1091</v>
      </c>
      <c r="I316" s="2" t="s">
        <v>58</v>
      </c>
      <c r="J316" s="2" t="s">
        <v>1929</v>
      </c>
      <c r="K316" s="2" t="s">
        <v>46</v>
      </c>
    </row>
    <row r="317">
      <c r="A317" s="1" t="s">
        <v>1438</v>
      </c>
      <c r="B317" s="1" t="s">
        <v>65</v>
      </c>
      <c r="C317" s="2" t="s">
        <v>23</v>
      </c>
      <c r="D317" s="2" t="s">
        <v>351</v>
      </c>
      <c r="E317" s="2" t="s">
        <v>611</v>
      </c>
      <c r="F317" s="2" t="s">
        <v>257</v>
      </c>
      <c r="G317" s="2" t="s">
        <v>186</v>
      </c>
      <c r="H317" s="2" t="s">
        <v>497</v>
      </c>
      <c r="I317" s="2" t="s">
        <v>38</v>
      </c>
      <c r="K317" s="2" t="s">
        <v>157</v>
      </c>
    </row>
    <row r="318">
      <c r="A318" s="1" t="s">
        <v>1441</v>
      </c>
      <c r="B318" s="1" t="s">
        <v>22</v>
      </c>
      <c r="C318" s="2" t="s">
        <v>23</v>
      </c>
      <c r="D318" s="2" t="s">
        <v>115</v>
      </c>
      <c r="E318" s="2" t="s">
        <v>29</v>
      </c>
      <c r="F318" s="2" t="s">
        <v>95</v>
      </c>
      <c r="G318" s="2" t="s">
        <v>339</v>
      </c>
      <c r="H318" s="2" t="s">
        <v>463</v>
      </c>
      <c r="I318" s="2" t="s">
        <v>58</v>
      </c>
      <c r="J318" s="2" t="s">
        <v>1936</v>
      </c>
      <c r="K318" s="2" t="s">
        <v>117</v>
      </c>
    </row>
    <row r="319">
      <c r="A319" s="1" t="s">
        <v>1444</v>
      </c>
      <c r="B319" s="1" t="s">
        <v>22</v>
      </c>
      <c r="C319" s="2" t="s">
        <v>23</v>
      </c>
      <c r="D319" s="2" t="s">
        <v>54</v>
      </c>
      <c r="E319" s="2" t="s">
        <v>560</v>
      </c>
      <c r="F319" s="2" t="s">
        <v>224</v>
      </c>
      <c r="G319" s="2" t="s">
        <v>162</v>
      </c>
      <c r="H319" s="2" t="s">
        <v>108</v>
      </c>
      <c r="I319" s="2" t="s">
        <v>38</v>
      </c>
      <c r="J319" s="2" t="s">
        <v>1940</v>
      </c>
      <c r="K319" s="2" t="s">
        <v>58</v>
      </c>
      <c r="L319" s="1" t="s">
        <v>113</v>
      </c>
    </row>
    <row r="320">
      <c r="A320" s="1" t="s">
        <v>1447</v>
      </c>
      <c r="B320" s="1" t="s">
        <v>22</v>
      </c>
      <c r="C320" s="2" t="s">
        <v>117</v>
      </c>
      <c r="D320" s="2" t="s">
        <v>154</v>
      </c>
      <c r="E320" s="2" t="s">
        <v>522</v>
      </c>
      <c r="F320" s="2" t="s">
        <v>1088</v>
      </c>
      <c r="G320" s="2" t="s">
        <v>265</v>
      </c>
      <c r="H320" s="2" t="s">
        <v>270</v>
      </c>
      <c r="I320" s="2" t="s">
        <v>117</v>
      </c>
      <c r="J320" s="2" t="s">
        <v>1944</v>
      </c>
      <c r="K320" s="2" t="s">
        <v>23</v>
      </c>
      <c r="L320" s="1" t="s">
        <v>62</v>
      </c>
    </row>
    <row r="321">
      <c r="A321" s="1" t="s">
        <v>1450</v>
      </c>
      <c r="B321" s="1" t="s">
        <v>22</v>
      </c>
      <c r="C321" s="2" t="s">
        <v>38</v>
      </c>
      <c r="D321" s="2" t="s">
        <v>149</v>
      </c>
      <c r="E321" s="2" t="s">
        <v>758</v>
      </c>
      <c r="F321" s="2" t="s">
        <v>245</v>
      </c>
      <c r="G321" s="2" t="s">
        <v>68</v>
      </c>
      <c r="H321" s="2" t="s">
        <v>203</v>
      </c>
      <c r="I321" s="2" t="s">
        <v>117</v>
      </c>
      <c r="J321" s="2" t="s">
        <v>1948</v>
      </c>
      <c r="K321" s="2" t="s">
        <v>157</v>
      </c>
      <c r="L321" s="1" t="s">
        <v>62</v>
      </c>
    </row>
    <row r="322">
      <c r="A322" s="1" t="s">
        <v>1454</v>
      </c>
      <c r="B322" s="1" t="s">
        <v>84</v>
      </c>
      <c r="C322" s="2" t="s">
        <v>46</v>
      </c>
      <c r="D322" s="2" t="s">
        <v>290</v>
      </c>
      <c r="E322" s="2" t="s">
        <v>1044</v>
      </c>
      <c r="F322" s="2" t="s">
        <v>46</v>
      </c>
      <c r="G322" s="2" t="s">
        <v>162</v>
      </c>
      <c r="H322" s="2" t="s">
        <v>575</v>
      </c>
      <c r="I322" s="2" t="s">
        <v>77</v>
      </c>
      <c r="J322" s="2" t="s">
        <v>1955</v>
      </c>
      <c r="K322" s="2" t="s">
        <v>167</v>
      </c>
      <c r="L322" s="1" t="s">
        <v>62</v>
      </c>
    </row>
    <row r="323">
      <c r="A323" s="1" t="s">
        <v>1458</v>
      </c>
      <c r="B323" s="1" t="s">
        <v>65</v>
      </c>
      <c r="C323" s="2" t="s">
        <v>154</v>
      </c>
      <c r="D323" s="2" t="s">
        <v>201</v>
      </c>
      <c r="E323" s="2" t="s">
        <v>779</v>
      </c>
      <c r="F323" s="2" t="s">
        <v>339</v>
      </c>
      <c r="G323" s="2" t="s">
        <v>213</v>
      </c>
      <c r="H323" s="2" t="s">
        <v>412</v>
      </c>
      <c r="I323" s="2" t="s">
        <v>138</v>
      </c>
      <c r="J323" s="2" t="s">
        <v>1960</v>
      </c>
      <c r="K323" s="2" t="s">
        <v>38</v>
      </c>
      <c r="L323" s="1" t="s">
        <v>113</v>
      </c>
    </row>
    <row r="324">
      <c r="A324" s="1" t="s">
        <v>1463</v>
      </c>
      <c r="B324" s="1" t="s">
        <v>65</v>
      </c>
      <c r="C324" s="2" t="s">
        <v>58</v>
      </c>
      <c r="D324" s="2" t="s">
        <v>77</v>
      </c>
      <c r="E324" s="2" t="s">
        <v>337</v>
      </c>
      <c r="F324" s="2" t="s">
        <v>115</v>
      </c>
      <c r="G324" s="2" t="s">
        <v>68</v>
      </c>
      <c r="H324" s="2" t="s">
        <v>92</v>
      </c>
      <c r="I324" s="2" t="s">
        <v>138</v>
      </c>
      <c r="K324" s="2" t="s">
        <v>38</v>
      </c>
      <c r="L324" s="1" t="s">
        <v>62</v>
      </c>
    </row>
    <row r="325">
      <c r="A325" s="1" t="s">
        <v>1465</v>
      </c>
      <c r="B325" s="1" t="s">
        <v>22</v>
      </c>
      <c r="C325" s="2" t="s">
        <v>23</v>
      </c>
      <c r="D325" s="2" t="s">
        <v>245</v>
      </c>
      <c r="E325" s="2" t="s">
        <v>839</v>
      </c>
      <c r="F325" s="2" t="s">
        <v>224</v>
      </c>
      <c r="G325" s="2" t="s">
        <v>162</v>
      </c>
      <c r="H325" s="2" t="s">
        <v>575</v>
      </c>
      <c r="I325" s="2" t="s">
        <v>38</v>
      </c>
      <c r="J325" s="2" t="s">
        <v>1967</v>
      </c>
      <c r="K325" s="2" t="s">
        <v>23</v>
      </c>
    </row>
    <row r="326">
      <c r="A326" s="1" t="s">
        <v>1467</v>
      </c>
      <c r="B326" s="1" t="s">
        <v>44</v>
      </c>
      <c r="C326" s="2" t="s">
        <v>23</v>
      </c>
      <c r="D326" s="2" t="s">
        <v>395</v>
      </c>
      <c r="E326" s="2" t="s">
        <v>1265</v>
      </c>
      <c r="F326" s="2" t="s">
        <v>514</v>
      </c>
      <c r="G326" s="2" t="s">
        <v>71</v>
      </c>
      <c r="H326" s="2" t="s">
        <v>36</v>
      </c>
      <c r="I326" s="2" t="s">
        <v>38</v>
      </c>
      <c r="J326" s="2" t="s">
        <v>1969</v>
      </c>
      <c r="K326" s="2" t="s">
        <v>154</v>
      </c>
      <c r="L326" s="1" t="s">
        <v>62</v>
      </c>
    </row>
    <row r="327">
      <c r="A327" s="1" t="s">
        <v>1469</v>
      </c>
      <c r="B327" s="1" t="s">
        <v>65</v>
      </c>
      <c r="C327" s="2" t="s">
        <v>23</v>
      </c>
      <c r="D327" s="2" t="s">
        <v>339</v>
      </c>
      <c r="E327" s="2" t="s">
        <v>246</v>
      </c>
      <c r="F327" s="2" t="s">
        <v>290</v>
      </c>
      <c r="G327" s="2" t="s">
        <v>149</v>
      </c>
      <c r="H327" s="2" t="s">
        <v>1091</v>
      </c>
      <c r="I327" s="2" t="s">
        <v>138</v>
      </c>
      <c r="J327" s="2" t="s">
        <v>1975</v>
      </c>
      <c r="K327" s="2" t="s">
        <v>95</v>
      </c>
      <c r="L327" s="1" t="s">
        <v>62</v>
      </c>
    </row>
    <row r="328">
      <c r="A328" s="1" t="s">
        <v>1472</v>
      </c>
      <c r="B328" s="1" t="s">
        <v>84</v>
      </c>
      <c r="C328" s="2" t="s">
        <v>23</v>
      </c>
      <c r="D328" s="2" t="s">
        <v>86</v>
      </c>
      <c r="E328" s="2" t="s">
        <v>1133</v>
      </c>
      <c r="F328" s="2" t="s">
        <v>247</v>
      </c>
      <c r="G328" s="2" t="s">
        <v>31</v>
      </c>
      <c r="H328" s="2" t="s">
        <v>114</v>
      </c>
      <c r="I328" s="2" t="s">
        <v>138</v>
      </c>
      <c r="J328" s="2" t="s">
        <v>1980</v>
      </c>
      <c r="K328" s="2" t="s">
        <v>154</v>
      </c>
      <c r="L328" s="1" t="s">
        <v>62</v>
      </c>
    </row>
    <row r="329">
      <c r="A329" s="1" t="s">
        <v>1474</v>
      </c>
      <c r="B329" s="1" t="s">
        <v>84</v>
      </c>
      <c r="C329" s="2" t="s">
        <v>46</v>
      </c>
      <c r="D329" s="2" t="s">
        <v>213</v>
      </c>
      <c r="E329" s="2" t="s">
        <v>996</v>
      </c>
      <c r="F329" s="2" t="s">
        <v>808</v>
      </c>
      <c r="G329" s="2" t="s">
        <v>265</v>
      </c>
      <c r="H329" s="2" t="s">
        <v>108</v>
      </c>
      <c r="I329" s="2" t="s">
        <v>117</v>
      </c>
      <c r="J329" s="2" t="s">
        <v>1983</v>
      </c>
      <c r="K329" s="2" t="s">
        <v>167</v>
      </c>
      <c r="L329" s="1" t="s">
        <v>62</v>
      </c>
    </row>
    <row r="330">
      <c r="A330" s="1" t="s">
        <v>1477</v>
      </c>
      <c r="B330" s="1" t="s">
        <v>22</v>
      </c>
      <c r="C330" s="2" t="s">
        <v>154</v>
      </c>
      <c r="D330" s="2" t="s">
        <v>199</v>
      </c>
      <c r="E330" s="2" t="s">
        <v>1985</v>
      </c>
      <c r="F330" s="2" t="s">
        <v>247</v>
      </c>
      <c r="G330" s="2" t="s">
        <v>224</v>
      </c>
      <c r="H330" s="2" t="s">
        <v>270</v>
      </c>
      <c r="I330" s="2" t="s">
        <v>46</v>
      </c>
      <c r="J330" s="2" t="s">
        <v>1988</v>
      </c>
      <c r="K330" s="2" t="s">
        <v>77</v>
      </c>
      <c r="L330" s="1" t="s">
        <v>113</v>
      </c>
    </row>
    <row r="331">
      <c r="A331" s="1" t="s">
        <v>1480</v>
      </c>
      <c r="B331" s="1" t="s">
        <v>22</v>
      </c>
      <c r="C331" s="2" t="s">
        <v>95</v>
      </c>
      <c r="D331" s="2" t="s">
        <v>224</v>
      </c>
      <c r="E331" s="2" t="s">
        <v>1992</v>
      </c>
      <c r="F331" s="2" t="s">
        <v>375</v>
      </c>
      <c r="G331" s="2" t="s">
        <v>395</v>
      </c>
      <c r="H331" s="2" t="s">
        <v>163</v>
      </c>
      <c r="I331" s="2" t="s">
        <v>138</v>
      </c>
      <c r="J331" s="2" t="s">
        <v>1995</v>
      </c>
      <c r="K331" s="2" t="s">
        <v>58</v>
      </c>
      <c r="L331" s="1" t="s">
        <v>113</v>
      </c>
    </row>
    <row r="332">
      <c r="A332" s="1" t="s">
        <v>1482</v>
      </c>
      <c r="B332" s="1" t="s">
        <v>22</v>
      </c>
      <c r="C332" s="2" t="s">
        <v>117</v>
      </c>
      <c r="D332" s="2" t="s">
        <v>46</v>
      </c>
      <c r="E332" s="2" t="s">
        <v>1061</v>
      </c>
      <c r="F332" s="2" t="s">
        <v>338</v>
      </c>
      <c r="G332" s="2" t="s">
        <v>86</v>
      </c>
      <c r="H332" s="2" t="s">
        <v>163</v>
      </c>
      <c r="I332" s="2" t="s">
        <v>77</v>
      </c>
      <c r="K332" s="2" t="s">
        <v>38</v>
      </c>
      <c r="L332" s="1" t="s">
        <v>113</v>
      </c>
    </row>
    <row r="333">
      <c r="A333" s="1" t="s">
        <v>1484</v>
      </c>
      <c r="B333" s="1" t="s">
        <v>65</v>
      </c>
      <c r="C333" s="2" t="s">
        <v>95</v>
      </c>
      <c r="D333" s="2" t="s">
        <v>48</v>
      </c>
      <c r="E333" s="2" t="s">
        <v>36</v>
      </c>
      <c r="F333" s="2" t="s">
        <v>375</v>
      </c>
      <c r="G333" s="2" t="s">
        <v>54</v>
      </c>
      <c r="H333" s="2" t="s">
        <v>163</v>
      </c>
      <c r="I333" s="2" t="s">
        <v>38</v>
      </c>
      <c r="J333" s="2" t="s">
        <v>1823</v>
      </c>
      <c r="K333" s="2" t="s">
        <v>23</v>
      </c>
      <c r="L333" s="1" t="s">
        <v>62</v>
      </c>
    </row>
    <row r="334">
      <c r="A334" s="1" t="s">
        <v>1488</v>
      </c>
      <c r="B334" s="1" t="s">
        <v>170</v>
      </c>
      <c r="C334" s="2" t="s">
        <v>95</v>
      </c>
      <c r="D334" s="2" t="s">
        <v>68</v>
      </c>
      <c r="E334" s="2" t="s">
        <v>1265</v>
      </c>
      <c r="F334" s="2" t="s">
        <v>461</v>
      </c>
      <c r="G334" s="2" t="s">
        <v>154</v>
      </c>
      <c r="H334" s="2" t="s">
        <v>218</v>
      </c>
      <c r="I334" s="2" t="s">
        <v>138</v>
      </c>
      <c r="J334" s="2" t="s">
        <v>2004</v>
      </c>
      <c r="K334" s="2" t="s">
        <v>23</v>
      </c>
    </row>
    <row r="335">
      <c r="A335" s="1" t="s">
        <v>1490</v>
      </c>
      <c r="B335" s="1" t="s">
        <v>22</v>
      </c>
      <c r="C335" s="2" t="s">
        <v>95</v>
      </c>
      <c r="D335" s="2" t="s">
        <v>365</v>
      </c>
      <c r="E335" s="2" t="s">
        <v>146</v>
      </c>
      <c r="F335" s="2" t="s">
        <v>1088</v>
      </c>
      <c r="G335" s="2" t="s">
        <v>265</v>
      </c>
      <c r="H335" s="2" t="s">
        <v>163</v>
      </c>
      <c r="I335" s="2" t="s">
        <v>77</v>
      </c>
      <c r="J335" s="2" t="s">
        <v>2007</v>
      </c>
      <c r="K335" s="2" t="s">
        <v>157</v>
      </c>
      <c r="L335" s="1" t="s">
        <v>62</v>
      </c>
    </row>
    <row r="336">
      <c r="A336" s="1" t="s">
        <v>1494</v>
      </c>
      <c r="B336" s="1" t="s">
        <v>170</v>
      </c>
      <c r="C336" s="2" t="s">
        <v>23</v>
      </c>
      <c r="D336" s="2" t="s">
        <v>31</v>
      </c>
      <c r="E336" s="2" t="s">
        <v>809</v>
      </c>
      <c r="F336" s="2" t="s">
        <v>351</v>
      </c>
      <c r="G336" s="2" t="s">
        <v>186</v>
      </c>
      <c r="H336" s="2" t="s">
        <v>497</v>
      </c>
      <c r="I336" s="2" t="s">
        <v>38</v>
      </c>
      <c r="J336" s="2" t="s">
        <v>2014</v>
      </c>
      <c r="K336" s="2" t="s">
        <v>46</v>
      </c>
      <c r="L336" s="1" t="s">
        <v>113</v>
      </c>
    </row>
    <row r="337">
      <c r="A337" s="1" t="s">
        <v>1498</v>
      </c>
      <c r="B337" s="1" t="s">
        <v>170</v>
      </c>
      <c r="C337" s="2" t="s">
        <v>117</v>
      </c>
      <c r="D337" s="2" t="s">
        <v>46</v>
      </c>
      <c r="E337" s="2" t="s">
        <v>56</v>
      </c>
      <c r="F337" s="2" t="s">
        <v>167</v>
      </c>
      <c r="G337" s="2" t="s">
        <v>300</v>
      </c>
      <c r="H337" s="2" t="s">
        <v>178</v>
      </c>
      <c r="I337" s="2" t="s">
        <v>77</v>
      </c>
      <c r="J337" s="2" t="s">
        <v>2019</v>
      </c>
      <c r="K337" s="2" t="s">
        <v>77</v>
      </c>
      <c r="L337" s="1" t="s">
        <v>113</v>
      </c>
    </row>
    <row r="338">
      <c r="A338" s="1" t="s">
        <v>1501</v>
      </c>
      <c r="B338" s="1" t="s">
        <v>44</v>
      </c>
      <c r="C338" s="2" t="s">
        <v>23</v>
      </c>
      <c r="D338" s="2" t="s">
        <v>149</v>
      </c>
      <c r="E338" s="2" t="s">
        <v>2027</v>
      </c>
      <c r="F338" s="2" t="s">
        <v>71</v>
      </c>
      <c r="G338" s="2" t="s">
        <v>48</v>
      </c>
      <c r="H338" s="2" t="s">
        <v>412</v>
      </c>
      <c r="I338" s="2" t="s">
        <v>77</v>
      </c>
      <c r="K338" s="2" t="s">
        <v>95</v>
      </c>
      <c r="L338" s="1" t="s">
        <v>62</v>
      </c>
    </row>
    <row r="339">
      <c r="A339" s="1" t="s">
        <v>1504</v>
      </c>
      <c r="B339" s="1" t="s">
        <v>65</v>
      </c>
      <c r="C339" s="2" t="s">
        <v>38</v>
      </c>
      <c r="D339" s="2" t="s">
        <v>154</v>
      </c>
      <c r="E339" s="2" t="s">
        <v>1375</v>
      </c>
      <c r="F339" s="2" t="s">
        <v>201</v>
      </c>
      <c r="G339" s="2" t="s">
        <v>149</v>
      </c>
      <c r="H339" s="2" t="s">
        <v>310</v>
      </c>
      <c r="I339" s="2" t="s">
        <v>58</v>
      </c>
      <c r="J339" s="2" t="s">
        <v>2031</v>
      </c>
      <c r="K339" s="2" t="s">
        <v>157</v>
      </c>
      <c r="L339" s="1" t="s">
        <v>62</v>
      </c>
    </row>
    <row r="340">
      <c r="A340" s="1" t="s">
        <v>1507</v>
      </c>
      <c r="B340" s="1" t="s">
        <v>84</v>
      </c>
      <c r="C340" s="2" t="s">
        <v>38</v>
      </c>
      <c r="D340" s="2" t="s">
        <v>95</v>
      </c>
      <c r="E340" s="2" t="s">
        <v>2034</v>
      </c>
      <c r="F340" s="2" t="s">
        <v>300</v>
      </c>
      <c r="G340" s="2" t="s">
        <v>149</v>
      </c>
      <c r="H340" s="2" t="s">
        <v>218</v>
      </c>
      <c r="I340" s="2" t="s">
        <v>38</v>
      </c>
      <c r="J340" s="2" t="s">
        <v>2035</v>
      </c>
      <c r="K340" s="2" t="s">
        <v>167</v>
      </c>
      <c r="L340" s="1" t="s">
        <v>62</v>
      </c>
    </row>
    <row r="341">
      <c r="A341" s="1" t="s">
        <v>1510</v>
      </c>
      <c r="B341" s="1" t="s">
        <v>170</v>
      </c>
      <c r="C341" s="2" t="s">
        <v>38</v>
      </c>
      <c r="D341" s="2" t="s">
        <v>213</v>
      </c>
      <c r="E341" s="2" t="s">
        <v>1109</v>
      </c>
      <c r="F341" s="2" t="s">
        <v>514</v>
      </c>
      <c r="G341" s="2" t="s">
        <v>339</v>
      </c>
      <c r="H341" s="2" t="s">
        <v>116</v>
      </c>
      <c r="I341" s="2" t="s">
        <v>138</v>
      </c>
      <c r="J341" s="2" t="s">
        <v>2039</v>
      </c>
      <c r="K341" s="2" t="s">
        <v>23</v>
      </c>
      <c r="L341" s="1" t="s">
        <v>113</v>
      </c>
    </row>
    <row r="342">
      <c r="A342" s="1" t="s">
        <v>1510</v>
      </c>
      <c r="B342" s="1" t="s">
        <v>170</v>
      </c>
      <c r="C342" s="2" t="s">
        <v>38</v>
      </c>
      <c r="D342" s="2" t="s">
        <v>213</v>
      </c>
      <c r="E342" s="2" t="s">
        <v>1109</v>
      </c>
      <c r="F342" s="2" t="s">
        <v>514</v>
      </c>
      <c r="G342" s="2" t="s">
        <v>339</v>
      </c>
      <c r="H342" s="2" t="s">
        <v>116</v>
      </c>
      <c r="I342" s="2" t="s">
        <v>138</v>
      </c>
      <c r="J342" s="2" t="s">
        <v>2039</v>
      </c>
      <c r="K342" s="2" t="s">
        <v>23</v>
      </c>
      <c r="L342" s="1" t="s">
        <v>113</v>
      </c>
    </row>
    <row r="343">
      <c r="A343" s="1" t="s">
        <v>1513</v>
      </c>
      <c r="B343" s="1" t="s">
        <v>84</v>
      </c>
      <c r="C343" s="2" t="s">
        <v>95</v>
      </c>
      <c r="D343" s="2" t="s">
        <v>54</v>
      </c>
      <c r="E343" s="2" t="s">
        <v>203</v>
      </c>
      <c r="F343" s="2" t="s">
        <v>257</v>
      </c>
      <c r="G343" s="2" t="s">
        <v>339</v>
      </c>
      <c r="H343" s="2" t="s">
        <v>1091</v>
      </c>
      <c r="I343" s="2" t="s">
        <v>77</v>
      </c>
      <c r="J343" s="2" t="s">
        <v>2050</v>
      </c>
      <c r="K343" s="2" t="s">
        <v>23</v>
      </c>
      <c r="L343" s="1" t="s">
        <v>62</v>
      </c>
    </row>
    <row r="344">
      <c r="A344" s="1" t="s">
        <v>1515</v>
      </c>
      <c r="B344" s="1" t="s">
        <v>22</v>
      </c>
      <c r="C344" s="2" t="s">
        <v>46</v>
      </c>
      <c r="D344" s="2" t="s">
        <v>27</v>
      </c>
      <c r="E344" s="2" t="s">
        <v>1275</v>
      </c>
      <c r="F344" s="2" t="s">
        <v>265</v>
      </c>
      <c r="G344" s="2" t="s">
        <v>106</v>
      </c>
      <c r="H344" s="2" t="s">
        <v>310</v>
      </c>
      <c r="I344" s="2" t="s">
        <v>138</v>
      </c>
      <c r="J344" s="2" t="s">
        <v>2054</v>
      </c>
      <c r="K344" s="2" t="s">
        <v>157</v>
      </c>
      <c r="L344" s="1" t="s">
        <v>62</v>
      </c>
    </row>
    <row r="345">
      <c r="A345" s="1" t="s">
        <v>1516</v>
      </c>
      <c r="B345" s="1" t="s">
        <v>84</v>
      </c>
      <c r="C345" s="2" t="s">
        <v>23</v>
      </c>
      <c r="D345" s="2" t="s">
        <v>27</v>
      </c>
      <c r="E345" s="2" t="s">
        <v>996</v>
      </c>
      <c r="F345" s="2" t="s">
        <v>115</v>
      </c>
      <c r="G345" s="2" t="s">
        <v>149</v>
      </c>
      <c r="H345" s="2" t="s">
        <v>108</v>
      </c>
      <c r="I345" s="2" t="s">
        <v>58</v>
      </c>
      <c r="J345" s="2" t="s">
        <v>2058</v>
      </c>
      <c r="K345" s="2" t="s">
        <v>157</v>
      </c>
      <c r="L345" s="1" t="s">
        <v>62</v>
      </c>
    </row>
    <row r="346">
      <c r="A346" s="1" t="s">
        <v>1517</v>
      </c>
      <c r="B346" s="1" t="s">
        <v>22</v>
      </c>
      <c r="C346" s="2" t="s">
        <v>23</v>
      </c>
      <c r="D346" s="2" t="s">
        <v>213</v>
      </c>
      <c r="E346" s="2" t="s">
        <v>203</v>
      </c>
      <c r="F346" s="2" t="s">
        <v>245</v>
      </c>
      <c r="G346" s="2" t="s">
        <v>162</v>
      </c>
      <c r="H346" s="2" t="s">
        <v>463</v>
      </c>
      <c r="I346" s="2" t="s">
        <v>138</v>
      </c>
      <c r="J346" s="2" t="s">
        <v>2062</v>
      </c>
      <c r="K346" s="2" t="s">
        <v>23</v>
      </c>
      <c r="L346" s="1" t="s">
        <v>62</v>
      </c>
    </row>
    <row r="347">
      <c r="A347" s="1" t="s">
        <v>1522</v>
      </c>
      <c r="B347" s="1" t="s">
        <v>84</v>
      </c>
      <c r="C347" s="2" t="s">
        <v>157</v>
      </c>
      <c r="D347" s="2" t="s">
        <v>338</v>
      </c>
      <c r="E347" s="2" t="s">
        <v>1242</v>
      </c>
      <c r="F347" s="2" t="s">
        <v>1137</v>
      </c>
      <c r="G347" s="2" t="s">
        <v>86</v>
      </c>
      <c r="H347" s="2" t="s">
        <v>108</v>
      </c>
      <c r="I347" s="2" t="s">
        <v>46</v>
      </c>
      <c r="J347" s="2" t="s">
        <v>2065</v>
      </c>
      <c r="K347" s="2" t="s">
        <v>154</v>
      </c>
      <c r="L347" s="1" t="s">
        <v>62</v>
      </c>
    </row>
    <row r="348">
      <c r="A348" s="1" t="s">
        <v>1524</v>
      </c>
      <c r="B348" s="1" t="s">
        <v>65</v>
      </c>
      <c r="C348" s="2" t="s">
        <v>23</v>
      </c>
      <c r="D348" s="2" t="s">
        <v>106</v>
      </c>
      <c r="E348" s="2" t="s">
        <v>1133</v>
      </c>
      <c r="F348" s="2" t="s">
        <v>201</v>
      </c>
      <c r="G348" s="2" t="s">
        <v>290</v>
      </c>
      <c r="H348" s="2" t="s">
        <v>108</v>
      </c>
      <c r="I348" s="2" t="s">
        <v>58</v>
      </c>
      <c r="J348" s="2" t="s">
        <v>303</v>
      </c>
      <c r="K348" s="2" t="s">
        <v>38</v>
      </c>
      <c r="L348" s="1" t="s">
        <v>113</v>
      </c>
    </row>
    <row r="349">
      <c r="A349" s="1" t="s">
        <v>1528</v>
      </c>
      <c r="B349" s="1" t="s">
        <v>170</v>
      </c>
      <c r="C349" s="2" t="s">
        <v>38</v>
      </c>
      <c r="D349" s="2" t="s">
        <v>106</v>
      </c>
      <c r="E349" s="2" t="s">
        <v>114</v>
      </c>
      <c r="F349" s="2" t="s">
        <v>1137</v>
      </c>
      <c r="G349" s="2" t="s">
        <v>73</v>
      </c>
      <c r="H349" s="2" t="s">
        <v>463</v>
      </c>
      <c r="I349" s="2" t="s">
        <v>46</v>
      </c>
      <c r="J349" s="2" t="s">
        <v>2066</v>
      </c>
      <c r="K349" s="2" t="s">
        <v>95</v>
      </c>
      <c r="L349" s="1" t="s">
        <v>62</v>
      </c>
    </row>
    <row r="350">
      <c r="A350" s="1" t="s">
        <v>1530</v>
      </c>
      <c r="B350" s="1" t="s">
        <v>22</v>
      </c>
      <c r="C350" s="2" t="s">
        <v>46</v>
      </c>
      <c r="D350" s="2" t="s">
        <v>154</v>
      </c>
      <c r="E350" s="2" t="s">
        <v>396</v>
      </c>
      <c r="F350" s="2" t="s">
        <v>154</v>
      </c>
      <c r="G350" s="2" t="s">
        <v>115</v>
      </c>
      <c r="H350" s="2" t="s">
        <v>108</v>
      </c>
      <c r="I350" s="2" t="s">
        <v>46</v>
      </c>
      <c r="J350" s="2" t="s">
        <v>2067</v>
      </c>
      <c r="K350" s="2" t="s">
        <v>117</v>
      </c>
      <c r="L350" s="1" t="s">
        <v>113</v>
      </c>
    </row>
    <row r="351">
      <c r="A351" s="1" t="s">
        <v>1534</v>
      </c>
      <c r="B351" s="1" t="s">
        <v>65</v>
      </c>
      <c r="C351" s="2" t="s">
        <v>157</v>
      </c>
      <c r="D351" s="2" t="s">
        <v>448</v>
      </c>
      <c r="E351" s="2" t="s">
        <v>384</v>
      </c>
      <c r="F351" s="2" t="s">
        <v>33</v>
      </c>
      <c r="G351" s="2" t="s">
        <v>365</v>
      </c>
      <c r="H351" s="2" t="s">
        <v>412</v>
      </c>
      <c r="I351" s="2" t="s">
        <v>117</v>
      </c>
      <c r="J351" s="2" t="s">
        <v>2068</v>
      </c>
      <c r="K351" s="2" t="s">
        <v>38</v>
      </c>
      <c r="L351" s="1" t="s">
        <v>62</v>
      </c>
    </row>
    <row r="352">
      <c r="A352" s="1" t="s">
        <v>1536</v>
      </c>
      <c r="B352" s="1" t="s">
        <v>84</v>
      </c>
      <c r="C352" s="2" t="s">
        <v>23</v>
      </c>
      <c r="D352" s="2" t="s">
        <v>300</v>
      </c>
      <c r="E352" s="2" t="s">
        <v>746</v>
      </c>
      <c r="F352" s="2" t="s">
        <v>224</v>
      </c>
      <c r="G352" s="2" t="s">
        <v>71</v>
      </c>
      <c r="H352" s="2" t="s">
        <v>36</v>
      </c>
      <c r="I352" s="2" t="s">
        <v>77</v>
      </c>
      <c r="J352" s="2" t="s">
        <v>2069</v>
      </c>
      <c r="K352" s="2" t="s">
        <v>58</v>
      </c>
      <c r="L352" s="1" t="s">
        <v>113</v>
      </c>
    </row>
    <row r="353">
      <c r="A353" s="1" t="s">
        <v>1539</v>
      </c>
      <c r="B353" s="1" t="s">
        <v>44</v>
      </c>
      <c r="C353" s="2" t="s">
        <v>157</v>
      </c>
      <c r="D353" s="2" t="s">
        <v>115</v>
      </c>
      <c r="E353" s="2" t="s">
        <v>1499</v>
      </c>
      <c r="F353" s="2" t="s">
        <v>247</v>
      </c>
      <c r="G353" s="2" t="s">
        <v>33</v>
      </c>
      <c r="H353" s="2" t="s">
        <v>250</v>
      </c>
      <c r="I353" s="2" t="s">
        <v>138</v>
      </c>
      <c r="J353" s="2" t="s">
        <v>2070</v>
      </c>
      <c r="K353" s="2" t="s">
        <v>117</v>
      </c>
      <c r="L353" s="1" t="s">
        <v>113</v>
      </c>
    </row>
    <row r="354">
      <c r="A354" s="1" t="s">
        <v>1542</v>
      </c>
      <c r="B354" s="1" t="s">
        <v>65</v>
      </c>
      <c r="C354" s="2" t="s">
        <v>167</v>
      </c>
      <c r="D354" s="2" t="s">
        <v>115</v>
      </c>
      <c r="E354" s="2" t="s">
        <v>2074</v>
      </c>
      <c r="F354" s="2" t="s">
        <v>290</v>
      </c>
      <c r="G354" s="2" t="s">
        <v>54</v>
      </c>
      <c r="H354" s="2" t="s">
        <v>203</v>
      </c>
      <c r="I354" s="2" t="s">
        <v>38</v>
      </c>
      <c r="J354" s="2" t="s">
        <v>2079</v>
      </c>
      <c r="K354" s="2" t="s">
        <v>46</v>
      </c>
      <c r="L354" s="1" t="s">
        <v>113</v>
      </c>
    </row>
    <row r="355">
      <c r="A355" s="1" t="s">
        <v>1544</v>
      </c>
      <c r="B355" s="1" t="s">
        <v>22</v>
      </c>
      <c r="C355" s="2" t="s">
        <v>157</v>
      </c>
      <c r="D355" s="2" t="s">
        <v>287</v>
      </c>
      <c r="E355" s="2" t="s">
        <v>463</v>
      </c>
      <c r="F355" s="2" t="s">
        <v>375</v>
      </c>
      <c r="G355" s="2" t="s">
        <v>245</v>
      </c>
      <c r="H355" s="2" t="s">
        <v>575</v>
      </c>
      <c r="I355" s="2" t="s">
        <v>46</v>
      </c>
      <c r="J355" s="2" t="s">
        <v>2083</v>
      </c>
      <c r="K355" s="2" t="s">
        <v>58</v>
      </c>
      <c r="L355" s="1" t="s">
        <v>113</v>
      </c>
    </row>
    <row r="356">
      <c r="A356" s="1" t="s">
        <v>1548</v>
      </c>
      <c r="B356" s="1" t="s">
        <v>170</v>
      </c>
      <c r="C356" s="2" t="s">
        <v>23</v>
      </c>
      <c r="D356" s="2" t="s">
        <v>213</v>
      </c>
      <c r="E356" s="2" t="s">
        <v>446</v>
      </c>
      <c r="F356" s="2" t="s">
        <v>201</v>
      </c>
      <c r="G356" s="2" t="s">
        <v>186</v>
      </c>
      <c r="I356" s="2" t="s">
        <v>138</v>
      </c>
      <c r="J356" s="2" t="s">
        <v>2091</v>
      </c>
      <c r="K356" s="2" t="s">
        <v>117</v>
      </c>
      <c r="L356" s="1" t="s">
        <v>113</v>
      </c>
    </row>
    <row r="357">
      <c r="A357" s="1" t="s">
        <v>1550</v>
      </c>
      <c r="B357" s="1" t="s">
        <v>65</v>
      </c>
      <c r="C357" s="2" t="s">
        <v>167</v>
      </c>
      <c r="D357" s="2" t="s">
        <v>201</v>
      </c>
      <c r="E357" s="2" t="s">
        <v>575</v>
      </c>
      <c r="F357" s="2" t="s">
        <v>157</v>
      </c>
      <c r="G357" s="2" t="s">
        <v>48</v>
      </c>
      <c r="I357" s="2" t="s">
        <v>138</v>
      </c>
      <c r="J357" s="2" t="s">
        <v>2097</v>
      </c>
      <c r="K357" s="2" t="s">
        <v>38</v>
      </c>
      <c r="L357" s="1" t="s">
        <v>62</v>
      </c>
    </row>
    <row r="358">
      <c r="A358" s="1" t="s">
        <v>1553</v>
      </c>
      <c r="B358" s="1" t="s">
        <v>170</v>
      </c>
      <c r="C358" s="2" t="s">
        <v>46</v>
      </c>
      <c r="D358" s="2" t="s">
        <v>157</v>
      </c>
      <c r="E358" s="2" t="s">
        <v>1211</v>
      </c>
      <c r="F358" s="2" t="s">
        <v>351</v>
      </c>
      <c r="G358" s="2" t="s">
        <v>213</v>
      </c>
      <c r="H358" s="2" t="s">
        <v>56</v>
      </c>
      <c r="I358" s="2" t="s">
        <v>38</v>
      </c>
      <c r="J358" s="1" t="s">
        <v>2105</v>
      </c>
      <c r="K358" s="2" t="s">
        <v>95</v>
      </c>
      <c r="L358" s="1" t="s">
        <v>62</v>
      </c>
    </row>
    <row r="359">
      <c r="A359" s="1" t="s">
        <v>1556</v>
      </c>
      <c r="B359" s="1" t="s">
        <v>84</v>
      </c>
      <c r="C359" s="2" t="s">
        <v>95</v>
      </c>
      <c r="D359" s="2" t="s">
        <v>365</v>
      </c>
      <c r="E359" s="2" t="s">
        <v>328</v>
      </c>
      <c r="F359" s="2" t="s">
        <v>300</v>
      </c>
      <c r="G359" s="2" t="s">
        <v>201</v>
      </c>
      <c r="H359" s="2" t="s">
        <v>218</v>
      </c>
      <c r="I359" s="2" t="s">
        <v>77</v>
      </c>
      <c r="J359" s="2" t="s">
        <v>2114</v>
      </c>
      <c r="K359" s="2" t="s">
        <v>77</v>
      </c>
      <c r="L359" s="1" t="s">
        <v>113</v>
      </c>
    </row>
    <row r="360">
      <c r="A360" s="1" t="s">
        <v>1558</v>
      </c>
      <c r="B360" s="1" t="s">
        <v>44</v>
      </c>
      <c r="C360" s="2" t="s">
        <v>167</v>
      </c>
      <c r="D360" s="2" t="s">
        <v>135</v>
      </c>
      <c r="E360" s="2" t="s">
        <v>235</v>
      </c>
      <c r="F360" s="2" t="s">
        <v>27</v>
      </c>
      <c r="G360" s="2" t="s">
        <v>71</v>
      </c>
      <c r="H360" s="2" t="s">
        <v>75</v>
      </c>
      <c r="I360" s="2" t="s">
        <v>58</v>
      </c>
      <c r="J360" s="2" t="s">
        <v>710</v>
      </c>
      <c r="K360" s="2" t="s">
        <v>95</v>
      </c>
      <c r="L360" s="1" t="s">
        <v>62</v>
      </c>
    </row>
    <row r="361">
      <c r="A361" s="1" t="s">
        <v>1561</v>
      </c>
      <c r="B361" s="1" t="s">
        <v>84</v>
      </c>
      <c r="C361" s="2" t="s">
        <v>95</v>
      </c>
      <c r="D361" s="2" t="s">
        <v>135</v>
      </c>
      <c r="E361" s="2" t="s">
        <v>215</v>
      </c>
      <c r="F361" s="2" t="s">
        <v>1088</v>
      </c>
      <c r="G361" s="2" t="s">
        <v>448</v>
      </c>
      <c r="H361" s="2" t="s">
        <v>151</v>
      </c>
      <c r="I361" s="2" t="s">
        <v>58</v>
      </c>
      <c r="J361" s="2" t="s">
        <v>2124</v>
      </c>
      <c r="K361" s="2" t="s">
        <v>77</v>
      </c>
      <c r="L361" s="1" t="s">
        <v>113</v>
      </c>
    </row>
    <row r="362">
      <c r="A362" s="1" t="s">
        <v>1564</v>
      </c>
      <c r="B362" s="1" t="s">
        <v>22</v>
      </c>
      <c r="C362" s="2" t="s">
        <v>38</v>
      </c>
      <c r="D362" s="2" t="s">
        <v>154</v>
      </c>
      <c r="E362" s="2" t="s">
        <v>758</v>
      </c>
      <c r="F362" s="2" t="s">
        <v>154</v>
      </c>
      <c r="G362" s="2" t="s">
        <v>135</v>
      </c>
      <c r="H362" s="2" t="s">
        <v>75</v>
      </c>
      <c r="I362" s="2" t="s">
        <v>138</v>
      </c>
      <c r="J362" s="1" t="s">
        <v>2129</v>
      </c>
      <c r="K362" s="2" t="s">
        <v>157</v>
      </c>
      <c r="L362" s="1" t="s">
        <v>62</v>
      </c>
    </row>
    <row r="363">
      <c r="A363" s="1" t="s">
        <v>1567</v>
      </c>
      <c r="B363" s="1" t="s">
        <v>65</v>
      </c>
      <c r="C363" s="2" t="s">
        <v>167</v>
      </c>
      <c r="D363" s="2" t="s">
        <v>265</v>
      </c>
      <c r="E363" s="2" t="s">
        <v>2133</v>
      </c>
      <c r="F363" s="2" t="s">
        <v>1026</v>
      </c>
      <c r="G363" s="2" t="s">
        <v>73</v>
      </c>
      <c r="H363" s="2" t="s">
        <v>203</v>
      </c>
      <c r="I363" s="2" t="s">
        <v>38</v>
      </c>
      <c r="J363" s="2" t="s">
        <v>2136</v>
      </c>
      <c r="K363" s="2" t="s">
        <v>117</v>
      </c>
      <c r="L363" s="1" t="s">
        <v>113</v>
      </c>
    </row>
    <row r="364">
      <c r="A364" s="1" t="s">
        <v>1571</v>
      </c>
      <c r="B364" s="1" t="s">
        <v>84</v>
      </c>
      <c r="C364" s="2" t="s">
        <v>46</v>
      </c>
      <c r="D364" s="2" t="s">
        <v>157</v>
      </c>
      <c r="E364" s="2" t="s">
        <v>446</v>
      </c>
      <c r="F364" s="2" t="s">
        <v>351</v>
      </c>
      <c r="G364" s="2" t="s">
        <v>162</v>
      </c>
      <c r="H364" s="2" t="s">
        <v>163</v>
      </c>
      <c r="I364" s="2" t="s">
        <v>117</v>
      </c>
      <c r="K364" s="2" t="s">
        <v>117</v>
      </c>
      <c r="L364" s="1" t="s">
        <v>113</v>
      </c>
    </row>
    <row r="365">
      <c r="A365" s="1" t="s">
        <v>1574</v>
      </c>
      <c r="B365" s="1" t="s">
        <v>84</v>
      </c>
      <c r="C365" s="2" t="s">
        <v>157</v>
      </c>
      <c r="D365" s="2" t="s">
        <v>228</v>
      </c>
      <c r="E365" s="2" t="s">
        <v>337</v>
      </c>
      <c r="F365" s="2" t="s">
        <v>514</v>
      </c>
      <c r="G365" s="2" t="s">
        <v>54</v>
      </c>
      <c r="H365" s="2" t="s">
        <v>75</v>
      </c>
      <c r="I365" s="2" t="s">
        <v>46</v>
      </c>
      <c r="J365" s="2" t="s">
        <v>1420</v>
      </c>
      <c r="K365" s="2" t="s">
        <v>157</v>
      </c>
      <c r="L365" s="1" t="s">
        <v>62</v>
      </c>
    </row>
    <row r="366">
      <c r="A366" s="1" t="s">
        <v>1577</v>
      </c>
      <c r="B366" s="1" t="s">
        <v>44</v>
      </c>
      <c r="C366" s="2" t="s">
        <v>117</v>
      </c>
      <c r="D366" s="2" t="s">
        <v>27</v>
      </c>
      <c r="E366" s="2" t="s">
        <v>1128</v>
      </c>
      <c r="F366" s="2" t="s">
        <v>213</v>
      </c>
      <c r="G366" s="2" t="s">
        <v>71</v>
      </c>
      <c r="H366" s="2" t="s">
        <v>56</v>
      </c>
      <c r="I366" s="2" t="s">
        <v>58</v>
      </c>
      <c r="J366" s="2" t="s">
        <v>2149</v>
      </c>
      <c r="K366" s="2" t="s">
        <v>157</v>
      </c>
      <c r="L366" s="1" t="s">
        <v>62</v>
      </c>
    </row>
    <row r="367">
      <c r="A367" s="1" t="s">
        <v>1579</v>
      </c>
      <c r="B367" s="1" t="s">
        <v>22</v>
      </c>
      <c r="C367" s="2" t="s">
        <v>290</v>
      </c>
      <c r="D367" s="2" t="s">
        <v>2150</v>
      </c>
      <c r="E367" s="2" t="s">
        <v>198</v>
      </c>
      <c r="F367" s="2" t="s">
        <v>106</v>
      </c>
      <c r="G367" s="2" t="s">
        <v>104</v>
      </c>
      <c r="H367" s="2" t="s">
        <v>56</v>
      </c>
      <c r="I367" s="2" t="s">
        <v>58</v>
      </c>
      <c r="J367" s="2" t="s">
        <v>2155</v>
      </c>
      <c r="K367" s="2" t="s">
        <v>77</v>
      </c>
      <c r="L367" s="1" t="s">
        <v>113</v>
      </c>
    </row>
    <row r="368">
      <c r="A368" s="1" t="s">
        <v>1582</v>
      </c>
      <c r="B368" s="1" t="s">
        <v>44</v>
      </c>
      <c r="C368" s="2" t="s">
        <v>95</v>
      </c>
      <c r="D368" s="2" t="s">
        <v>213</v>
      </c>
      <c r="E368" s="2" t="s">
        <v>412</v>
      </c>
      <c r="F368" s="2" t="s">
        <v>351</v>
      </c>
      <c r="G368" s="2" t="s">
        <v>27</v>
      </c>
      <c r="H368" s="2" t="s">
        <v>1091</v>
      </c>
      <c r="I368" s="2" t="s">
        <v>138</v>
      </c>
      <c r="J368" s="2" t="s">
        <v>1658</v>
      </c>
      <c r="K368" s="2" t="s">
        <v>157</v>
      </c>
      <c r="L368" s="1" t="s">
        <v>62</v>
      </c>
    </row>
    <row r="369">
      <c r="A369" s="1" t="s">
        <v>1585</v>
      </c>
      <c r="B369" s="1" t="s">
        <v>44</v>
      </c>
      <c r="C369" s="2" t="s">
        <v>46</v>
      </c>
      <c r="D369" s="2" t="s">
        <v>149</v>
      </c>
      <c r="E369" s="2" t="s">
        <v>996</v>
      </c>
      <c r="F369" s="2" t="s">
        <v>290</v>
      </c>
      <c r="G369" s="2" t="s">
        <v>265</v>
      </c>
      <c r="H369" s="2" t="s">
        <v>310</v>
      </c>
      <c r="I369" s="2" t="s">
        <v>117</v>
      </c>
      <c r="J369" s="2" t="s">
        <v>2162</v>
      </c>
      <c r="K369" s="2" t="s">
        <v>23</v>
      </c>
      <c r="L369" s="1" t="s">
        <v>62</v>
      </c>
    </row>
    <row r="370">
      <c r="A370" s="1" t="s">
        <v>1588</v>
      </c>
      <c r="B370" s="1" t="s">
        <v>22</v>
      </c>
      <c r="C370" s="2" t="s">
        <v>23</v>
      </c>
      <c r="D370" s="2" t="s">
        <v>265</v>
      </c>
      <c r="E370" s="2" t="s">
        <v>809</v>
      </c>
      <c r="F370" s="2" t="s">
        <v>247</v>
      </c>
      <c r="G370" s="2" t="s">
        <v>68</v>
      </c>
      <c r="H370" s="2" t="s">
        <v>270</v>
      </c>
      <c r="I370" s="2" t="s">
        <v>77</v>
      </c>
      <c r="J370" s="2" t="s">
        <v>2169</v>
      </c>
      <c r="K370" s="2" t="s">
        <v>157</v>
      </c>
      <c r="L370" s="1" t="s">
        <v>62</v>
      </c>
    </row>
    <row r="371">
      <c r="A371" s="1" t="s">
        <v>1591</v>
      </c>
      <c r="B371" s="1" t="s">
        <v>170</v>
      </c>
      <c r="C371" s="2" t="s">
        <v>95</v>
      </c>
      <c r="D371" s="2" t="s">
        <v>149</v>
      </c>
      <c r="E371" s="2" t="s">
        <v>2173</v>
      </c>
      <c r="F371" s="2" t="s">
        <v>224</v>
      </c>
      <c r="G371" s="2" t="s">
        <v>339</v>
      </c>
      <c r="H371" s="2" t="s">
        <v>75</v>
      </c>
      <c r="I371" s="2" t="s">
        <v>138</v>
      </c>
      <c r="J371" s="2" t="s">
        <v>2176</v>
      </c>
      <c r="K371" s="2" t="s">
        <v>117</v>
      </c>
      <c r="L371" s="1" t="s">
        <v>113</v>
      </c>
    </row>
    <row r="372">
      <c r="A372" s="1" t="s">
        <v>1594</v>
      </c>
      <c r="B372" s="1" t="s">
        <v>22</v>
      </c>
      <c r="C372" s="2" t="s">
        <v>46</v>
      </c>
      <c r="D372" s="2" t="s">
        <v>265</v>
      </c>
      <c r="E372" s="2" t="s">
        <v>809</v>
      </c>
      <c r="F372" s="2" t="s">
        <v>247</v>
      </c>
      <c r="G372" s="2" t="s">
        <v>149</v>
      </c>
      <c r="H372" s="2" t="s">
        <v>178</v>
      </c>
      <c r="I372" s="2" t="s">
        <v>138</v>
      </c>
      <c r="J372" s="2" t="s">
        <v>2182</v>
      </c>
      <c r="K372" s="2" t="s">
        <v>154</v>
      </c>
      <c r="L372" s="1" t="s">
        <v>62</v>
      </c>
    </row>
    <row r="373">
      <c r="A373" s="1" t="s">
        <v>1597</v>
      </c>
      <c r="B373" s="1" t="s">
        <v>170</v>
      </c>
      <c r="C373" s="2" t="s">
        <v>23</v>
      </c>
      <c r="D373" s="2" t="s">
        <v>135</v>
      </c>
      <c r="E373" s="2" t="s">
        <v>424</v>
      </c>
      <c r="F373" s="2" t="s">
        <v>104</v>
      </c>
      <c r="G373" s="2" t="s">
        <v>71</v>
      </c>
      <c r="H373" s="2" t="s">
        <v>575</v>
      </c>
      <c r="I373" s="2" t="s">
        <v>38</v>
      </c>
      <c r="J373" s="2" t="s">
        <v>2188</v>
      </c>
      <c r="K373" s="2" t="s">
        <v>38</v>
      </c>
      <c r="L373" s="1" t="s">
        <v>113</v>
      </c>
    </row>
    <row r="374">
      <c r="A374" s="1" t="s">
        <v>1600</v>
      </c>
      <c r="B374" s="1" t="s">
        <v>170</v>
      </c>
      <c r="C374" s="2" t="s">
        <v>95</v>
      </c>
      <c r="D374" s="2" t="s">
        <v>199</v>
      </c>
      <c r="E374" s="2" t="s">
        <v>996</v>
      </c>
      <c r="F374" s="2" t="s">
        <v>46</v>
      </c>
      <c r="G374" s="2" t="s">
        <v>245</v>
      </c>
      <c r="H374" s="2" t="s">
        <v>92</v>
      </c>
      <c r="I374" s="2" t="s">
        <v>38</v>
      </c>
      <c r="J374" s="2" t="s">
        <v>2191</v>
      </c>
      <c r="K374" s="2" t="s">
        <v>154</v>
      </c>
      <c r="L374" s="1" t="s">
        <v>62</v>
      </c>
    </row>
    <row r="375">
      <c r="A375" s="1" t="s">
        <v>1603</v>
      </c>
      <c r="B375" s="1" t="s">
        <v>65</v>
      </c>
      <c r="C375" s="2" t="s">
        <v>38</v>
      </c>
      <c r="D375" s="2" t="s">
        <v>213</v>
      </c>
      <c r="E375" s="2" t="s">
        <v>2197</v>
      </c>
      <c r="F375" s="2" t="s">
        <v>46</v>
      </c>
      <c r="G375" s="2" t="s">
        <v>149</v>
      </c>
      <c r="H375" s="2" t="s">
        <v>56</v>
      </c>
      <c r="I375" s="2" t="s">
        <v>58</v>
      </c>
      <c r="J375" s="2" t="s">
        <v>2200</v>
      </c>
      <c r="K375" s="2" t="s">
        <v>117</v>
      </c>
    </row>
    <row r="376">
      <c r="A376" s="1" t="s">
        <v>1606</v>
      </c>
      <c r="B376" s="1" t="s">
        <v>170</v>
      </c>
      <c r="C376" s="2" t="s">
        <v>157</v>
      </c>
      <c r="D376" s="2" t="s">
        <v>186</v>
      </c>
      <c r="E376" s="2" t="s">
        <v>310</v>
      </c>
      <c r="F376" s="2" t="s">
        <v>257</v>
      </c>
      <c r="G376" s="2" t="s">
        <v>106</v>
      </c>
      <c r="H376" s="2" t="s">
        <v>75</v>
      </c>
      <c r="I376" s="2" t="s">
        <v>138</v>
      </c>
      <c r="J376" s="2" t="s">
        <v>2207</v>
      </c>
      <c r="K376" s="2" t="s">
        <v>157</v>
      </c>
      <c r="L376" s="1" t="s">
        <v>62</v>
      </c>
    </row>
    <row r="377">
      <c r="A377" s="1" t="s">
        <v>1608</v>
      </c>
      <c r="B377" s="1" t="s">
        <v>22</v>
      </c>
      <c r="C377" s="2" t="s">
        <v>157</v>
      </c>
      <c r="D377" s="2" t="s">
        <v>186</v>
      </c>
      <c r="E377" s="2" t="s">
        <v>505</v>
      </c>
      <c r="F377" s="2" t="s">
        <v>514</v>
      </c>
      <c r="G377" s="2" t="s">
        <v>104</v>
      </c>
      <c r="H377" s="2" t="s">
        <v>151</v>
      </c>
      <c r="I377" s="2" t="s">
        <v>77</v>
      </c>
      <c r="J377" s="2" t="s">
        <v>2213</v>
      </c>
      <c r="K377" s="2" t="s">
        <v>157</v>
      </c>
      <c r="L377" s="1" t="s">
        <v>62</v>
      </c>
    </row>
    <row r="378">
      <c r="A378" s="1" t="s">
        <v>1611</v>
      </c>
      <c r="B378" s="1" t="s">
        <v>65</v>
      </c>
      <c r="C378" s="2" t="s">
        <v>167</v>
      </c>
      <c r="D378" s="2" t="s">
        <v>869</v>
      </c>
      <c r="E378" s="2" t="s">
        <v>218</v>
      </c>
      <c r="F378" s="2" t="s">
        <v>338</v>
      </c>
      <c r="G378" s="2" t="s">
        <v>351</v>
      </c>
      <c r="H378" s="2" t="s">
        <v>463</v>
      </c>
      <c r="I378" s="2" t="s">
        <v>58</v>
      </c>
      <c r="J378" s="2" t="s">
        <v>2219</v>
      </c>
      <c r="K378" s="2" t="s">
        <v>157</v>
      </c>
      <c r="L378" s="1" t="s">
        <v>62</v>
      </c>
    </row>
    <row r="379">
      <c r="A379" s="1" t="s">
        <v>1614</v>
      </c>
      <c r="B379" s="1" t="s">
        <v>170</v>
      </c>
      <c r="C379" s="2" t="s">
        <v>46</v>
      </c>
      <c r="D379" s="2" t="s">
        <v>157</v>
      </c>
      <c r="E379" s="2" t="s">
        <v>746</v>
      </c>
      <c r="F379" s="2" t="s">
        <v>387</v>
      </c>
      <c r="G379" s="2" t="s">
        <v>149</v>
      </c>
      <c r="H379" s="2" t="s">
        <v>250</v>
      </c>
      <c r="I379" s="2" t="s">
        <v>58</v>
      </c>
      <c r="J379" s="2" t="s">
        <v>2227</v>
      </c>
      <c r="K379" s="2" t="s">
        <v>95</v>
      </c>
      <c r="L379" s="1" t="s">
        <v>62</v>
      </c>
    </row>
    <row r="380">
      <c r="A380" s="1" t="s">
        <v>1616</v>
      </c>
      <c r="B380" s="1" t="s">
        <v>65</v>
      </c>
      <c r="C380" s="2" t="s">
        <v>157</v>
      </c>
      <c r="D380" s="2" t="s">
        <v>199</v>
      </c>
      <c r="E380" s="2" t="s">
        <v>2231</v>
      </c>
      <c r="F380" s="2" t="s">
        <v>339</v>
      </c>
      <c r="G380" s="2" t="s">
        <v>186</v>
      </c>
      <c r="H380" s="2" t="s">
        <v>178</v>
      </c>
      <c r="I380" s="2" t="s">
        <v>117</v>
      </c>
      <c r="J380" s="2" t="s">
        <v>2234</v>
      </c>
      <c r="K380" s="2" t="s">
        <v>77</v>
      </c>
      <c r="L380" s="1" t="s">
        <v>113</v>
      </c>
    </row>
    <row r="381">
      <c r="A381" s="1" t="s">
        <v>1619</v>
      </c>
      <c r="B381" s="1" t="s">
        <v>22</v>
      </c>
      <c r="C381" s="2" t="s">
        <v>38</v>
      </c>
      <c r="D381" s="2" t="s">
        <v>213</v>
      </c>
      <c r="E381" s="2" t="s">
        <v>1416</v>
      </c>
      <c r="F381" s="2" t="s">
        <v>257</v>
      </c>
      <c r="G381" s="2" t="s">
        <v>351</v>
      </c>
      <c r="H381" s="2" t="s">
        <v>218</v>
      </c>
      <c r="I381" s="2" t="s">
        <v>77</v>
      </c>
      <c r="J381" s="2" t="s">
        <v>1586</v>
      </c>
      <c r="K381" s="2" t="s">
        <v>23</v>
      </c>
      <c r="L381" s="1" t="s">
        <v>62</v>
      </c>
    </row>
    <row r="382">
      <c r="A382" s="1" t="s">
        <v>1623</v>
      </c>
      <c r="B382" s="1" t="s">
        <v>22</v>
      </c>
      <c r="C382" s="2" t="s">
        <v>46</v>
      </c>
      <c r="D382" s="2" t="s">
        <v>186</v>
      </c>
      <c r="E382" s="2" t="s">
        <v>2240</v>
      </c>
      <c r="F382" s="2" t="s">
        <v>514</v>
      </c>
      <c r="G382" s="2" t="s">
        <v>199</v>
      </c>
      <c r="H382" s="2" t="s">
        <v>114</v>
      </c>
      <c r="I382" s="2" t="s">
        <v>77</v>
      </c>
      <c r="J382" s="2" t="s">
        <v>2241</v>
      </c>
      <c r="K382" s="2" t="s">
        <v>38</v>
      </c>
      <c r="L382" s="1" t="s">
        <v>113</v>
      </c>
    </row>
    <row r="383">
      <c r="A383" s="1" t="s">
        <v>1625</v>
      </c>
      <c r="B383" s="1" t="s">
        <v>65</v>
      </c>
      <c r="C383" s="2" t="s">
        <v>46</v>
      </c>
      <c r="D383" s="2" t="s">
        <v>54</v>
      </c>
      <c r="E383" s="2" t="s">
        <v>584</v>
      </c>
      <c r="F383" s="2" t="s">
        <v>31</v>
      </c>
      <c r="G383" s="2" t="s">
        <v>300</v>
      </c>
      <c r="H383" s="2" t="s">
        <v>116</v>
      </c>
      <c r="I383" s="2" t="s">
        <v>46</v>
      </c>
      <c r="J383" s="2" t="s">
        <v>2247</v>
      </c>
      <c r="K383" s="2" t="s">
        <v>77</v>
      </c>
      <c r="L383" s="1" t="s">
        <v>113</v>
      </c>
    </row>
    <row r="384">
      <c r="A384" s="1" t="s">
        <v>1628</v>
      </c>
      <c r="B384" s="1" t="s">
        <v>65</v>
      </c>
      <c r="C384" s="2" t="s">
        <v>58</v>
      </c>
      <c r="D384" s="2" t="s">
        <v>117</v>
      </c>
      <c r="E384" s="2" t="s">
        <v>2252</v>
      </c>
      <c r="F384" s="2" t="s">
        <v>149</v>
      </c>
      <c r="G384" s="2" t="s">
        <v>54</v>
      </c>
      <c r="H384" s="2" t="s">
        <v>151</v>
      </c>
      <c r="I384" s="2" t="s">
        <v>38</v>
      </c>
      <c r="J384" s="2" t="s">
        <v>1849</v>
      </c>
      <c r="K384" s="2" t="s">
        <v>23</v>
      </c>
      <c r="L384" s="1" t="s">
        <v>62</v>
      </c>
    </row>
    <row r="385">
      <c r="A385" s="1" t="s">
        <v>1631</v>
      </c>
      <c r="B385" s="1" t="s">
        <v>44</v>
      </c>
      <c r="C385" s="2" t="s">
        <v>77</v>
      </c>
      <c r="D385" s="2" t="s">
        <v>23</v>
      </c>
      <c r="E385" s="2" t="s">
        <v>896</v>
      </c>
      <c r="F385" s="2" t="s">
        <v>54</v>
      </c>
      <c r="G385" s="2" t="s">
        <v>71</v>
      </c>
      <c r="H385" s="2" t="s">
        <v>178</v>
      </c>
      <c r="I385" s="2" t="s">
        <v>77</v>
      </c>
      <c r="J385" s="2" t="s">
        <v>1172</v>
      </c>
      <c r="K385" s="2" t="s">
        <v>23</v>
      </c>
      <c r="L385" s="1" t="s">
        <v>62</v>
      </c>
    </row>
    <row r="386">
      <c r="A386" s="1" t="s">
        <v>1633</v>
      </c>
      <c r="B386" s="1" t="s">
        <v>65</v>
      </c>
      <c r="C386" s="2" t="s">
        <v>77</v>
      </c>
      <c r="D386" s="2" t="s">
        <v>38</v>
      </c>
      <c r="E386" s="2" t="s">
        <v>725</v>
      </c>
      <c r="F386" s="2" t="s">
        <v>686</v>
      </c>
      <c r="G386" s="2" t="s">
        <v>245</v>
      </c>
      <c r="I386" s="2" t="s">
        <v>117</v>
      </c>
      <c r="J386" s="2" t="s">
        <v>2263</v>
      </c>
      <c r="K386" s="2" t="s">
        <v>38</v>
      </c>
      <c r="L386" s="1" t="s">
        <v>113</v>
      </c>
    </row>
    <row r="387">
      <c r="A387" s="1" t="s">
        <v>1636</v>
      </c>
      <c r="B387" s="1" t="s">
        <v>65</v>
      </c>
      <c r="C387" s="2" t="s">
        <v>157</v>
      </c>
      <c r="D387" s="2" t="s">
        <v>48</v>
      </c>
      <c r="E387" s="2" t="s">
        <v>270</v>
      </c>
      <c r="F387" s="2" t="s">
        <v>104</v>
      </c>
      <c r="G387" s="2" t="s">
        <v>365</v>
      </c>
      <c r="H387" s="2" t="s">
        <v>36</v>
      </c>
      <c r="I387" s="2" t="s">
        <v>117</v>
      </c>
      <c r="J387" s="2" t="s">
        <v>2270</v>
      </c>
      <c r="K387" s="2" t="s">
        <v>46</v>
      </c>
      <c r="L387" s="1" t="s">
        <v>62</v>
      </c>
    </row>
    <row r="388">
      <c r="A388" s="1" t="s">
        <v>1639</v>
      </c>
      <c r="B388" s="1" t="s">
        <v>22</v>
      </c>
      <c r="C388" s="2" t="s">
        <v>23</v>
      </c>
      <c r="D388" s="2" t="s">
        <v>201</v>
      </c>
      <c r="E388" s="2" t="s">
        <v>270</v>
      </c>
      <c r="F388" s="2" t="s">
        <v>68</v>
      </c>
      <c r="G388" s="2" t="s">
        <v>71</v>
      </c>
      <c r="H388" s="2" t="s">
        <v>116</v>
      </c>
      <c r="I388" s="2" t="s">
        <v>138</v>
      </c>
      <c r="J388" s="2" t="s">
        <v>2273</v>
      </c>
      <c r="K388" s="2" t="s">
        <v>23</v>
      </c>
      <c r="L388" s="1" t="s">
        <v>62</v>
      </c>
    </row>
    <row r="389">
      <c r="A389" s="1" t="s">
        <v>1642</v>
      </c>
      <c r="B389" s="1" t="s">
        <v>22</v>
      </c>
      <c r="C389" s="2" t="s">
        <v>23</v>
      </c>
      <c r="D389" s="2" t="s">
        <v>245</v>
      </c>
      <c r="E389" s="2" t="s">
        <v>1211</v>
      </c>
      <c r="F389" s="2" t="s">
        <v>23</v>
      </c>
      <c r="G389" s="2" t="s">
        <v>149</v>
      </c>
      <c r="H389" s="2" t="s">
        <v>463</v>
      </c>
      <c r="I389" s="2" t="s">
        <v>46</v>
      </c>
      <c r="J389" s="2" t="s">
        <v>2278</v>
      </c>
      <c r="K389" s="2" t="s">
        <v>95</v>
      </c>
    </row>
    <row r="390">
      <c r="A390" s="1" t="s">
        <v>1644</v>
      </c>
      <c r="B390" s="1" t="s">
        <v>65</v>
      </c>
      <c r="C390" s="2" t="s">
        <v>167</v>
      </c>
      <c r="D390" s="2" t="s">
        <v>228</v>
      </c>
      <c r="E390" s="2" t="s">
        <v>405</v>
      </c>
      <c r="F390" s="2" t="s">
        <v>23</v>
      </c>
      <c r="G390" s="2" t="s">
        <v>154</v>
      </c>
      <c r="H390" s="2" t="s">
        <v>163</v>
      </c>
      <c r="I390" s="2" t="s">
        <v>77</v>
      </c>
      <c r="J390" s="2" t="s">
        <v>2286</v>
      </c>
      <c r="K390" s="2" t="s">
        <v>38</v>
      </c>
      <c r="L390" s="1" t="s">
        <v>113</v>
      </c>
    </row>
    <row r="391">
      <c r="A391" s="1" t="s">
        <v>1647</v>
      </c>
      <c r="B391" s="1" t="s">
        <v>65</v>
      </c>
      <c r="C391" s="2" t="s">
        <v>38</v>
      </c>
      <c r="D391" s="2" t="s">
        <v>395</v>
      </c>
      <c r="E391" s="2" t="s">
        <v>779</v>
      </c>
      <c r="F391" s="2" t="s">
        <v>46</v>
      </c>
      <c r="G391" s="2" t="s">
        <v>265</v>
      </c>
      <c r="H391" s="2" t="s">
        <v>497</v>
      </c>
      <c r="I391" s="2" t="s">
        <v>58</v>
      </c>
      <c r="J391" s="2" t="s">
        <v>2292</v>
      </c>
      <c r="K391" s="2" t="s">
        <v>167</v>
      </c>
      <c r="L391" s="1" t="s">
        <v>62</v>
      </c>
    </row>
    <row r="392">
      <c r="A392" s="1" t="s">
        <v>1649</v>
      </c>
      <c r="B392" s="1" t="s">
        <v>44</v>
      </c>
      <c r="C392" s="2" t="s">
        <v>23</v>
      </c>
      <c r="D392" s="2" t="s">
        <v>27</v>
      </c>
      <c r="E392" s="2" t="s">
        <v>146</v>
      </c>
      <c r="F392" s="2" t="s">
        <v>149</v>
      </c>
      <c r="G392" s="2" t="s">
        <v>351</v>
      </c>
      <c r="H392" s="2" t="s">
        <v>114</v>
      </c>
      <c r="I392" s="2" t="s">
        <v>38</v>
      </c>
      <c r="J392" s="2" t="s">
        <v>2297</v>
      </c>
      <c r="K392" s="2" t="s">
        <v>167</v>
      </c>
      <c r="L392" s="1" t="s">
        <v>62</v>
      </c>
    </row>
    <row r="393">
      <c r="A393" s="1" t="s">
        <v>1652</v>
      </c>
      <c r="B393" s="1" t="s">
        <v>22</v>
      </c>
      <c r="C393" s="2" t="s">
        <v>38</v>
      </c>
      <c r="D393" s="2" t="s">
        <v>31</v>
      </c>
      <c r="E393" s="2" t="s">
        <v>1133</v>
      </c>
      <c r="F393" s="2" t="s">
        <v>53</v>
      </c>
      <c r="G393" s="2" t="s">
        <v>33</v>
      </c>
      <c r="H393" s="2" t="s">
        <v>56</v>
      </c>
      <c r="I393" s="2" t="s">
        <v>38</v>
      </c>
      <c r="J393" s="2" t="s">
        <v>2307</v>
      </c>
      <c r="K393" s="2" t="s">
        <v>95</v>
      </c>
      <c r="L393" s="1" t="s">
        <v>62</v>
      </c>
    </row>
    <row r="394">
      <c r="A394" s="1" t="s">
        <v>1652</v>
      </c>
      <c r="B394" s="1" t="s">
        <v>22</v>
      </c>
      <c r="C394" s="2" t="s">
        <v>38</v>
      </c>
      <c r="D394" s="2" t="s">
        <v>31</v>
      </c>
      <c r="E394" s="2" t="s">
        <v>1133</v>
      </c>
      <c r="F394" s="2" t="s">
        <v>53</v>
      </c>
      <c r="G394" s="2" t="s">
        <v>33</v>
      </c>
      <c r="H394" s="2" t="s">
        <v>56</v>
      </c>
      <c r="I394" s="2" t="s">
        <v>38</v>
      </c>
      <c r="J394" s="2" t="s">
        <v>2307</v>
      </c>
      <c r="K394" s="2" t="s">
        <v>95</v>
      </c>
      <c r="L394" s="1" t="s">
        <v>62</v>
      </c>
    </row>
    <row r="395">
      <c r="A395" s="1" t="s">
        <v>1655</v>
      </c>
      <c r="B395" s="1" t="s">
        <v>65</v>
      </c>
      <c r="C395" s="2" t="s">
        <v>77</v>
      </c>
      <c r="D395" s="2" t="s">
        <v>38</v>
      </c>
      <c r="E395" s="2" t="s">
        <v>522</v>
      </c>
      <c r="F395" s="2" t="s">
        <v>265</v>
      </c>
      <c r="G395" s="2" t="s">
        <v>104</v>
      </c>
      <c r="H395" s="2" t="s">
        <v>116</v>
      </c>
      <c r="I395" s="2" t="s">
        <v>46</v>
      </c>
      <c r="J395" s="2" t="s">
        <v>2317</v>
      </c>
      <c r="K395" s="2" t="s">
        <v>23</v>
      </c>
      <c r="L395" s="1" t="s">
        <v>62</v>
      </c>
    </row>
    <row r="396">
      <c r="A396" s="1" t="s">
        <v>1655</v>
      </c>
      <c r="B396" s="1" t="s">
        <v>65</v>
      </c>
      <c r="C396" s="2" t="s">
        <v>77</v>
      </c>
      <c r="D396" s="2" t="s">
        <v>38</v>
      </c>
      <c r="E396" s="2" t="s">
        <v>522</v>
      </c>
      <c r="F396" s="2" t="s">
        <v>265</v>
      </c>
      <c r="G396" s="2" t="s">
        <v>104</v>
      </c>
      <c r="H396" s="2" t="s">
        <v>116</v>
      </c>
      <c r="I396" s="2" t="s">
        <v>46</v>
      </c>
      <c r="J396" s="2" t="s">
        <v>2317</v>
      </c>
      <c r="K396" s="2" t="s">
        <v>23</v>
      </c>
      <c r="L396" s="1" t="s">
        <v>62</v>
      </c>
    </row>
    <row r="397">
      <c r="A397" s="1" t="s">
        <v>1659</v>
      </c>
      <c r="B397" s="1" t="s">
        <v>44</v>
      </c>
      <c r="C397" s="2" t="s">
        <v>117</v>
      </c>
      <c r="D397" s="2" t="s">
        <v>95</v>
      </c>
      <c r="E397" s="2" t="s">
        <v>809</v>
      </c>
      <c r="F397" s="2" t="s">
        <v>461</v>
      </c>
      <c r="G397" s="2" t="s">
        <v>48</v>
      </c>
      <c r="H397" s="2" t="s">
        <v>310</v>
      </c>
      <c r="I397" s="2" t="s">
        <v>58</v>
      </c>
      <c r="J397" s="2" t="s">
        <v>1325</v>
      </c>
      <c r="K397" s="2" t="s">
        <v>95</v>
      </c>
      <c r="L397" s="1" t="s">
        <v>62</v>
      </c>
    </row>
    <row r="398">
      <c r="A398" s="1" t="s">
        <v>1661</v>
      </c>
      <c r="B398" s="1" t="s">
        <v>44</v>
      </c>
      <c r="C398" s="2" t="s">
        <v>46</v>
      </c>
      <c r="D398" s="2" t="s">
        <v>149</v>
      </c>
      <c r="E398" s="2" t="s">
        <v>2252</v>
      </c>
      <c r="F398" s="2" t="s">
        <v>1026</v>
      </c>
      <c r="G398" s="2" t="s">
        <v>68</v>
      </c>
      <c r="H398" s="2" t="s">
        <v>218</v>
      </c>
      <c r="I398" s="2" t="s">
        <v>38</v>
      </c>
      <c r="K398" s="2" t="s">
        <v>157</v>
      </c>
      <c r="L398" s="1" t="s">
        <v>62</v>
      </c>
    </row>
    <row r="399">
      <c r="A399" s="1" t="s">
        <v>1664</v>
      </c>
      <c r="B399" s="1" t="s">
        <v>84</v>
      </c>
      <c r="C399" s="2" t="s">
        <v>95</v>
      </c>
      <c r="D399" s="2" t="s">
        <v>300</v>
      </c>
      <c r="E399" s="2" t="s">
        <v>846</v>
      </c>
      <c r="F399" s="2" t="s">
        <v>46</v>
      </c>
      <c r="G399" s="2" t="s">
        <v>71</v>
      </c>
      <c r="H399" s="2" t="s">
        <v>151</v>
      </c>
      <c r="I399" s="2" t="s">
        <v>117</v>
      </c>
      <c r="J399" s="2" t="s">
        <v>2333</v>
      </c>
      <c r="K399" s="2" t="s">
        <v>157</v>
      </c>
      <c r="L399" s="1" t="s">
        <v>62</v>
      </c>
    </row>
    <row r="400">
      <c r="A400" s="1" t="s">
        <v>1668</v>
      </c>
      <c r="B400" s="1" t="s">
        <v>65</v>
      </c>
      <c r="C400" s="2" t="s">
        <v>157</v>
      </c>
      <c r="D400" s="2" t="s">
        <v>228</v>
      </c>
      <c r="E400" s="2" t="s">
        <v>560</v>
      </c>
      <c r="F400" s="2" t="s">
        <v>154</v>
      </c>
      <c r="G400" s="2" t="s">
        <v>395</v>
      </c>
      <c r="H400" s="2" t="s">
        <v>1091</v>
      </c>
      <c r="I400" s="2" t="s">
        <v>58</v>
      </c>
      <c r="J400" s="2" t="s">
        <v>2338</v>
      </c>
      <c r="K400" s="2" t="s">
        <v>117</v>
      </c>
      <c r="L400" s="1" t="s">
        <v>113</v>
      </c>
    </row>
    <row r="401">
      <c r="A401" s="1" t="s">
        <v>1670</v>
      </c>
      <c r="B401" s="1" t="s">
        <v>65</v>
      </c>
      <c r="C401" s="2" t="s">
        <v>154</v>
      </c>
      <c r="D401" s="2" t="s">
        <v>135</v>
      </c>
      <c r="E401" s="2" t="s">
        <v>1044</v>
      </c>
      <c r="F401" s="2" t="s">
        <v>186</v>
      </c>
      <c r="G401" s="2" t="s">
        <v>265</v>
      </c>
      <c r="H401" s="2" t="s">
        <v>1091</v>
      </c>
      <c r="I401" s="2" t="s">
        <v>38</v>
      </c>
      <c r="J401" s="2" t="s">
        <v>2343</v>
      </c>
      <c r="K401" s="2" t="s">
        <v>167</v>
      </c>
      <c r="L401" s="1" t="s">
        <v>62</v>
      </c>
    </row>
    <row r="402">
      <c r="A402" s="1" t="s">
        <v>1673</v>
      </c>
      <c r="B402" s="1" t="s">
        <v>22</v>
      </c>
      <c r="C402" s="2" t="s">
        <v>46</v>
      </c>
      <c r="D402" s="2" t="s">
        <v>213</v>
      </c>
      <c r="E402" s="2" t="s">
        <v>618</v>
      </c>
      <c r="F402" s="2" t="s">
        <v>1137</v>
      </c>
      <c r="G402" s="2" t="s">
        <v>213</v>
      </c>
      <c r="H402" s="2" t="s">
        <v>108</v>
      </c>
      <c r="I402" s="2" t="s">
        <v>117</v>
      </c>
      <c r="J402" s="2" t="s">
        <v>2347</v>
      </c>
      <c r="K402" s="2" t="s">
        <v>23</v>
      </c>
    </row>
    <row r="403">
      <c r="A403" s="1" t="s">
        <v>1675</v>
      </c>
      <c r="B403" s="1" t="s">
        <v>44</v>
      </c>
      <c r="C403" s="2" t="s">
        <v>77</v>
      </c>
      <c r="D403" s="2" t="s">
        <v>46</v>
      </c>
      <c r="E403" s="2" t="s">
        <v>463</v>
      </c>
      <c r="F403" s="2" t="s">
        <v>287</v>
      </c>
      <c r="G403" s="2" t="s">
        <v>351</v>
      </c>
      <c r="H403" s="2" t="s">
        <v>108</v>
      </c>
      <c r="I403" s="2" t="s">
        <v>117</v>
      </c>
      <c r="J403" s="2" t="s">
        <v>2354</v>
      </c>
      <c r="K403" s="2" t="s">
        <v>117</v>
      </c>
      <c r="L403" s="1" t="s">
        <v>113</v>
      </c>
    </row>
    <row r="404">
      <c r="A404" s="1" t="s">
        <v>1679</v>
      </c>
      <c r="B404" s="1" t="s">
        <v>84</v>
      </c>
      <c r="C404" s="2" t="s">
        <v>46</v>
      </c>
      <c r="D404" s="2" t="s">
        <v>245</v>
      </c>
      <c r="E404" s="2" t="s">
        <v>1737</v>
      </c>
      <c r="F404" s="2" t="s">
        <v>48</v>
      </c>
      <c r="G404" s="2" t="s">
        <v>71</v>
      </c>
      <c r="H404" s="2" t="s">
        <v>250</v>
      </c>
      <c r="I404" s="2" t="s">
        <v>138</v>
      </c>
      <c r="J404" s="2" t="s">
        <v>2359</v>
      </c>
      <c r="K404" s="2" t="s">
        <v>38</v>
      </c>
      <c r="L404" s="1" t="s">
        <v>113</v>
      </c>
    </row>
    <row r="405">
      <c r="A405" s="1" t="s">
        <v>1682</v>
      </c>
      <c r="B405" s="1" t="s">
        <v>65</v>
      </c>
      <c r="C405" s="2" t="s">
        <v>95</v>
      </c>
      <c r="D405" s="2" t="s">
        <v>73</v>
      </c>
      <c r="E405" s="2" t="s">
        <v>1128</v>
      </c>
      <c r="F405" s="2" t="s">
        <v>162</v>
      </c>
      <c r="G405" s="2" t="s">
        <v>339</v>
      </c>
      <c r="H405" s="2" t="s">
        <v>75</v>
      </c>
      <c r="I405" s="2" t="s">
        <v>58</v>
      </c>
      <c r="J405" s="2" t="s">
        <v>2364</v>
      </c>
      <c r="K405" s="2" t="s">
        <v>38</v>
      </c>
      <c r="L405" s="1" t="s">
        <v>113</v>
      </c>
    </row>
    <row r="406">
      <c r="A406" s="1" t="s">
        <v>1685</v>
      </c>
      <c r="B406" s="1" t="s">
        <v>22</v>
      </c>
      <c r="C406" s="2" t="s">
        <v>38</v>
      </c>
      <c r="D406" s="2" t="s">
        <v>106</v>
      </c>
      <c r="E406" s="2" t="s">
        <v>575</v>
      </c>
      <c r="F406" s="2" t="s">
        <v>686</v>
      </c>
      <c r="G406" s="2" t="s">
        <v>48</v>
      </c>
      <c r="I406" s="2" t="s">
        <v>138</v>
      </c>
      <c r="J406" s="2" t="s">
        <v>206</v>
      </c>
      <c r="K406" s="2" t="s">
        <v>23</v>
      </c>
      <c r="L406" s="1" t="s">
        <v>62</v>
      </c>
    </row>
    <row r="407">
      <c r="A407" s="1" t="s">
        <v>1688</v>
      </c>
      <c r="B407" s="1" t="s">
        <v>44</v>
      </c>
      <c r="C407" s="2" t="s">
        <v>46</v>
      </c>
      <c r="D407" s="2" t="s">
        <v>68</v>
      </c>
      <c r="E407" s="2" t="s">
        <v>457</v>
      </c>
      <c r="F407" s="2" t="s">
        <v>248</v>
      </c>
      <c r="G407" s="2" t="s">
        <v>245</v>
      </c>
      <c r="H407" s="2" t="s">
        <v>1091</v>
      </c>
      <c r="I407" s="2" t="s">
        <v>38</v>
      </c>
      <c r="J407" s="2" t="s">
        <v>2374</v>
      </c>
      <c r="K407" s="2" t="s">
        <v>117</v>
      </c>
      <c r="L407" s="1" t="s">
        <v>62</v>
      </c>
    </row>
    <row r="408">
      <c r="A408" s="1" t="s">
        <v>1691</v>
      </c>
      <c r="B408" s="1" t="s">
        <v>22</v>
      </c>
      <c r="C408" s="2" t="s">
        <v>117</v>
      </c>
      <c r="D408" s="2" t="s">
        <v>224</v>
      </c>
      <c r="E408" s="2" t="s">
        <v>412</v>
      </c>
      <c r="F408" s="2" t="s">
        <v>808</v>
      </c>
      <c r="G408" s="2" t="s">
        <v>106</v>
      </c>
      <c r="H408" s="2" t="s">
        <v>114</v>
      </c>
      <c r="I408" s="2" t="s">
        <v>58</v>
      </c>
      <c r="J408" s="2" t="s">
        <v>1403</v>
      </c>
      <c r="K408" s="2" t="s">
        <v>23</v>
      </c>
      <c r="L408" s="1" t="s">
        <v>62</v>
      </c>
    </row>
    <row r="409">
      <c r="A409" s="1" t="s">
        <v>1694</v>
      </c>
      <c r="B409" s="1" t="s">
        <v>170</v>
      </c>
      <c r="C409" s="2" t="s">
        <v>95</v>
      </c>
      <c r="D409" s="2" t="s">
        <v>375</v>
      </c>
      <c r="E409" s="2" t="s">
        <v>917</v>
      </c>
      <c r="F409" s="2" t="s">
        <v>248</v>
      </c>
      <c r="G409" s="2" t="s">
        <v>106</v>
      </c>
      <c r="H409" s="2" t="s">
        <v>218</v>
      </c>
      <c r="I409" s="2" t="s">
        <v>46</v>
      </c>
      <c r="J409" s="2" t="s">
        <v>690</v>
      </c>
      <c r="K409" s="2" t="s">
        <v>46</v>
      </c>
      <c r="L409" s="1" t="s">
        <v>62</v>
      </c>
    </row>
    <row r="410">
      <c r="A410" s="1" t="s">
        <v>1697</v>
      </c>
      <c r="B410" s="1" t="s">
        <v>44</v>
      </c>
      <c r="C410" s="2" t="s">
        <v>167</v>
      </c>
      <c r="D410" s="2" t="s">
        <v>228</v>
      </c>
      <c r="E410" s="2" t="s">
        <v>2240</v>
      </c>
      <c r="F410" s="2" t="s">
        <v>461</v>
      </c>
      <c r="G410" s="2" t="s">
        <v>395</v>
      </c>
      <c r="I410" s="2" t="s">
        <v>117</v>
      </c>
      <c r="J410" s="2" t="s">
        <v>2386</v>
      </c>
      <c r="K410" s="2" t="s">
        <v>117</v>
      </c>
      <c r="L410" s="1" t="s">
        <v>113</v>
      </c>
    </row>
    <row r="411">
      <c r="A411" s="1" t="s">
        <v>1699</v>
      </c>
      <c r="B411" s="1" t="s">
        <v>170</v>
      </c>
      <c r="C411" s="2" t="s">
        <v>157</v>
      </c>
      <c r="D411" s="2" t="s">
        <v>375</v>
      </c>
      <c r="E411" s="2" t="s">
        <v>868</v>
      </c>
      <c r="F411" s="2" t="s">
        <v>375</v>
      </c>
      <c r="G411" s="2" t="s">
        <v>115</v>
      </c>
      <c r="H411" s="2" t="s">
        <v>575</v>
      </c>
      <c r="I411" s="2" t="s">
        <v>38</v>
      </c>
      <c r="J411" s="1" t="s">
        <v>2390</v>
      </c>
      <c r="K411" s="2" t="s">
        <v>38</v>
      </c>
      <c r="L411" s="1" t="s">
        <v>113</v>
      </c>
    </row>
    <row r="412">
      <c r="A412" s="1" t="s">
        <v>1703</v>
      </c>
      <c r="B412" s="1" t="s">
        <v>22</v>
      </c>
      <c r="C412" s="2" t="s">
        <v>117</v>
      </c>
      <c r="D412" s="2" t="s">
        <v>46</v>
      </c>
      <c r="E412" s="2" t="s">
        <v>505</v>
      </c>
      <c r="F412" s="2" t="s">
        <v>287</v>
      </c>
      <c r="G412" s="2" t="s">
        <v>186</v>
      </c>
      <c r="H412" s="2" t="s">
        <v>310</v>
      </c>
      <c r="I412" s="2" t="s">
        <v>38</v>
      </c>
      <c r="J412" s="2" t="s">
        <v>2394</v>
      </c>
      <c r="K412" s="2" t="s">
        <v>23</v>
      </c>
      <c r="L412" s="1" t="s">
        <v>113</v>
      </c>
    </row>
    <row r="413">
      <c r="A413" s="1" t="s">
        <v>1706</v>
      </c>
      <c r="B413" s="1" t="s">
        <v>44</v>
      </c>
      <c r="C413" s="2" t="s">
        <v>95</v>
      </c>
      <c r="D413" s="2" t="s">
        <v>290</v>
      </c>
      <c r="E413" s="2" t="s">
        <v>1346</v>
      </c>
      <c r="F413" s="2" t="s">
        <v>154</v>
      </c>
      <c r="G413" s="2" t="s">
        <v>201</v>
      </c>
      <c r="H413" s="2" t="s">
        <v>218</v>
      </c>
      <c r="I413" s="2" t="s">
        <v>38</v>
      </c>
      <c r="J413" s="2" t="s">
        <v>2398</v>
      </c>
      <c r="K413" s="2" t="s">
        <v>157</v>
      </c>
      <c r="L413" s="1" t="s">
        <v>62</v>
      </c>
    </row>
    <row r="414">
      <c r="A414" s="1" t="s">
        <v>1709</v>
      </c>
      <c r="B414" s="1" t="s">
        <v>44</v>
      </c>
      <c r="C414" s="2" t="s">
        <v>154</v>
      </c>
      <c r="D414" s="2" t="s">
        <v>351</v>
      </c>
      <c r="E414" s="2" t="s">
        <v>446</v>
      </c>
      <c r="F414" s="2" t="s">
        <v>338</v>
      </c>
      <c r="G414" s="2" t="s">
        <v>71</v>
      </c>
      <c r="H414" s="2" t="s">
        <v>463</v>
      </c>
      <c r="I414" s="2" t="s">
        <v>77</v>
      </c>
      <c r="K414" s="2" t="s">
        <v>38</v>
      </c>
    </row>
    <row r="415">
      <c r="A415" s="1" t="s">
        <v>1712</v>
      </c>
      <c r="B415" s="1" t="s">
        <v>84</v>
      </c>
      <c r="C415" s="2" t="s">
        <v>38</v>
      </c>
      <c r="D415" s="2" t="s">
        <v>245</v>
      </c>
      <c r="E415" s="2" t="s">
        <v>1346</v>
      </c>
      <c r="F415" s="2" t="s">
        <v>149</v>
      </c>
      <c r="G415" s="2" t="s">
        <v>115</v>
      </c>
      <c r="H415" s="2" t="s">
        <v>463</v>
      </c>
      <c r="I415" s="2" t="s">
        <v>46</v>
      </c>
      <c r="J415" s="2" t="s">
        <v>2407</v>
      </c>
      <c r="K415" s="2" t="s">
        <v>46</v>
      </c>
      <c r="L415" s="1" t="s">
        <v>62</v>
      </c>
    </row>
    <row r="416">
      <c r="A416" s="1" t="s">
        <v>1715</v>
      </c>
      <c r="B416" s="1" t="s">
        <v>65</v>
      </c>
      <c r="C416" s="2" t="s">
        <v>167</v>
      </c>
      <c r="D416" s="2" t="s">
        <v>54</v>
      </c>
      <c r="E416" s="2" t="s">
        <v>1375</v>
      </c>
      <c r="F416" s="2" t="s">
        <v>95</v>
      </c>
      <c r="G416" s="2" t="s">
        <v>300</v>
      </c>
      <c r="H416" s="2" t="s">
        <v>497</v>
      </c>
      <c r="I416" s="2" t="s">
        <v>138</v>
      </c>
      <c r="J416" s="2" t="s">
        <v>1370</v>
      </c>
      <c r="K416" s="2" t="s">
        <v>154</v>
      </c>
      <c r="L416" s="1" t="s">
        <v>62</v>
      </c>
    </row>
    <row r="417">
      <c r="A417" s="1" t="s">
        <v>1718</v>
      </c>
      <c r="B417" s="1" t="s">
        <v>84</v>
      </c>
      <c r="C417" s="2" t="s">
        <v>157</v>
      </c>
      <c r="D417" s="2" t="s">
        <v>339</v>
      </c>
      <c r="E417" s="2" t="s">
        <v>694</v>
      </c>
      <c r="F417" s="2" t="s">
        <v>106</v>
      </c>
      <c r="G417" s="2" t="s">
        <v>338</v>
      </c>
      <c r="H417" s="2" t="s">
        <v>178</v>
      </c>
      <c r="I417" s="2" t="s">
        <v>38</v>
      </c>
      <c r="J417" s="2" t="s">
        <v>2415</v>
      </c>
      <c r="K417" s="2" t="s">
        <v>58</v>
      </c>
      <c r="L417" s="1" t="s">
        <v>113</v>
      </c>
    </row>
    <row r="418">
      <c r="A418" s="1" t="s">
        <v>1721</v>
      </c>
      <c r="B418" s="1" t="s">
        <v>22</v>
      </c>
      <c r="C418" s="2" t="s">
        <v>95</v>
      </c>
      <c r="D418" s="2" t="s">
        <v>199</v>
      </c>
      <c r="E418" s="2" t="s">
        <v>951</v>
      </c>
      <c r="F418" s="2" t="s">
        <v>31</v>
      </c>
      <c r="G418" s="2" t="s">
        <v>48</v>
      </c>
      <c r="H418" s="2" t="s">
        <v>218</v>
      </c>
      <c r="I418" s="2" t="s">
        <v>138</v>
      </c>
      <c r="J418" s="2" t="s">
        <v>2420</v>
      </c>
      <c r="K418" s="2" t="s">
        <v>46</v>
      </c>
      <c r="L418" s="1" t="s">
        <v>113</v>
      </c>
    </row>
    <row r="419">
      <c r="A419" s="1" t="s">
        <v>1723</v>
      </c>
      <c r="B419" s="1" t="s">
        <v>22</v>
      </c>
      <c r="C419" s="2" t="s">
        <v>290</v>
      </c>
      <c r="D419" s="2" t="s">
        <v>1280</v>
      </c>
      <c r="E419" s="2" t="s">
        <v>951</v>
      </c>
      <c r="F419" s="2" t="s">
        <v>71</v>
      </c>
      <c r="G419" s="2" t="s">
        <v>162</v>
      </c>
      <c r="H419" s="2" t="s">
        <v>270</v>
      </c>
      <c r="I419" s="2" t="s">
        <v>77</v>
      </c>
      <c r="J419" s="2" t="s">
        <v>2425</v>
      </c>
      <c r="K419" s="2" t="s">
        <v>117</v>
      </c>
      <c r="L419" s="1" t="s">
        <v>113</v>
      </c>
    </row>
    <row r="420">
      <c r="A420" s="1" t="s">
        <v>1726</v>
      </c>
      <c r="B420" s="1" t="s">
        <v>65</v>
      </c>
      <c r="C420" s="2" t="s">
        <v>23</v>
      </c>
      <c r="D420" s="2" t="s">
        <v>86</v>
      </c>
      <c r="E420" s="2" t="s">
        <v>405</v>
      </c>
      <c r="F420" s="2" t="s">
        <v>106</v>
      </c>
      <c r="G420" s="2" t="s">
        <v>365</v>
      </c>
      <c r="H420" s="2" t="s">
        <v>163</v>
      </c>
      <c r="I420" s="2" t="s">
        <v>46</v>
      </c>
      <c r="J420" s="2" t="s">
        <v>1319</v>
      </c>
      <c r="K420" s="2" t="s">
        <v>167</v>
      </c>
      <c r="L420" s="1" t="s">
        <v>62</v>
      </c>
    </row>
    <row r="421">
      <c r="A421" s="1" t="s">
        <v>1730</v>
      </c>
      <c r="B421" s="1" t="s">
        <v>65</v>
      </c>
      <c r="C421" s="2" t="s">
        <v>23</v>
      </c>
      <c r="D421" s="2" t="s">
        <v>33</v>
      </c>
      <c r="E421" s="2" t="s">
        <v>174</v>
      </c>
      <c r="F421" s="2" t="s">
        <v>1137</v>
      </c>
      <c r="G421" s="2" t="s">
        <v>162</v>
      </c>
      <c r="H421" s="2" t="s">
        <v>412</v>
      </c>
      <c r="I421" s="2" t="s">
        <v>46</v>
      </c>
      <c r="J421" s="2" t="s">
        <v>2436</v>
      </c>
      <c r="K421" s="2" t="s">
        <v>46</v>
      </c>
      <c r="L421" s="1" t="s">
        <v>113</v>
      </c>
    </row>
    <row r="422">
      <c r="A422" s="1" t="s">
        <v>1732</v>
      </c>
      <c r="B422" s="1" t="s">
        <v>65</v>
      </c>
      <c r="C422" s="2" t="s">
        <v>23</v>
      </c>
      <c r="D422" s="2" t="s">
        <v>48</v>
      </c>
      <c r="E422" s="2" t="s">
        <v>2439</v>
      </c>
      <c r="F422" s="2" t="s">
        <v>53</v>
      </c>
      <c r="G422" s="2" t="s">
        <v>68</v>
      </c>
      <c r="H422" s="2" t="s">
        <v>178</v>
      </c>
      <c r="I422" s="2" t="s">
        <v>117</v>
      </c>
      <c r="J422" s="2" t="s">
        <v>2234</v>
      </c>
      <c r="K422" s="2" t="s">
        <v>117</v>
      </c>
      <c r="L422" s="1" t="s">
        <v>113</v>
      </c>
    </row>
    <row r="423">
      <c r="A423" s="1" t="s">
        <v>1735</v>
      </c>
      <c r="B423" s="1" t="s">
        <v>65</v>
      </c>
      <c r="C423" s="2" t="s">
        <v>23</v>
      </c>
      <c r="D423" s="2" t="s">
        <v>201</v>
      </c>
      <c r="E423" s="2" t="s">
        <v>1156</v>
      </c>
      <c r="F423" s="2" t="s">
        <v>73</v>
      </c>
      <c r="G423" s="2" t="s">
        <v>135</v>
      </c>
      <c r="H423" s="2" t="s">
        <v>151</v>
      </c>
      <c r="I423" s="2" t="s">
        <v>77</v>
      </c>
      <c r="J423" s="2" t="s">
        <v>2447</v>
      </c>
      <c r="K423" s="2" t="s">
        <v>157</v>
      </c>
      <c r="L423" s="1" t="s">
        <v>62</v>
      </c>
    </row>
    <row r="424">
      <c r="A424" s="1" t="s">
        <v>1738</v>
      </c>
      <c r="B424" s="1" t="s">
        <v>170</v>
      </c>
      <c r="C424" s="2" t="s">
        <v>46</v>
      </c>
      <c r="D424" s="2" t="s">
        <v>224</v>
      </c>
      <c r="E424" s="2" t="s">
        <v>855</v>
      </c>
      <c r="F424" s="2" t="s">
        <v>1049</v>
      </c>
      <c r="G424" s="2" t="s">
        <v>265</v>
      </c>
      <c r="H424" s="2" t="s">
        <v>36</v>
      </c>
      <c r="I424" s="2" t="s">
        <v>77</v>
      </c>
      <c r="J424" s="2" t="s">
        <v>2450</v>
      </c>
      <c r="K424" s="2" t="s">
        <v>154</v>
      </c>
      <c r="L424" s="1" t="s">
        <v>62</v>
      </c>
    </row>
    <row r="425">
      <c r="A425" s="1" t="s">
        <v>1741</v>
      </c>
      <c r="B425" s="1" t="s">
        <v>84</v>
      </c>
      <c r="C425" s="2" t="s">
        <v>290</v>
      </c>
      <c r="D425" s="2" t="s">
        <v>339</v>
      </c>
      <c r="E425" s="2" t="s">
        <v>424</v>
      </c>
      <c r="F425" s="2" t="s">
        <v>351</v>
      </c>
      <c r="G425" s="2" t="s">
        <v>86</v>
      </c>
      <c r="H425" s="2" t="s">
        <v>178</v>
      </c>
      <c r="I425" s="2" t="s">
        <v>46</v>
      </c>
      <c r="J425" s="2" t="s">
        <v>2456</v>
      </c>
      <c r="K425" s="2" t="s">
        <v>157</v>
      </c>
      <c r="L425" s="1" t="s">
        <v>62</v>
      </c>
    </row>
    <row r="426">
      <c r="A426" s="1" t="s">
        <v>1743</v>
      </c>
      <c r="B426" s="1" t="s">
        <v>170</v>
      </c>
      <c r="C426" s="2" t="s">
        <v>38</v>
      </c>
      <c r="D426" s="2" t="s">
        <v>224</v>
      </c>
      <c r="E426" s="2" t="s">
        <v>198</v>
      </c>
      <c r="F426" s="2" t="s">
        <v>1137</v>
      </c>
      <c r="G426" s="2" t="s">
        <v>135</v>
      </c>
      <c r="H426" s="2" t="s">
        <v>497</v>
      </c>
      <c r="I426" s="2" t="s">
        <v>46</v>
      </c>
      <c r="J426" s="2" t="s">
        <v>715</v>
      </c>
      <c r="K426" s="2" t="s">
        <v>23</v>
      </c>
      <c r="L426" s="1" t="s">
        <v>62</v>
      </c>
    </row>
    <row r="427">
      <c r="A427" s="1" t="s">
        <v>1746</v>
      </c>
      <c r="B427" s="1" t="s">
        <v>84</v>
      </c>
      <c r="C427" s="2" t="s">
        <v>117</v>
      </c>
      <c r="D427" s="2" t="s">
        <v>154</v>
      </c>
      <c r="E427" s="2" t="s">
        <v>2464</v>
      </c>
      <c r="F427" s="2" t="s">
        <v>387</v>
      </c>
      <c r="G427" s="2" t="s">
        <v>201</v>
      </c>
      <c r="H427" s="2" t="s">
        <v>463</v>
      </c>
      <c r="I427" s="2" t="s">
        <v>138</v>
      </c>
      <c r="J427" s="2" t="s">
        <v>2466</v>
      </c>
      <c r="K427" s="2" t="s">
        <v>38</v>
      </c>
      <c r="L427" s="1" t="s">
        <v>113</v>
      </c>
    </row>
    <row r="428">
      <c r="A428" s="1" t="s">
        <v>1750</v>
      </c>
      <c r="B428" s="1" t="s">
        <v>84</v>
      </c>
      <c r="C428" s="2" t="s">
        <v>95</v>
      </c>
      <c r="D428" s="2" t="s">
        <v>365</v>
      </c>
      <c r="E428" s="2" t="s">
        <v>1109</v>
      </c>
      <c r="F428" s="2" t="s">
        <v>461</v>
      </c>
      <c r="G428" s="2" t="s">
        <v>73</v>
      </c>
      <c r="H428" s="2" t="s">
        <v>412</v>
      </c>
      <c r="I428" s="2" t="s">
        <v>117</v>
      </c>
      <c r="J428" s="2" t="s">
        <v>2472</v>
      </c>
      <c r="K428" s="2" t="s">
        <v>157</v>
      </c>
      <c r="L428" s="1" t="s">
        <v>62</v>
      </c>
    </row>
    <row r="429">
      <c r="A429" s="1" t="s">
        <v>1752</v>
      </c>
      <c r="B429" s="1" t="s">
        <v>44</v>
      </c>
      <c r="C429" s="2" t="s">
        <v>46</v>
      </c>
      <c r="D429" s="2" t="s">
        <v>154</v>
      </c>
      <c r="E429" s="2" t="s">
        <v>1133</v>
      </c>
      <c r="F429" s="2" t="s">
        <v>86</v>
      </c>
      <c r="G429" s="2" t="s">
        <v>68</v>
      </c>
      <c r="H429" s="2" t="s">
        <v>497</v>
      </c>
      <c r="I429" s="2" t="s">
        <v>117</v>
      </c>
      <c r="J429" s="2" t="s">
        <v>2478</v>
      </c>
      <c r="K429" s="2" t="s">
        <v>23</v>
      </c>
      <c r="L429" s="1" t="s">
        <v>62</v>
      </c>
    </row>
    <row r="430">
      <c r="A430" s="1" t="s">
        <v>1755</v>
      </c>
      <c r="B430" s="1" t="s">
        <v>22</v>
      </c>
      <c r="C430" s="2" t="s">
        <v>46</v>
      </c>
      <c r="D430" s="2" t="s">
        <v>68</v>
      </c>
      <c r="E430" s="2" t="s">
        <v>2439</v>
      </c>
      <c r="F430" s="2" t="s">
        <v>686</v>
      </c>
      <c r="G430" s="2" t="s">
        <v>339</v>
      </c>
      <c r="H430" s="2" t="s">
        <v>114</v>
      </c>
      <c r="I430" s="2" t="s">
        <v>46</v>
      </c>
      <c r="J430" s="2" t="s">
        <v>2484</v>
      </c>
      <c r="K430" s="2" t="s">
        <v>77</v>
      </c>
      <c r="L430" s="1" t="s">
        <v>113</v>
      </c>
    </row>
    <row r="431">
      <c r="A431" s="1" t="s">
        <v>1757</v>
      </c>
      <c r="B431" s="1" t="s">
        <v>22</v>
      </c>
      <c r="C431" s="2" t="s">
        <v>167</v>
      </c>
      <c r="D431" s="2" t="s">
        <v>135</v>
      </c>
      <c r="E431" s="2" t="s">
        <v>2252</v>
      </c>
      <c r="F431" s="2" t="s">
        <v>175</v>
      </c>
      <c r="G431" s="2" t="s">
        <v>339</v>
      </c>
      <c r="H431" s="2" t="s">
        <v>463</v>
      </c>
      <c r="I431" s="2" t="s">
        <v>46</v>
      </c>
      <c r="J431" s="2" t="s">
        <v>2487</v>
      </c>
      <c r="K431" s="2" t="s">
        <v>58</v>
      </c>
      <c r="L431" s="1" t="s">
        <v>113</v>
      </c>
    </row>
    <row r="432">
      <c r="A432" s="1" t="s">
        <v>1759</v>
      </c>
      <c r="B432" s="1" t="s">
        <v>22</v>
      </c>
      <c r="C432" s="2" t="s">
        <v>23</v>
      </c>
      <c r="D432" s="2" t="s">
        <v>33</v>
      </c>
      <c r="E432" s="2" t="s">
        <v>611</v>
      </c>
      <c r="F432" s="2" t="s">
        <v>1137</v>
      </c>
      <c r="G432" s="2" t="s">
        <v>339</v>
      </c>
      <c r="H432" s="2" t="s">
        <v>1091</v>
      </c>
      <c r="I432" s="2" t="s">
        <v>77</v>
      </c>
      <c r="J432" s="2" t="s">
        <v>2493</v>
      </c>
      <c r="K432" s="2" t="s">
        <v>157</v>
      </c>
      <c r="L432" s="1" t="s">
        <v>62</v>
      </c>
    </row>
    <row r="433">
      <c r="A433" s="1" t="s">
        <v>1761</v>
      </c>
      <c r="B433" s="1" t="s">
        <v>65</v>
      </c>
      <c r="C433" s="2" t="s">
        <v>46</v>
      </c>
      <c r="D433" s="2" t="s">
        <v>213</v>
      </c>
      <c r="E433" s="2" t="s">
        <v>337</v>
      </c>
      <c r="F433" s="2" t="s">
        <v>491</v>
      </c>
      <c r="G433" s="2" t="s">
        <v>365</v>
      </c>
      <c r="H433" s="2" t="s">
        <v>75</v>
      </c>
      <c r="I433" s="2" t="s">
        <v>38</v>
      </c>
      <c r="J433" s="2" t="s">
        <v>2498</v>
      </c>
      <c r="K433" s="2" t="s">
        <v>95</v>
      </c>
      <c r="L433" s="1" t="s">
        <v>62</v>
      </c>
    </row>
    <row r="434">
      <c r="A434" s="1" t="s">
        <v>1765</v>
      </c>
      <c r="B434" s="1" t="s">
        <v>84</v>
      </c>
      <c r="C434" s="2" t="s">
        <v>157</v>
      </c>
      <c r="D434" s="2" t="s">
        <v>395</v>
      </c>
      <c r="E434" s="2" t="s">
        <v>1133</v>
      </c>
      <c r="F434" s="2" t="s">
        <v>448</v>
      </c>
      <c r="G434" s="2" t="s">
        <v>27</v>
      </c>
      <c r="H434" s="2" t="s">
        <v>270</v>
      </c>
      <c r="I434" s="2" t="s">
        <v>77</v>
      </c>
      <c r="K434" s="2" t="s">
        <v>77</v>
      </c>
      <c r="L434" s="1" t="s">
        <v>113</v>
      </c>
    </row>
    <row r="435">
      <c r="A435" s="1" t="s">
        <v>1767</v>
      </c>
      <c r="B435" s="1" t="s">
        <v>22</v>
      </c>
      <c r="C435" s="2" t="s">
        <v>46</v>
      </c>
      <c r="D435" s="2" t="s">
        <v>149</v>
      </c>
      <c r="E435" s="2" t="s">
        <v>839</v>
      </c>
      <c r="F435" s="2" t="s">
        <v>461</v>
      </c>
      <c r="G435" s="2" t="s">
        <v>290</v>
      </c>
      <c r="I435" s="2" t="s">
        <v>117</v>
      </c>
      <c r="J435" s="2" t="s">
        <v>2504</v>
      </c>
      <c r="K435" s="2" t="s">
        <v>117</v>
      </c>
      <c r="L435" s="1" t="s">
        <v>113</v>
      </c>
    </row>
    <row r="436">
      <c r="A436" s="1" t="s">
        <v>1770</v>
      </c>
      <c r="B436" s="1" t="s">
        <v>170</v>
      </c>
      <c r="C436" s="2" t="s">
        <v>117</v>
      </c>
      <c r="D436" s="2" t="s">
        <v>154</v>
      </c>
      <c r="E436" s="2" t="s">
        <v>102</v>
      </c>
      <c r="F436" s="2" t="s">
        <v>46</v>
      </c>
      <c r="G436" s="2" t="s">
        <v>154</v>
      </c>
      <c r="H436" s="2" t="s">
        <v>178</v>
      </c>
      <c r="I436" s="2" t="s">
        <v>77</v>
      </c>
      <c r="J436" s="2" t="s">
        <v>2509</v>
      </c>
      <c r="K436" s="2" t="s">
        <v>157</v>
      </c>
      <c r="L436" s="1" t="s">
        <v>62</v>
      </c>
    </row>
    <row r="437">
      <c r="A437" s="1" t="s">
        <v>1772</v>
      </c>
      <c r="B437" s="1" t="s">
        <v>65</v>
      </c>
      <c r="C437" s="2" t="s">
        <v>117</v>
      </c>
      <c r="D437" s="2" t="s">
        <v>95</v>
      </c>
      <c r="E437" s="2" t="s">
        <v>2231</v>
      </c>
      <c r="F437" s="2" t="s">
        <v>71</v>
      </c>
      <c r="G437" s="2" t="s">
        <v>86</v>
      </c>
      <c r="H437" s="2" t="s">
        <v>108</v>
      </c>
      <c r="I437" s="2" t="s">
        <v>138</v>
      </c>
      <c r="J437" s="2" t="s">
        <v>2514</v>
      </c>
      <c r="K437" s="2" t="s">
        <v>95</v>
      </c>
      <c r="L437" s="1" t="s">
        <v>62</v>
      </c>
    </row>
    <row r="438">
      <c r="A438" s="1" t="s">
        <v>1774</v>
      </c>
      <c r="B438" s="1" t="s">
        <v>170</v>
      </c>
      <c r="C438" s="2" t="s">
        <v>38</v>
      </c>
      <c r="D438" s="2" t="s">
        <v>157</v>
      </c>
      <c r="E438" s="2" t="s">
        <v>1333</v>
      </c>
      <c r="F438" s="2" t="s">
        <v>338</v>
      </c>
      <c r="G438" s="2" t="s">
        <v>213</v>
      </c>
      <c r="H438" s="2" t="s">
        <v>1091</v>
      </c>
      <c r="I438" s="2" t="s">
        <v>117</v>
      </c>
      <c r="J438" s="2" t="s">
        <v>2519</v>
      </c>
      <c r="K438" s="2" t="s">
        <v>117</v>
      </c>
      <c r="L438" s="1" t="s">
        <v>113</v>
      </c>
    </row>
    <row r="439">
      <c r="A439" s="1" t="s">
        <v>1777</v>
      </c>
      <c r="B439" s="1" t="s">
        <v>65</v>
      </c>
      <c r="C439" s="2" t="s">
        <v>38</v>
      </c>
      <c r="D439" s="2" t="s">
        <v>201</v>
      </c>
      <c r="E439" s="2" t="s">
        <v>996</v>
      </c>
      <c r="F439" s="2" t="s">
        <v>686</v>
      </c>
      <c r="G439" s="2" t="s">
        <v>339</v>
      </c>
      <c r="H439" s="2" t="s">
        <v>75</v>
      </c>
      <c r="I439" s="2" t="s">
        <v>77</v>
      </c>
      <c r="J439" s="2" t="s">
        <v>2524</v>
      </c>
      <c r="K439" s="2" t="s">
        <v>157</v>
      </c>
      <c r="L439" s="1" t="s">
        <v>62</v>
      </c>
    </row>
    <row r="440">
      <c r="A440" s="1" t="s">
        <v>1780</v>
      </c>
      <c r="B440" s="1" t="s">
        <v>65</v>
      </c>
      <c r="C440" s="2" t="s">
        <v>167</v>
      </c>
      <c r="D440" s="2" t="s">
        <v>491</v>
      </c>
      <c r="E440" s="2" t="s">
        <v>163</v>
      </c>
      <c r="F440" s="2" t="s">
        <v>808</v>
      </c>
      <c r="G440" s="2" t="s">
        <v>68</v>
      </c>
      <c r="H440" s="2" t="s">
        <v>75</v>
      </c>
      <c r="I440" s="2" t="s">
        <v>117</v>
      </c>
      <c r="J440" s="2" t="s">
        <v>2529</v>
      </c>
      <c r="K440" s="2" t="s">
        <v>38</v>
      </c>
      <c r="L440" s="1" t="s">
        <v>113</v>
      </c>
    </row>
    <row r="441">
      <c r="A441" s="1" t="s">
        <v>1781</v>
      </c>
      <c r="B441" s="1" t="s">
        <v>170</v>
      </c>
      <c r="C441" s="2" t="s">
        <v>95</v>
      </c>
      <c r="D441" s="2" t="s">
        <v>149</v>
      </c>
      <c r="E441" s="2" t="s">
        <v>2439</v>
      </c>
      <c r="F441" s="2" t="s">
        <v>248</v>
      </c>
      <c r="G441" s="2" t="s">
        <v>245</v>
      </c>
      <c r="H441" s="2" t="s">
        <v>116</v>
      </c>
      <c r="I441" s="2" t="s">
        <v>138</v>
      </c>
      <c r="J441" s="2" t="s">
        <v>2533</v>
      </c>
      <c r="K441" s="2" t="s">
        <v>77</v>
      </c>
      <c r="L441" s="1" t="s">
        <v>113</v>
      </c>
    </row>
    <row r="442">
      <c r="A442" s="1" t="s">
        <v>1785</v>
      </c>
      <c r="B442" s="1" t="s">
        <v>170</v>
      </c>
      <c r="C442" s="2" t="s">
        <v>58</v>
      </c>
      <c r="D442" s="2" t="s">
        <v>46</v>
      </c>
      <c r="E442" s="2" t="s">
        <v>88</v>
      </c>
      <c r="F442" s="2" t="s">
        <v>869</v>
      </c>
      <c r="G442" s="2" t="s">
        <v>104</v>
      </c>
      <c r="H442" s="2" t="s">
        <v>114</v>
      </c>
      <c r="I442" s="2" t="s">
        <v>117</v>
      </c>
      <c r="J442" s="2" t="s">
        <v>2537</v>
      </c>
      <c r="K442" s="2" t="s">
        <v>38</v>
      </c>
    </row>
    <row r="443">
      <c r="A443" s="1" t="s">
        <v>1787</v>
      </c>
      <c r="B443" s="1" t="s">
        <v>44</v>
      </c>
      <c r="C443" s="2" t="s">
        <v>167</v>
      </c>
      <c r="D443" s="2" t="s">
        <v>448</v>
      </c>
      <c r="E443" s="2" t="s">
        <v>611</v>
      </c>
      <c r="F443" s="2" t="s">
        <v>257</v>
      </c>
      <c r="G443" s="2" t="s">
        <v>68</v>
      </c>
      <c r="H443" s="2" t="s">
        <v>116</v>
      </c>
      <c r="I443" s="2" t="s">
        <v>117</v>
      </c>
      <c r="K443" s="2" t="s">
        <v>38</v>
      </c>
      <c r="L443" s="1" t="s">
        <v>113</v>
      </c>
    </row>
    <row r="444">
      <c r="A444" s="1" t="s">
        <v>1791</v>
      </c>
      <c r="B444" s="1" t="s">
        <v>22</v>
      </c>
      <c r="C444" s="2" t="s">
        <v>23</v>
      </c>
      <c r="D444" s="2" t="s">
        <v>86</v>
      </c>
      <c r="E444" s="2" t="s">
        <v>1813</v>
      </c>
      <c r="F444" s="2" t="s">
        <v>73</v>
      </c>
      <c r="G444" s="2" t="s">
        <v>395</v>
      </c>
      <c r="H444" s="2" t="s">
        <v>92</v>
      </c>
      <c r="I444" s="2" t="s">
        <v>46</v>
      </c>
      <c r="J444" s="2" t="s">
        <v>2546</v>
      </c>
      <c r="K444" s="2" t="s">
        <v>38</v>
      </c>
      <c r="L444" s="1" t="s">
        <v>113</v>
      </c>
    </row>
    <row r="445">
      <c r="A445" s="1" t="s">
        <v>1794</v>
      </c>
      <c r="B445" s="1" t="s">
        <v>22</v>
      </c>
      <c r="C445" s="2" t="s">
        <v>46</v>
      </c>
      <c r="D445" s="2" t="s">
        <v>339</v>
      </c>
      <c r="E445" s="2" t="s">
        <v>816</v>
      </c>
      <c r="F445" s="2" t="s">
        <v>135</v>
      </c>
      <c r="G445" s="2" t="s">
        <v>265</v>
      </c>
      <c r="H445" s="2" t="s">
        <v>36</v>
      </c>
      <c r="I445" s="2" t="s">
        <v>38</v>
      </c>
      <c r="J445" s="2" t="s">
        <v>1969</v>
      </c>
      <c r="K445" s="2" t="s">
        <v>157</v>
      </c>
      <c r="L445" s="1" t="s">
        <v>62</v>
      </c>
    </row>
    <row r="446">
      <c r="A446" s="1" t="s">
        <v>1796</v>
      </c>
      <c r="B446" s="1" t="s">
        <v>65</v>
      </c>
      <c r="C446" s="2" t="s">
        <v>23</v>
      </c>
      <c r="D446" s="2" t="s">
        <v>68</v>
      </c>
      <c r="E446" s="2" t="s">
        <v>297</v>
      </c>
      <c r="F446" s="2" t="s">
        <v>265</v>
      </c>
      <c r="G446" s="2" t="s">
        <v>73</v>
      </c>
      <c r="I446" s="2" t="s">
        <v>46</v>
      </c>
      <c r="J446" s="2" t="s">
        <v>2553</v>
      </c>
      <c r="K446" s="2" t="s">
        <v>38</v>
      </c>
      <c r="L446" s="1" t="s">
        <v>113</v>
      </c>
    </row>
    <row r="447">
      <c r="A447" s="1" t="s">
        <v>1799</v>
      </c>
      <c r="B447" s="1" t="s">
        <v>44</v>
      </c>
      <c r="C447" s="2" t="s">
        <v>157</v>
      </c>
      <c r="D447" s="2" t="s">
        <v>115</v>
      </c>
      <c r="E447" s="2" t="s">
        <v>2556</v>
      </c>
      <c r="F447" s="2" t="s">
        <v>1088</v>
      </c>
      <c r="G447" s="2" t="s">
        <v>33</v>
      </c>
      <c r="H447" s="2" t="s">
        <v>575</v>
      </c>
      <c r="I447" s="2" t="s">
        <v>117</v>
      </c>
      <c r="J447" s="2" t="s">
        <v>2559</v>
      </c>
      <c r="K447" s="2" t="s">
        <v>95</v>
      </c>
    </row>
    <row r="448">
      <c r="A448" s="1" t="s">
        <v>1801</v>
      </c>
      <c r="B448" s="1" t="s">
        <v>44</v>
      </c>
      <c r="C448" s="2" t="s">
        <v>95</v>
      </c>
      <c r="D448" s="2" t="s">
        <v>375</v>
      </c>
      <c r="E448" s="2" t="s">
        <v>102</v>
      </c>
      <c r="F448" s="2" t="s">
        <v>287</v>
      </c>
      <c r="G448" s="2" t="s">
        <v>104</v>
      </c>
      <c r="H448" s="2" t="s">
        <v>250</v>
      </c>
      <c r="I448" s="2" t="s">
        <v>46</v>
      </c>
      <c r="J448" s="2" t="s">
        <v>2562</v>
      </c>
      <c r="K448" s="2" t="s">
        <v>167</v>
      </c>
    </row>
    <row r="449">
      <c r="A449" s="1" t="s">
        <v>1803</v>
      </c>
      <c r="B449" s="1" t="s">
        <v>65</v>
      </c>
      <c r="C449" s="2" t="s">
        <v>38</v>
      </c>
      <c r="D449" s="2" t="s">
        <v>31</v>
      </c>
      <c r="E449" s="2" t="s">
        <v>868</v>
      </c>
      <c r="F449" s="2" t="s">
        <v>338</v>
      </c>
      <c r="G449" s="2" t="s">
        <v>365</v>
      </c>
      <c r="H449" s="2" t="s">
        <v>36</v>
      </c>
      <c r="I449" s="2" t="s">
        <v>58</v>
      </c>
      <c r="J449" s="2" t="s">
        <v>1119</v>
      </c>
      <c r="K449" s="2" t="s">
        <v>117</v>
      </c>
      <c r="L449" s="1" t="s">
        <v>113</v>
      </c>
    </row>
    <row r="450">
      <c r="A450" s="1" t="s">
        <v>1805</v>
      </c>
      <c r="B450" s="1" t="s">
        <v>22</v>
      </c>
      <c r="C450" s="2" t="s">
        <v>46</v>
      </c>
      <c r="D450" s="2" t="s">
        <v>300</v>
      </c>
      <c r="E450" s="2" t="s">
        <v>463</v>
      </c>
      <c r="F450" s="2" t="s">
        <v>95</v>
      </c>
      <c r="G450" s="2" t="s">
        <v>27</v>
      </c>
      <c r="H450" s="2" t="s">
        <v>270</v>
      </c>
      <c r="I450" s="2" t="s">
        <v>77</v>
      </c>
      <c r="J450" s="2" t="s">
        <v>2573</v>
      </c>
      <c r="K450" s="2" t="s">
        <v>117</v>
      </c>
      <c r="L450" s="1" t="s">
        <v>113</v>
      </c>
    </row>
    <row r="451">
      <c r="A451" s="1" t="s">
        <v>1808</v>
      </c>
      <c r="B451" s="1" t="s">
        <v>170</v>
      </c>
      <c r="C451" s="2" t="s">
        <v>117</v>
      </c>
      <c r="D451" s="2" t="s">
        <v>46</v>
      </c>
      <c r="E451" s="2" t="s">
        <v>1860</v>
      </c>
      <c r="F451" s="2" t="s">
        <v>267</v>
      </c>
      <c r="G451" s="2" t="s">
        <v>265</v>
      </c>
      <c r="H451" s="2" t="s">
        <v>412</v>
      </c>
      <c r="I451" s="2" t="s">
        <v>138</v>
      </c>
      <c r="J451" s="2" t="s">
        <v>2576</v>
      </c>
      <c r="K451" s="2" t="s">
        <v>38</v>
      </c>
      <c r="L451" s="1" t="s">
        <v>113</v>
      </c>
    </row>
    <row r="452">
      <c r="A452" s="1" t="s">
        <v>1812</v>
      </c>
      <c r="B452" s="1" t="s">
        <v>65</v>
      </c>
      <c r="C452" s="2" t="s">
        <v>46</v>
      </c>
      <c r="D452" s="2" t="s">
        <v>339</v>
      </c>
      <c r="E452" s="2" t="s">
        <v>187</v>
      </c>
      <c r="F452" s="2" t="s">
        <v>395</v>
      </c>
      <c r="G452" s="2" t="s">
        <v>395</v>
      </c>
      <c r="H452" s="2" t="s">
        <v>151</v>
      </c>
      <c r="I452" s="2" t="s">
        <v>138</v>
      </c>
      <c r="J452" s="2" t="s">
        <v>2580</v>
      </c>
      <c r="K452" s="2" t="s">
        <v>157</v>
      </c>
      <c r="L452" s="1" t="s">
        <v>62</v>
      </c>
    </row>
    <row r="453">
      <c r="A453" s="1" t="s">
        <v>1814</v>
      </c>
      <c r="B453" s="1" t="s">
        <v>84</v>
      </c>
      <c r="C453" s="2" t="s">
        <v>77</v>
      </c>
      <c r="D453" s="2" t="s">
        <v>154</v>
      </c>
      <c r="E453" s="2" t="s">
        <v>1346</v>
      </c>
      <c r="F453" s="2" t="s">
        <v>86</v>
      </c>
      <c r="G453" s="2" t="s">
        <v>73</v>
      </c>
      <c r="H453" s="2" t="s">
        <v>203</v>
      </c>
      <c r="I453" s="2" t="s">
        <v>38</v>
      </c>
      <c r="J453" s="2" t="s">
        <v>2585</v>
      </c>
      <c r="K453" s="2" t="s">
        <v>157</v>
      </c>
      <c r="L453" s="1" t="s">
        <v>62</v>
      </c>
    </row>
    <row r="454">
      <c r="A454" s="1" t="s">
        <v>1817</v>
      </c>
      <c r="B454" s="1" t="s">
        <v>84</v>
      </c>
      <c r="C454" s="2" t="s">
        <v>154</v>
      </c>
      <c r="D454" s="2" t="s">
        <v>106</v>
      </c>
      <c r="E454" s="2" t="s">
        <v>2586</v>
      </c>
      <c r="F454" s="2" t="s">
        <v>1026</v>
      </c>
      <c r="G454" s="2" t="s">
        <v>300</v>
      </c>
      <c r="H454" s="2" t="s">
        <v>178</v>
      </c>
      <c r="I454" s="2" t="s">
        <v>38</v>
      </c>
      <c r="J454" s="2" t="s">
        <v>2590</v>
      </c>
      <c r="K454" s="2" t="s">
        <v>77</v>
      </c>
      <c r="L454" s="1" t="s">
        <v>113</v>
      </c>
    </row>
    <row r="455">
      <c r="A455" s="1" t="s">
        <v>1819</v>
      </c>
      <c r="B455" s="1" t="s">
        <v>44</v>
      </c>
      <c r="C455" s="2" t="s">
        <v>38</v>
      </c>
      <c r="D455" s="2" t="s">
        <v>201</v>
      </c>
      <c r="E455" s="2" t="s">
        <v>1382</v>
      </c>
      <c r="F455" s="2" t="s">
        <v>461</v>
      </c>
      <c r="G455" s="2" t="s">
        <v>199</v>
      </c>
      <c r="H455" s="2" t="s">
        <v>163</v>
      </c>
      <c r="I455" s="2" t="s">
        <v>77</v>
      </c>
      <c r="J455" s="2" t="s">
        <v>2595</v>
      </c>
      <c r="K455" s="2" t="s">
        <v>117</v>
      </c>
      <c r="L455" s="1" t="s">
        <v>113</v>
      </c>
    </row>
    <row r="456">
      <c r="A456" s="1" t="s">
        <v>1822</v>
      </c>
      <c r="B456" s="1" t="s">
        <v>22</v>
      </c>
      <c r="C456" s="2" t="s">
        <v>77</v>
      </c>
      <c r="D456" s="2" t="s">
        <v>95</v>
      </c>
      <c r="E456" s="2" t="s">
        <v>75</v>
      </c>
      <c r="F456" s="2" t="s">
        <v>186</v>
      </c>
      <c r="G456" s="2" t="s">
        <v>224</v>
      </c>
      <c r="H456" s="2" t="s">
        <v>463</v>
      </c>
      <c r="I456" s="2" t="s">
        <v>46</v>
      </c>
      <c r="J456" s="2" t="s">
        <v>2599</v>
      </c>
      <c r="K456" s="2" t="s">
        <v>23</v>
      </c>
      <c r="L456" s="1" t="s">
        <v>62</v>
      </c>
    </row>
    <row r="457">
      <c r="A457" s="1" t="s">
        <v>1825</v>
      </c>
      <c r="B457" s="1" t="s">
        <v>84</v>
      </c>
      <c r="C457" s="2" t="s">
        <v>23</v>
      </c>
      <c r="D457" s="2" t="s">
        <v>224</v>
      </c>
      <c r="E457" s="2" t="s">
        <v>1275</v>
      </c>
      <c r="F457" s="2" t="s">
        <v>228</v>
      </c>
      <c r="G457" s="2" t="s">
        <v>395</v>
      </c>
      <c r="H457" s="2" t="s">
        <v>1091</v>
      </c>
      <c r="I457" s="2" t="s">
        <v>77</v>
      </c>
      <c r="J457" s="2" t="s">
        <v>981</v>
      </c>
      <c r="K457" s="2" t="s">
        <v>77</v>
      </c>
      <c r="L457" s="1" t="s">
        <v>113</v>
      </c>
    </row>
    <row r="458">
      <c r="A458" s="1" t="s">
        <v>1825</v>
      </c>
      <c r="B458" s="1" t="s">
        <v>84</v>
      </c>
      <c r="C458" s="2" t="s">
        <v>23</v>
      </c>
      <c r="D458" s="2" t="s">
        <v>224</v>
      </c>
      <c r="E458" s="2" t="s">
        <v>1275</v>
      </c>
      <c r="F458" s="2" t="s">
        <v>228</v>
      </c>
      <c r="G458" s="2" t="s">
        <v>395</v>
      </c>
      <c r="H458" s="2" t="s">
        <v>1091</v>
      </c>
      <c r="I458" s="2" t="s">
        <v>77</v>
      </c>
      <c r="J458" s="2" t="s">
        <v>981</v>
      </c>
      <c r="K458" s="2" t="s">
        <v>77</v>
      </c>
      <c r="L458" s="1" t="s">
        <v>113</v>
      </c>
    </row>
    <row r="459">
      <c r="A459" s="1" t="s">
        <v>1828</v>
      </c>
      <c r="B459" s="1" t="s">
        <v>84</v>
      </c>
      <c r="C459" s="2" t="s">
        <v>95</v>
      </c>
      <c r="D459" s="2" t="s">
        <v>33</v>
      </c>
      <c r="E459" s="2" t="s">
        <v>2608</v>
      </c>
      <c r="F459" s="2" t="s">
        <v>106</v>
      </c>
      <c r="G459" s="2" t="s">
        <v>106</v>
      </c>
      <c r="H459" s="2" t="s">
        <v>163</v>
      </c>
      <c r="I459" s="2" t="s">
        <v>58</v>
      </c>
      <c r="J459" s="2" t="s">
        <v>2610</v>
      </c>
      <c r="K459" s="2" t="s">
        <v>157</v>
      </c>
      <c r="L459" s="1" t="s">
        <v>62</v>
      </c>
    </row>
    <row r="460">
      <c r="A460" s="1" t="s">
        <v>1831</v>
      </c>
      <c r="B460" s="1" t="s">
        <v>170</v>
      </c>
      <c r="C460" s="2" t="s">
        <v>23</v>
      </c>
      <c r="D460" s="2" t="s">
        <v>290</v>
      </c>
      <c r="E460" s="2" t="s">
        <v>618</v>
      </c>
      <c r="F460" s="2" t="s">
        <v>54</v>
      </c>
      <c r="G460" s="2" t="s">
        <v>245</v>
      </c>
      <c r="H460" s="2" t="s">
        <v>218</v>
      </c>
      <c r="I460" s="2" t="s">
        <v>58</v>
      </c>
      <c r="J460" s="2" t="s">
        <v>2614</v>
      </c>
      <c r="K460" s="2" t="s">
        <v>58</v>
      </c>
      <c r="L460" s="1" t="s">
        <v>113</v>
      </c>
    </row>
    <row r="461">
      <c r="A461" s="1" t="s">
        <v>1833</v>
      </c>
      <c r="B461" s="1" t="s">
        <v>22</v>
      </c>
      <c r="C461" s="2" t="s">
        <v>167</v>
      </c>
      <c r="D461" s="2" t="s">
        <v>199</v>
      </c>
      <c r="E461" s="2" t="s">
        <v>846</v>
      </c>
      <c r="F461" s="2" t="s">
        <v>287</v>
      </c>
      <c r="G461" s="2" t="s">
        <v>265</v>
      </c>
      <c r="H461" s="2" t="s">
        <v>92</v>
      </c>
      <c r="I461" s="2" t="s">
        <v>38</v>
      </c>
      <c r="K461" s="2" t="s">
        <v>117</v>
      </c>
      <c r="L461" s="1" t="s">
        <v>113</v>
      </c>
    </row>
    <row r="462">
      <c r="A462" s="1" t="s">
        <v>1834</v>
      </c>
      <c r="B462" s="1" t="s">
        <v>22</v>
      </c>
      <c r="C462" s="2" t="s">
        <v>23</v>
      </c>
      <c r="D462" s="2" t="s">
        <v>71</v>
      </c>
      <c r="E462" s="2" t="s">
        <v>839</v>
      </c>
      <c r="F462" s="2" t="s">
        <v>351</v>
      </c>
      <c r="G462" s="2" t="s">
        <v>339</v>
      </c>
      <c r="H462" s="2" t="s">
        <v>56</v>
      </c>
      <c r="I462" s="2" t="s">
        <v>77</v>
      </c>
      <c r="J462" s="2" t="s">
        <v>2621</v>
      </c>
      <c r="K462" s="2" t="s">
        <v>167</v>
      </c>
      <c r="L462" s="1" t="s">
        <v>62</v>
      </c>
    </row>
    <row r="463">
      <c r="A463" s="1" t="s">
        <v>1838</v>
      </c>
      <c r="B463" s="1" t="s">
        <v>65</v>
      </c>
      <c r="C463" s="2" t="s">
        <v>157</v>
      </c>
      <c r="D463" s="2" t="s">
        <v>31</v>
      </c>
      <c r="E463" s="2" t="s">
        <v>796</v>
      </c>
      <c r="F463" s="2" t="s">
        <v>154</v>
      </c>
      <c r="G463" s="2" t="s">
        <v>351</v>
      </c>
      <c r="H463" s="2" t="s">
        <v>575</v>
      </c>
      <c r="I463" s="2" t="s">
        <v>58</v>
      </c>
      <c r="J463" s="2" t="s">
        <v>2627</v>
      </c>
      <c r="K463" s="2" t="s">
        <v>23</v>
      </c>
      <c r="L463" s="1" t="s">
        <v>62</v>
      </c>
    </row>
    <row r="464">
      <c r="A464" s="1" t="s">
        <v>1840</v>
      </c>
      <c r="B464" s="1" t="s">
        <v>65</v>
      </c>
      <c r="C464" s="2" t="s">
        <v>46</v>
      </c>
      <c r="D464" s="2" t="s">
        <v>186</v>
      </c>
      <c r="E464" s="2" t="s">
        <v>758</v>
      </c>
      <c r="F464" s="2" t="s">
        <v>27</v>
      </c>
      <c r="G464" s="2" t="s">
        <v>104</v>
      </c>
      <c r="H464" s="2" t="s">
        <v>151</v>
      </c>
      <c r="I464" s="2" t="s">
        <v>117</v>
      </c>
      <c r="J464" s="2" t="s">
        <v>2631</v>
      </c>
      <c r="K464" s="2" t="s">
        <v>95</v>
      </c>
      <c r="L464" s="1" t="s">
        <v>62</v>
      </c>
    </row>
    <row r="465">
      <c r="A465" s="1" t="s">
        <v>1843</v>
      </c>
      <c r="B465" s="1" t="s">
        <v>84</v>
      </c>
      <c r="C465" s="2" t="s">
        <v>77</v>
      </c>
      <c r="D465" s="2" t="s">
        <v>157</v>
      </c>
      <c r="E465" s="2" t="s">
        <v>146</v>
      </c>
      <c r="F465" s="2" t="s">
        <v>71</v>
      </c>
      <c r="G465" s="2" t="s">
        <v>186</v>
      </c>
      <c r="H465" s="2" t="s">
        <v>178</v>
      </c>
      <c r="I465" s="2" t="s">
        <v>46</v>
      </c>
      <c r="J465" s="2" t="s">
        <v>2635</v>
      </c>
      <c r="K465" s="2" t="s">
        <v>58</v>
      </c>
      <c r="L465" s="1" t="s">
        <v>113</v>
      </c>
    </row>
    <row r="466">
      <c r="A466" s="1" t="s">
        <v>1846</v>
      </c>
      <c r="B466" s="1" t="s">
        <v>44</v>
      </c>
      <c r="C466" s="2" t="s">
        <v>23</v>
      </c>
      <c r="D466" s="2" t="s">
        <v>224</v>
      </c>
      <c r="E466" s="2" t="s">
        <v>51</v>
      </c>
      <c r="F466" s="2" t="s">
        <v>365</v>
      </c>
      <c r="G466" s="2" t="s">
        <v>48</v>
      </c>
      <c r="H466" s="2" t="s">
        <v>56</v>
      </c>
      <c r="I466" s="2" t="s">
        <v>77</v>
      </c>
      <c r="J466" s="1" t="s">
        <v>2640</v>
      </c>
      <c r="K466" s="2" t="s">
        <v>77</v>
      </c>
      <c r="L466" s="1" t="s">
        <v>113</v>
      </c>
    </row>
    <row r="467">
      <c r="A467" s="1" t="s">
        <v>1848</v>
      </c>
      <c r="B467" s="1" t="s">
        <v>22</v>
      </c>
      <c r="C467" s="2" t="s">
        <v>46</v>
      </c>
      <c r="D467" s="2" t="s">
        <v>290</v>
      </c>
      <c r="E467" s="2" t="s">
        <v>2644</v>
      </c>
      <c r="F467" s="2" t="s">
        <v>71</v>
      </c>
      <c r="G467" s="2" t="s">
        <v>149</v>
      </c>
      <c r="I467" s="2" t="s">
        <v>58</v>
      </c>
      <c r="J467" s="2" t="s">
        <v>427</v>
      </c>
      <c r="K467" s="2" t="s">
        <v>95</v>
      </c>
      <c r="L467" s="1" t="s">
        <v>62</v>
      </c>
    </row>
    <row r="468">
      <c r="A468" s="1" t="s">
        <v>1851</v>
      </c>
      <c r="B468" s="1" t="s">
        <v>22</v>
      </c>
      <c r="C468" s="2" t="s">
        <v>38</v>
      </c>
      <c r="D468" s="2" t="s">
        <v>201</v>
      </c>
      <c r="E468" s="2" t="s">
        <v>1737</v>
      </c>
      <c r="F468" s="2" t="s">
        <v>1026</v>
      </c>
      <c r="G468" s="2" t="s">
        <v>245</v>
      </c>
      <c r="H468" s="2" t="s">
        <v>310</v>
      </c>
      <c r="I468" s="2" t="s">
        <v>58</v>
      </c>
      <c r="J468" s="2" t="s">
        <v>2647</v>
      </c>
      <c r="K468" s="2" t="s">
        <v>38</v>
      </c>
      <c r="L468" s="1" t="s">
        <v>113</v>
      </c>
    </row>
    <row r="469">
      <c r="A469" s="1" t="s">
        <v>1852</v>
      </c>
      <c r="B469" s="1" t="s">
        <v>44</v>
      </c>
      <c r="C469" s="2" t="s">
        <v>117</v>
      </c>
      <c r="D469" s="2" t="s">
        <v>167</v>
      </c>
      <c r="E469" s="2" t="s">
        <v>882</v>
      </c>
      <c r="F469" s="2" t="s">
        <v>48</v>
      </c>
      <c r="G469" s="2" t="s">
        <v>395</v>
      </c>
      <c r="H469" s="2" t="s">
        <v>412</v>
      </c>
      <c r="I469" s="2" t="s">
        <v>46</v>
      </c>
      <c r="J469" s="2" t="s">
        <v>2652</v>
      </c>
      <c r="K469" s="2" t="s">
        <v>23</v>
      </c>
      <c r="L469" s="1" t="s">
        <v>62</v>
      </c>
    </row>
    <row r="470">
      <c r="A470" s="1" t="s">
        <v>1855</v>
      </c>
      <c r="B470" s="1" t="s">
        <v>22</v>
      </c>
      <c r="C470" s="2" t="s">
        <v>31</v>
      </c>
      <c r="D470" s="2" t="s">
        <v>2656</v>
      </c>
      <c r="E470" s="2" t="s">
        <v>618</v>
      </c>
      <c r="F470" s="2" t="s">
        <v>154</v>
      </c>
      <c r="G470" s="2" t="s">
        <v>149</v>
      </c>
      <c r="H470" s="2" t="s">
        <v>163</v>
      </c>
      <c r="I470" s="2" t="s">
        <v>38</v>
      </c>
      <c r="J470" s="2" t="s">
        <v>2657</v>
      </c>
      <c r="K470" s="2" t="s">
        <v>23</v>
      </c>
    </row>
    <row r="471">
      <c r="A471" s="1" t="s">
        <v>1858</v>
      </c>
      <c r="B471" s="1" t="s">
        <v>44</v>
      </c>
      <c r="C471" s="2" t="s">
        <v>23</v>
      </c>
      <c r="D471" s="2" t="s">
        <v>73</v>
      </c>
      <c r="E471" s="2" t="s">
        <v>1727</v>
      </c>
      <c r="F471" s="2" t="s">
        <v>245</v>
      </c>
      <c r="G471" s="2" t="s">
        <v>149</v>
      </c>
      <c r="I471" s="2" t="s">
        <v>138</v>
      </c>
      <c r="J471" s="2" t="s">
        <v>2662</v>
      </c>
      <c r="K471" s="2" t="s">
        <v>157</v>
      </c>
      <c r="L471" s="1" t="s">
        <v>62</v>
      </c>
    </row>
    <row r="472">
      <c r="A472" s="1" t="s">
        <v>1861</v>
      </c>
      <c r="B472" s="1" t="s">
        <v>170</v>
      </c>
      <c r="C472" s="2" t="s">
        <v>290</v>
      </c>
      <c r="D472" s="2" t="s">
        <v>1318</v>
      </c>
      <c r="E472" s="2" t="s">
        <v>522</v>
      </c>
      <c r="F472" s="2" t="s">
        <v>186</v>
      </c>
      <c r="G472" s="2" t="s">
        <v>86</v>
      </c>
      <c r="H472" s="2" t="s">
        <v>108</v>
      </c>
      <c r="I472" s="2" t="s">
        <v>117</v>
      </c>
      <c r="J472" s="2" t="s">
        <v>1609</v>
      </c>
      <c r="K472" s="2" t="s">
        <v>77</v>
      </c>
      <c r="L472" s="1" t="s">
        <v>113</v>
      </c>
    </row>
    <row r="473">
      <c r="A473" s="1" t="s">
        <v>1864</v>
      </c>
      <c r="B473" s="1" t="s">
        <v>44</v>
      </c>
      <c r="C473" s="2" t="s">
        <v>95</v>
      </c>
      <c r="D473" s="2" t="s">
        <v>213</v>
      </c>
      <c r="E473" s="2" t="s">
        <v>896</v>
      </c>
      <c r="F473" s="2" t="s">
        <v>86</v>
      </c>
      <c r="G473" s="2" t="s">
        <v>395</v>
      </c>
      <c r="H473" s="2" t="s">
        <v>92</v>
      </c>
      <c r="I473" s="2" t="s">
        <v>138</v>
      </c>
      <c r="J473" s="2" t="s">
        <v>2670</v>
      </c>
      <c r="K473" s="2" t="s">
        <v>167</v>
      </c>
      <c r="L473" s="1" t="s">
        <v>62</v>
      </c>
    </row>
    <row r="474">
      <c r="A474" s="1" t="s">
        <v>1866</v>
      </c>
      <c r="B474" s="1" t="s">
        <v>170</v>
      </c>
      <c r="C474" s="2" t="s">
        <v>77</v>
      </c>
      <c r="D474" s="2" t="s">
        <v>224</v>
      </c>
      <c r="E474" s="2" t="s">
        <v>1519</v>
      </c>
      <c r="F474" s="2" t="s">
        <v>31</v>
      </c>
      <c r="G474" s="2" t="s">
        <v>106</v>
      </c>
      <c r="H474" s="2" t="s">
        <v>270</v>
      </c>
      <c r="I474" s="2" t="s">
        <v>77</v>
      </c>
      <c r="J474" s="2" t="s">
        <v>2673</v>
      </c>
      <c r="K474" s="2" t="s">
        <v>95</v>
      </c>
      <c r="L474" s="1" t="s">
        <v>62</v>
      </c>
    </row>
    <row r="475">
      <c r="A475" s="1" t="s">
        <v>1869</v>
      </c>
      <c r="B475" s="1" t="s">
        <v>44</v>
      </c>
      <c r="C475" s="2" t="s">
        <v>95</v>
      </c>
      <c r="D475" s="2" t="s">
        <v>68</v>
      </c>
      <c r="E475" s="2" t="s">
        <v>890</v>
      </c>
      <c r="F475" s="2" t="s">
        <v>115</v>
      </c>
      <c r="G475" s="2" t="s">
        <v>351</v>
      </c>
      <c r="H475" s="2" t="s">
        <v>108</v>
      </c>
      <c r="I475" s="2" t="s">
        <v>138</v>
      </c>
      <c r="J475" s="2" t="s">
        <v>2678</v>
      </c>
      <c r="K475" s="2" t="s">
        <v>46</v>
      </c>
      <c r="L475" s="1" t="s">
        <v>62</v>
      </c>
    </row>
    <row r="476">
      <c r="A476" s="1" t="s">
        <v>1870</v>
      </c>
      <c r="B476" s="1" t="s">
        <v>84</v>
      </c>
      <c r="C476" s="2" t="s">
        <v>117</v>
      </c>
      <c r="D476" s="2" t="s">
        <v>167</v>
      </c>
      <c r="E476" s="2" t="s">
        <v>288</v>
      </c>
      <c r="F476" s="2" t="s">
        <v>213</v>
      </c>
      <c r="G476" s="2" t="s">
        <v>339</v>
      </c>
      <c r="H476" s="2" t="s">
        <v>310</v>
      </c>
      <c r="I476" s="2" t="s">
        <v>117</v>
      </c>
      <c r="K476" s="2" t="s">
        <v>38</v>
      </c>
      <c r="L476" s="1" t="s">
        <v>113</v>
      </c>
    </row>
    <row r="477">
      <c r="A477" s="1" t="s">
        <v>1874</v>
      </c>
      <c r="B477" s="1" t="s">
        <v>44</v>
      </c>
      <c r="C477" s="2" t="s">
        <v>46</v>
      </c>
      <c r="D477" s="2" t="s">
        <v>167</v>
      </c>
      <c r="E477" s="2" t="s">
        <v>337</v>
      </c>
      <c r="F477" s="2" t="s">
        <v>248</v>
      </c>
      <c r="G477" s="2" t="s">
        <v>201</v>
      </c>
      <c r="H477" s="2" t="s">
        <v>151</v>
      </c>
      <c r="I477" s="2" t="s">
        <v>58</v>
      </c>
      <c r="J477" s="2" t="s">
        <v>2686</v>
      </c>
      <c r="K477" s="2" t="s">
        <v>23</v>
      </c>
      <c r="L477" s="1" t="s">
        <v>62</v>
      </c>
    </row>
    <row r="478">
      <c r="A478" s="1" t="s">
        <v>1878</v>
      </c>
      <c r="B478" s="1" t="s">
        <v>170</v>
      </c>
      <c r="C478" s="2" t="s">
        <v>23</v>
      </c>
      <c r="D478" s="2" t="s">
        <v>154</v>
      </c>
      <c r="E478" s="2" t="s">
        <v>270</v>
      </c>
      <c r="F478" s="2" t="s">
        <v>514</v>
      </c>
      <c r="G478" s="2" t="s">
        <v>395</v>
      </c>
      <c r="H478" s="2" t="s">
        <v>1091</v>
      </c>
      <c r="I478" s="2" t="s">
        <v>138</v>
      </c>
      <c r="J478" s="2" t="s">
        <v>2690</v>
      </c>
      <c r="K478" s="2" t="s">
        <v>38</v>
      </c>
      <c r="L478" s="1" t="s">
        <v>113</v>
      </c>
    </row>
    <row r="479">
      <c r="A479" s="1" t="s">
        <v>1880</v>
      </c>
      <c r="B479" s="1" t="s">
        <v>84</v>
      </c>
      <c r="C479" s="2" t="s">
        <v>167</v>
      </c>
      <c r="D479" s="2" t="s">
        <v>248</v>
      </c>
      <c r="E479" s="2" t="s">
        <v>424</v>
      </c>
      <c r="F479" s="2" t="s">
        <v>199</v>
      </c>
      <c r="G479" s="2" t="s">
        <v>186</v>
      </c>
      <c r="H479" s="2" t="s">
        <v>56</v>
      </c>
      <c r="I479" s="2" t="s">
        <v>58</v>
      </c>
      <c r="J479" s="2" t="s">
        <v>2343</v>
      </c>
      <c r="K479" s="2" t="s">
        <v>157</v>
      </c>
      <c r="L479" s="1" t="s">
        <v>62</v>
      </c>
    </row>
    <row r="480">
      <c r="A480" s="1" t="s">
        <v>1882</v>
      </c>
      <c r="B480" s="1" t="s">
        <v>44</v>
      </c>
      <c r="C480" s="2" t="s">
        <v>46</v>
      </c>
      <c r="D480" s="2" t="s">
        <v>245</v>
      </c>
      <c r="E480" s="2" t="s">
        <v>116</v>
      </c>
      <c r="F480" s="2" t="s">
        <v>1049</v>
      </c>
      <c r="G480" s="2" t="s">
        <v>68</v>
      </c>
      <c r="H480" s="2" t="s">
        <v>575</v>
      </c>
      <c r="I480" s="2" t="s">
        <v>38</v>
      </c>
      <c r="J480" s="2" t="s">
        <v>1724</v>
      </c>
      <c r="K480" s="2" t="s">
        <v>38</v>
      </c>
      <c r="L480" s="1" t="s">
        <v>113</v>
      </c>
    </row>
    <row r="481">
      <c r="A481" s="1" t="s">
        <v>1884</v>
      </c>
      <c r="B481" s="1" t="s">
        <v>84</v>
      </c>
      <c r="C481" s="2" t="s">
        <v>117</v>
      </c>
      <c r="D481" s="2" t="s">
        <v>157</v>
      </c>
      <c r="E481" s="2" t="s">
        <v>2034</v>
      </c>
      <c r="F481" s="2" t="s">
        <v>491</v>
      </c>
      <c r="G481" s="2" t="s">
        <v>73</v>
      </c>
      <c r="H481" s="2" t="s">
        <v>412</v>
      </c>
      <c r="I481" s="2" t="s">
        <v>46</v>
      </c>
      <c r="J481" s="2" t="s">
        <v>2699</v>
      </c>
      <c r="K481" s="2" t="s">
        <v>38</v>
      </c>
      <c r="L481" s="1" t="s">
        <v>113</v>
      </c>
    </row>
    <row r="482">
      <c r="A482" s="1" t="s">
        <v>1887</v>
      </c>
      <c r="B482" s="1" t="s">
        <v>65</v>
      </c>
      <c r="C482" s="2" t="s">
        <v>77</v>
      </c>
      <c r="D482" s="2" t="s">
        <v>167</v>
      </c>
      <c r="E482" s="2" t="s">
        <v>396</v>
      </c>
      <c r="F482" s="2" t="s">
        <v>290</v>
      </c>
      <c r="G482" s="2" t="s">
        <v>339</v>
      </c>
      <c r="H482" s="2" t="s">
        <v>203</v>
      </c>
      <c r="I482" s="2" t="s">
        <v>58</v>
      </c>
      <c r="J482" s="2" t="s">
        <v>2701</v>
      </c>
      <c r="K482" s="2" t="s">
        <v>157</v>
      </c>
      <c r="L482" s="1" t="s">
        <v>62</v>
      </c>
    </row>
    <row r="483">
      <c r="A483" s="1" t="s">
        <v>1889</v>
      </c>
      <c r="B483" s="1" t="s">
        <v>65</v>
      </c>
      <c r="C483" s="2" t="s">
        <v>167</v>
      </c>
      <c r="D483" s="2" t="s">
        <v>68</v>
      </c>
      <c r="E483" s="2" t="s">
        <v>412</v>
      </c>
      <c r="F483" s="2" t="s">
        <v>1026</v>
      </c>
      <c r="G483" s="2" t="s">
        <v>135</v>
      </c>
      <c r="H483" s="2" t="s">
        <v>218</v>
      </c>
      <c r="I483" s="2" t="s">
        <v>38</v>
      </c>
      <c r="J483" s="2" t="s">
        <v>1936</v>
      </c>
      <c r="K483" s="2" t="s">
        <v>117</v>
      </c>
      <c r="L483" s="1" t="s">
        <v>113</v>
      </c>
    </row>
    <row r="484">
      <c r="A484" s="1" t="s">
        <v>1892</v>
      </c>
      <c r="B484" s="1" t="s">
        <v>84</v>
      </c>
      <c r="C484" s="2" t="s">
        <v>167</v>
      </c>
      <c r="D484" s="2" t="s">
        <v>365</v>
      </c>
      <c r="E484" s="2" t="s">
        <v>758</v>
      </c>
      <c r="F484" s="2" t="s">
        <v>257</v>
      </c>
      <c r="G484" s="2" t="s">
        <v>351</v>
      </c>
      <c r="H484" s="2" t="s">
        <v>56</v>
      </c>
      <c r="I484" s="2" t="s">
        <v>46</v>
      </c>
      <c r="J484" s="2" t="s">
        <v>1955</v>
      </c>
      <c r="K484" s="2" t="s">
        <v>95</v>
      </c>
      <c r="L484" s="1" t="s">
        <v>62</v>
      </c>
    </row>
    <row r="485">
      <c r="A485" s="1" t="s">
        <v>1895</v>
      </c>
      <c r="B485" s="1" t="s">
        <v>65</v>
      </c>
      <c r="C485" s="2" t="s">
        <v>46</v>
      </c>
      <c r="D485" s="2" t="s">
        <v>201</v>
      </c>
      <c r="E485" s="2" t="s">
        <v>1275</v>
      </c>
      <c r="F485" s="2" t="s">
        <v>1026</v>
      </c>
      <c r="G485" s="2" t="s">
        <v>375</v>
      </c>
      <c r="H485" s="2" t="s">
        <v>218</v>
      </c>
      <c r="I485" s="2" t="s">
        <v>38</v>
      </c>
      <c r="J485" s="2" t="s">
        <v>2709</v>
      </c>
      <c r="K485" s="2" t="s">
        <v>117</v>
      </c>
      <c r="L485" s="1" t="s">
        <v>113</v>
      </c>
    </row>
    <row r="486">
      <c r="A486" s="1" t="s">
        <v>1897</v>
      </c>
      <c r="B486" s="1" t="s">
        <v>84</v>
      </c>
      <c r="C486" s="2" t="s">
        <v>77</v>
      </c>
      <c r="D486" s="2" t="s">
        <v>154</v>
      </c>
      <c r="E486" s="2" t="s">
        <v>424</v>
      </c>
      <c r="F486" s="2" t="s">
        <v>247</v>
      </c>
      <c r="G486" s="2" t="s">
        <v>149</v>
      </c>
      <c r="H486" s="2" t="s">
        <v>270</v>
      </c>
      <c r="I486" s="2" t="s">
        <v>58</v>
      </c>
      <c r="J486" s="2" t="s">
        <v>2714</v>
      </c>
      <c r="K486" s="2" t="s">
        <v>117</v>
      </c>
      <c r="L486" s="1" t="s">
        <v>113</v>
      </c>
    </row>
    <row r="487">
      <c r="A487" s="1" t="s">
        <v>1900</v>
      </c>
      <c r="B487" s="1" t="s">
        <v>44</v>
      </c>
      <c r="C487" s="2" t="s">
        <v>154</v>
      </c>
      <c r="D487" s="2" t="s">
        <v>247</v>
      </c>
      <c r="E487" s="2" t="s">
        <v>1096</v>
      </c>
      <c r="F487" s="2" t="s">
        <v>247</v>
      </c>
      <c r="G487" s="2" t="s">
        <v>213</v>
      </c>
      <c r="H487" s="2" t="s">
        <v>270</v>
      </c>
      <c r="I487" s="2" t="s">
        <v>58</v>
      </c>
      <c r="J487" s="2" t="s">
        <v>2718</v>
      </c>
      <c r="K487" s="2" t="s">
        <v>117</v>
      </c>
    </row>
    <row r="488">
      <c r="A488" s="1" t="s">
        <v>1902</v>
      </c>
      <c r="B488" s="1" t="s">
        <v>170</v>
      </c>
      <c r="C488" s="2" t="s">
        <v>46</v>
      </c>
      <c r="D488" s="2" t="s">
        <v>245</v>
      </c>
      <c r="E488" s="2" t="s">
        <v>672</v>
      </c>
      <c r="F488" s="2" t="s">
        <v>228</v>
      </c>
      <c r="G488" s="2" t="s">
        <v>71</v>
      </c>
      <c r="H488" s="2" t="s">
        <v>412</v>
      </c>
      <c r="I488" s="2" t="s">
        <v>138</v>
      </c>
      <c r="J488" s="2" t="s">
        <v>2722</v>
      </c>
      <c r="K488" s="2" t="s">
        <v>38</v>
      </c>
      <c r="L488" s="1" t="s">
        <v>113</v>
      </c>
    </row>
    <row r="489">
      <c r="A489" s="1" t="s">
        <v>1905</v>
      </c>
      <c r="B489" s="1" t="s">
        <v>22</v>
      </c>
      <c r="C489" s="2" t="s">
        <v>117</v>
      </c>
      <c r="D489" s="2" t="s">
        <v>167</v>
      </c>
      <c r="E489" s="2" t="s">
        <v>890</v>
      </c>
      <c r="F489" s="2" t="s">
        <v>48</v>
      </c>
      <c r="G489" s="2" t="s">
        <v>115</v>
      </c>
      <c r="H489" s="2" t="s">
        <v>36</v>
      </c>
      <c r="I489" s="2" t="s">
        <v>138</v>
      </c>
      <c r="J489" s="2" t="s">
        <v>2727</v>
      </c>
      <c r="K489" s="2" t="s">
        <v>95</v>
      </c>
      <c r="L489" s="1" t="s">
        <v>62</v>
      </c>
    </row>
    <row r="490">
      <c r="A490" s="1" t="s">
        <v>1906</v>
      </c>
      <c r="B490" s="1" t="s">
        <v>44</v>
      </c>
      <c r="C490" s="2" t="s">
        <v>46</v>
      </c>
      <c r="D490" s="2" t="s">
        <v>201</v>
      </c>
      <c r="E490" s="2" t="s">
        <v>739</v>
      </c>
      <c r="F490" s="2" t="s">
        <v>448</v>
      </c>
      <c r="G490" s="2" t="s">
        <v>27</v>
      </c>
      <c r="H490" s="2" t="s">
        <v>92</v>
      </c>
      <c r="I490" s="2" t="s">
        <v>138</v>
      </c>
      <c r="J490" s="2" t="s">
        <v>2730</v>
      </c>
      <c r="K490" s="2" t="s">
        <v>117</v>
      </c>
      <c r="L490" s="1" t="s">
        <v>113</v>
      </c>
    </row>
    <row r="491">
      <c r="A491" s="1" t="s">
        <v>1908</v>
      </c>
      <c r="B491" s="1" t="s">
        <v>44</v>
      </c>
      <c r="C491" s="2" t="s">
        <v>38</v>
      </c>
      <c r="D491" s="2" t="s">
        <v>149</v>
      </c>
      <c r="E491" s="2" t="s">
        <v>424</v>
      </c>
      <c r="F491" s="2" t="s">
        <v>265</v>
      </c>
      <c r="G491" s="2" t="s">
        <v>395</v>
      </c>
      <c r="I491" s="2" t="s">
        <v>46</v>
      </c>
      <c r="J491" s="2" t="s">
        <v>2733</v>
      </c>
      <c r="K491" s="2" t="s">
        <v>58</v>
      </c>
      <c r="L491" s="1" t="s">
        <v>113</v>
      </c>
    </row>
    <row r="492">
      <c r="A492" s="1" t="s">
        <v>1911</v>
      </c>
      <c r="B492" s="1" t="s">
        <v>84</v>
      </c>
      <c r="C492" s="2" t="s">
        <v>167</v>
      </c>
      <c r="D492" s="2" t="s">
        <v>265</v>
      </c>
      <c r="E492" s="2" t="s">
        <v>855</v>
      </c>
      <c r="F492" s="2" t="s">
        <v>31</v>
      </c>
      <c r="G492" s="2" t="s">
        <v>106</v>
      </c>
      <c r="H492" s="2" t="s">
        <v>114</v>
      </c>
      <c r="I492" s="2" t="s">
        <v>117</v>
      </c>
      <c r="J492" s="2" t="s">
        <v>2737</v>
      </c>
      <c r="K492" s="2" t="s">
        <v>38</v>
      </c>
      <c r="L492" s="1" t="s">
        <v>113</v>
      </c>
    </row>
    <row r="493">
      <c r="A493" s="1" t="s">
        <v>1913</v>
      </c>
      <c r="B493" s="1" t="s">
        <v>65</v>
      </c>
      <c r="C493" s="2" t="s">
        <v>154</v>
      </c>
      <c r="D493" s="2" t="s">
        <v>68</v>
      </c>
      <c r="E493" s="2" t="s">
        <v>2740</v>
      </c>
      <c r="F493" s="2" t="s">
        <v>23</v>
      </c>
      <c r="G493" s="2" t="s">
        <v>339</v>
      </c>
      <c r="H493" s="2" t="s">
        <v>178</v>
      </c>
      <c r="I493" s="2" t="s">
        <v>117</v>
      </c>
      <c r="J493" s="2" t="s">
        <v>2741</v>
      </c>
      <c r="K493" s="2" t="s">
        <v>23</v>
      </c>
      <c r="L493" s="1" t="s">
        <v>62</v>
      </c>
    </row>
    <row r="494">
      <c r="A494" s="1" t="s">
        <v>1915</v>
      </c>
      <c r="B494" s="1" t="s">
        <v>22</v>
      </c>
      <c r="C494" s="2" t="s">
        <v>46</v>
      </c>
      <c r="D494" s="2" t="s">
        <v>167</v>
      </c>
      <c r="E494" s="2" t="s">
        <v>990</v>
      </c>
      <c r="F494" s="2" t="s">
        <v>257</v>
      </c>
      <c r="G494" s="2" t="s">
        <v>351</v>
      </c>
      <c r="I494" s="2" t="s">
        <v>138</v>
      </c>
      <c r="J494" s="2" t="s">
        <v>2744</v>
      </c>
      <c r="K494" s="2" t="s">
        <v>117</v>
      </c>
      <c r="L494" s="1" t="s">
        <v>113</v>
      </c>
    </row>
    <row r="495">
      <c r="A495" s="1" t="s">
        <v>1919</v>
      </c>
      <c r="B495" s="1" t="s">
        <v>22</v>
      </c>
      <c r="C495" s="2" t="s">
        <v>46</v>
      </c>
      <c r="D495" s="2" t="s">
        <v>245</v>
      </c>
      <c r="E495" s="2" t="s">
        <v>1689</v>
      </c>
      <c r="F495" s="2" t="s">
        <v>31</v>
      </c>
      <c r="G495" s="2" t="s">
        <v>115</v>
      </c>
      <c r="H495" s="2" t="s">
        <v>218</v>
      </c>
      <c r="I495" s="2" t="s">
        <v>77</v>
      </c>
      <c r="J495" s="2" t="s">
        <v>2748</v>
      </c>
      <c r="K495" s="2" t="s">
        <v>38</v>
      </c>
      <c r="L495" s="1" t="s">
        <v>113</v>
      </c>
    </row>
    <row r="496">
      <c r="A496" s="1" t="s">
        <v>1921</v>
      </c>
      <c r="B496" s="1" t="s">
        <v>84</v>
      </c>
      <c r="C496" s="2" t="s">
        <v>23</v>
      </c>
      <c r="D496" s="2" t="s">
        <v>186</v>
      </c>
      <c r="E496" s="2" t="s">
        <v>36</v>
      </c>
      <c r="F496" s="2" t="s">
        <v>387</v>
      </c>
      <c r="G496" s="2" t="s">
        <v>68</v>
      </c>
      <c r="H496" s="2" t="s">
        <v>56</v>
      </c>
      <c r="I496" s="2" t="s">
        <v>77</v>
      </c>
      <c r="K496" s="2" t="s">
        <v>23</v>
      </c>
      <c r="L496" s="1" t="s">
        <v>62</v>
      </c>
    </row>
    <row r="497">
      <c r="A497" s="1" t="s">
        <v>1924</v>
      </c>
      <c r="B497" s="1" t="s">
        <v>22</v>
      </c>
      <c r="C497" s="2" t="s">
        <v>224</v>
      </c>
      <c r="D497" s="2" t="s">
        <v>2150</v>
      </c>
      <c r="E497" s="2" t="s">
        <v>412</v>
      </c>
      <c r="F497" s="2" t="s">
        <v>224</v>
      </c>
      <c r="G497" s="2" t="s">
        <v>115</v>
      </c>
      <c r="H497" s="2" t="s">
        <v>1091</v>
      </c>
      <c r="I497" s="2" t="s">
        <v>138</v>
      </c>
      <c r="J497" s="2" t="s">
        <v>1398</v>
      </c>
      <c r="K497" s="2" t="s">
        <v>23</v>
      </c>
      <c r="L497" s="1" t="s">
        <v>62</v>
      </c>
    </row>
    <row r="498">
      <c r="A498" s="1" t="s">
        <v>1925</v>
      </c>
      <c r="B498" s="1" t="s">
        <v>84</v>
      </c>
      <c r="C498" s="2" t="s">
        <v>167</v>
      </c>
      <c r="D498" s="2" t="s">
        <v>186</v>
      </c>
      <c r="E498" s="2" t="s">
        <v>1242</v>
      </c>
      <c r="F498" s="2" t="s">
        <v>135</v>
      </c>
      <c r="G498" s="2" t="s">
        <v>186</v>
      </c>
      <c r="H498" s="2" t="s">
        <v>218</v>
      </c>
      <c r="I498" s="2" t="s">
        <v>38</v>
      </c>
      <c r="J498" s="2" t="s">
        <v>2718</v>
      </c>
      <c r="K498" s="2" t="s">
        <v>38</v>
      </c>
      <c r="L498" s="1" t="s">
        <v>113</v>
      </c>
    </row>
    <row r="499">
      <c r="A499" s="1" t="s">
        <v>1928</v>
      </c>
      <c r="B499" s="1" t="s">
        <v>170</v>
      </c>
      <c r="C499" s="2" t="s">
        <v>95</v>
      </c>
      <c r="D499" s="2" t="s">
        <v>395</v>
      </c>
      <c r="E499" s="2" t="s">
        <v>944</v>
      </c>
      <c r="F499" s="2" t="s">
        <v>247</v>
      </c>
      <c r="G499" s="2" t="s">
        <v>104</v>
      </c>
      <c r="H499" s="2" t="s">
        <v>151</v>
      </c>
      <c r="I499" s="2" t="s">
        <v>138</v>
      </c>
      <c r="J499" s="2" t="s">
        <v>2764</v>
      </c>
      <c r="K499" s="2" t="s">
        <v>58</v>
      </c>
      <c r="L499" s="1" t="s">
        <v>113</v>
      </c>
    </row>
    <row r="500">
      <c r="A500" s="1" t="s">
        <v>1931</v>
      </c>
      <c r="B500" s="1" t="s">
        <v>44</v>
      </c>
      <c r="C500" s="2" t="s">
        <v>117</v>
      </c>
      <c r="D500" s="2" t="s">
        <v>300</v>
      </c>
      <c r="E500" s="2" t="s">
        <v>226</v>
      </c>
      <c r="F500" s="2" t="s">
        <v>365</v>
      </c>
      <c r="G500" s="2" t="s">
        <v>265</v>
      </c>
      <c r="H500" s="2" t="s">
        <v>116</v>
      </c>
      <c r="I500" s="2" t="s">
        <v>117</v>
      </c>
      <c r="J500" s="2" t="s">
        <v>2767</v>
      </c>
      <c r="K500" s="2" t="s">
        <v>38</v>
      </c>
      <c r="L500" s="1" t="s">
        <v>113</v>
      </c>
    </row>
    <row r="501">
      <c r="A501" s="1" t="s">
        <v>1933</v>
      </c>
      <c r="B501" s="1" t="s">
        <v>44</v>
      </c>
      <c r="C501" s="2" t="s">
        <v>167</v>
      </c>
      <c r="D501" s="2" t="s">
        <v>228</v>
      </c>
      <c r="E501" s="2" t="s">
        <v>297</v>
      </c>
      <c r="F501" s="2" t="s">
        <v>199</v>
      </c>
      <c r="G501" s="2" t="s">
        <v>375</v>
      </c>
      <c r="H501" s="2" t="s">
        <v>218</v>
      </c>
      <c r="I501" s="2" t="s">
        <v>138</v>
      </c>
      <c r="J501" s="1" t="s">
        <v>2772</v>
      </c>
      <c r="K501" s="2" t="s">
        <v>38</v>
      </c>
      <c r="L501" s="1" t="s">
        <v>62</v>
      </c>
    </row>
    <row r="502">
      <c r="A502" s="1" t="s">
        <v>1935</v>
      </c>
      <c r="B502" s="1" t="s">
        <v>65</v>
      </c>
      <c r="C502" s="2" t="s">
        <v>157</v>
      </c>
      <c r="D502" s="2" t="s">
        <v>339</v>
      </c>
      <c r="E502" s="2" t="s">
        <v>779</v>
      </c>
      <c r="F502" s="2" t="s">
        <v>149</v>
      </c>
      <c r="G502" s="2" t="s">
        <v>31</v>
      </c>
      <c r="H502" s="2" t="s">
        <v>56</v>
      </c>
      <c r="I502" s="2" t="s">
        <v>46</v>
      </c>
      <c r="J502" s="2" t="s">
        <v>2775</v>
      </c>
      <c r="K502" s="2" t="s">
        <v>154</v>
      </c>
    </row>
    <row r="503">
      <c r="A503" s="1" t="s">
        <v>1938</v>
      </c>
      <c r="B503" s="1" t="s">
        <v>84</v>
      </c>
      <c r="C503" s="2" t="s">
        <v>95</v>
      </c>
      <c r="D503" s="2" t="s">
        <v>351</v>
      </c>
      <c r="E503" s="2" t="s">
        <v>92</v>
      </c>
      <c r="F503" s="2" t="s">
        <v>213</v>
      </c>
      <c r="G503" s="2" t="s">
        <v>201</v>
      </c>
      <c r="H503" s="2" t="s">
        <v>218</v>
      </c>
      <c r="I503" s="2" t="s">
        <v>58</v>
      </c>
      <c r="J503" s="2" t="s">
        <v>1983</v>
      </c>
      <c r="K503" s="2" t="s">
        <v>167</v>
      </c>
      <c r="L503" s="1" t="s">
        <v>62</v>
      </c>
    </row>
    <row r="504">
      <c r="A504" s="1" t="s">
        <v>1942</v>
      </c>
      <c r="B504" s="1" t="s">
        <v>22</v>
      </c>
      <c r="C504" s="2" t="s">
        <v>23</v>
      </c>
      <c r="D504" s="2" t="s">
        <v>33</v>
      </c>
      <c r="E504" s="2" t="s">
        <v>270</v>
      </c>
      <c r="F504" s="2" t="s">
        <v>154</v>
      </c>
      <c r="G504" s="2" t="s">
        <v>448</v>
      </c>
      <c r="H504" s="2" t="s">
        <v>75</v>
      </c>
      <c r="I504" s="2" t="s">
        <v>46</v>
      </c>
      <c r="J504" s="2" t="s">
        <v>2782</v>
      </c>
      <c r="K504" s="2" t="s">
        <v>77</v>
      </c>
      <c r="L504" s="1" t="s">
        <v>113</v>
      </c>
    </row>
    <row r="505">
      <c r="A505" s="1" t="s">
        <v>1943</v>
      </c>
      <c r="B505" s="1" t="s">
        <v>65</v>
      </c>
      <c r="C505" s="2" t="s">
        <v>38</v>
      </c>
      <c r="D505" s="2" t="s">
        <v>395</v>
      </c>
      <c r="E505" s="2" t="s">
        <v>1909</v>
      </c>
      <c r="F505" s="2" t="s">
        <v>95</v>
      </c>
      <c r="G505" s="2" t="s">
        <v>213</v>
      </c>
      <c r="H505" s="2" t="s">
        <v>203</v>
      </c>
      <c r="I505" s="2" t="s">
        <v>58</v>
      </c>
      <c r="J505" s="2" t="s">
        <v>2786</v>
      </c>
      <c r="K505" s="2" t="s">
        <v>117</v>
      </c>
      <c r="L505" s="1" t="s">
        <v>113</v>
      </c>
    </row>
    <row r="506">
      <c r="A506" s="1" t="s">
        <v>1947</v>
      </c>
      <c r="B506" s="1" t="s">
        <v>65</v>
      </c>
      <c r="C506" s="2" t="s">
        <v>23</v>
      </c>
      <c r="D506" s="2" t="s">
        <v>224</v>
      </c>
      <c r="E506" s="2" t="s">
        <v>779</v>
      </c>
      <c r="F506" s="2" t="s">
        <v>265</v>
      </c>
      <c r="G506" s="2" t="s">
        <v>106</v>
      </c>
      <c r="H506" s="2" t="s">
        <v>163</v>
      </c>
      <c r="I506" s="2" t="s">
        <v>117</v>
      </c>
      <c r="J506" s="2" t="s">
        <v>2790</v>
      </c>
      <c r="K506" s="2" t="s">
        <v>95</v>
      </c>
      <c r="L506" s="1" t="s">
        <v>62</v>
      </c>
    </row>
    <row r="507">
      <c r="A507" s="1" t="s">
        <v>1950</v>
      </c>
      <c r="B507" s="1" t="s">
        <v>22</v>
      </c>
      <c r="C507" s="2" t="s">
        <v>38</v>
      </c>
      <c r="D507" s="2" t="s">
        <v>395</v>
      </c>
      <c r="E507" s="2" t="s">
        <v>384</v>
      </c>
      <c r="F507" s="2" t="s">
        <v>167</v>
      </c>
      <c r="G507" s="2" t="s">
        <v>245</v>
      </c>
      <c r="H507" s="2" t="s">
        <v>575</v>
      </c>
      <c r="I507" s="2" t="s">
        <v>138</v>
      </c>
      <c r="J507" s="2" t="s">
        <v>2793</v>
      </c>
      <c r="K507" s="2" t="s">
        <v>157</v>
      </c>
      <c r="L507" s="1" t="s">
        <v>62</v>
      </c>
    </row>
    <row r="508">
      <c r="A508" s="1" t="s">
        <v>1954</v>
      </c>
      <c r="B508" s="1" t="s">
        <v>44</v>
      </c>
      <c r="C508" s="2" t="s">
        <v>38</v>
      </c>
      <c r="D508" s="2" t="s">
        <v>245</v>
      </c>
      <c r="E508" s="2" t="s">
        <v>618</v>
      </c>
      <c r="F508" s="2" t="s">
        <v>54</v>
      </c>
      <c r="G508" s="2" t="s">
        <v>86</v>
      </c>
      <c r="I508" s="2" t="s">
        <v>77</v>
      </c>
      <c r="J508" s="2" t="s">
        <v>2798</v>
      </c>
      <c r="K508" s="2" t="s">
        <v>23</v>
      </c>
      <c r="L508" s="1" t="s">
        <v>62</v>
      </c>
    </row>
    <row r="509">
      <c r="A509" s="1" t="s">
        <v>1957</v>
      </c>
      <c r="B509" s="1" t="s">
        <v>65</v>
      </c>
      <c r="C509" s="2" t="s">
        <v>157</v>
      </c>
      <c r="D509" s="2" t="s">
        <v>73</v>
      </c>
      <c r="E509" s="2" t="s">
        <v>226</v>
      </c>
      <c r="F509" s="2" t="s">
        <v>448</v>
      </c>
      <c r="G509" s="2" t="s">
        <v>300</v>
      </c>
      <c r="H509" s="2" t="s">
        <v>178</v>
      </c>
      <c r="I509" s="2" t="s">
        <v>58</v>
      </c>
      <c r="J509" s="2" t="s">
        <v>2066</v>
      </c>
      <c r="K509" s="2" t="s">
        <v>23</v>
      </c>
      <c r="L509" s="1" t="s">
        <v>62</v>
      </c>
    </row>
    <row r="510">
      <c r="A510" s="1" t="s">
        <v>1959</v>
      </c>
      <c r="B510" s="1" t="s">
        <v>44</v>
      </c>
      <c r="C510" s="2" t="s">
        <v>46</v>
      </c>
      <c r="D510" s="2" t="s">
        <v>157</v>
      </c>
      <c r="E510" s="2" t="s">
        <v>855</v>
      </c>
      <c r="F510" s="2" t="s">
        <v>257</v>
      </c>
      <c r="G510" s="2" t="s">
        <v>351</v>
      </c>
      <c r="H510" s="2" t="s">
        <v>270</v>
      </c>
      <c r="I510" s="2" t="s">
        <v>117</v>
      </c>
      <c r="J510" s="2" t="s">
        <v>2804</v>
      </c>
      <c r="K510" s="2" t="s">
        <v>58</v>
      </c>
      <c r="L510" s="1" t="s">
        <v>113</v>
      </c>
    </row>
    <row r="511">
      <c r="A511" s="1" t="s">
        <v>1962</v>
      </c>
      <c r="B511" s="1" t="s">
        <v>65</v>
      </c>
      <c r="C511" s="2" t="s">
        <v>46</v>
      </c>
      <c r="D511" s="2" t="s">
        <v>245</v>
      </c>
      <c r="E511" s="2" t="s">
        <v>1044</v>
      </c>
      <c r="F511" s="2" t="s">
        <v>27</v>
      </c>
      <c r="G511" s="2" t="s">
        <v>395</v>
      </c>
      <c r="H511" s="2" t="s">
        <v>250</v>
      </c>
      <c r="I511" s="2" t="s">
        <v>117</v>
      </c>
      <c r="J511" s="2" t="s">
        <v>2807</v>
      </c>
      <c r="K511" s="2" t="s">
        <v>77</v>
      </c>
    </row>
    <row r="512">
      <c r="A512" s="1" t="s">
        <v>1964</v>
      </c>
      <c r="B512" s="1" t="s">
        <v>84</v>
      </c>
      <c r="C512" s="2" t="s">
        <v>95</v>
      </c>
      <c r="D512" s="2" t="s">
        <v>395</v>
      </c>
      <c r="E512" s="2" t="s">
        <v>405</v>
      </c>
      <c r="F512" s="2" t="s">
        <v>104</v>
      </c>
      <c r="G512" s="2" t="s">
        <v>162</v>
      </c>
      <c r="H512" s="2" t="s">
        <v>270</v>
      </c>
      <c r="I512" s="2" t="s">
        <v>138</v>
      </c>
      <c r="J512" s="2" t="s">
        <v>2812</v>
      </c>
      <c r="K512" s="2" t="s">
        <v>77</v>
      </c>
      <c r="L512" s="1" t="s">
        <v>113</v>
      </c>
    </row>
    <row r="513">
      <c r="A513" s="1" t="s">
        <v>1966</v>
      </c>
      <c r="B513" s="1" t="s">
        <v>22</v>
      </c>
      <c r="C513" s="2" t="s">
        <v>95</v>
      </c>
      <c r="D513" s="2" t="s">
        <v>201</v>
      </c>
      <c r="E513" s="2" t="s">
        <v>116</v>
      </c>
      <c r="F513" s="2" t="s">
        <v>201</v>
      </c>
      <c r="G513" s="2" t="s">
        <v>106</v>
      </c>
      <c r="I513" s="2" t="s">
        <v>117</v>
      </c>
      <c r="J513" s="2" t="s">
        <v>2816</v>
      </c>
      <c r="K513" s="2" t="s">
        <v>117</v>
      </c>
      <c r="L513" s="1" t="s">
        <v>113</v>
      </c>
    </row>
    <row r="514">
      <c r="A514" s="1" t="s">
        <v>1968</v>
      </c>
      <c r="B514" s="1" t="s">
        <v>44</v>
      </c>
      <c r="C514" s="2" t="s">
        <v>38</v>
      </c>
      <c r="D514" s="2" t="s">
        <v>245</v>
      </c>
      <c r="E514" s="2" t="s">
        <v>651</v>
      </c>
      <c r="F514" s="2" t="s">
        <v>135</v>
      </c>
      <c r="G514" s="2" t="s">
        <v>48</v>
      </c>
      <c r="H514" s="2" t="s">
        <v>163</v>
      </c>
      <c r="I514" s="2" t="s">
        <v>38</v>
      </c>
      <c r="J514" s="2" t="s">
        <v>2820</v>
      </c>
      <c r="K514" s="2" t="s">
        <v>23</v>
      </c>
    </row>
    <row r="515">
      <c r="A515" s="1" t="s">
        <v>1971</v>
      </c>
      <c r="B515" s="1" t="s">
        <v>44</v>
      </c>
      <c r="C515" s="2" t="s">
        <v>46</v>
      </c>
      <c r="D515" s="2" t="s">
        <v>71</v>
      </c>
      <c r="E515" s="2" t="s">
        <v>1423</v>
      </c>
      <c r="F515" s="2" t="s">
        <v>162</v>
      </c>
      <c r="G515" s="2" t="s">
        <v>201</v>
      </c>
      <c r="H515" s="2" t="s">
        <v>114</v>
      </c>
      <c r="I515" s="2" t="s">
        <v>38</v>
      </c>
      <c r="J515" s="2" t="s">
        <v>2825</v>
      </c>
      <c r="K515" s="2" t="s">
        <v>23</v>
      </c>
      <c r="L515" s="1" t="s">
        <v>62</v>
      </c>
    </row>
    <row r="516">
      <c r="A516" s="1" t="s">
        <v>1973</v>
      </c>
      <c r="B516" s="1" t="s">
        <v>170</v>
      </c>
      <c r="C516" s="2" t="s">
        <v>95</v>
      </c>
      <c r="D516" s="2" t="s">
        <v>48</v>
      </c>
      <c r="E516" s="2" t="s">
        <v>1708</v>
      </c>
      <c r="F516" s="2" t="s">
        <v>31</v>
      </c>
      <c r="G516" s="2" t="s">
        <v>808</v>
      </c>
      <c r="H516" s="2" t="s">
        <v>151</v>
      </c>
      <c r="I516" s="2" t="s">
        <v>58</v>
      </c>
      <c r="J516" s="2" t="s">
        <v>2827</v>
      </c>
      <c r="K516" s="2" t="s">
        <v>46</v>
      </c>
      <c r="L516" s="1" t="s">
        <v>62</v>
      </c>
    </row>
    <row r="517">
      <c r="A517" s="1" t="s">
        <v>1977</v>
      </c>
      <c r="B517" s="1" t="s">
        <v>170</v>
      </c>
      <c r="C517" s="2" t="s">
        <v>95</v>
      </c>
      <c r="D517" s="2" t="s">
        <v>162</v>
      </c>
      <c r="E517" s="2" t="s">
        <v>584</v>
      </c>
      <c r="F517" s="2" t="s">
        <v>199</v>
      </c>
      <c r="G517" s="2" t="s">
        <v>395</v>
      </c>
      <c r="H517" s="2" t="s">
        <v>250</v>
      </c>
      <c r="I517" s="2" t="s">
        <v>58</v>
      </c>
      <c r="J517" s="2" t="s">
        <v>2832</v>
      </c>
      <c r="K517" s="2" t="s">
        <v>23</v>
      </c>
      <c r="L517" s="1" t="s">
        <v>62</v>
      </c>
    </row>
    <row r="518">
      <c r="A518" s="1" t="s">
        <v>1979</v>
      </c>
      <c r="B518" s="1" t="s">
        <v>22</v>
      </c>
      <c r="C518" s="2" t="s">
        <v>95</v>
      </c>
      <c r="D518" s="2" t="s">
        <v>31</v>
      </c>
      <c r="E518" s="2" t="s">
        <v>672</v>
      </c>
      <c r="F518" s="2" t="s">
        <v>808</v>
      </c>
      <c r="G518" s="2" t="s">
        <v>351</v>
      </c>
      <c r="H518" s="2" t="s">
        <v>250</v>
      </c>
      <c r="I518" s="2" t="s">
        <v>38</v>
      </c>
      <c r="K518" s="2" t="s">
        <v>46</v>
      </c>
    </row>
    <row r="519">
      <c r="A519" s="1" t="s">
        <v>1982</v>
      </c>
      <c r="B519" s="1" t="s">
        <v>65</v>
      </c>
      <c r="C519" s="2" t="s">
        <v>95</v>
      </c>
      <c r="D519" s="2" t="s">
        <v>68</v>
      </c>
      <c r="E519" s="2" t="s">
        <v>146</v>
      </c>
      <c r="F519" s="2" t="s">
        <v>1049</v>
      </c>
      <c r="G519" s="2" t="s">
        <v>199</v>
      </c>
      <c r="I519" s="2" t="s">
        <v>38</v>
      </c>
      <c r="J519" s="2" t="s">
        <v>2839</v>
      </c>
      <c r="K519" s="2" t="s">
        <v>23</v>
      </c>
      <c r="L519" s="1" t="s">
        <v>62</v>
      </c>
    </row>
    <row r="520">
      <c r="A520" s="1" t="s">
        <v>1984</v>
      </c>
      <c r="B520" s="1" t="s">
        <v>44</v>
      </c>
      <c r="C520" s="2" t="s">
        <v>38</v>
      </c>
      <c r="D520" s="2" t="s">
        <v>157</v>
      </c>
      <c r="E520" s="2" t="s">
        <v>1275</v>
      </c>
      <c r="F520" s="2" t="s">
        <v>149</v>
      </c>
      <c r="G520" s="2" t="s">
        <v>106</v>
      </c>
      <c r="H520" s="2" t="s">
        <v>116</v>
      </c>
      <c r="I520" s="2" t="s">
        <v>138</v>
      </c>
      <c r="J520" s="2" t="s">
        <v>2841</v>
      </c>
      <c r="K520" s="2" t="s">
        <v>23</v>
      </c>
      <c r="L520" s="1" t="s">
        <v>62</v>
      </c>
    </row>
    <row r="521">
      <c r="A521" s="1" t="s">
        <v>1987</v>
      </c>
      <c r="B521" s="1" t="s">
        <v>22</v>
      </c>
      <c r="C521" s="2" t="s">
        <v>23</v>
      </c>
      <c r="D521" s="2" t="s">
        <v>339</v>
      </c>
      <c r="E521" s="2" t="s">
        <v>1170</v>
      </c>
      <c r="F521" s="2" t="s">
        <v>290</v>
      </c>
      <c r="G521" s="2" t="s">
        <v>199</v>
      </c>
      <c r="H521" s="2" t="s">
        <v>114</v>
      </c>
      <c r="I521" s="2" t="s">
        <v>117</v>
      </c>
      <c r="J521" s="2" t="s">
        <v>2843</v>
      </c>
      <c r="K521" s="2" t="s">
        <v>46</v>
      </c>
      <c r="L521" s="1" t="s">
        <v>113</v>
      </c>
    </row>
    <row r="522">
      <c r="A522" s="1" t="s">
        <v>1990</v>
      </c>
      <c r="B522" s="1" t="s">
        <v>84</v>
      </c>
      <c r="C522" s="2" t="s">
        <v>117</v>
      </c>
      <c r="D522" s="2" t="s">
        <v>33</v>
      </c>
      <c r="E522" s="2" t="s">
        <v>146</v>
      </c>
      <c r="F522" s="2" t="s">
        <v>68</v>
      </c>
      <c r="G522" s="2" t="s">
        <v>186</v>
      </c>
      <c r="H522" s="2" t="s">
        <v>250</v>
      </c>
      <c r="I522" s="2" t="s">
        <v>117</v>
      </c>
      <c r="J522" s="2" t="s">
        <v>2844</v>
      </c>
      <c r="K522" s="2" t="s">
        <v>157</v>
      </c>
    </row>
    <row r="523">
      <c r="A523" s="1" t="s">
        <v>1994</v>
      </c>
      <c r="B523" s="1" t="s">
        <v>22</v>
      </c>
      <c r="C523" s="2" t="s">
        <v>23</v>
      </c>
      <c r="D523" s="2" t="s">
        <v>265</v>
      </c>
      <c r="E523" s="2" t="s">
        <v>664</v>
      </c>
      <c r="F523" s="2" t="s">
        <v>290</v>
      </c>
      <c r="G523" s="2" t="s">
        <v>54</v>
      </c>
      <c r="H523" s="2" t="s">
        <v>218</v>
      </c>
      <c r="I523" s="2" t="s">
        <v>58</v>
      </c>
      <c r="J523" s="2" t="s">
        <v>1797</v>
      </c>
      <c r="K523" s="2" t="s">
        <v>167</v>
      </c>
      <c r="L523" s="1" t="s">
        <v>62</v>
      </c>
    </row>
    <row r="524">
      <c r="A524" s="1" t="s">
        <v>1997</v>
      </c>
      <c r="B524" s="1" t="s">
        <v>44</v>
      </c>
      <c r="C524" s="2" t="s">
        <v>38</v>
      </c>
      <c r="D524" s="2" t="s">
        <v>95</v>
      </c>
      <c r="E524" s="2" t="s">
        <v>29</v>
      </c>
      <c r="F524" s="2" t="s">
        <v>395</v>
      </c>
      <c r="G524" s="2" t="s">
        <v>106</v>
      </c>
      <c r="H524" s="2" t="s">
        <v>178</v>
      </c>
      <c r="I524" s="2" t="s">
        <v>138</v>
      </c>
      <c r="J524" s="2" t="s">
        <v>2845</v>
      </c>
      <c r="K524" s="2" t="s">
        <v>157</v>
      </c>
      <c r="L524" s="1" t="s">
        <v>62</v>
      </c>
    </row>
    <row r="525">
      <c r="A525" s="1" t="s">
        <v>1999</v>
      </c>
      <c r="B525" s="1" t="s">
        <v>65</v>
      </c>
      <c r="C525" s="2" t="s">
        <v>38</v>
      </c>
      <c r="D525" s="2" t="s">
        <v>224</v>
      </c>
      <c r="E525" s="2" t="s">
        <v>270</v>
      </c>
      <c r="F525" s="2" t="s">
        <v>157</v>
      </c>
      <c r="G525" s="2" t="s">
        <v>27</v>
      </c>
      <c r="H525" s="2" t="s">
        <v>203</v>
      </c>
      <c r="I525" s="2" t="s">
        <v>38</v>
      </c>
      <c r="J525" s="2" t="s">
        <v>2846</v>
      </c>
      <c r="K525" s="2" t="s">
        <v>95</v>
      </c>
      <c r="L525" s="1" t="s">
        <v>62</v>
      </c>
    </row>
    <row r="526">
      <c r="A526" s="1" t="s">
        <v>1999</v>
      </c>
      <c r="B526" s="1" t="s">
        <v>65</v>
      </c>
      <c r="C526" s="2" t="s">
        <v>38</v>
      </c>
      <c r="D526" s="2" t="s">
        <v>224</v>
      </c>
      <c r="E526" s="2" t="s">
        <v>270</v>
      </c>
      <c r="F526" s="2" t="s">
        <v>157</v>
      </c>
      <c r="G526" s="2" t="s">
        <v>27</v>
      </c>
      <c r="H526" s="2" t="s">
        <v>203</v>
      </c>
      <c r="I526" s="2" t="s">
        <v>38</v>
      </c>
      <c r="J526" s="2" t="s">
        <v>2846</v>
      </c>
      <c r="K526" s="2" t="s">
        <v>95</v>
      </c>
      <c r="L526" s="1" t="s">
        <v>62</v>
      </c>
    </row>
    <row r="527">
      <c r="A527" s="1" t="s">
        <v>2001</v>
      </c>
      <c r="B527" s="1" t="s">
        <v>84</v>
      </c>
      <c r="C527" s="2" t="s">
        <v>224</v>
      </c>
      <c r="D527" s="2" t="s">
        <v>448</v>
      </c>
      <c r="E527" s="2" t="s">
        <v>2464</v>
      </c>
      <c r="F527" s="2" t="s">
        <v>106</v>
      </c>
      <c r="G527" s="2" t="s">
        <v>54</v>
      </c>
      <c r="H527" s="2" t="s">
        <v>310</v>
      </c>
      <c r="I527" s="2" t="s">
        <v>58</v>
      </c>
      <c r="J527" s="2" t="s">
        <v>2847</v>
      </c>
      <c r="K527" s="2" t="s">
        <v>167</v>
      </c>
      <c r="L527" s="1" t="s">
        <v>62</v>
      </c>
    </row>
    <row r="528">
      <c r="A528" s="1" t="s">
        <v>2003</v>
      </c>
      <c r="B528" s="1" t="s">
        <v>22</v>
      </c>
      <c r="C528" s="2" t="s">
        <v>157</v>
      </c>
      <c r="D528" s="2" t="s">
        <v>248</v>
      </c>
      <c r="E528" s="2" t="s">
        <v>2133</v>
      </c>
      <c r="F528" s="2" t="s">
        <v>154</v>
      </c>
      <c r="G528" s="2" t="s">
        <v>27</v>
      </c>
      <c r="H528" s="2" t="s">
        <v>218</v>
      </c>
      <c r="I528" s="2" t="s">
        <v>46</v>
      </c>
      <c r="J528" s="2" t="s">
        <v>2595</v>
      </c>
      <c r="K528" s="2" t="s">
        <v>77</v>
      </c>
      <c r="L528" s="1" t="s">
        <v>113</v>
      </c>
    </row>
    <row r="529">
      <c r="A529" s="1" t="s">
        <v>2006</v>
      </c>
      <c r="B529" s="1" t="s">
        <v>22</v>
      </c>
      <c r="C529" s="2" t="s">
        <v>157</v>
      </c>
      <c r="D529" s="2" t="s">
        <v>338</v>
      </c>
      <c r="E529" s="2" t="s">
        <v>178</v>
      </c>
      <c r="F529" s="2" t="s">
        <v>54</v>
      </c>
      <c r="G529" s="2" t="s">
        <v>395</v>
      </c>
      <c r="H529" s="2" t="s">
        <v>218</v>
      </c>
      <c r="I529" s="2" t="s">
        <v>138</v>
      </c>
      <c r="J529" s="2" t="s">
        <v>2848</v>
      </c>
      <c r="K529" s="2" t="s">
        <v>117</v>
      </c>
      <c r="L529" s="1" t="s">
        <v>113</v>
      </c>
    </row>
    <row r="530">
      <c r="A530" s="1" t="s">
        <v>2010</v>
      </c>
      <c r="B530" s="1" t="s">
        <v>170</v>
      </c>
      <c r="C530" s="2" t="s">
        <v>46</v>
      </c>
      <c r="D530" s="2" t="s">
        <v>149</v>
      </c>
      <c r="E530" s="2" t="s">
        <v>116</v>
      </c>
      <c r="F530" s="2" t="s">
        <v>175</v>
      </c>
      <c r="G530" s="2" t="s">
        <v>135</v>
      </c>
      <c r="H530" s="2" t="s">
        <v>203</v>
      </c>
      <c r="I530" s="2" t="s">
        <v>138</v>
      </c>
      <c r="J530" s="2" t="s">
        <v>2849</v>
      </c>
      <c r="K530" s="2" t="s">
        <v>23</v>
      </c>
      <c r="L530" s="1" t="s">
        <v>62</v>
      </c>
    </row>
    <row r="531">
      <c r="A531" s="1" t="s">
        <v>2012</v>
      </c>
      <c r="B531" s="1" t="s">
        <v>44</v>
      </c>
      <c r="C531" s="2" t="s">
        <v>77</v>
      </c>
      <c r="D531" s="2" t="s">
        <v>23</v>
      </c>
      <c r="E531" s="2" t="s">
        <v>412</v>
      </c>
      <c r="F531" s="2" t="s">
        <v>27</v>
      </c>
      <c r="G531" s="2" t="s">
        <v>54</v>
      </c>
      <c r="H531" s="2" t="s">
        <v>36</v>
      </c>
      <c r="I531" s="2" t="s">
        <v>58</v>
      </c>
      <c r="J531" s="2" t="s">
        <v>1768</v>
      </c>
      <c r="K531" s="2" t="s">
        <v>157</v>
      </c>
      <c r="L531" s="1" t="s">
        <v>62</v>
      </c>
    </row>
    <row r="532">
      <c r="A532" s="1" t="s">
        <v>2016</v>
      </c>
      <c r="B532" s="1" t="s">
        <v>65</v>
      </c>
      <c r="C532" s="2" t="s">
        <v>46</v>
      </c>
      <c r="D532" s="2" t="s">
        <v>31</v>
      </c>
      <c r="E532" s="2" t="s">
        <v>1333</v>
      </c>
      <c r="F532" s="2" t="s">
        <v>461</v>
      </c>
      <c r="G532" s="2" t="s">
        <v>186</v>
      </c>
      <c r="H532" s="2" t="s">
        <v>108</v>
      </c>
      <c r="I532" s="2" t="s">
        <v>46</v>
      </c>
      <c r="J532" s="2" t="s">
        <v>2850</v>
      </c>
      <c r="K532" s="2" t="s">
        <v>38</v>
      </c>
      <c r="L532" s="1" t="s">
        <v>113</v>
      </c>
    </row>
    <row r="533">
      <c r="A533" s="1" t="s">
        <v>2018</v>
      </c>
      <c r="B533" s="1" t="s">
        <v>44</v>
      </c>
      <c r="C533" s="2" t="s">
        <v>23</v>
      </c>
      <c r="D533" s="2" t="s">
        <v>224</v>
      </c>
      <c r="E533" s="2" t="s">
        <v>672</v>
      </c>
      <c r="F533" s="2" t="s">
        <v>514</v>
      </c>
      <c r="G533" s="2" t="s">
        <v>106</v>
      </c>
      <c r="H533" s="2" t="s">
        <v>463</v>
      </c>
      <c r="I533" s="2" t="s">
        <v>138</v>
      </c>
      <c r="J533" s="2" t="s">
        <v>2851</v>
      </c>
      <c r="K533" s="2" t="s">
        <v>157</v>
      </c>
    </row>
    <row r="534">
      <c r="A534" s="1" t="s">
        <v>2021</v>
      </c>
      <c r="B534" s="1" t="s">
        <v>44</v>
      </c>
      <c r="C534" s="2" t="s">
        <v>46</v>
      </c>
      <c r="D534" s="2" t="s">
        <v>300</v>
      </c>
      <c r="E534" s="2" t="s">
        <v>739</v>
      </c>
      <c r="F534" s="2" t="s">
        <v>86</v>
      </c>
      <c r="G534" s="2" t="s">
        <v>338</v>
      </c>
      <c r="H534" s="2" t="s">
        <v>114</v>
      </c>
      <c r="I534" s="2" t="s">
        <v>58</v>
      </c>
      <c r="J534" s="2" t="s">
        <v>2852</v>
      </c>
      <c r="K534" s="2" t="s">
        <v>23</v>
      </c>
      <c r="L534" s="1" t="s">
        <v>62</v>
      </c>
    </row>
    <row r="535">
      <c r="A535" s="1" t="s">
        <v>2023</v>
      </c>
      <c r="B535" s="1" t="s">
        <v>84</v>
      </c>
      <c r="C535" s="2" t="s">
        <v>46</v>
      </c>
      <c r="D535" s="2" t="s">
        <v>33</v>
      </c>
      <c r="E535" s="2" t="s">
        <v>2853</v>
      </c>
      <c r="F535" s="2" t="s">
        <v>186</v>
      </c>
      <c r="G535" s="2" t="s">
        <v>31</v>
      </c>
      <c r="H535" s="2" t="s">
        <v>178</v>
      </c>
      <c r="I535" s="2" t="s">
        <v>77</v>
      </c>
      <c r="J535" s="2" t="s">
        <v>2854</v>
      </c>
      <c r="K535" s="2" t="s">
        <v>38</v>
      </c>
      <c r="L535" s="1" t="s">
        <v>113</v>
      </c>
    </row>
    <row r="536">
      <c r="A536" s="1" t="s">
        <v>2025</v>
      </c>
      <c r="B536" s="1" t="s">
        <v>65</v>
      </c>
      <c r="C536" s="2" t="s">
        <v>157</v>
      </c>
      <c r="D536" s="2" t="s">
        <v>115</v>
      </c>
      <c r="E536" s="2" t="s">
        <v>560</v>
      </c>
      <c r="F536" s="2" t="s">
        <v>395</v>
      </c>
      <c r="G536" s="2" t="s">
        <v>351</v>
      </c>
      <c r="H536" s="2" t="s">
        <v>250</v>
      </c>
      <c r="I536" s="2" t="s">
        <v>38</v>
      </c>
      <c r="J536" s="2" t="s">
        <v>2855</v>
      </c>
      <c r="K536" s="2" t="s">
        <v>77</v>
      </c>
      <c r="L536" s="1" t="s">
        <v>113</v>
      </c>
    </row>
    <row r="537">
      <c r="A537" s="1" t="s">
        <v>2028</v>
      </c>
      <c r="B537" s="1" t="s">
        <v>44</v>
      </c>
      <c r="C537" s="2" t="s">
        <v>95</v>
      </c>
      <c r="D537" s="2" t="s">
        <v>73</v>
      </c>
      <c r="E537" s="2" t="s">
        <v>446</v>
      </c>
      <c r="F537" s="2" t="s">
        <v>175</v>
      </c>
      <c r="G537" s="2" t="s">
        <v>31</v>
      </c>
      <c r="H537" s="2" t="s">
        <v>92</v>
      </c>
      <c r="I537" s="2" t="s">
        <v>38</v>
      </c>
      <c r="J537" s="2" t="s">
        <v>2856</v>
      </c>
      <c r="K537" s="2" t="s">
        <v>23</v>
      </c>
      <c r="L537" s="1" t="s">
        <v>62</v>
      </c>
    </row>
    <row r="538">
      <c r="A538" s="1" t="s">
        <v>2029</v>
      </c>
      <c r="B538" s="1" t="s">
        <v>65</v>
      </c>
      <c r="C538" s="2" t="s">
        <v>167</v>
      </c>
      <c r="D538" s="2" t="s">
        <v>201</v>
      </c>
      <c r="E538" s="2" t="s">
        <v>288</v>
      </c>
      <c r="F538" s="2" t="s">
        <v>300</v>
      </c>
      <c r="G538" s="2" t="s">
        <v>115</v>
      </c>
      <c r="H538" s="2" t="s">
        <v>310</v>
      </c>
      <c r="I538" s="2" t="s">
        <v>46</v>
      </c>
      <c r="J538" s="2" t="s">
        <v>2857</v>
      </c>
      <c r="K538" s="2" t="s">
        <v>46</v>
      </c>
      <c r="L538" s="1" t="s">
        <v>62</v>
      </c>
    </row>
    <row r="539">
      <c r="A539" s="1" t="s">
        <v>2030</v>
      </c>
      <c r="B539" s="1" t="s">
        <v>22</v>
      </c>
      <c r="C539" s="2" t="s">
        <v>46</v>
      </c>
      <c r="D539" s="2" t="s">
        <v>201</v>
      </c>
      <c r="E539" s="2" t="s">
        <v>522</v>
      </c>
      <c r="F539" s="2" t="s">
        <v>461</v>
      </c>
      <c r="G539" s="2" t="s">
        <v>351</v>
      </c>
      <c r="H539" s="2" t="s">
        <v>1091</v>
      </c>
      <c r="I539" s="2" t="s">
        <v>117</v>
      </c>
      <c r="J539" s="2" t="s">
        <v>2858</v>
      </c>
      <c r="K539" s="2" t="s">
        <v>77</v>
      </c>
      <c r="L539" s="1" t="s">
        <v>113</v>
      </c>
    </row>
    <row r="540">
      <c r="A540" s="1" t="s">
        <v>2033</v>
      </c>
      <c r="B540" s="1" t="s">
        <v>84</v>
      </c>
      <c r="C540" s="2" t="s">
        <v>38</v>
      </c>
      <c r="D540" s="2" t="s">
        <v>167</v>
      </c>
      <c r="E540" s="2" t="s">
        <v>672</v>
      </c>
      <c r="F540" s="2" t="s">
        <v>54</v>
      </c>
      <c r="G540" s="2" t="s">
        <v>339</v>
      </c>
      <c r="H540" s="2" t="s">
        <v>203</v>
      </c>
      <c r="I540" s="2" t="s">
        <v>117</v>
      </c>
      <c r="J540" s="2" t="s">
        <v>378</v>
      </c>
      <c r="K540" s="2" t="s">
        <v>157</v>
      </c>
      <c r="L540" s="1" t="s">
        <v>62</v>
      </c>
    </row>
    <row r="541">
      <c r="A541" s="1" t="s">
        <v>2036</v>
      </c>
      <c r="B541" s="1" t="s">
        <v>22</v>
      </c>
      <c r="C541" s="2" t="s">
        <v>58</v>
      </c>
      <c r="D541" s="2" t="s">
        <v>77</v>
      </c>
      <c r="E541" s="2" t="s">
        <v>2859</v>
      </c>
      <c r="F541" s="2" t="s">
        <v>1049</v>
      </c>
      <c r="G541" s="2" t="s">
        <v>228</v>
      </c>
      <c r="H541" s="2" t="s">
        <v>218</v>
      </c>
      <c r="I541" s="2" t="s">
        <v>38</v>
      </c>
      <c r="J541" s="2" t="s">
        <v>2860</v>
      </c>
      <c r="K541" s="2" t="s">
        <v>154</v>
      </c>
      <c r="L541" s="1" t="s">
        <v>62</v>
      </c>
    </row>
    <row r="542">
      <c r="A542" s="1" t="s">
        <v>2038</v>
      </c>
      <c r="B542" s="1" t="s">
        <v>44</v>
      </c>
      <c r="C542" s="2" t="s">
        <v>46</v>
      </c>
      <c r="D542" s="2" t="s">
        <v>339</v>
      </c>
      <c r="E542" s="2" t="s">
        <v>522</v>
      </c>
      <c r="F542" s="2" t="s">
        <v>257</v>
      </c>
      <c r="G542" s="2" t="s">
        <v>106</v>
      </c>
      <c r="H542" s="2" t="s">
        <v>250</v>
      </c>
      <c r="I542" s="2" t="s">
        <v>138</v>
      </c>
      <c r="J542" s="2" t="s">
        <v>2861</v>
      </c>
      <c r="K542" s="2" t="s">
        <v>95</v>
      </c>
      <c r="L542" s="1" t="s">
        <v>62</v>
      </c>
    </row>
    <row r="543">
      <c r="A543" s="1" t="s">
        <v>2041</v>
      </c>
      <c r="B543" s="1" t="s">
        <v>84</v>
      </c>
      <c r="C543" s="2" t="s">
        <v>77</v>
      </c>
      <c r="D543" s="2" t="s">
        <v>117</v>
      </c>
      <c r="E543" s="2" t="s">
        <v>1909</v>
      </c>
      <c r="F543" s="2" t="s">
        <v>95</v>
      </c>
      <c r="G543" s="2" t="s">
        <v>375</v>
      </c>
      <c r="H543" s="2" t="s">
        <v>218</v>
      </c>
      <c r="I543" s="2" t="s">
        <v>77</v>
      </c>
      <c r="J543" s="2" t="s">
        <v>2862</v>
      </c>
      <c r="K543" s="2" t="s">
        <v>77</v>
      </c>
      <c r="L543" s="1" t="s">
        <v>113</v>
      </c>
    </row>
    <row r="544">
      <c r="A544" s="1" t="s">
        <v>2044</v>
      </c>
      <c r="B544" s="1" t="s">
        <v>22</v>
      </c>
      <c r="C544" s="2" t="s">
        <v>46</v>
      </c>
      <c r="D544" s="2" t="s">
        <v>33</v>
      </c>
      <c r="E544" s="2" t="s">
        <v>746</v>
      </c>
      <c r="F544" s="2" t="s">
        <v>1049</v>
      </c>
      <c r="G544" s="2" t="s">
        <v>186</v>
      </c>
      <c r="H544" s="2" t="s">
        <v>310</v>
      </c>
      <c r="I544" s="2" t="s">
        <v>46</v>
      </c>
      <c r="J544" s="2" t="s">
        <v>2863</v>
      </c>
      <c r="K544" s="2" t="s">
        <v>23</v>
      </c>
      <c r="L544" s="1" t="s">
        <v>62</v>
      </c>
    </row>
    <row r="545">
      <c r="A545" s="1" t="s">
        <v>2046</v>
      </c>
      <c r="B545" s="1" t="s">
        <v>65</v>
      </c>
      <c r="C545" s="2" t="s">
        <v>38</v>
      </c>
      <c r="D545" s="2" t="s">
        <v>167</v>
      </c>
      <c r="E545" s="2" t="s">
        <v>584</v>
      </c>
      <c r="F545" s="2" t="s">
        <v>33</v>
      </c>
      <c r="G545" s="2" t="s">
        <v>395</v>
      </c>
      <c r="H545" s="2" t="s">
        <v>92</v>
      </c>
      <c r="I545" s="2" t="s">
        <v>58</v>
      </c>
      <c r="J545" s="2" t="s">
        <v>2864</v>
      </c>
      <c r="K545" s="2" t="s">
        <v>38</v>
      </c>
    </row>
    <row r="546">
      <c r="A546" s="1" t="s">
        <v>2048</v>
      </c>
      <c r="B546" s="1" t="s">
        <v>84</v>
      </c>
      <c r="C546" s="2" t="s">
        <v>23</v>
      </c>
      <c r="D546" s="2" t="s">
        <v>162</v>
      </c>
      <c r="E546" s="2" t="s">
        <v>651</v>
      </c>
      <c r="F546" s="2" t="s">
        <v>162</v>
      </c>
      <c r="G546" s="2" t="s">
        <v>175</v>
      </c>
      <c r="H546" s="2" t="s">
        <v>163</v>
      </c>
      <c r="I546" s="2" t="s">
        <v>58</v>
      </c>
      <c r="J546" s="2" t="s">
        <v>2857</v>
      </c>
      <c r="K546" s="2" t="s">
        <v>23</v>
      </c>
      <c r="L546" s="1" t="s">
        <v>62</v>
      </c>
    </row>
    <row r="547">
      <c r="A547" s="1" t="s">
        <v>2052</v>
      </c>
      <c r="B547" s="1" t="s">
        <v>22</v>
      </c>
      <c r="C547" s="2" t="s">
        <v>95</v>
      </c>
      <c r="D547" s="2" t="s">
        <v>48</v>
      </c>
      <c r="E547" s="2" t="s">
        <v>626</v>
      </c>
      <c r="F547" s="2" t="s">
        <v>54</v>
      </c>
      <c r="G547" s="2" t="s">
        <v>68</v>
      </c>
      <c r="H547" s="2" t="s">
        <v>463</v>
      </c>
      <c r="I547" s="2" t="s">
        <v>77</v>
      </c>
      <c r="J547" s="2" t="s">
        <v>2865</v>
      </c>
      <c r="K547" s="2" t="s">
        <v>77</v>
      </c>
    </row>
    <row r="548">
      <c r="A548" s="1" t="s">
        <v>2055</v>
      </c>
      <c r="B548" s="1" t="s">
        <v>22</v>
      </c>
      <c r="C548" s="2" t="s">
        <v>95</v>
      </c>
      <c r="D548" s="2" t="s">
        <v>245</v>
      </c>
      <c r="E548" s="2" t="s">
        <v>203</v>
      </c>
      <c r="F548" s="2" t="s">
        <v>339</v>
      </c>
      <c r="G548" s="2" t="s">
        <v>27</v>
      </c>
      <c r="H548" s="2" t="s">
        <v>412</v>
      </c>
      <c r="I548" s="2" t="s">
        <v>138</v>
      </c>
      <c r="J548" s="2" t="s">
        <v>2866</v>
      </c>
      <c r="K548" s="2" t="s">
        <v>58</v>
      </c>
      <c r="L548" s="1" t="s">
        <v>113</v>
      </c>
    </row>
    <row r="549">
      <c r="A549" s="1" t="s">
        <v>2057</v>
      </c>
      <c r="B549" s="1" t="s">
        <v>65</v>
      </c>
      <c r="C549" s="2" t="s">
        <v>46</v>
      </c>
      <c r="D549" s="2" t="s">
        <v>213</v>
      </c>
      <c r="E549" s="2" t="s">
        <v>2556</v>
      </c>
      <c r="F549" s="2" t="s">
        <v>1088</v>
      </c>
      <c r="G549" s="2" t="s">
        <v>265</v>
      </c>
      <c r="H549" s="2" t="s">
        <v>56</v>
      </c>
      <c r="I549" s="2" t="s">
        <v>77</v>
      </c>
      <c r="J549" s="2" t="s">
        <v>2867</v>
      </c>
      <c r="K549" s="2" t="s">
        <v>38</v>
      </c>
      <c r="L549" s="1" t="s">
        <v>113</v>
      </c>
    </row>
    <row r="550">
      <c r="A550" s="1" t="s">
        <v>2060</v>
      </c>
      <c r="B550" s="1" t="s">
        <v>84</v>
      </c>
      <c r="C550" s="2" t="s">
        <v>46</v>
      </c>
      <c r="D550" s="2" t="s">
        <v>68</v>
      </c>
      <c r="E550" s="2" t="s">
        <v>1133</v>
      </c>
      <c r="F550" s="2" t="s">
        <v>213</v>
      </c>
      <c r="G550" s="2" t="s">
        <v>68</v>
      </c>
      <c r="H550" s="2" t="s">
        <v>270</v>
      </c>
      <c r="I550" s="2" t="s">
        <v>58</v>
      </c>
      <c r="J550" s="2" t="s">
        <v>2868</v>
      </c>
      <c r="K550" s="2" t="s">
        <v>95</v>
      </c>
      <c r="L550" s="1" t="s">
        <v>62</v>
      </c>
    </row>
    <row r="551">
      <c r="A551" s="1" t="s">
        <v>2063</v>
      </c>
      <c r="B551" s="1" t="s">
        <v>65</v>
      </c>
      <c r="C551" s="2" t="s">
        <v>23</v>
      </c>
      <c r="D551" s="2" t="s">
        <v>135</v>
      </c>
      <c r="E551" s="2" t="s">
        <v>337</v>
      </c>
      <c r="F551" s="2" t="s">
        <v>338</v>
      </c>
      <c r="G551" s="2" t="s">
        <v>48</v>
      </c>
      <c r="H551" s="2" t="s">
        <v>116</v>
      </c>
      <c r="I551" s="2" t="s">
        <v>117</v>
      </c>
      <c r="J551" s="2" t="s">
        <v>2869</v>
      </c>
      <c r="K551" s="2" t="s">
        <v>38</v>
      </c>
      <c r="L551" s="1" t="s">
        <v>113</v>
      </c>
    </row>
    <row r="552">
      <c r="A552" s="1" t="s">
        <v>21</v>
      </c>
      <c r="B552" s="1" t="s">
        <v>22</v>
      </c>
      <c r="C552" s="2" t="s">
        <v>23</v>
      </c>
      <c r="D552" s="2" t="s">
        <v>27</v>
      </c>
      <c r="E552" s="2" t="s">
        <v>29</v>
      </c>
      <c r="F552" s="2" t="s">
        <v>31</v>
      </c>
      <c r="G552" s="2" t="s">
        <v>33</v>
      </c>
      <c r="H552" s="2" t="s">
        <v>36</v>
      </c>
      <c r="I552" s="2" t="s">
        <v>38</v>
      </c>
      <c r="J552" s="2" t="s">
        <v>39</v>
      </c>
      <c r="K552" s="2" t="s">
        <v>23</v>
      </c>
    </row>
    <row r="553">
      <c r="A553" s="1" t="s">
        <v>40</v>
      </c>
      <c r="B553" s="1" t="s">
        <v>44</v>
      </c>
      <c r="C553" s="2" t="s">
        <v>46</v>
      </c>
      <c r="D553" s="2" t="s">
        <v>48</v>
      </c>
      <c r="E553" s="2" t="s">
        <v>51</v>
      </c>
      <c r="F553" s="2" t="s">
        <v>53</v>
      </c>
      <c r="G553" s="2" t="s">
        <v>54</v>
      </c>
      <c r="H553" s="2" t="s">
        <v>56</v>
      </c>
      <c r="I553" s="2" t="s">
        <v>58</v>
      </c>
      <c r="J553" s="2" t="s">
        <v>60</v>
      </c>
      <c r="K553" s="2" t="s">
        <v>23</v>
      </c>
      <c r="L553" s="1" t="s">
        <v>62</v>
      </c>
    </row>
    <row r="554">
      <c r="A554" s="1" t="s">
        <v>40</v>
      </c>
      <c r="B554" s="1" t="s">
        <v>44</v>
      </c>
      <c r="C554" s="2" t="s">
        <v>46</v>
      </c>
      <c r="D554" s="2" t="s">
        <v>48</v>
      </c>
      <c r="E554" s="2" t="s">
        <v>51</v>
      </c>
      <c r="F554" s="2" t="s">
        <v>53</v>
      </c>
      <c r="G554" s="2" t="s">
        <v>54</v>
      </c>
      <c r="H554" s="2" t="s">
        <v>56</v>
      </c>
      <c r="I554" s="2" t="s">
        <v>58</v>
      </c>
      <c r="J554" s="2" t="s">
        <v>60</v>
      </c>
      <c r="K554" s="2" t="s">
        <v>23</v>
      </c>
      <c r="L554" s="1" t="s">
        <v>62</v>
      </c>
    </row>
    <row r="555">
      <c r="A555" s="1" t="s">
        <v>57</v>
      </c>
      <c r="B555" s="1" t="s">
        <v>65</v>
      </c>
      <c r="C555" s="2" t="s">
        <v>46</v>
      </c>
      <c r="D555" s="2" t="s">
        <v>68</v>
      </c>
      <c r="E555" s="2" t="s">
        <v>69</v>
      </c>
      <c r="F555" s="2" t="s">
        <v>71</v>
      </c>
      <c r="G555" s="2" t="s">
        <v>73</v>
      </c>
      <c r="H555" s="2" t="s">
        <v>75</v>
      </c>
      <c r="I555" s="2" t="s">
        <v>77</v>
      </c>
      <c r="J555" s="2" t="s">
        <v>79</v>
      </c>
      <c r="K555" s="2" t="s">
        <v>23</v>
      </c>
      <c r="L555" s="1" t="s">
        <v>62</v>
      </c>
    </row>
    <row r="556">
      <c r="A556" s="1" t="s">
        <v>72</v>
      </c>
      <c r="B556" s="1" t="s">
        <v>84</v>
      </c>
      <c r="C556" s="2" t="s">
        <v>23</v>
      </c>
      <c r="D556" s="2" t="s">
        <v>86</v>
      </c>
      <c r="E556" s="2" t="s">
        <v>88</v>
      </c>
      <c r="F556" s="2" t="s">
        <v>53</v>
      </c>
      <c r="G556" s="2" t="s">
        <v>68</v>
      </c>
      <c r="H556" s="2" t="s">
        <v>92</v>
      </c>
      <c r="I556" s="2" t="s">
        <v>38</v>
      </c>
      <c r="J556" s="2" t="s">
        <v>93</v>
      </c>
      <c r="K556" s="2" t="s">
        <v>95</v>
      </c>
      <c r="L556" s="1" t="s">
        <v>62</v>
      </c>
    </row>
    <row r="557">
      <c r="A557" s="1" t="s">
        <v>87</v>
      </c>
      <c r="B557" s="1" t="s">
        <v>22</v>
      </c>
      <c r="C557" s="2" t="s">
        <v>23</v>
      </c>
      <c r="D557" s="2" t="s">
        <v>71</v>
      </c>
      <c r="E557" s="2" t="s">
        <v>102</v>
      </c>
      <c r="F557" s="2" t="s">
        <v>104</v>
      </c>
      <c r="G557" s="2" t="s">
        <v>106</v>
      </c>
      <c r="H557" s="2" t="s">
        <v>108</v>
      </c>
      <c r="I557" s="2" t="s">
        <v>46</v>
      </c>
      <c r="J557" s="2" t="s">
        <v>111</v>
      </c>
      <c r="K557" s="2" t="s">
        <v>77</v>
      </c>
      <c r="L557" s="1" t="s">
        <v>113</v>
      </c>
    </row>
    <row r="558">
      <c r="A558" s="1" t="s">
        <v>99</v>
      </c>
      <c r="B558" s="1" t="s">
        <v>22</v>
      </c>
      <c r="C558" s="2" t="s">
        <v>38</v>
      </c>
      <c r="D558" s="2" t="s">
        <v>33</v>
      </c>
      <c r="E558" s="2" t="s">
        <v>114</v>
      </c>
      <c r="F558" s="2" t="s">
        <v>115</v>
      </c>
      <c r="G558" s="2" t="s">
        <v>33</v>
      </c>
      <c r="H558" s="2" t="s">
        <v>116</v>
      </c>
      <c r="I558" s="2" t="s">
        <v>117</v>
      </c>
      <c r="J558" s="2" t="s">
        <v>118</v>
      </c>
      <c r="K558" s="2" t="s">
        <v>46</v>
      </c>
      <c r="L558" s="1" t="s">
        <v>113</v>
      </c>
    </row>
    <row r="559">
      <c r="A559" s="1" t="s">
        <v>119</v>
      </c>
      <c r="B559" s="1" t="s">
        <v>44</v>
      </c>
      <c r="C559" s="2" t="s">
        <v>46</v>
      </c>
      <c r="D559" s="2" t="s">
        <v>48</v>
      </c>
      <c r="E559" s="2" t="s">
        <v>88</v>
      </c>
      <c r="F559" s="2" t="s">
        <v>53</v>
      </c>
      <c r="G559" s="2" t="s">
        <v>135</v>
      </c>
      <c r="H559" s="2" t="s">
        <v>92</v>
      </c>
      <c r="I559" s="2" t="s">
        <v>138</v>
      </c>
      <c r="J559" s="2" t="s">
        <v>140</v>
      </c>
      <c r="K559" s="2" t="s">
        <v>38</v>
      </c>
      <c r="L559" s="1" t="s">
        <v>113</v>
      </c>
    </row>
    <row r="560">
      <c r="A560" s="1" t="s">
        <v>126</v>
      </c>
      <c r="B560" s="1" t="s">
        <v>84</v>
      </c>
      <c r="C560" s="2" t="s">
        <v>95</v>
      </c>
      <c r="D560" s="2" t="s">
        <v>71</v>
      </c>
      <c r="E560" s="2" t="s">
        <v>146</v>
      </c>
      <c r="F560" s="2" t="s">
        <v>106</v>
      </c>
      <c r="G560" s="2" t="s">
        <v>149</v>
      </c>
      <c r="H560" s="2" t="s">
        <v>151</v>
      </c>
      <c r="I560" s="2" t="s">
        <v>77</v>
      </c>
      <c r="J560" s="2" t="s">
        <v>153</v>
      </c>
      <c r="K560" s="2" t="s">
        <v>154</v>
      </c>
      <c r="L560" s="1" t="s">
        <v>62</v>
      </c>
    </row>
    <row r="561">
      <c r="A561" s="1" t="s">
        <v>134</v>
      </c>
      <c r="B561" s="1" t="s">
        <v>65</v>
      </c>
      <c r="C561" s="2" t="s">
        <v>157</v>
      </c>
      <c r="D561" s="2" t="s">
        <v>135</v>
      </c>
      <c r="E561" s="2" t="s">
        <v>160</v>
      </c>
      <c r="F561" s="2" t="s">
        <v>104</v>
      </c>
      <c r="G561" s="2" t="s">
        <v>162</v>
      </c>
      <c r="H561" s="2" t="s">
        <v>163</v>
      </c>
      <c r="I561" s="2" t="s">
        <v>38</v>
      </c>
      <c r="J561" s="2" t="s">
        <v>166</v>
      </c>
      <c r="K561" s="2" t="s">
        <v>167</v>
      </c>
    </row>
    <row r="562">
      <c r="A562" s="1" t="s">
        <v>145</v>
      </c>
      <c r="B562" s="1" t="s">
        <v>170</v>
      </c>
      <c r="C562" s="2" t="s">
        <v>117</v>
      </c>
      <c r="D562" s="2" t="s">
        <v>95</v>
      </c>
      <c r="E562" s="2" t="s">
        <v>174</v>
      </c>
      <c r="F562" s="2" t="s">
        <v>175</v>
      </c>
      <c r="G562" s="2" t="s">
        <v>68</v>
      </c>
      <c r="H562" s="2" t="s">
        <v>178</v>
      </c>
      <c r="I562" s="2" t="s">
        <v>38</v>
      </c>
      <c r="J562" s="2" t="s">
        <v>180</v>
      </c>
      <c r="K562" s="2" t="s">
        <v>23</v>
      </c>
    </row>
    <row r="563">
      <c r="A563" s="1" t="s">
        <v>2071</v>
      </c>
      <c r="B563" s="1" t="s">
        <v>170</v>
      </c>
      <c r="C563" s="2" t="s">
        <v>46</v>
      </c>
      <c r="D563" s="2" t="s">
        <v>265</v>
      </c>
      <c r="E563" s="2" t="s">
        <v>651</v>
      </c>
      <c r="F563" s="2" t="s">
        <v>199</v>
      </c>
      <c r="G563" s="2" t="s">
        <v>395</v>
      </c>
      <c r="H563" s="2" t="s">
        <v>203</v>
      </c>
      <c r="I563" s="2" t="s">
        <v>77</v>
      </c>
      <c r="J563" s="1" t="s">
        <v>2870</v>
      </c>
      <c r="K563" s="2" t="s">
        <v>23</v>
      </c>
      <c r="L563" s="1" t="s">
        <v>62</v>
      </c>
    </row>
    <row r="564">
      <c r="A564" s="1" t="s">
        <v>2076</v>
      </c>
      <c r="B564" s="1" t="s">
        <v>22</v>
      </c>
      <c r="C564" s="2" t="s">
        <v>23</v>
      </c>
      <c r="D564" s="2" t="s">
        <v>33</v>
      </c>
      <c r="E564" s="2" t="s">
        <v>651</v>
      </c>
      <c r="F564" s="2" t="s">
        <v>257</v>
      </c>
      <c r="G564" s="2" t="s">
        <v>154</v>
      </c>
      <c r="H564" s="2" t="s">
        <v>270</v>
      </c>
      <c r="I564" s="2" t="s">
        <v>58</v>
      </c>
      <c r="J564" s="2" t="s">
        <v>2871</v>
      </c>
      <c r="K564" s="2" t="s">
        <v>117</v>
      </c>
      <c r="L564" s="1" t="s">
        <v>62</v>
      </c>
    </row>
    <row r="565">
      <c r="A565" s="1" t="s">
        <v>2081</v>
      </c>
      <c r="B565" s="1" t="s">
        <v>22</v>
      </c>
      <c r="C565" s="2" t="s">
        <v>167</v>
      </c>
      <c r="D565" s="2" t="s">
        <v>245</v>
      </c>
      <c r="E565" s="2" t="s">
        <v>494</v>
      </c>
      <c r="F565" s="2" t="s">
        <v>53</v>
      </c>
      <c r="G565" s="2" t="s">
        <v>154</v>
      </c>
      <c r="H565" s="2" t="s">
        <v>92</v>
      </c>
      <c r="I565" s="2" t="s">
        <v>58</v>
      </c>
      <c r="J565" s="2" t="s">
        <v>2872</v>
      </c>
      <c r="K565" s="2" t="s">
        <v>77</v>
      </c>
      <c r="L565" s="1" t="s">
        <v>113</v>
      </c>
    </row>
    <row r="566">
      <c r="A566" s="1" t="s">
        <v>2085</v>
      </c>
      <c r="B566" s="1" t="s">
        <v>84</v>
      </c>
      <c r="C566" s="2" t="s">
        <v>117</v>
      </c>
      <c r="D566" s="2" t="s">
        <v>154</v>
      </c>
      <c r="E566" s="2" t="s">
        <v>796</v>
      </c>
      <c r="F566" s="2" t="s">
        <v>23</v>
      </c>
      <c r="G566" s="2" t="s">
        <v>245</v>
      </c>
      <c r="H566" s="2" t="s">
        <v>151</v>
      </c>
      <c r="I566" s="2" t="s">
        <v>46</v>
      </c>
      <c r="J566" s="2" t="s">
        <v>2873</v>
      </c>
      <c r="K566" s="2" t="s">
        <v>157</v>
      </c>
      <c r="L566" s="1" t="s">
        <v>62</v>
      </c>
    </row>
    <row r="567">
      <c r="A567" s="1" t="s">
        <v>2089</v>
      </c>
      <c r="B567" s="1" t="s">
        <v>65</v>
      </c>
      <c r="C567" s="2" t="s">
        <v>23</v>
      </c>
      <c r="D567" s="2" t="s">
        <v>135</v>
      </c>
      <c r="E567" s="2" t="s">
        <v>1044</v>
      </c>
      <c r="F567" s="2" t="s">
        <v>387</v>
      </c>
      <c r="G567" s="2" t="s">
        <v>245</v>
      </c>
      <c r="H567" s="2" t="s">
        <v>218</v>
      </c>
      <c r="I567" s="2" t="s">
        <v>138</v>
      </c>
      <c r="J567" s="2" t="s">
        <v>2874</v>
      </c>
      <c r="K567" s="2" t="s">
        <v>58</v>
      </c>
      <c r="L567" s="1" t="s">
        <v>113</v>
      </c>
    </row>
    <row r="568">
      <c r="A568" s="1" t="s">
        <v>2093</v>
      </c>
      <c r="B568" s="1" t="s">
        <v>84</v>
      </c>
      <c r="C568" s="2" t="s">
        <v>117</v>
      </c>
      <c r="D568" s="2" t="s">
        <v>290</v>
      </c>
      <c r="E568" s="2" t="s">
        <v>270</v>
      </c>
      <c r="F568" s="2" t="s">
        <v>247</v>
      </c>
      <c r="G568" s="2" t="s">
        <v>213</v>
      </c>
      <c r="H568" s="2" t="s">
        <v>151</v>
      </c>
      <c r="I568" s="2" t="s">
        <v>77</v>
      </c>
      <c r="J568" s="2" t="s">
        <v>2875</v>
      </c>
      <c r="K568" s="2" t="s">
        <v>95</v>
      </c>
      <c r="L568" s="1" t="s">
        <v>62</v>
      </c>
    </row>
    <row r="569">
      <c r="A569" s="1" t="s">
        <v>2098</v>
      </c>
      <c r="B569" s="1" t="s">
        <v>22</v>
      </c>
      <c r="C569" s="2" t="s">
        <v>157</v>
      </c>
      <c r="D569" s="2" t="s">
        <v>31</v>
      </c>
      <c r="E569" s="2" t="s">
        <v>2240</v>
      </c>
      <c r="F569" s="2" t="s">
        <v>1137</v>
      </c>
      <c r="G569" s="2" t="s">
        <v>115</v>
      </c>
      <c r="H569" s="2" t="s">
        <v>497</v>
      </c>
      <c r="I569" s="2" t="s">
        <v>58</v>
      </c>
      <c r="J569" s="2" t="s">
        <v>2670</v>
      </c>
      <c r="K569" s="2" t="s">
        <v>95</v>
      </c>
      <c r="L569" s="1" t="s">
        <v>62</v>
      </c>
    </row>
    <row r="570">
      <c r="A570" s="1" t="s">
        <v>2102</v>
      </c>
      <c r="B570" s="1" t="s">
        <v>170</v>
      </c>
      <c r="C570" s="2" t="s">
        <v>38</v>
      </c>
      <c r="D570" s="2" t="s">
        <v>300</v>
      </c>
      <c r="E570" s="2" t="s">
        <v>626</v>
      </c>
      <c r="F570" s="2" t="s">
        <v>199</v>
      </c>
      <c r="G570" s="2" t="s">
        <v>48</v>
      </c>
      <c r="H570" s="2" t="s">
        <v>1091</v>
      </c>
      <c r="I570" s="2" t="s">
        <v>77</v>
      </c>
      <c r="J570" s="2" t="s">
        <v>2733</v>
      </c>
      <c r="K570" s="2" t="s">
        <v>58</v>
      </c>
      <c r="L570" s="1" t="s">
        <v>113</v>
      </c>
    </row>
    <row r="571">
      <c r="A571" s="1" t="s">
        <v>2107</v>
      </c>
      <c r="B571" s="1" t="s">
        <v>84</v>
      </c>
      <c r="C571" s="2" t="s">
        <v>95</v>
      </c>
      <c r="D571" s="2" t="s">
        <v>300</v>
      </c>
      <c r="E571" s="2" t="s">
        <v>725</v>
      </c>
      <c r="F571" s="2" t="s">
        <v>104</v>
      </c>
      <c r="G571" s="2" t="s">
        <v>186</v>
      </c>
      <c r="H571" s="2" t="s">
        <v>203</v>
      </c>
      <c r="I571" s="2" t="s">
        <v>38</v>
      </c>
      <c r="J571" s="2" t="s">
        <v>2878</v>
      </c>
      <c r="K571" s="2" t="s">
        <v>23</v>
      </c>
      <c r="L571" s="1" t="s">
        <v>62</v>
      </c>
    </row>
    <row r="572">
      <c r="A572" s="1" t="s">
        <v>2111</v>
      </c>
      <c r="B572" s="1" t="s">
        <v>22</v>
      </c>
      <c r="C572" s="2" t="s">
        <v>77</v>
      </c>
      <c r="D572" s="2" t="s">
        <v>290</v>
      </c>
      <c r="E572" s="2" t="s">
        <v>758</v>
      </c>
      <c r="F572" s="2" t="s">
        <v>95</v>
      </c>
      <c r="G572" s="2" t="s">
        <v>48</v>
      </c>
      <c r="H572" s="2" t="s">
        <v>310</v>
      </c>
      <c r="I572" s="2" t="s">
        <v>46</v>
      </c>
      <c r="J572" s="2" t="s">
        <v>2879</v>
      </c>
      <c r="K572" s="2" t="s">
        <v>117</v>
      </c>
      <c r="L572" s="1" t="s">
        <v>113</v>
      </c>
    </row>
    <row r="573">
      <c r="A573" s="1" t="s">
        <v>2116</v>
      </c>
      <c r="B573" s="1" t="s">
        <v>84</v>
      </c>
      <c r="C573" s="2" t="s">
        <v>46</v>
      </c>
      <c r="D573" s="2" t="s">
        <v>201</v>
      </c>
      <c r="E573" s="2" t="s">
        <v>1392</v>
      </c>
      <c r="F573" s="2" t="s">
        <v>1137</v>
      </c>
      <c r="G573" s="2" t="s">
        <v>213</v>
      </c>
      <c r="I573" s="2" t="s">
        <v>58</v>
      </c>
      <c r="J573" s="2" t="s">
        <v>2880</v>
      </c>
      <c r="K573" s="2" t="s">
        <v>117</v>
      </c>
      <c r="L573" s="1" t="s">
        <v>113</v>
      </c>
    </row>
    <row r="574">
      <c r="A574" s="1" t="s">
        <v>2118</v>
      </c>
      <c r="B574" s="1" t="s">
        <v>22</v>
      </c>
      <c r="C574" s="2" t="s">
        <v>117</v>
      </c>
      <c r="D574" s="2" t="s">
        <v>224</v>
      </c>
      <c r="E574" s="2" t="s">
        <v>618</v>
      </c>
      <c r="F574" s="2" t="s">
        <v>175</v>
      </c>
      <c r="G574" s="2" t="s">
        <v>31</v>
      </c>
      <c r="H574" s="2" t="s">
        <v>163</v>
      </c>
      <c r="I574" s="2" t="s">
        <v>58</v>
      </c>
      <c r="J574" s="2" t="s">
        <v>2882</v>
      </c>
      <c r="K574" s="2" t="s">
        <v>23</v>
      </c>
      <c r="L574" s="1" t="s">
        <v>62</v>
      </c>
    </row>
    <row r="575">
      <c r="A575" s="1" t="s">
        <v>2122</v>
      </c>
      <c r="B575" s="1" t="s">
        <v>22</v>
      </c>
      <c r="C575" s="2" t="s">
        <v>77</v>
      </c>
      <c r="D575" s="2" t="s">
        <v>38</v>
      </c>
      <c r="E575" s="2" t="s">
        <v>198</v>
      </c>
      <c r="F575" s="2" t="s">
        <v>491</v>
      </c>
      <c r="G575" s="2" t="s">
        <v>73</v>
      </c>
      <c r="H575" s="2" t="s">
        <v>56</v>
      </c>
      <c r="I575" s="2" t="s">
        <v>38</v>
      </c>
      <c r="J575" s="2" t="s">
        <v>2886</v>
      </c>
      <c r="K575" s="2" t="s">
        <v>117</v>
      </c>
      <c r="L575" s="1" t="s">
        <v>113</v>
      </c>
    </row>
    <row r="576">
      <c r="A576" s="1" t="s">
        <v>2125</v>
      </c>
      <c r="B576" s="1" t="s">
        <v>22</v>
      </c>
      <c r="C576" s="2" t="s">
        <v>46</v>
      </c>
      <c r="D576" s="2" t="s">
        <v>395</v>
      </c>
      <c r="E576" s="2" t="s">
        <v>424</v>
      </c>
      <c r="F576" s="2" t="s">
        <v>686</v>
      </c>
      <c r="G576" s="2" t="s">
        <v>395</v>
      </c>
      <c r="H576" s="2" t="s">
        <v>463</v>
      </c>
      <c r="I576" s="2" t="s">
        <v>77</v>
      </c>
      <c r="J576" s="2" t="s">
        <v>2887</v>
      </c>
      <c r="K576" s="2" t="s">
        <v>117</v>
      </c>
      <c r="L576" s="1" t="s">
        <v>113</v>
      </c>
    </row>
    <row r="577">
      <c r="A577" s="1" t="s">
        <v>2128</v>
      </c>
      <c r="B577" s="1" t="s">
        <v>84</v>
      </c>
      <c r="C577" s="2" t="s">
        <v>23</v>
      </c>
      <c r="D577" s="2" t="s">
        <v>54</v>
      </c>
      <c r="E577" s="2" t="s">
        <v>412</v>
      </c>
      <c r="F577" s="2" t="s">
        <v>73</v>
      </c>
      <c r="G577" s="2" t="s">
        <v>213</v>
      </c>
      <c r="H577" s="2" t="s">
        <v>575</v>
      </c>
      <c r="I577" s="2" t="s">
        <v>77</v>
      </c>
      <c r="J577" s="2" t="s">
        <v>2888</v>
      </c>
      <c r="K577" s="2" t="s">
        <v>23</v>
      </c>
      <c r="L577" s="1" t="s">
        <v>62</v>
      </c>
    </row>
    <row r="578">
      <c r="A578" s="1" t="s">
        <v>2132</v>
      </c>
      <c r="B578" s="1" t="s">
        <v>65</v>
      </c>
      <c r="C578" s="2" t="s">
        <v>46</v>
      </c>
      <c r="D578" s="2" t="s">
        <v>300</v>
      </c>
      <c r="E578" s="2" t="s">
        <v>2889</v>
      </c>
      <c r="F578" s="2" t="s">
        <v>27</v>
      </c>
      <c r="G578" s="2" t="s">
        <v>73</v>
      </c>
      <c r="H578" s="2" t="s">
        <v>92</v>
      </c>
      <c r="I578" s="2" t="s">
        <v>117</v>
      </c>
      <c r="J578" s="2" t="s">
        <v>1586</v>
      </c>
      <c r="K578" s="2" t="s">
        <v>167</v>
      </c>
      <c r="L578" s="1" t="s">
        <v>62</v>
      </c>
    </row>
    <row r="579">
      <c r="A579" s="1" t="s">
        <v>2138</v>
      </c>
      <c r="B579" s="1" t="s">
        <v>22</v>
      </c>
      <c r="C579" s="2" t="s">
        <v>77</v>
      </c>
      <c r="D579" s="2" t="s">
        <v>38</v>
      </c>
      <c r="E579" s="2" t="s">
        <v>297</v>
      </c>
      <c r="F579" s="2" t="s">
        <v>224</v>
      </c>
      <c r="G579" s="2" t="s">
        <v>33</v>
      </c>
      <c r="H579" s="2" t="s">
        <v>203</v>
      </c>
      <c r="I579" s="2" t="s">
        <v>58</v>
      </c>
      <c r="J579" s="2" t="s">
        <v>2890</v>
      </c>
      <c r="K579" s="2" t="s">
        <v>77</v>
      </c>
      <c r="L579" s="1" t="s">
        <v>113</v>
      </c>
    </row>
    <row r="580">
      <c r="A580" s="1" t="s">
        <v>2141</v>
      </c>
      <c r="B580" s="1" t="s">
        <v>65</v>
      </c>
      <c r="C580" s="2" t="s">
        <v>117</v>
      </c>
      <c r="D580" s="2" t="s">
        <v>23</v>
      </c>
      <c r="E580" s="2" t="s">
        <v>796</v>
      </c>
      <c r="F580" s="2" t="s">
        <v>68</v>
      </c>
      <c r="G580" s="2" t="s">
        <v>365</v>
      </c>
      <c r="H580" s="2" t="s">
        <v>92</v>
      </c>
      <c r="I580" s="2" t="s">
        <v>77</v>
      </c>
      <c r="J580" s="2" t="s">
        <v>2891</v>
      </c>
      <c r="K580" s="2" t="s">
        <v>117</v>
      </c>
      <c r="L580" s="1" t="s">
        <v>113</v>
      </c>
    </row>
    <row r="581">
      <c r="A581" s="1" t="s">
        <v>2143</v>
      </c>
      <c r="B581" s="1" t="s">
        <v>22</v>
      </c>
      <c r="C581" s="2" t="s">
        <v>154</v>
      </c>
      <c r="D581" s="2" t="s">
        <v>199</v>
      </c>
      <c r="E581" s="2" t="s">
        <v>116</v>
      </c>
      <c r="F581" s="2" t="s">
        <v>300</v>
      </c>
      <c r="G581" s="2" t="s">
        <v>224</v>
      </c>
      <c r="H581" s="2" t="s">
        <v>163</v>
      </c>
      <c r="I581" s="2" t="s">
        <v>77</v>
      </c>
      <c r="J581" s="2" t="s">
        <v>2892</v>
      </c>
      <c r="K581" s="2" t="s">
        <v>38</v>
      </c>
      <c r="L581" s="1" t="s">
        <v>113</v>
      </c>
    </row>
    <row r="582">
      <c r="A582" s="1" t="s">
        <v>2147</v>
      </c>
      <c r="B582" s="1" t="s">
        <v>84</v>
      </c>
      <c r="C582" s="2" t="s">
        <v>77</v>
      </c>
      <c r="D582" s="2" t="s">
        <v>290</v>
      </c>
      <c r="E582" s="2" t="s">
        <v>36</v>
      </c>
      <c r="F582" s="2" t="s">
        <v>686</v>
      </c>
      <c r="G582" s="2" t="s">
        <v>154</v>
      </c>
      <c r="H582" s="2" t="s">
        <v>310</v>
      </c>
      <c r="I582" s="2" t="s">
        <v>77</v>
      </c>
      <c r="J582" s="2" t="s">
        <v>2893</v>
      </c>
      <c r="K582" s="2" t="s">
        <v>167</v>
      </c>
      <c r="L582" s="1" t="s">
        <v>62</v>
      </c>
    </row>
    <row r="583">
      <c r="A583" s="1" t="s">
        <v>2152</v>
      </c>
      <c r="B583" s="1" t="s">
        <v>22</v>
      </c>
      <c r="C583" s="2" t="s">
        <v>157</v>
      </c>
      <c r="D583" s="2" t="s">
        <v>265</v>
      </c>
      <c r="E583" s="2" t="s">
        <v>328</v>
      </c>
      <c r="F583" s="2" t="s">
        <v>135</v>
      </c>
      <c r="G583" s="2" t="s">
        <v>351</v>
      </c>
      <c r="H583" s="2" t="s">
        <v>36</v>
      </c>
      <c r="I583" s="2" t="s">
        <v>38</v>
      </c>
      <c r="J583" s="2" t="s">
        <v>2894</v>
      </c>
      <c r="K583" s="2" t="s">
        <v>95</v>
      </c>
      <c r="L583" s="1" t="s">
        <v>62</v>
      </c>
    </row>
    <row r="584">
      <c r="A584" s="1" t="s">
        <v>2157</v>
      </c>
      <c r="B584" s="1" t="s">
        <v>84</v>
      </c>
      <c r="C584" s="2" t="s">
        <v>157</v>
      </c>
      <c r="D584" s="2" t="s">
        <v>248</v>
      </c>
      <c r="E584" s="2" t="s">
        <v>250</v>
      </c>
      <c r="F584" s="2" t="s">
        <v>1137</v>
      </c>
      <c r="G584" s="2" t="s">
        <v>339</v>
      </c>
      <c r="H584" s="2" t="s">
        <v>463</v>
      </c>
      <c r="I584" s="2" t="s">
        <v>138</v>
      </c>
      <c r="J584" s="2" t="s">
        <v>2425</v>
      </c>
      <c r="K584" s="2" t="s">
        <v>117</v>
      </c>
      <c r="L584" s="1" t="s">
        <v>113</v>
      </c>
    </row>
    <row r="585">
      <c r="A585" s="1" t="s">
        <v>2158</v>
      </c>
      <c r="B585" s="1" t="s">
        <v>65</v>
      </c>
      <c r="C585" s="2" t="s">
        <v>46</v>
      </c>
      <c r="D585" s="2" t="s">
        <v>339</v>
      </c>
      <c r="E585" s="2" t="s">
        <v>882</v>
      </c>
      <c r="F585" s="2" t="s">
        <v>54</v>
      </c>
      <c r="G585" s="2" t="s">
        <v>86</v>
      </c>
      <c r="H585" s="2" t="s">
        <v>108</v>
      </c>
      <c r="I585" s="2" t="s">
        <v>138</v>
      </c>
      <c r="J585" s="2" t="s">
        <v>2895</v>
      </c>
      <c r="K585" s="2" t="s">
        <v>46</v>
      </c>
      <c r="L585" s="1" t="s">
        <v>62</v>
      </c>
    </row>
    <row r="586">
      <c r="A586" s="1" t="s">
        <v>2161</v>
      </c>
      <c r="B586" s="1" t="s">
        <v>65</v>
      </c>
      <c r="C586" s="2" t="s">
        <v>117</v>
      </c>
      <c r="D586" s="2" t="s">
        <v>31</v>
      </c>
      <c r="E586" s="2" t="s">
        <v>2197</v>
      </c>
      <c r="F586" s="2" t="s">
        <v>375</v>
      </c>
      <c r="G586" s="2" t="s">
        <v>48</v>
      </c>
      <c r="H586" s="2" t="s">
        <v>250</v>
      </c>
      <c r="I586" s="2" t="s">
        <v>77</v>
      </c>
      <c r="J586" s="2" t="s">
        <v>1000</v>
      </c>
      <c r="K586" s="2" t="s">
        <v>38</v>
      </c>
      <c r="L586" s="1" t="s">
        <v>113</v>
      </c>
    </row>
    <row r="587">
      <c r="A587" s="1" t="s">
        <v>2165</v>
      </c>
      <c r="B587" s="1" t="s">
        <v>65</v>
      </c>
      <c r="C587" s="2" t="s">
        <v>157</v>
      </c>
      <c r="D587" s="2" t="s">
        <v>448</v>
      </c>
      <c r="E587" s="2" t="s">
        <v>584</v>
      </c>
      <c r="F587" s="2" t="s">
        <v>1088</v>
      </c>
      <c r="G587" s="2" t="s">
        <v>213</v>
      </c>
      <c r="H587" s="2" t="s">
        <v>1091</v>
      </c>
      <c r="I587" s="2" t="s">
        <v>117</v>
      </c>
      <c r="J587" s="2" t="s">
        <v>2896</v>
      </c>
      <c r="K587" s="2" t="s">
        <v>117</v>
      </c>
      <c r="L587" s="1" t="s">
        <v>113</v>
      </c>
    </row>
    <row r="588">
      <c r="A588" s="1" t="s">
        <v>2170</v>
      </c>
      <c r="B588" s="1" t="s">
        <v>65</v>
      </c>
      <c r="C588" s="2" t="s">
        <v>38</v>
      </c>
      <c r="D588" s="2" t="s">
        <v>213</v>
      </c>
      <c r="E588" s="2" t="s">
        <v>1423</v>
      </c>
      <c r="F588" s="2" t="s">
        <v>248</v>
      </c>
      <c r="G588" s="2" t="s">
        <v>199</v>
      </c>
      <c r="H588" s="2" t="s">
        <v>108</v>
      </c>
      <c r="I588" s="2" t="s">
        <v>58</v>
      </c>
      <c r="J588" s="2" t="s">
        <v>2897</v>
      </c>
      <c r="K588" s="2" t="s">
        <v>46</v>
      </c>
      <c r="L588" s="1" t="s">
        <v>62</v>
      </c>
    </row>
    <row r="589">
      <c r="A589" s="1" t="s">
        <v>2172</v>
      </c>
      <c r="B589" s="1" t="s">
        <v>22</v>
      </c>
      <c r="C589" s="2" t="s">
        <v>46</v>
      </c>
      <c r="D589" s="2" t="s">
        <v>224</v>
      </c>
      <c r="E589" s="2" t="s">
        <v>1860</v>
      </c>
      <c r="F589" s="2" t="s">
        <v>73</v>
      </c>
      <c r="G589" s="2" t="s">
        <v>106</v>
      </c>
      <c r="H589" s="2" t="s">
        <v>203</v>
      </c>
      <c r="I589" s="2" t="s">
        <v>38</v>
      </c>
      <c r="J589" s="2" t="s">
        <v>2898</v>
      </c>
      <c r="K589" s="2" t="s">
        <v>117</v>
      </c>
      <c r="L589" s="1" t="s">
        <v>113</v>
      </c>
    </row>
    <row r="590">
      <c r="A590" s="1" t="s">
        <v>2174</v>
      </c>
      <c r="B590" s="1" t="s">
        <v>84</v>
      </c>
      <c r="C590" s="2" t="s">
        <v>23</v>
      </c>
      <c r="D590" s="2" t="s">
        <v>135</v>
      </c>
      <c r="E590" s="2" t="s">
        <v>725</v>
      </c>
      <c r="F590" s="2" t="s">
        <v>48</v>
      </c>
      <c r="G590" s="2" t="s">
        <v>31</v>
      </c>
      <c r="H590" s="2" t="s">
        <v>163</v>
      </c>
      <c r="I590" s="2" t="s">
        <v>58</v>
      </c>
      <c r="J590" s="2" t="s">
        <v>2899</v>
      </c>
      <c r="K590" s="2" t="s">
        <v>95</v>
      </c>
      <c r="L590" s="1" t="s">
        <v>62</v>
      </c>
    </row>
    <row r="591">
      <c r="A591" s="1" t="s">
        <v>2177</v>
      </c>
      <c r="B591" s="1" t="s">
        <v>84</v>
      </c>
      <c r="C591" s="2" t="s">
        <v>23</v>
      </c>
      <c r="D591" s="2" t="s">
        <v>149</v>
      </c>
      <c r="E591" s="2" t="s">
        <v>198</v>
      </c>
      <c r="F591" s="2" t="s">
        <v>224</v>
      </c>
      <c r="G591" s="2" t="s">
        <v>245</v>
      </c>
      <c r="H591" s="2" t="s">
        <v>75</v>
      </c>
      <c r="I591" s="2" t="s">
        <v>38</v>
      </c>
      <c r="J591" s="2" t="s">
        <v>427</v>
      </c>
      <c r="K591" s="2" t="s">
        <v>95</v>
      </c>
      <c r="L591" s="1" t="s">
        <v>62</v>
      </c>
    </row>
    <row r="592">
      <c r="A592" s="1" t="s">
        <v>2181</v>
      </c>
      <c r="B592" s="1" t="s">
        <v>22</v>
      </c>
      <c r="C592" s="2" t="s">
        <v>95</v>
      </c>
      <c r="D592" s="2" t="s">
        <v>104</v>
      </c>
      <c r="E592" s="2" t="s">
        <v>567</v>
      </c>
      <c r="F592" s="2" t="s">
        <v>68</v>
      </c>
      <c r="G592" s="2" t="s">
        <v>33</v>
      </c>
      <c r="H592" s="2" t="s">
        <v>310</v>
      </c>
      <c r="I592" s="2" t="s">
        <v>117</v>
      </c>
      <c r="J592" s="2" t="s">
        <v>1771</v>
      </c>
      <c r="K592" s="2" t="s">
        <v>38</v>
      </c>
    </row>
    <row r="593">
      <c r="A593" s="1" t="s">
        <v>2185</v>
      </c>
      <c r="B593" s="1" t="s">
        <v>22</v>
      </c>
      <c r="C593" s="2" t="s">
        <v>77</v>
      </c>
      <c r="D593" s="2" t="s">
        <v>154</v>
      </c>
      <c r="E593" s="2" t="s">
        <v>1275</v>
      </c>
      <c r="F593" s="2" t="s">
        <v>1137</v>
      </c>
      <c r="G593" s="2" t="s">
        <v>71</v>
      </c>
      <c r="H593" s="2" t="s">
        <v>218</v>
      </c>
      <c r="I593" s="2" t="s">
        <v>138</v>
      </c>
      <c r="J593" s="2" t="s">
        <v>2900</v>
      </c>
      <c r="K593" s="2" t="s">
        <v>157</v>
      </c>
    </row>
    <row r="594">
      <c r="A594" s="1" t="s">
        <v>2190</v>
      </c>
      <c r="B594" s="1" t="s">
        <v>84</v>
      </c>
      <c r="C594" s="2" t="s">
        <v>95</v>
      </c>
      <c r="D594" s="2" t="s">
        <v>351</v>
      </c>
      <c r="E594" s="2" t="s">
        <v>1170</v>
      </c>
      <c r="F594" s="2" t="s">
        <v>31</v>
      </c>
      <c r="G594" s="2" t="s">
        <v>351</v>
      </c>
      <c r="H594" s="2" t="s">
        <v>56</v>
      </c>
      <c r="I594" s="2" t="s">
        <v>77</v>
      </c>
      <c r="J594" s="2" t="s">
        <v>2901</v>
      </c>
      <c r="K594" s="2" t="s">
        <v>58</v>
      </c>
      <c r="L594" s="1" t="s">
        <v>113</v>
      </c>
    </row>
    <row r="595">
      <c r="A595" s="1" t="s">
        <v>2192</v>
      </c>
      <c r="B595" s="1" t="s">
        <v>22</v>
      </c>
      <c r="C595" s="2" t="s">
        <v>46</v>
      </c>
      <c r="D595" s="2" t="s">
        <v>186</v>
      </c>
      <c r="E595" s="2" t="s">
        <v>2252</v>
      </c>
      <c r="F595" s="2" t="s">
        <v>54</v>
      </c>
      <c r="G595" s="2" t="s">
        <v>73</v>
      </c>
      <c r="H595" s="2" t="s">
        <v>463</v>
      </c>
      <c r="I595" s="2" t="s">
        <v>77</v>
      </c>
      <c r="J595" s="2" t="s">
        <v>191</v>
      </c>
      <c r="K595" s="2" t="s">
        <v>46</v>
      </c>
      <c r="L595" s="1" t="s">
        <v>62</v>
      </c>
    </row>
    <row r="596">
      <c r="A596" s="1" t="s">
        <v>2196</v>
      </c>
      <c r="B596" s="1" t="s">
        <v>22</v>
      </c>
      <c r="C596" s="2" t="s">
        <v>167</v>
      </c>
      <c r="D596" s="2" t="s">
        <v>300</v>
      </c>
      <c r="E596" s="2" t="s">
        <v>457</v>
      </c>
      <c r="F596" s="2" t="s">
        <v>686</v>
      </c>
      <c r="G596" s="2" t="s">
        <v>245</v>
      </c>
      <c r="I596" s="2" t="s">
        <v>58</v>
      </c>
      <c r="J596" s="2" t="s">
        <v>2902</v>
      </c>
      <c r="K596" s="2" t="s">
        <v>117</v>
      </c>
      <c r="L596" s="1" t="s">
        <v>113</v>
      </c>
    </row>
    <row r="597">
      <c r="A597" s="1" t="s">
        <v>2201</v>
      </c>
      <c r="B597" s="1" t="s">
        <v>170</v>
      </c>
      <c r="C597" s="2" t="s">
        <v>77</v>
      </c>
      <c r="D597" s="2" t="s">
        <v>38</v>
      </c>
      <c r="E597" s="2" t="s">
        <v>1133</v>
      </c>
      <c r="F597" s="2" t="s">
        <v>33</v>
      </c>
      <c r="G597" s="2" t="s">
        <v>48</v>
      </c>
      <c r="I597" s="2" t="s">
        <v>58</v>
      </c>
      <c r="J597" s="2" t="s">
        <v>2903</v>
      </c>
      <c r="K597" s="2" t="s">
        <v>58</v>
      </c>
      <c r="L597" s="1" t="s">
        <v>113</v>
      </c>
    </row>
    <row r="598">
      <c r="A598" s="1" t="s">
        <v>2205</v>
      </c>
      <c r="B598" s="1" t="s">
        <v>65</v>
      </c>
      <c r="C598" s="2" t="s">
        <v>95</v>
      </c>
      <c r="D598" s="2" t="s">
        <v>48</v>
      </c>
      <c r="E598" s="2" t="s">
        <v>2904</v>
      </c>
      <c r="F598" s="2" t="s">
        <v>167</v>
      </c>
      <c r="G598" s="2" t="s">
        <v>201</v>
      </c>
      <c r="H598" s="2" t="s">
        <v>56</v>
      </c>
      <c r="I598" s="2" t="s">
        <v>117</v>
      </c>
      <c r="J598" s="2" t="s">
        <v>2905</v>
      </c>
      <c r="K598" s="2" t="s">
        <v>95</v>
      </c>
      <c r="L598" s="1" t="s">
        <v>62</v>
      </c>
    </row>
    <row r="599">
      <c r="A599" s="1" t="s">
        <v>2209</v>
      </c>
      <c r="B599" s="1" t="s">
        <v>65</v>
      </c>
      <c r="C599" s="2" t="s">
        <v>23</v>
      </c>
      <c r="D599" s="2" t="s">
        <v>48</v>
      </c>
      <c r="E599" s="2" t="s">
        <v>1708</v>
      </c>
      <c r="F599" s="2" t="s">
        <v>224</v>
      </c>
      <c r="G599" s="2" t="s">
        <v>106</v>
      </c>
      <c r="H599" s="2" t="s">
        <v>218</v>
      </c>
      <c r="I599" s="2" t="s">
        <v>77</v>
      </c>
      <c r="J599" s="2" t="s">
        <v>2906</v>
      </c>
      <c r="K599" s="2" t="s">
        <v>46</v>
      </c>
      <c r="L599" s="1" t="s">
        <v>113</v>
      </c>
    </row>
    <row r="600">
      <c r="A600" s="1" t="s">
        <v>2212</v>
      </c>
      <c r="B600" s="1" t="s">
        <v>44</v>
      </c>
      <c r="C600" s="2" t="s">
        <v>117</v>
      </c>
      <c r="D600" s="2" t="s">
        <v>31</v>
      </c>
      <c r="E600" s="2" t="s">
        <v>2586</v>
      </c>
      <c r="F600" s="2" t="s">
        <v>228</v>
      </c>
      <c r="G600" s="2" t="s">
        <v>27</v>
      </c>
      <c r="H600" s="2" t="s">
        <v>203</v>
      </c>
      <c r="I600" s="2" t="s">
        <v>46</v>
      </c>
      <c r="J600" s="2" t="s">
        <v>2907</v>
      </c>
      <c r="K600" s="2" t="s">
        <v>23</v>
      </c>
      <c r="L600" s="1" t="s">
        <v>62</v>
      </c>
    </row>
    <row r="601">
      <c r="A601" s="1" t="s">
        <v>2216</v>
      </c>
      <c r="B601" s="1" t="s">
        <v>65</v>
      </c>
      <c r="C601" s="2" t="s">
        <v>95</v>
      </c>
      <c r="D601" s="2" t="s">
        <v>31</v>
      </c>
      <c r="E601" s="2" t="s">
        <v>2908</v>
      </c>
      <c r="F601" s="2" t="s">
        <v>73</v>
      </c>
      <c r="G601" s="2" t="s">
        <v>68</v>
      </c>
      <c r="H601" s="2" t="s">
        <v>56</v>
      </c>
      <c r="I601" s="2" t="s">
        <v>117</v>
      </c>
      <c r="J601" s="2" t="s">
        <v>451</v>
      </c>
      <c r="K601" s="2" t="s">
        <v>157</v>
      </c>
      <c r="L601" s="1" t="s">
        <v>62</v>
      </c>
    </row>
    <row r="602">
      <c r="A602" s="1" t="s">
        <v>2220</v>
      </c>
      <c r="B602" s="1" t="s">
        <v>170</v>
      </c>
      <c r="C602" s="2" t="s">
        <v>167</v>
      </c>
      <c r="D602" s="2" t="s">
        <v>27</v>
      </c>
      <c r="E602" s="2" t="s">
        <v>725</v>
      </c>
      <c r="F602" s="2" t="s">
        <v>686</v>
      </c>
      <c r="G602" s="2" t="s">
        <v>265</v>
      </c>
      <c r="H602" s="2" t="s">
        <v>412</v>
      </c>
      <c r="I602" s="2" t="s">
        <v>138</v>
      </c>
      <c r="J602" s="2" t="s">
        <v>1462</v>
      </c>
      <c r="K602" s="2" t="s">
        <v>46</v>
      </c>
      <c r="L602" s="1" t="s">
        <v>62</v>
      </c>
    </row>
    <row r="603">
      <c r="A603" s="1" t="s">
        <v>2224</v>
      </c>
      <c r="B603" s="1" t="s">
        <v>84</v>
      </c>
      <c r="C603" s="2" t="s">
        <v>38</v>
      </c>
      <c r="D603" s="2" t="s">
        <v>245</v>
      </c>
      <c r="E603" s="2" t="s">
        <v>384</v>
      </c>
      <c r="F603" s="2" t="s">
        <v>23</v>
      </c>
      <c r="G603" s="2" t="s">
        <v>71</v>
      </c>
      <c r="H603" s="2" t="s">
        <v>270</v>
      </c>
      <c r="I603" s="2" t="s">
        <v>38</v>
      </c>
      <c r="J603" s="2" t="s">
        <v>2909</v>
      </c>
      <c r="K603" s="2" t="s">
        <v>95</v>
      </c>
      <c r="L603" s="1" t="s">
        <v>62</v>
      </c>
    </row>
    <row r="604">
      <c r="A604" s="1" t="s">
        <v>2229</v>
      </c>
      <c r="B604" s="1" t="s">
        <v>44</v>
      </c>
      <c r="C604" s="2" t="s">
        <v>95</v>
      </c>
      <c r="D604" s="2" t="s">
        <v>290</v>
      </c>
      <c r="E604" s="2" t="s">
        <v>463</v>
      </c>
      <c r="F604" s="2" t="s">
        <v>135</v>
      </c>
      <c r="G604" s="2" t="s">
        <v>154</v>
      </c>
      <c r="H604" s="2" t="s">
        <v>575</v>
      </c>
      <c r="I604" s="2" t="s">
        <v>117</v>
      </c>
      <c r="J604" s="2" t="s">
        <v>2910</v>
      </c>
      <c r="K604" s="2" t="s">
        <v>38</v>
      </c>
      <c r="L604" s="1" t="s">
        <v>113</v>
      </c>
    </row>
    <row r="605">
      <c r="A605" s="1" t="s">
        <v>2233</v>
      </c>
      <c r="B605" s="1" t="s">
        <v>44</v>
      </c>
      <c r="C605" s="2" t="s">
        <v>23</v>
      </c>
      <c r="D605" s="2" t="s">
        <v>339</v>
      </c>
      <c r="E605" s="2" t="s">
        <v>114</v>
      </c>
      <c r="F605" s="2" t="s">
        <v>1026</v>
      </c>
      <c r="G605" s="2" t="s">
        <v>162</v>
      </c>
      <c r="H605" s="2" t="s">
        <v>203</v>
      </c>
      <c r="I605" s="2" t="s">
        <v>117</v>
      </c>
      <c r="J605" s="2" t="s">
        <v>2911</v>
      </c>
      <c r="K605" s="2" t="s">
        <v>38</v>
      </c>
    </row>
    <row r="606">
      <c r="A606" s="1" t="s">
        <v>2236</v>
      </c>
      <c r="B606" s="1" t="s">
        <v>84</v>
      </c>
      <c r="C606" s="2" t="s">
        <v>157</v>
      </c>
      <c r="D606" s="2" t="s">
        <v>365</v>
      </c>
      <c r="E606" s="2" t="s">
        <v>990</v>
      </c>
      <c r="F606" s="2" t="s">
        <v>869</v>
      </c>
      <c r="G606" s="2" t="s">
        <v>201</v>
      </c>
      <c r="H606" s="2" t="s">
        <v>56</v>
      </c>
      <c r="I606" s="2" t="s">
        <v>38</v>
      </c>
      <c r="J606" s="2" t="s">
        <v>1845</v>
      </c>
      <c r="K606" s="2" t="s">
        <v>23</v>
      </c>
      <c r="L606" s="1" t="s">
        <v>62</v>
      </c>
    </row>
    <row r="607">
      <c r="A607" s="1" t="s">
        <v>2239</v>
      </c>
      <c r="B607" s="1" t="s">
        <v>84</v>
      </c>
      <c r="C607" s="2" t="s">
        <v>38</v>
      </c>
      <c r="D607" s="2" t="s">
        <v>167</v>
      </c>
      <c r="E607" s="2" t="s">
        <v>1452</v>
      </c>
      <c r="F607" s="2" t="s">
        <v>395</v>
      </c>
      <c r="G607" s="2" t="s">
        <v>33</v>
      </c>
      <c r="H607" s="2" t="s">
        <v>92</v>
      </c>
      <c r="I607" s="2" t="s">
        <v>117</v>
      </c>
      <c r="J607" s="2" t="s">
        <v>2912</v>
      </c>
      <c r="K607" s="2" t="s">
        <v>23</v>
      </c>
    </row>
    <row r="608">
      <c r="A608" s="1" t="s">
        <v>2243</v>
      </c>
      <c r="B608" s="1" t="s">
        <v>22</v>
      </c>
      <c r="C608" s="2" t="s">
        <v>38</v>
      </c>
      <c r="D608" s="2" t="s">
        <v>224</v>
      </c>
      <c r="E608" s="2" t="s">
        <v>116</v>
      </c>
      <c r="F608" s="2" t="s">
        <v>162</v>
      </c>
      <c r="G608" s="2" t="s">
        <v>106</v>
      </c>
      <c r="H608" s="2" t="s">
        <v>114</v>
      </c>
      <c r="I608" s="2" t="s">
        <v>77</v>
      </c>
      <c r="J608" s="2" t="s">
        <v>2913</v>
      </c>
      <c r="K608" s="2" t="s">
        <v>95</v>
      </c>
    </row>
    <row r="609">
      <c r="A609" s="1" t="s">
        <v>2245</v>
      </c>
      <c r="B609" s="1" t="s">
        <v>22</v>
      </c>
      <c r="C609" s="2" t="s">
        <v>38</v>
      </c>
      <c r="D609" s="2" t="s">
        <v>224</v>
      </c>
      <c r="E609" s="2" t="s">
        <v>446</v>
      </c>
      <c r="F609" s="2" t="s">
        <v>448</v>
      </c>
      <c r="G609" s="2" t="s">
        <v>339</v>
      </c>
      <c r="H609" s="2" t="s">
        <v>463</v>
      </c>
      <c r="I609" s="2" t="s">
        <v>77</v>
      </c>
      <c r="J609" s="2" t="s">
        <v>2914</v>
      </c>
      <c r="K609" s="2" t="s">
        <v>23</v>
      </c>
      <c r="L609" s="1" t="s">
        <v>62</v>
      </c>
    </row>
    <row r="610">
      <c r="A610" s="1" t="s">
        <v>2249</v>
      </c>
      <c r="B610" s="1" t="s">
        <v>22</v>
      </c>
      <c r="C610" s="2" t="s">
        <v>38</v>
      </c>
      <c r="D610" s="2" t="s">
        <v>245</v>
      </c>
      <c r="E610" s="2" t="s">
        <v>944</v>
      </c>
      <c r="F610" s="2" t="s">
        <v>27</v>
      </c>
      <c r="G610" s="2" t="s">
        <v>213</v>
      </c>
      <c r="H610" s="2" t="s">
        <v>575</v>
      </c>
      <c r="I610" s="2" t="s">
        <v>77</v>
      </c>
      <c r="K610" s="2" t="s">
        <v>95</v>
      </c>
    </row>
    <row r="611">
      <c r="A611" s="1" t="s">
        <v>2253</v>
      </c>
      <c r="B611" s="1" t="s">
        <v>44</v>
      </c>
      <c r="C611" s="2" t="s">
        <v>157</v>
      </c>
      <c r="D611" s="2" t="s">
        <v>248</v>
      </c>
      <c r="E611" s="2" t="s">
        <v>1416</v>
      </c>
      <c r="F611" s="2" t="s">
        <v>387</v>
      </c>
      <c r="G611" s="2" t="s">
        <v>224</v>
      </c>
      <c r="H611" s="2" t="s">
        <v>116</v>
      </c>
      <c r="I611" s="2" t="s">
        <v>77</v>
      </c>
      <c r="J611" s="2" t="s">
        <v>2915</v>
      </c>
      <c r="K611" s="2" t="s">
        <v>46</v>
      </c>
      <c r="L611" s="1" t="s">
        <v>62</v>
      </c>
    </row>
    <row r="612">
      <c r="A612" s="1" t="s">
        <v>2255</v>
      </c>
      <c r="B612" s="1" t="s">
        <v>44</v>
      </c>
      <c r="C612" s="2" t="s">
        <v>46</v>
      </c>
      <c r="D612" s="2" t="s">
        <v>157</v>
      </c>
      <c r="E612" s="2" t="s">
        <v>102</v>
      </c>
      <c r="F612" s="2" t="s">
        <v>228</v>
      </c>
      <c r="G612" s="2" t="s">
        <v>27</v>
      </c>
      <c r="H612" s="2" t="s">
        <v>116</v>
      </c>
      <c r="I612" s="2" t="s">
        <v>138</v>
      </c>
      <c r="J612" s="2" t="s">
        <v>2916</v>
      </c>
      <c r="K612" s="2" t="s">
        <v>95</v>
      </c>
      <c r="L612" s="1" t="s">
        <v>62</v>
      </c>
    </row>
    <row r="613">
      <c r="A613" s="1" t="s">
        <v>2257</v>
      </c>
      <c r="B613" s="1" t="s">
        <v>44</v>
      </c>
      <c r="C613" s="2" t="s">
        <v>46</v>
      </c>
      <c r="D613" s="2" t="s">
        <v>149</v>
      </c>
      <c r="E613" s="2" t="s">
        <v>174</v>
      </c>
      <c r="F613" s="2" t="s">
        <v>54</v>
      </c>
      <c r="G613" s="2" t="s">
        <v>395</v>
      </c>
      <c r="I613" s="2" t="s">
        <v>38</v>
      </c>
      <c r="J613" s="2" t="s">
        <v>2917</v>
      </c>
      <c r="K613" s="2" t="s">
        <v>117</v>
      </c>
      <c r="L613" s="1" t="s">
        <v>113</v>
      </c>
    </row>
    <row r="614">
      <c r="A614" s="1" t="s">
        <v>2261</v>
      </c>
      <c r="B614" s="1" t="s">
        <v>84</v>
      </c>
      <c r="C614" s="2" t="s">
        <v>95</v>
      </c>
      <c r="D614" s="2" t="s">
        <v>162</v>
      </c>
      <c r="E614" s="2" t="s">
        <v>278</v>
      </c>
      <c r="F614" s="2" t="s">
        <v>95</v>
      </c>
      <c r="G614" s="2" t="s">
        <v>33</v>
      </c>
      <c r="H614" s="2" t="s">
        <v>412</v>
      </c>
      <c r="I614" s="2" t="s">
        <v>117</v>
      </c>
      <c r="J614" s="2" t="s">
        <v>2918</v>
      </c>
      <c r="K614" s="2" t="s">
        <v>58</v>
      </c>
      <c r="L614" s="1" t="s">
        <v>113</v>
      </c>
    </row>
    <row r="615">
      <c r="A615" s="1" t="s">
        <v>2265</v>
      </c>
      <c r="B615" s="1" t="s">
        <v>44</v>
      </c>
      <c r="C615" s="2" t="s">
        <v>38</v>
      </c>
      <c r="D615" s="2" t="s">
        <v>186</v>
      </c>
      <c r="E615" s="2" t="s">
        <v>2919</v>
      </c>
      <c r="F615" s="2" t="s">
        <v>106</v>
      </c>
      <c r="G615" s="2" t="s">
        <v>186</v>
      </c>
      <c r="H615" s="2" t="s">
        <v>92</v>
      </c>
      <c r="I615" s="2" t="s">
        <v>138</v>
      </c>
      <c r="J615" s="2" t="s">
        <v>2920</v>
      </c>
      <c r="K615" s="2" t="s">
        <v>38</v>
      </c>
      <c r="L615" s="1" t="s">
        <v>113</v>
      </c>
    </row>
    <row r="616">
      <c r="A616" s="1" t="s">
        <v>2268</v>
      </c>
      <c r="B616" s="1" t="s">
        <v>44</v>
      </c>
      <c r="C616" s="2" t="s">
        <v>23</v>
      </c>
      <c r="D616" s="2" t="s">
        <v>104</v>
      </c>
      <c r="E616" s="2" t="s">
        <v>328</v>
      </c>
      <c r="F616" s="2" t="s">
        <v>95</v>
      </c>
      <c r="G616" s="2" t="s">
        <v>68</v>
      </c>
      <c r="H616" s="2" t="s">
        <v>75</v>
      </c>
      <c r="I616" s="2" t="s">
        <v>138</v>
      </c>
      <c r="J616" s="2" t="s">
        <v>2921</v>
      </c>
      <c r="K616" s="2" t="s">
        <v>46</v>
      </c>
      <c r="L616" s="1" t="s">
        <v>113</v>
      </c>
    </row>
    <row r="617">
      <c r="A617" s="1" t="s">
        <v>2272</v>
      </c>
      <c r="B617" s="1" t="s">
        <v>44</v>
      </c>
      <c r="C617" s="2" t="s">
        <v>77</v>
      </c>
      <c r="D617" s="2" t="s">
        <v>23</v>
      </c>
      <c r="E617" s="2" t="s">
        <v>575</v>
      </c>
      <c r="F617" s="2" t="s">
        <v>224</v>
      </c>
      <c r="G617" s="2" t="s">
        <v>48</v>
      </c>
      <c r="H617" s="2" t="s">
        <v>310</v>
      </c>
      <c r="I617" s="2" t="s">
        <v>77</v>
      </c>
      <c r="J617" s="2" t="s">
        <v>2922</v>
      </c>
      <c r="K617" s="2" t="s">
        <v>23</v>
      </c>
      <c r="L617" s="1" t="s">
        <v>62</v>
      </c>
    </row>
    <row r="618">
      <c r="A618" s="1" t="s">
        <v>2274</v>
      </c>
      <c r="B618" s="1" t="s">
        <v>22</v>
      </c>
      <c r="C618" s="2" t="s">
        <v>38</v>
      </c>
      <c r="D618" s="2" t="s">
        <v>213</v>
      </c>
      <c r="E618" s="2" t="s">
        <v>372</v>
      </c>
      <c r="F618" s="2" t="s">
        <v>338</v>
      </c>
      <c r="G618" s="2" t="s">
        <v>186</v>
      </c>
      <c r="H618" s="2" t="s">
        <v>575</v>
      </c>
      <c r="I618" s="2" t="s">
        <v>77</v>
      </c>
      <c r="J618" s="2" t="s">
        <v>2923</v>
      </c>
      <c r="K618" s="2" t="s">
        <v>38</v>
      </c>
      <c r="L618" s="1" t="s">
        <v>113</v>
      </c>
    </row>
    <row r="619">
      <c r="A619" s="1" t="s">
        <v>2276</v>
      </c>
      <c r="B619" s="1" t="s">
        <v>22</v>
      </c>
      <c r="C619" s="2" t="s">
        <v>157</v>
      </c>
      <c r="D619" s="2" t="s">
        <v>300</v>
      </c>
      <c r="E619" s="2" t="s">
        <v>882</v>
      </c>
      <c r="F619" s="2" t="s">
        <v>265</v>
      </c>
      <c r="G619" s="2" t="s">
        <v>48</v>
      </c>
      <c r="H619" s="2" t="s">
        <v>151</v>
      </c>
      <c r="I619" s="2" t="s">
        <v>58</v>
      </c>
      <c r="J619" s="2" t="s">
        <v>2924</v>
      </c>
      <c r="K619" s="2" t="s">
        <v>23</v>
      </c>
      <c r="L619" s="1" t="s">
        <v>62</v>
      </c>
    </row>
    <row r="620">
      <c r="A620" s="1" t="s">
        <v>2280</v>
      </c>
      <c r="B620" s="1" t="s">
        <v>22</v>
      </c>
      <c r="C620" s="2" t="s">
        <v>31</v>
      </c>
      <c r="D620" s="2" t="s">
        <v>2925</v>
      </c>
      <c r="E620" s="2" t="s">
        <v>2231</v>
      </c>
      <c r="F620" s="2" t="s">
        <v>290</v>
      </c>
      <c r="G620" s="2" t="s">
        <v>351</v>
      </c>
      <c r="H620" s="2" t="s">
        <v>250</v>
      </c>
      <c r="I620" s="2" t="s">
        <v>138</v>
      </c>
      <c r="J620" s="2" t="s">
        <v>2926</v>
      </c>
      <c r="K620" s="2" t="s">
        <v>95</v>
      </c>
      <c r="L620" s="1" t="s">
        <v>62</v>
      </c>
    </row>
    <row r="621">
      <c r="A621" s="1" t="s">
        <v>2284</v>
      </c>
      <c r="B621" s="1" t="s">
        <v>65</v>
      </c>
      <c r="C621" s="2" t="s">
        <v>95</v>
      </c>
      <c r="D621" s="2" t="s">
        <v>86</v>
      </c>
      <c r="E621" s="2" t="s">
        <v>2889</v>
      </c>
      <c r="F621" s="2" t="s">
        <v>869</v>
      </c>
      <c r="G621" s="2" t="s">
        <v>73</v>
      </c>
      <c r="H621" s="2" t="s">
        <v>412</v>
      </c>
      <c r="I621" s="2" t="s">
        <v>117</v>
      </c>
      <c r="J621" s="2" t="s">
        <v>2927</v>
      </c>
      <c r="K621" s="2" t="s">
        <v>77</v>
      </c>
      <c r="L621" s="1" t="s">
        <v>113</v>
      </c>
    </row>
    <row r="622">
      <c r="A622" s="1" t="s">
        <v>2288</v>
      </c>
      <c r="B622" s="1" t="s">
        <v>65</v>
      </c>
      <c r="C622" s="2" t="s">
        <v>95</v>
      </c>
      <c r="D622" s="2" t="s">
        <v>201</v>
      </c>
      <c r="E622" s="2" t="s">
        <v>651</v>
      </c>
      <c r="F622" s="2" t="s">
        <v>162</v>
      </c>
      <c r="G622" s="2" t="s">
        <v>54</v>
      </c>
      <c r="H622" s="2" t="s">
        <v>108</v>
      </c>
      <c r="I622" s="2" t="s">
        <v>77</v>
      </c>
      <c r="J622" s="2" t="s">
        <v>2907</v>
      </c>
      <c r="K622" s="2" t="s">
        <v>46</v>
      </c>
      <c r="L622" s="1" t="s">
        <v>62</v>
      </c>
    </row>
    <row r="623">
      <c r="A623" s="1" t="s">
        <v>2290</v>
      </c>
      <c r="B623" s="1" t="s">
        <v>84</v>
      </c>
      <c r="C623" s="2" t="s">
        <v>290</v>
      </c>
      <c r="D623" s="2" t="s">
        <v>365</v>
      </c>
      <c r="E623" s="2" t="s">
        <v>2928</v>
      </c>
      <c r="F623" s="2" t="s">
        <v>175</v>
      </c>
      <c r="G623" s="2" t="s">
        <v>162</v>
      </c>
      <c r="H623" s="2" t="s">
        <v>250</v>
      </c>
      <c r="I623" s="2" t="s">
        <v>117</v>
      </c>
      <c r="J623" s="2" t="s">
        <v>2929</v>
      </c>
      <c r="K623" s="2" t="s">
        <v>117</v>
      </c>
      <c r="L623" s="1" t="s">
        <v>113</v>
      </c>
    </row>
    <row r="624">
      <c r="A624" s="1" t="s">
        <v>2295</v>
      </c>
      <c r="B624" s="1" t="s">
        <v>22</v>
      </c>
      <c r="C624" s="2" t="s">
        <v>23</v>
      </c>
      <c r="D624" s="2" t="s">
        <v>106</v>
      </c>
      <c r="E624" s="2" t="s">
        <v>1505</v>
      </c>
      <c r="F624" s="2" t="s">
        <v>199</v>
      </c>
      <c r="G624" s="2" t="s">
        <v>213</v>
      </c>
      <c r="H624" s="2" t="s">
        <v>36</v>
      </c>
      <c r="I624" s="2" t="s">
        <v>138</v>
      </c>
      <c r="J624" s="2" t="s">
        <v>2930</v>
      </c>
      <c r="K624" s="2" t="s">
        <v>167</v>
      </c>
      <c r="L624" s="1" t="s">
        <v>62</v>
      </c>
    </row>
    <row r="625">
      <c r="A625" s="1" t="s">
        <v>2298</v>
      </c>
      <c r="B625" s="1" t="s">
        <v>65</v>
      </c>
      <c r="C625" s="2" t="s">
        <v>117</v>
      </c>
      <c r="D625" s="2" t="s">
        <v>23</v>
      </c>
      <c r="E625" s="2" t="s">
        <v>1346</v>
      </c>
      <c r="F625" s="2" t="s">
        <v>31</v>
      </c>
      <c r="G625" s="2" t="s">
        <v>201</v>
      </c>
      <c r="H625" s="2" t="s">
        <v>114</v>
      </c>
      <c r="I625" s="2" t="s">
        <v>77</v>
      </c>
      <c r="J625" s="2" t="s">
        <v>2931</v>
      </c>
      <c r="K625" s="2" t="s">
        <v>38</v>
      </c>
      <c r="L625" s="1" t="s">
        <v>113</v>
      </c>
    </row>
    <row r="626">
      <c r="A626" s="1" t="s">
        <v>2301</v>
      </c>
      <c r="B626" s="1" t="s">
        <v>84</v>
      </c>
      <c r="C626" s="2" t="s">
        <v>95</v>
      </c>
      <c r="D626" s="2" t="s">
        <v>27</v>
      </c>
      <c r="E626" s="2" t="s">
        <v>2556</v>
      </c>
      <c r="F626" s="2" t="s">
        <v>1026</v>
      </c>
      <c r="G626" s="2" t="s">
        <v>290</v>
      </c>
      <c r="H626" s="2" t="s">
        <v>116</v>
      </c>
      <c r="I626" s="2" t="s">
        <v>117</v>
      </c>
      <c r="J626" s="2" t="s">
        <v>2932</v>
      </c>
      <c r="K626" s="2" t="s">
        <v>167</v>
      </c>
      <c r="L626" s="1" t="s">
        <v>62</v>
      </c>
    </row>
    <row r="627">
      <c r="A627" s="1" t="s">
        <v>2305</v>
      </c>
      <c r="B627" s="1" t="s">
        <v>170</v>
      </c>
      <c r="C627" s="2" t="s">
        <v>154</v>
      </c>
      <c r="D627" s="2" t="s">
        <v>68</v>
      </c>
      <c r="E627" s="2" t="s">
        <v>160</v>
      </c>
      <c r="F627" s="2" t="s">
        <v>338</v>
      </c>
      <c r="G627" s="2" t="s">
        <v>213</v>
      </c>
      <c r="H627" s="2" t="s">
        <v>270</v>
      </c>
      <c r="I627" s="2" t="s">
        <v>77</v>
      </c>
      <c r="J627" s="2" t="s">
        <v>2307</v>
      </c>
      <c r="K627" s="2" t="s">
        <v>46</v>
      </c>
      <c r="L627" s="1" t="s">
        <v>62</v>
      </c>
    </row>
    <row r="628">
      <c r="A628" s="1" t="s">
        <v>2309</v>
      </c>
      <c r="B628" s="1" t="s">
        <v>84</v>
      </c>
      <c r="C628" s="2" t="s">
        <v>157</v>
      </c>
      <c r="D628" s="2" t="s">
        <v>338</v>
      </c>
      <c r="E628" s="2" t="s">
        <v>1333</v>
      </c>
      <c r="F628" s="2" t="s">
        <v>186</v>
      </c>
      <c r="G628" s="2" t="s">
        <v>149</v>
      </c>
      <c r="H628" s="2" t="s">
        <v>575</v>
      </c>
      <c r="I628" s="2" t="s">
        <v>58</v>
      </c>
      <c r="J628" s="2" t="s">
        <v>2933</v>
      </c>
      <c r="K628" s="2" t="s">
        <v>38</v>
      </c>
      <c r="L628" s="1" t="s">
        <v>113</v>
      </c>
    </row>
    <row r="629">
      <c r="A629" s="1" t="s">
        <v>2311</v>
      </c>
      <c r="B629" s="1" t="s">
        <v>84</v>
      </c>
      <c r="C629" s="2" t="s">
        <v>38</v>
      </c>
      <c r="D629" s="2" t="s">
        <v>186</v>
      </c>
      <c r="E629" s="2" t="s">
        <v>215</v>
      </c>
      <c r="F629" s="2" t="s">
        <v>267</v>
      </c>
      <c r="G629" s="2" t="s">
        <v>54</v>
      </c>
      <c r="H629" s="2" t="s">
        <v>463</v>
      </c>
      <c r="I629" s="2" t="s">
        <v>58</v>
      </c>
      <c r="J629" s="2" t="s">
        <v>2934</v>
      </c>
      <c r="K629" s="2" t="s">
        <v>77</v>
      </c>
      <c r="L629" s="1" t="s">
        <v>113</v>
      </c>
    </row>
    <row r="630">
      <c r="A630" s="1" t="s">
        <v>2315</v>
      </c>
      <c r="B630" s="1" t="s">
        <v>22</v>
      </c>
      <c r="C630" s="2" t="s">
        <v>38</v>
      </c>
      <c r="D630" s="2" t="s">
        <v>33</v>
      </c>
      <c r="E630" s="2" t="s">
        <v>226</v>
      </c>
      <c r="F630" s="2" t="s">
        <v>514</v>
      </c>
      <c r="G630" s="2" t="s">
        <v>365</v>
      </c>
      <c r="H630" s="2" t="s">
        <v>270</v>
      </c>
      <c r="I630" s="2" t="s">
        <v>58</v>
      </c>
      <c r="J630" s="2" t="s">
        <v>2935</v>
      </c>
      <c r="K630" s="2" t="s">
        <v>117</v>
      </c>
      <c r="L630" s="1" t="s">
        <v>113</v>
      </c>
    </row>
    <row r="631">
      <c r="A631" s="1" t="s">
        <v>2319</v>
      </c>
      <c r="B631" s="1" t="s">
        <v>65</v>
      </c>
      <c r="C631" s="2" t="s">
        <v>154</v>
      </c>
      <c r="D631" s="2" t="s">
        <v>395</v>
      </c>
      <c r="E631" s="2" t="s">
        <v>560</v>
      </c>
      <c r="F631" s="2" t="s">
        <v>1088</v>
      </c>
      <c r="G631" s="2" t="s">
        <v>162</v>
      </c>
      <c r="H631" s="2" t="s">
        <v>1091</v>
      </c>
      <c r="I631" s="2" t="s">
        <v>117</v>
      </c>
      <c r="J631" s="2" t="s">
        <v>2936</v>
      </c>
      <c r="K631" s="2" t="s">
        <v>77</v>
      </c>
      <c r="L631" s="1" t="s">
        <v>113</v>
      </c>
    </row>
    <row r="632">
      <c r="A632" s="1" t="s">
        <v>2321</v>
      </c>
      <c r="B632" s="1" t="s">
        <v>44</v>
      </c>
      <c r="C632" s="2" t="s">
        <v>157</v>
      </c>
      <c r="D632" s="2" t="s">
        <v>514</v>
      </c>
      <c r="E632" s="2" t="s">
        <v>1813</v>
      </c>
      <c r="F632" s="2" t="s">
        <v>1026</v>
      </c>
      <c r="G632" s="2" t="s">
        <v>106</v>
      </c>
      <c r="H632" s="2" t="s">
        <v>151</v>
      </c>
      <c r="I632" s="2" t="s">
        <v>58</v>
      </c>
      <c r="J632" s="2" t="s">
        <v>2937</v>
      </c>
      <c r="K632" s="2" t="s">
        <v>95</v>
      </c>
      <c r="L632" s="1" t="s">
        <v>62</v>
      </c>
    </row>
    <row r="633">
      <c r="A633" s="1" t="s">
        <v>2323</v>
      </c>
      <c r="B633" s="1" t="s">
        <v>170</v>
      </c>
      <c r="C633" s="2" t="s">
        <v>117</v>
      </c>
      <c r="D633" s="2" t="s">
        <v>95</v>
      </c>
      <c r="E633" s="2" t="s">
        <v>996</v>
      </c>
      <c r="F633" s="2" t="s">
        <v>95</v>
      </c>
      <c r="G633" s="2" t="s">
        <v>339</v>
      </c>
      <c r="H633" s="2" t="s">
        <v>163</v>
      </c>
      <c r="I633" s="2" t="s">
        <v>77</v>
      </c>
      <c r="J633" s="2" t="s">
        <v>715</v>
      </c>
      <c r="K633" s="2" t="s">
        <v>95</v>
      </c>
      <c r="L633" s="1" t="s">
        <v>62</v>
      </c>
    </row>
    <row r="634">
      <c r="A634" s="1" t="s">
        <v>2325</v>
      </c>
      <c r="B634" s="1" t="s">
        <v>65</v>
      </c>
      <c r="C634" s="2" t="s">
        <v>157</v>
      </c>
      <c r="D634" s="2" t="s">
        <v>201</v>
      </c>
      <c r="E634" s="2" t="s">
        <v>187</v>
      </c>
      <c r="F634" s="2" t="s">
        <v>247</v>
      </c>
      <c r="G634" s="2" t="s">
        <v>245</v>
      </c>
      <c r="H634" s="2" t="s">
        <v>497</v>
      </c>
      <c r="I634" s="2" t="s">
        <v>77</v>
      </c>
      <c r="J634" s="2" t="s">
        <v>2938</v>
      </c>
      <c r="K634" s="2" t="s">
        <v>46</v>
      </c>
      <c r="L634" s="1" t="s">
        <v>62</v>
      </c>
    </row>
    <row r="635">
      <c r="A635" s="1" t="s">
        <v>2327</v>
      </c>
      <c r="B635" s="1" t="s">
        <v>22</v>
      </c>
      <c r="C635" s="2" t="s">
        <v>38</v>
      </c>
      <c r="D635" s="2" t="s">
        <v>245</v>
      </c>
      <c r="E635" s="2" t="s">
        <v>2034</v>
      </c>
      <c r="F635" s="2" t="s">
        <v>686</v>
      </c>
      <c r="G635" s="2" t="s">
        <v>300</v>
      </c>
      <c r="H635" s="2" t="s">
        <v>151</v>
      </c>
      <c r="I635" s="2" t="s">
        <v>58</v>
      </c>
      <c r="J635" s="2" t="s">
        <v>2939</v>
      </c>
      <c r="K635" s="2" t="s">
        <v>117</v>
      </c>
      <c r="L635" s="1" t="s">
        <v>62</v>
      </c>
    </row>
    <row r="636">
      <c r="A636" s="1" t="s">
        <v>2329</v>
      </c>
      <c r="B636" s="1" t="s">
        <v>170</v>
      </c>
      <c r="C636" s="2" t="s">
        <v>38</v>
      </c>
      <c r="D636" s="2" t="s">
        <v>290</v>
      </c>
      <c r="E636" s="2" t="s">
        <v>102</v>
      </c>
      <c r="F636" s="2" t="s">
        <v>95</v>
      </c>
      <c r="G636" s="2" t="s">
        <v>186</v>
      </c>
      <c r="H636" s="2" t="s">
        <v>56</v>
      </c>
      <c r="I636" s="2" t="s">
        <v>58</v>
      </c>
      <c r="J636" s="2" t="s">
        <v>2940</v>
      </c>
      <c r="K636" s="2" t="s">
        <v>38</v>
      </c>
      <c r="L636" s="1" t="s">
        <v>113</v>
      </c>
    </row>
    <row r="637">
      <c r="A637" s="1" t="s">
        <v>2331</v>
      </c>
      <c r="B637" s="1" t="s">
        <v>84</v>
      </c>
      <c r="C637" s="2" t="s">
        <v>167</v>
      </c>
      <c r="D637" s="2" t="s">
        <v>186</v>
      </c>
      <c r="E637" s="2" t="s">
        <v>457</v>
      </c>
      <c r="F637" s="2" t="s">
        <v>224</v>
      </c>
      <c r="G637" s="2" t="s">
        <v>375</v>
      </c>
      <c r="H637" s="2" t="s">
        <v>497</v>
      </c>
      <c r="I637" s="2" t="s">
        <v>46</v>
      </c>
      <c r="J637" s="2" t="s">
        <v>2941</v>
      </c>
      <c r="K637" s="2" t="s">
        <v>157</v>
      </c>
      <c r="L637" s="1" t="s">
        <v>62</v>
      </c>
    </row>
    <row r="638">
      <c r="A638" s="1" t="s">
        <v>2335</v>
      </c>
      <c r="B638" s="1" t="s">
        <v>84</v>
      </c>
      <c r="C638" s="2" t="s">
        <v>23</v>
      </c>
      <c r="D638" s="2" t="s">
        <v>135</v>
      </c>
      <c r="E638" s="2" t="s">
        <v>651</v>
      </c>
      <c r="F638" s="2" t="s">
        <v>33</v>
      </c>
      <c r="G638" s="2" t="s">
        <v>339</v>
      </c>
      <c r="H638" s="2" t="s">
        <v>163</v>
      </c>
      <c r="I638" s="2" t="s">
        <v>38</v>
      </c>
      <c r="J638" s="2" t="s">
        <v>2942</v>
      </c>
      <c r="K638" s="2" t="s">
        <v>38</v>
      </c>
      <c r="L638" s="1" t="s">
        <v>113</v>
      </c>
    </row>
    <row r="639">
      <c r="A639" s="1" t="s">
        <v>2337</v>
      </c>
      <c r="B639" s="1" t="s">
        <v>84</v>
      </c>
      <c r="C639" s="2" t="s">
        <v>46</v>
      </c>
      <c r="D639" s="2" t="s">
        <v>71</v>
      </c>
      <c r="E639" s="2" t="s">
        <v>178</v>
      </c>
      <c r="F639" s="2" t="s">
        <v>224</v>
      </c>
      <c r="G639" s="2" t="s">
        <v>186</v>
      </c>
      <c r="H639" s="2" t="s">
        <v>203</v>
      </c>
      <c r="I639" s="2" t="s">
        <v>58</v>
      </c>
      <c r="J639" s="2" t="s">
        <v>2943</v>
      </c>
      <c r="K639" s="2" t="s">
        <v>117</v>
      </c>
      <c r="L639" s="1" t="s">
        <v>113</v>
      </c>
    </row>
    <row r="640">
      <c r="A640" s="1" t="s">
        <v>2340</v>
      </c>
      <c r="B640" s="1" t="s">
        <v>84</v>
      </c>
      <c r="C640" s="2" t="s">
        <v>46</v>
      </c>
      <c r="D640" s="2" t="s">
        <v>149</v>
      </c>
      <c r="E640" s="2" t="s">
        <v>1333</v>
      </c>
      <c r="F640" s="2" t="s">
        <v>395</v>
      </c>
      <c r="G640" s="2" t="s">
        <v>31</v>
      </c>
      <c r="H640" s="2" t="s">
        <v>75</v>
      </c>
      <c r="I640" s="2" t="s">
        <v>77</v>
      </c>
      <c r="J640" s="2" t="s">
        <v>2944</v>
      </c>
      <c r="K640" s="2" t="s">
        <v>38</v>
      </c>
      <c r="L640" s="1" t="s">
        <v>113</v>
      </c>
    </row>
    <row r="641">
      <c r="A641" s="1" t="s">
        <v>2344</v>
      </c>
      <c r="B641" s="1" t="s">
        <v>22</v>
      </c>
      <c r="C641" s="2" t="s">
        <v>46</v>
      </c>
      <c r="D641" s="2" t="s">
        <v>33</v>
      </c>
      <c r="E641" s="2" t="s">
        <v>855</v>
      </c>
      <c r="F641" s="2" t="s">
        <v>199</v>
      </c>
      <c r="G641" s="2" t="s">
        <v>213</v>
      </c>
      <c r="H641" s="2" t="s">
        <v>114</v>
      </c>
      <c r="I641" s="2" t="s">
        <v>77</v>
      </c>
      <c r="J641" s="2" t="s">
        <v>2945</v>
      </c>
      <c r="K641" s="2" t="s">
        <v>117</v>
      </c>
      <c r="L641" s="1" t="s">
        <v>113</v>
      </c>
    </row>
    <row r="642">
      <c r="A642" s="1" t="s">
        <v>2346</v>
      </c>
      <c r="B642" s="1" t="s">
        <v>84</v>
      </c>
      <c r="C642" s="2" t="s">
        <v>157</v>
      </c>
      <c r="D642" s="2" t="s">
        <v>71</v>
      </c>
      <c r="E642" s="2" t="s">
        <v>2946</v>
      </c>
      <c r="F642" s="2" t="s">
        <v>265</v>
      </c>
      <c r="G642" s="2" t="s">
        <v>68</v>
      </c>
      <c r="H642" s="2" t="s">
        <v>497</v>
      </c>
      <c r="I642" s="2" t="s">
        <v>138</v>
      </c>
      <c r="J642" s="2" t="s">
        <v>2947</v>
      </c>
      <c r="K642" s="2" t="s">
        <v>77</v>
      </c>
      <c r="L642" s="1" t="s">
        <v>113</v>
      </c>
    </row>
    <row r="643">
      <c r="A643" s="1" t="s">
        <v>2349</v>
      </c>
      <c r="B643" s="1" t="s">
        <v>22</v>
      </c>
      <c r="C643" s="2" t="s">
        <v>23</v>
      </c>
      <c r="D643" s="2" t="s">
        <v>86</v>
      </c>
      <c r="E643" s="2" t="s">
        <v>685</v>
      </c>
      <c r="F643" s="2" t="s">
        <v>338</v>
      </c>
      <c r="G643" s="2" t="s">
        <v>186</v>
      </c>
      <c r="H643" s="2" t="s">
        <v>108</v>
      </c>
      <c r="I643" s="2" t="s">
        <v>77</v>
      </c>
      <c r="J643" s="2" t="s">
        <v>2948</v>
      </c>
      <c r="K643" s="2" t="s">
        <v>157</v>
      </c>
      <c r="L643" s="1" t="s">
        <v>62</v>
      </c>
    </row>
    <row r="644">
      <c r="A644" s="1" t="s">
        <v>2353</v>
      </c>
      <c r="B644" s="1" t="s">
        <v>22</v>
      </c>
      <c r="C644" s="2" t="s">
        <v>23</v>
      </c>
      <c r="D644" s="2" t="s">
        <v>339</v>
      </c>
      <c r="E644" s="2" t="s">
        <v>29</v>
      </c>
      <c r="F644" s="2" t="s">
        <v>27</v>
      </c>
      <c r="G644" s="2" t="s">
        <v>186</v>
      </c>
      <c r="H644" s="2" t="s">
        <v>310</v>
      </c>
      <c r="I644" s="2" t="s">
        <v>117</v>
      </c>
      <c r="J644" s="2" t="s">
        <v>2949</v>
      </c>
      <c r="K644" s="2" t="s">
        <v>95</v>
      </c>
      <c r="L644" s="1" t="s">
        <v>62</v>
      </c>
    </row>
    <row r="645">
      <c r="A645" s="1" t="s">
        <v>2356</v>
      </c>
      <c r="B645" s="1" t="s">
        <v>65</v>
      </c>
      <c r="C645" s="2" t="s">
        <v>117</v>
      </c>
      <c r="D645" s="2" t="s">
        <v>167</v>
      </c>
      <c r="E645" s="2" t="s">
        <v>1499</v>
      </c>
      <c r="F645" s="2" t="s">
        <v>71</v>
      </c>
      <c r="G645" s="2" t="s">
        <v>149</v>
      </c>
      <c r="H645" s="2" t="s">
        <v>270</v>
      </c>
      <c r="I645" s="2" t="s">
        <v>117</v>
      </c>
      <c r="J645" s="2" t="s">
        <v>2580</v>
      </c>
      <c r="K645" s="2" t="s">
        <v>46</v>
      </c>
      <c r="L645" s="1" t="s">
        <v>62</v>
      </c>
    </row>
    <row r="646">
      <c r="A646" s="1" t="s">
        <v>2360</v>
      </c>
      <c r="B646" s="1" t="s">
        <v>65</v>
      </c>
      <c r="C646" s="2" t="s">
        <v>167</v>
      </c>
      <c r="D646" s="2" t="s">
        <v>365</v>
      </c>
      <c r="E646" s="2" t="s">
        <v>328</v>
      </c>
      <c r="F646" s="2" t="s">
        <v>167</v>
      </c>
      <c r="G646" s="2" t="s">
        <v>33</v>
      </c>
      <c r="H646" s="2" t="s">
        <v>218</v>
      </c>
      <c r="I646" s="2" t="s">
        <v>46</v>
      </c>
      <c r="J646" s="2" t="s">
        <v>2951</v>
      </c>
      <c r="K646" s="2" t="s">
        <v>46</v>
      </c>
      <c r="L646" s="1" t="s">
        <v>113</v>
      </c>
    </row>
    <row r="647">
      <c r="A647" s="1" t="s">
        <v>2362</v>
      </c>
      <c r="B647" s="1" t="s">
        <v>22</v>
      </c>
      <c r="C647" s="2" t="s">
        <v>95</v>
      </c>
      <c r="D647" s="2" t="s">
        <v>73</v>
      </c>
      <c r="E647" s="2" t="s">
        <v>1055</v>
      </c>
      <c r="F647" s="2" t="s">
        <v>265</v>
      </c>
      <c r="G647" s="2" t="s">
        <v>149</v>
      </c>
      <c r="H647" s="2" t="s">
        <v>92</v>
      </c>
      <c r="I647" s="2" t="s">
        <v>38</v>
      </c>
      <c r="J647" s="2" t="s">
        <v>2952</v>
      </c>
      <c r="K647" s="2" t="s">
        <v>38</v>
      </c>
      <c r="L647" s="1" t="s">
        <v>113</v>
      </c>
    </row>
    <row r="648">
      <c r="A648" s="1" t="s">
        <v>2366</v>
      </c>
      <c r="B648" s="1" t="s">
        <v>22</v>
      </c>
      <c r="C648" s="2" t="s">
        <v>46</v>
      </c>
      <c r="D648" s="2" t="s">
        <v>201</v>
      </c>
      <c r="E648" s="2" t="s">
        <v>846</v>
      </c>
      <c r="F648" s="2" t="s">
        <v>71</v>
      </c>
      <c r="G648" s="2" t="s">
        <v>149</v>
      </c>
      <c r="H648" s="2" t="s">
        <v>497</v>
      </c>
      <c r="I648" s="2" t="s">
        <v>38</v>
      </c>
      <c r="J648" s="2" t="s">
        <v>2953</v>
      </c>
      <c r="K648" s="2" t="s">
        <v>23</v>
      </c>
      <c r="L648" s="1" t="s">
        <v>62</v>
      </c>
    </row>
    <row r="649">
      <c r="A649" s="1" t="s">
        <v>2370</v>
      </c>
      <c r="B649" s="1" t="s">
        <v>22</v>
      </c>
      <c r="C649" s="2" t="s">
        <v>23</v>
      </c>
      <c r="D649" s="2" t="s">
        <v>33</v>
      </c>
      <c r="E649" s="2" t="s">
        <v>1423</v>
      </c>
      <c r="F649" s="2" t="s">
        <v>461</v>
      </c>
      <c r="G649" s="2" t="s">
        <v>54</v>
      </c>
      <c r="I649" s="2" t="s">
        <v>77</v>
      </c>
      <c r="J649" s="2" t="s">
        <v>2954</v>
      </c>
      <c r="K649" s="2" t="s">
        <v>77</v>
      </c>
      <c r="L649" s="1" t="s">
        <v>113</v>
      </c>
    </row>
    <row r="650">
      <c r="A650" s="1" t="s">
        <v>2373</v>
      </c>
      <c r="B650" s="1" t="s">
        <v>84</v>
      </c>
      <c r="C650" s="2" t="s">
        <v>23</v>
      </c>
      <c r="D650" s="2" t="s">
        <v>224</v>
      </c>
      <c r="E650" s="2" t="s">
        <v>1211</v>
      </c>
      <c r="F650" s="2" t="s">
        <v>54</v>
      </c>
      <c r="G650" s="2" t="s">
        <v>351</v>
      </c>
      <c r="I650" s="2" t="s">
        <v>77</v>
      </c>
      <c r="J650" s="2" t="s">
        <v>2955</v>
      </c>
      <c r="K650" s="2" t="s">
        <v>157</v>
      </c>
      <c r="L650" s="1" t="s">
        <v>62</v>
      </c>
    </row>
    <row r="651">
      <c r="A651" s="1" t="s">
        <v>2376</v>
      </c>
      <c r="B651" s="1" t="s">
        <v>65</v>
      </c>
      <c r="C651" s="2" t="s">
        <v>46</v>
      </c>
      <c r="D651" s="2" t="s">
        <v>290</v>
      </c>
      <c r="E651" s="2" t="s">
        <v>1452</v>
      </c>
      <c r="F651" s="2" t="s">
        <v>86</v>
      </c>
      <c r="G651" s="2" t="s">
        <v>135</v>
      </c>
      <c r="H651" s="2" t="s">
        <v>463</v>
      </c>
      <c r="I651" s="2" t="s">
        <v>77</v>
      </c>
      <c r="J651" s="2" t="s">
        <v>2956</v>
      </c>
      <c r="K651" s="2" t="s">
        <v>95</v>
      </c>
      <c r="L651" s="1" t="s">
        <v>62</v>
      </c>
    </row>
    <row r="652">
      <c r="A652" s="1" t="s">
        <v>2379</v>
      </c>
      <c r="B652" s="1" t="s">
        <v>65</v>
      </c>
      <c r="C652" s="2" t="s">
        <v>23</v>
      </c>
      <c r="D652" s="2" t="s">
        <v>154</v>
      </c>
      <c r="E652" s="2" t="s">
        <v>560</v>
      </c>
      <c r="F652" s="2" t="s">
        <v>48</v>
      </c>
      <c r="G652" s="2" t="s">
        <v>54</v>
      </c>
      <c r="H652" s="2" t="s">
        <v>412</v>
      </c>
      <c r="I652" s="2" t="s">
        <v>58</v>
      </c>
      <c r="J652" s="2" t="s">
        <v>2957</v>
      </c>
      <c r="K652" s="2" t="s">
        <v>38</v>
      </c>
      <c r="L652" s="1" t="s">
        <v>113</v>
      </c>
    </row>
    <row r="653">
      <c r="A653" s="1" t="s">
        <v>2381</v>
      </c>
      <c r="B653" s="1" t="s">
        <v>65</v>
      </c>
      <c r="C653" s="2" t="s">
        <v>117</v>
      </c>
      <c r="D653" s="2" t="s">
        <v>201</v>
      </c>
      <c r="E653" s="2" t="s">
        <v>725</v>
      </c>
      <c r="F653" s="2" t="s">
        <v>213</v>
      </c>
      <c r="G653" s="2" t="s">
        <v>339</v>
      </c>
      <c r="H653" s="2" t="s">
        <v>250</v>
      </c>
      <c r="I653" s="2" t="s">
        <v>38</v>
      </c>
      <c r="J653" s="2" t="s">
        <v>2456</v>
      </c>
      <c r="K653" s="2" t="s">
        <v>46</v>
      </c>
      <c r="L653" s="1" t="s">
        <v>62</v>
      </c>
    </row>
    <row r="654">
      <c r="A654" s="1" t="s">
        <v>2383</v>
      </c>
      <c r="B654" s="1" t="s">
        <v>84</v>
      </c>
      <c r="C654" s="2" t="s">
        <v>157</v>
      </c>
      <c r="D654" s="2" t="s">
        <v>245</v>
      </c>
      <c r="E654" s="2" t="s">
        <v>1860</v>
      </c>
      <c r="F654" s="2" t="s">
        <v>175</v>
      </c>
      <c r="G654" s="2" t="s">
        <v>245</v>
      </c>
      <c r="H654" s="2" t="s">
        <v>412</v>
      </c>
      <c r="I654" s="2" t="s">
        <v>58</v>
      </c>
      <c r="J654" s="2" t="s">
        <v>2958</v>
      </c>
      <c r="K654" s="2" t="s">
        <v>95</v>
      </c>
    </row>
    <row r="655">
      <c r="A655" s="1" t="s">
        <v>2385</v>
      </c>
      <c r="B655" s="1" t="s">
        <v>84</v>
      </c>
      <c r="C655" s="2" t="s">
        <v>38</v>
      </c>
      <c r="D655" s="2" t="s">
        <v>95</v>
      </c>
      <c r="E655" s="2" t="s">
        <v>1024</v>
      </c>
      <c r="F655" s="2" t="s">
        <v>338</v>
      </c>
      <c r="G655" s="2" t="s">
        <v>395</v>
      </c>
      <c r="H655" s="2" t="s">
        <v>218</v>
      </c>
      <c r="I655" s="2" t="s">
        <v>38</v>
      </c>
      <c r="J655" s="2" t="s">
        <v>2959</v>
      </c>
      <c r="K655" s="2" t="s">
        <v>38</v>
      </c>
      <c r="L655" s="1" t="s">
        <v>113</v>
      </c>
    </row>
    <row r="656">
      <c r="A656" s="1" t="s">
        <v>2388</v>
      </c>
      <c r="B656" s="1" t="s">
        <v>22</v>
      </c>
      <c r="C656" s="2" t="s">
        <v>290</v>
      </c>
      <c r="D656" s="2" t="s">
        <v>686</v>
      </c>
      <c r="E656" s="2" t="s">
        <v>463</v>
      </c>
      <c r="F656" s="2" t="s">
        <v>245</v>
      </c>
      <c r="G656" s="2" t="s">
        <v>71</v>
      </c>
      <c r="H656" s="2" t="s">
        <v>116</v>
      </c>
      <c r="I656" s="2" t="s">
        <v>117</v>
      </c>
      <c r="J656" s="2" t="s">
        <v>400</v>
      </c>
      <c r="K656" s="2" t="s">
        <v>95</v>
      </c>
      <c r="L656" s="1" t="s">
        <v>62</v>
      </c>
    </row>
    <row r="657">
      <c r="A657" s="1" t="s">
        <v>2389</v>
      </c>
      <c r="B657" s="1" t="s">
        <v>44</v>
      </c>
      <c r="C657" s="2" t="s">
        <v>167</v>
      </c>
      <c r="D657" s="2" t="s">
        <v>287</v>
      </c>
      <c r="E657" s="2" t="s">
        <v>855</v>
      </c>
      <c r="F657" s="2" t="s">
        <v>248</v>
      </c>
      <c r="G657" s="2" t="s">
        <v>71</v>
      </c>
      <c r="H657" s="2" t="s">
        <v>116</v>
      </c>
      <c r="I657" s="2" t="s">
        <v>58</v>
      </c>
      <c r="J657" s="2" t="s">
        <v>2960</v>
      </c>
      <c r="K657" s="2" t="s">
        <v>95</v>
      </c>
      <c r="L657" s="1" t="s">
        <v>62</v>
      </c>
    </row>
    <row r="658">
      <c r="A658" s="1" t="s">
        <v>2392</v>
      </c>
      <c r="B658" s="1" t="s">
        <v>84</v>
      </c>
      <c r="C658" s="2" t="s">
        <v>46</v>
      </c>
      <c r="D658" s="2" t="s">
        <v>71</v>
      </c>
      <c r="E658" s="2" t="s">
        <v>235</v>
      </c>
      <c r="F658" s="2" t="s">
        <v>248</v>
      </c>
      <c r="G658" s="2" t="s">
        <v>186</v>
      </c>
      <c r="I658" s="2" t="s">
        <v>117</v>
      </c>
      <c r="J658" s="2" t="s">
        <v>2004</v>
      </c>
      <c r="K658" s="2" t="s">
        <v>95</v>
      </c>
      <c r="L658" s="1" t="s">
        <v>62</v>
      </c>
    </row>
    <row r="659">
      <c r="A659" s="1" t="s">
        <v>2396</v>
      </c>
      <c r="B659" s="1" t="s">
        <v>22</v>
      </c>
      <c r="C659" s="2" t="s">
        <v>117</v>
      </c>
      <c r="D659" s="2" t="s">
        <v>154</v>
      </c>
      <c r="E659" s="2" t="s">
        <v>1689</v>
      </c>
      <c r="F659" s="2" t="s">
        <v>257</v>
      </c>
      <c r="G659" s="2" t="s">
        <v>73</v>
      </c>
      <c r="H659" s="2" t="s">
        <v>36</v>
      </c>
      <c r="I659" s="2" t="s">
        <v>77</v>
      </c>
      <c r="J659" s="2" t="s">
        <v>2961</v>
      </c>
      <c r="K659" s="2" t="s">
        <v>23</v>
      </c>
      <c r="L659" s="1" t="s">
        <v>62</v>
      </c>
    </row>
    <row r="660">
      <c r="A660" s="1" t="s">
        <v>2399</v>
      </c>
      <c r="B660" s="1" t="s">
        <v>65</v>
      </c>
      <c r="C660" s="2" t="s">
        <v>23</v>
      </c>
      <c r="D660" s="2" t="s">
        <v>339</v>
      </c>
      <c r="E660" s="2" t="s">
        <v>328</v>
      </c>
      <c r="F660" s="2" t="s">
        <v>267</v>
      </c>
      <c r="G660" s="2" t="s">
        <v>201</v>
      </c>
      <c r="H660" s="2" t="s">
        <v>463</v>
      </c>
      <c r="I660" s="2" t="s">
        <v>77</v>
      </c>
      <c r="J660" s="2" t="s">
        <v>2962</v>
      </c>
      <c r="K660" s="2" t="s">
        <v>58</v>
      </c>
      <c r="L660" s="1" t="s">
        <v>113</v>
      </c>
    </row>
    <row r="661">
      <c r="A661" s="1" t="s">
        <v>2402</v>
      </c>
      <c r="B661" s="1" t="s">
        <v>170</v>
      </c>
      <c r="C661" s="2" t="s">
        <v>77</v>
      </c>
      <c r="D661" s="2" t="s">
        <v>117</v>
      </c>
      <c r="E661" s="2" t="s">
        <v>2231</v>
      </c>
      <c r="F661" s="2" t="s">
        <v>287</v>
      </c>
      <c r="G661" s="2" t="s">
        <v>448</v>
      </c>
      <c r="H661" s="2" t="s">
        <v>250</v>
      </c>
      <c r="I661" s="2" t="s">
        <v>77</v>
      </c>
      <c r="J661" s="2" t="s">
        <v>2963</v>
      </c>
      <c r="K661" s="2" t="s">
        <v>77</v>
      </c>
      <c r="L661" s="1" t="s">
        <v>113</v>
      </c>
    </row>
    <row r="662">
      <c r="A662" s="1" t="s">
        <v>2404</v>
      </c>
      <c r="B662" s="1" t="s">
        <v>22</v>
      </c>
      <c r="C662" s="2" t="s">
        <v>46</v>
      </c>
      <c r="D662" s="2" t="s">
        <v>106</v>
      </c>
      <c r="E662" s="2" t="s">
        <v>1382</v>
      </c>
      <c r="F662" s="2" t="s">
        <v>106</v>
      </c>
      <c r="G662" s="2" t="s">
        <v>201</v>
      </c>
      <c r="H662" s="2" t="s">
        <v>412</v>
      </c>
      <c r="I662" s="2" t="s">
        <v>77</v>
      </c>
      <c r="J662" s="2" t="s">
        <v>2964</v>
      </c>
      <c r="K662" s="2" t="s">
        <v>95</v>
      </c>
      <c r="L662" s="1" t="s">
        <v>62</v>
      </c>
    </row>
    <row r="663">
      <c r="A663" s="1" t="s">
        <v>2406</v>
      </c>
      <c r="B663" s="1" t="s">
        <v>22</v>
      </c>
      <c r="C663" s="2" t="s">
        <v>290</v>
      </c>
      <c r="D663" s="2" t="s">
        <v>686</v>
      </c>
      <c r="E663" s="2" t="s">
        <v>1275</v>
      </c>
      <c r="F663" s="2" t="s">
        <v>395</v>
      </c>
      <c r="G663" s="2" t="s">
        <v>149</v>
      </c>
      <c r="H663" s="2" t="s">
        <v>75</v>
      </c>
      <c r="I663" s="2" t="s">
        <v>58</v>
      </c>
      <c r="J663" s="2" t="s">
        <v>2965</v>
      </c>
      <c r="K663" s="2" t="s">
        <v>157</v>
      </c>
      <c r="L663" s="1" t="s">
        <v>62</v>
      </c>
    </row>
    <row r="664">
      <c r="A664" s="1" t="s">
        <v>2409</v>
      </c>
      <c r="B664" s="1" t="s">
        <v>22</v>
      </c>
      <c r="C664" s="2" t="s">
        <v>46</v>
      </c>
      <c r="D664" s="2" t="s">
        <v>149</v>
      </c>
      <c r="E664" s="2" t="s">
        <v>2966</v>
      </c>
      <c r="F664" s="2" t="s">
        <v>351</v>
      </c>
      <c r="G664" s="2" t="s">
        <v>338</v>
      </c>
      <c r="H664" s="2" t="s">
        <v>163</v>
      </c>
      <c r="I664" s="2" t="s">
        <v>138</v>
      </c>
      <c r="J664" s="2" t="s">
        <v>1565</v>
      </c>
      <c r="K664" s="2" t="s">
        <v>23</v>
      </c>
      <c r="L664" s="1" t="s">
        <v>62</v>
      </c>
    </row>
    <row r="665">
      <c r="A665" s="1" t="s">
        <v>2412</v>
      </c>
      <c r="B665" s="1" t="s">
        <v>65</v>
      </c>
      <c r="C665" s="2" t="s">
        <v>157</v>
      </c>
      <c r="D665" s="2" t="s">
        <v>31</v>
      </c>
      <c r="E665" s="2" t="s">
        <v>2133</v>
      </c>
      <c r="F665" s="2" t="s">
        <v>23</v>
      </c>
      <c r="G665" s="2" t="s">
        <v>73</v>
      </c>
      <c r="I665" s="2" t="s">
        <v>77</v>
      </c>
      <c r="J665" s="2" t="s">
        <v>2967</v>
      </c>
      <c r="K665" s="2" t="s">
        <v>157</v>
      </c>
      <c r="L665" s="1" t="s">
        <v>62</v>
      </c>
    </row>
    <row r="666">
      <c r="A666" s="1" t="s">
        <v>2414</v>
      </c>
      <c r="B666" s="1" t="s">
        <v>170</v>
      </c>
      <c r="C666" s="2" t="s">
        <v>157</v>
      </c>
      <c r="D666" s="2" t="s">
        <v>448</v>
      </c>
      <c r="E666" s="2" t="s">
        <v>839</v>
      </c>
      <c r="F666" s="2" t="s">
        <v>106</v>
      </c>
      <c r="G666" s="2" t="s">
        <v>290</v>
      </c>
      <c r="H666" s="2" t="s">
        <v>108</v>
      </c>
      <c r="I666" s="2" t="s">
        <v>77</v>
      </c>
      <c r="J666" s="2" t="s">
        <v>2968</v>
      </c>
      <c r="K666" s="2" t="s">
        <v>58</v>
      </c>
      <c r="L666" s="1" t="s">
        <v>113</v>
      </c>
    </row>
    <row r="667">
      <c r="A667" s="1" t="s">
        <v>2418</v>
      </c>
      <c r="B667" s="1" t="s">
        <v>22</v>
      </c>
      <c r="C667" s="2" t="s">
        <v>157</v>
      </c>
      <c r="D667" s="2" t="s">
        <v>351</v>
      </c>
      <c r="E667" s="2" t="s">
        <v>890</v>
      </c>
      <c r="F667" s="2" t="s">
        <v>257</v>
      </c>
      <c r="G667" s="2" t="s">
        <v>71</v>
      </c>
      <c r="H667" s="2" t="s">
        <v>497</v>
      </c>
      <c r="I667" s="2" t="s">
        <v>77</v>
      </c>
      <c r="J667" s="2" t="s">
        <v>2969</v>
      </c>
      <c r="K667" s="2" t="s">
        <v>95</v>
      </c>
      <c r="L667" s="1" t="s">
        <v>62</v>
      </c>
    </row>
    <row r="668">
      <c r="A668" s="1" t="s">
        <v>2421</v>
      </c>
      <c r="B668" s="1" t="s">
        <v>22</v>
      </c>
      <c r="C668" s="2" t="s">
        <v>23</v>
      </c>
      <c r="D668" s="2" t="s">
        <v>245</v>
      </c>
      <c r="E668" s="2" t="s">
        <v>890</v>
      </c>
      <c r="F668" s="2" t="s">
        <v>1137</v>
      </c>
      <c r="G668" s="2" t="s">
        <v>104</v>
      </c>
      <c r="H668" s="2" t="s">
        <v>1091</v>
      </c>
      <c r="I668" s="2" t="s">
        <v>117</v>
      </c>
      <c r="J668" s="2" t="s">
        <v>2970</v>
      </c>
      <c r="K668" s="2" t="s">
        <v>23</v>
      </c>
      <c r="L668" s="1" t="s">
        <v>113</v>
      </c>
    </row>
    <row r="669">
      <c r="A669" s="1" t="s">
        <v>2423</v>
      </c>
      <c r="B669" s="1" t="s">
        <v>22</v>
      </c>
      <c r="C669" s="2" t="s">
        <v>157</v>
      </c>
      <c r="D669" s="2" t="s">
        <v>213</v>
      </c>
      <c r="E669" s="2" t="s">
        <v>725</v>
      </c>
      <c r="F669" s="2" t="s">
        <v>53</v>
      </c>
      <c r="G669" s="2" t="s">
        <v>199</v>
      </c>
      <c r="H669" s="2" t="s">
        <v>178</v>
      </c>
      <c r="I669" s="2" t="s">
        <v>138</v>
      </c>
      <c r="J669" s="2" t="s">
        <v>2971</v>
      </c>
      <c r="K669" s="2" t="s">
        <v>46</v>
      </c>
      <c r="L669" s="1" t="s">
        <v>62</v>
      </c>
    </row>
    <row r="670">
      <c r="A670" s="1" t="s">
        <v>2427</v>
      </c>
      <c r="B670" s="1" t="s">
        <v>65</v>
      </c>
      <c r="C670" s="2" t="s">
        <v>23</v>
      </c>
      <c r="D670" s="2" t="s">
        <v>186</v>
      </c>
      <c r="E670" s="2" t="s">
        <v>1382</v>
      </c>
      <c r="F670" s="2" t="s">
        <v>106</v>
      </c>
      <c r="G670" s="2" t="s">
        <v>213</v>
      </c>
      <c r="H670" s="2" t="s">
        <v>178</v>
      </c>
      <c r="I670" s="2" t="s">
        <v>77</v>
      </c>
      <c r="J670" s="2" t="s">
        <v>2972</v>
      </c>
      <c r="K670" s="2" t="s">
        <v>38</v>
      </c>
      <c r="L670" s="1" t="s">
        <v>113</v>
      </c>
    </row>
    <row r="671">
      <c r="A671" s="1" t="s">
        <v>2431</v>
      </c>
      <c r="B671" s="1" t="s">
        <v>22</v>
      </c>
      <c r="C671" s="2" t="s">
        <v>95</v>
      </c>
      <c r="D671" s="2" t="s">
        <v>365</v>
      </c>
      <c r="E671" s="2" t="s">
        <v>1813</v>
      </c>
      <c r="F671" s="2" t="s">
        <v>46</v>
      </c>
      <c r="G671" s="2" t="s">
        <v>73</v>
      </c>
      <c r="H671" s="2" t="s">
        <v>575</v>
      </c>
      <c r="I671" s="2" t="s">
        <v>77</v>
      </c>
      <c r="J671" s="2" t="s">
        <v>2973</v>
      </c>
      <c r="K671" s="2" t="s">
        <v>77</v>
      </c>
      <c r="L671" s="1" t="s">
        <v>113</v>
      </c>
    </row>
    <row r="672">
      <c r="A672" s="1" t="s">
        <v>2434</v>
      </c>
      <c r="B672" s="1" t="s">
        <v>22</v>
      </c>
      <c r="C672" s="2" t="s">
        <v>46</v>
      </c>
      <c r="D672" s="2" t="s">
        <v>31</v>
      </c>
      <c r="E672" s="2" t="s">
        <v>198</v>
      </c>
      <c r="F672" s="2" t="s">
        <v>224</v>
      </c>
      <c r="G672" s="2" t="s">
        <v>48</v>
      </c>
      <c r="H672" s="2" t="s">
        <v>36</v>
      </c>
      <c r="I672" s="2" t="s">
        <v>46</v>
      </c>
      <c r="J672" s="2" t="s">
        <v>2974</v>
      </c>
      <c r="K672" s="2" t="s">
        <v>167</v>
      </c>
      <c r="L672" s="1" t="s">
        <v>62</v>
      </c>
    </row>
    <row r="673">
      <c r="A673" s="1" t="s">
        <v>2438</v>
      </c>
      <c r="B673" s="1" t="s">
        <v>84</v>
      </c>
      <c r="C673" s="2" t="s">
        <v>95</v>
      </c>
      <c r="D673" s="2" t="s">
        <v>31</v>
      </c>
      <c r="E673" s="2" t="s">
        <v>102</v>
      </c>
      <c r="F673" s="2" t="s">
        <v>68</v>
      </c>
      <c r="G673" s="2" t="s">
        <v>27</v>
      </c>
      <c r="H673" s="2" t="s">
        <v>92</v>
      </c>
      <c r="I673" s="2" t="s">
        <v>46</v>
      </c>
      <c r="J673" s="2" t="s">
        <v>2975</v>
      </c>
      <c r="K673" s="2" t="s">
        <v>23</v>
      </c>
      <c r="L673" s="1" t="s">
        <v>62</v>
      </c>
    </row>
    <row r="674">
      <c r="A674" s="1" t="s">
        <v>2441</v>
      </c>
      <c r="B674" s="1" t="s">
        <v>84</v>
      </c>
      <c r="C674" s="2" t="s">
        <v>38</v>
      </c>
      <c r="D674" s="2" t="s">
        <v>68</v>
      </c>
      <c r="E674" s="2" t="s">
        <v>348</v>
      </c>
      <c r="F674" s="2" t="s">
        <v>365</v>
      </c>
      <c r="G674" s="2" t="s">
        <v>149</v>
      </c>
      <c r="H674" s="2" t="s">
        <v>310</v>
      </c>
      <c r="I674" s="2" t="s">
        <v>138</v>
      </c>
      <c r="J674" s="2" t="s">
        <v>2976</v>
      </c>
      <c r="K674" s="2" t="s">
        <v>167</v>
      </c>
      <c r="L674" s="1" t="s">
        <v>62</v>
      </c>
    </row>
    <row r="675">
      <c r="A675" s="1" t="s">
        <v>2444</v>
      </c>
      <c r="B675" s="1" t="s">
        <v>65</v>
      </c>
      <c r="C675" s="2" t="s">
        <v>167</v>
      </c>
      <c r="D675" s="2" t="s">
        <v>201</v>
      </c>
      <c r="E675" s="2" t="s">
        <v>538</v>
      </c>
      <c r="F675" s="2" t="s">
        <v>300</v>
      </c>
      <c r="G675" s="2" t="s">
        <v>199</v>
      </c>
      <c r="H675" s="2" t="s">
        <v>36</v>
      </c>
      <c r="I675" s="2" t="s">
        <v>58</v>
      </c>
      <c r="J675" s="2" t="s">
        <v>1640</v>
      </c>
      <c r="K675" s="2" t="s">
        <v>95</v>
      </c>
      <c r="L675" s="1" t="s">
        <v>62</v>
      </c>
    </row>
    <row r="676">
      <c r="A676" s="1" t="s">
        <v>2446</v>
      </c>
      <c r="B676" s="1" t="s">
        <v>22</v>
      </c>
      <c r="C676" s="2" t="s">
        <v>167</v>
      </c>
      <c r="D676" s="2" t="s">
        <v>248</v>
      </c>
      <c r="E676" s="2" t="s">
        <v>560</v>
      </c>
      <c r="F676" s="2" t="s">
        <v>186</v>
      </c>
      <c r="G676" s="2" t="s">
        <v>106</v>
      </c>
      <c r="H676" s="2" t="s">
        <v>575</v>
      </c>
      <c r="I676" s="2" t="s">
        <v>117</v>
      </c>
      <c r="J676" s="2" t="s">
        <v>587</v>
      </c>
      <c r="K676" s="2" t="s">
        <v>154</v>
      </c>
      <c r="L676" s="1" t="s">
        <v>62</v>
      </c>
    </row>
    <row r="677">
      <c r="A677" s="1" t="s">
        <v>2449</v>
      </c>
      <c r="B677" s="1" t="s">
        <v>22</v>
      </c>
      <c r="C677" s="2" t="s">
        <v>157</v>
      </c>
      <c r="D677" s="2" t="s">
        <v>265</v>
      </c>
      <c r="E677" s="2" t="s">
        <v>1737</v>
      </c>
      <c r="F677" s="2" t="s">
        <v>1088</v>
      </c>
      <c r="G677" s="2" t="s">
        <v>106</v>
      </c>
      <c r="H677" s="2" t="s">
        <v>114</v>
      </c>
      <c r="I677" s="2" t="s">
        <v>58</v>
      </c>
      <c r="J677" s="2" t="s">
        <v>2977</v>
      </c>
      <c r="K677" s="2" t="s">
        <v>157</v>
      </c>
      <c r="L677" s="1" t="s">
        <v>62</v>
      </c>
    </row>
    <row r="678">
      <c r="A678" s="1" t="s">
        <v>2452</v>
      </c>
      <c r="B678" s="1" t="s">
        <v>22</v>
      </c>
      <c r="C678" s="2" t="s">
        <v>95</v>
      </c>
      <c r="D678" s="2" t="s">
        <v>68</v>
      </c>
      <c r="E678" s="2" t="s">
        <v>1860</v>
      </c>
      <c r="F678" s="2" t="s">
        <v>53</v>
      </c>
      <c r="G678" s="2" t="s">
        <v>33</v>
      </c>
      <c r="I678" s="2" t="s">
        <v>117</v>
      </c>
      <c r="J678" s="2" t="s">
        <v>2978</v>
      </c>
      <c r="K678" s="2" t="s">
        <v>157</v>
      </c>
      <c r="L678" s="1" t="s">
        <v>62</v>
      </c>
    </row>
    <row r="679">
      <c r="A679" s="1" t="s">
        <v>2454</v>
      </c>
      <c r="B679" s="1" t="s">
        <v>22</v>
      </c>
      <c r="C679" s="2" t="s">
        <v>117</v>
      </c>
      <c r="D679" s="2" t="s">
        <v>31</v>
      </c>
      <c r="E679" s="2" t="s">
        <v>457</v>
      </c>
      <c r="F679" s="2" t="s">
        <v>199</v>
      </c>
      <c r="G679" s="2" t="s">
        <v>162</v>
      </c>
      <c r="H679" s="2" t="s">
        <v>310</v>
      </c>
      <c r="I679" s="2" t="s">
        <v>77</v>
      </c>
      <c r="J679" s="2" t="s">
        <v>2979</v>
      </c>
      <c r="K679" s="2" t="s">
        <v>157</v>
      </c>
      <c r="L679" s="1" t="s">
        <v>62</v>
      </c>
    </row>
    <row r="680">
      <c r="A680" s="1" t="s">
        <v>2458</v>
      </c>
      <c r="B680" s="1" t="s">
        <v>44</v>
      </c>
      <c r="C680" s="2" t="s">
        <v>46</v>
      </c>
      <c r="D680" s="2" t="s">
        <v>213</v>
      </c>
      <c r="E680" s="2" t="s">
        <v>651</v>
      </c>
      <c r="F680" s="2" t="s">
        <v>387</v>
      </c>
      <c r="G680" s="2" t="s">
        <v>71</v>
      </c>
      <c r="H680" s="2" t="s">
        <v>163</v>
      </c>
      <c r="I680" s="2" t="s">
        <v>138</v>
      </c>
      <c r="J680" s="2" t="s">
        <v>2980</v>
      </c>
      <c r="K680" s="2" t="s">
        <v>167</v>
      </c>
      <c r="L680" s="1" t="s">
        <v>62</v>
      </c>
    </row>
    <row r="681">
      <c r="A681" s="1" t="s">
        <v>2460</v>
      </c>
      <c r="B681" s="1" t="s">
        <v>22</v>
      </c>
      <c r="C681" s="2" t="s">
        <v>290</v>
      </c>
      <c r="D681" s="2" t="s">
        <v>387</v>
      </c>
      <c r="E681" s="2" t="s">
        <v>278</v>
      </c>
      <c r="F681" s="2" t="s">
        <v>95</v>
      </c>
      <c r="G681" s="2" t="s">
        <v>213</v>
      </c>
      <c r="H681" s="2" t="s">
        <v>92</v>
      </c>
      <c r="I681" s="2" t="s">
        <v>46</v>
      </c>
      <c r="J681" s="2" t="s">
        <v>2981</v>
      </c>
      <c r="K681" s="2" t="s">
        <v>77</v>
      </c>
      <c r="L681" s="1" t="s">
        <v>113</v>
      </c>
    </row>
    <row r="682">
      <c r="A682" s="1" t="s">
        <v>2463</v>
      </c>
      <c r="B682" s="1" t="s">
        <v>170</v>
      </c>
      <c r="C682" s="2" t="s">
        <v>154</v>
      </c>
      <c r="D682" s="2" t="s">
        <v>287</v>
      </c>
      <c r="E682" s="2" t="s">
        <v>2982</v>
      </c>
      <c r="F682" s="2" t="s">
        <v>27</v>
      </c>
      <c r="G682" s="2" t="s">
        <v>73</v>
      </c>
      <c r="H682" s="2" t="s">
        <v>56</v>
      </c>
      <c r="I682" s="2" t="s">
        <v>117</v>
      </c>
      <c r="J682" s="2" t="s">
        <v>2983</v>
      </c>
      <c r="K682" s="2" t="s">
        <v>117</v>
      </c>
    </row>
    <row r="683">
      <c r="A683" s="1" t="s">
        <v>2467</v>
      </c>
      <c r="B683" s="1" t="s">
        <v>65</v>
      </c>
      <c r="C683" s="2" t="s">
        <v>157</v>
      </c>
      <c r="D683" s="2" t="s">
        <v>33</v>
      </c>
      <c r="E683" s="2" t="s">
        <v>1620</v>
      </c>
      <c r="F683" s="2" t="s">
        <v>104</v>
      </c>
      <c r="G683" s="2" t="s">
        <v>27</v>
      </c>
      <c r="H683" s="2" t="s">
        <v>310</v>
      </c>
      <c r="I683" s="2" t="s">
        <v>77</v>
      </c>
      <c r="K683" s="2" t="s">
        <v>38</v>
      </c>
      <c r="L683" s="1" t="s">
        <v>113</v>
      </c>
    </row>
    <row r="684">
      <c r="A684" s="1" t="s">
        <v>2470</v>
      </c>
      <c r="B684" s="1" t="s">
        <v>65</v>
      </c>
      <c r="C684" s="2" t="s">
        <v>95</v>
      </c>
      <c r="D684" s="2" t="s">
        <v>290</v>
      </c>
      <c r="E684" s="2" t="s">
        <v>178</v>
      </c>
      <c r="F684" s="2" t="s">
        <v>808</v>
      </c>
      <c r="G684" s="2" t="s">
        <v>73</v>
      </c>
      <c r="H684" s="2" t="s">
        <v>497</v>
      </c>
      <c r="I684" s="2" t="s">
        <v>58</v>
      </c>
      <c r="J684" s="2" t="s">
        <v>1658</v>
      </c>
      <c r="K684" s="2" t="s">
        <v>95</v>
      </c>
      <c r="L684" s="1" t="s">
        <v>62</v>
      </c>
    </row>
    <row r="685">
      <c r="A685" s="1" t="s">
        <v>2474</v>
      </c>
      <c r="B685" s="1" t="s">
        <v>84</v>
      </c>
      <c r="C685" s="2" t="s">
        <v>117</v>
      </c>
      <c r="D685" s="2" t="s">
        <v>167</v>
      </c>
      <c r="E685" s="2" t="s">
        <v>2984</v>
      </c>
      <c r="F685" s="2" t="s">
        <v>245</v>
      </c>
      <c r="G685" s="2" t="s">
        <v>68</v>
      </c>
      <c r="H685" s="2" t="s">
        <v>178</v>
      </c>
      <c r="I685" s="2" t="s">
        <v>58</v>
      </c>
      <c r="J685" s="2" t="s">
        <v>2737</v>
      </c>
      <c r="K685" s="2" t="s">
        <v>58</v>
      </c>
      <c r="L685" s="1" t="s">
        <v>113</v>
      </c>
    </row>
    <row r="686">
      <c r="A686" s="1" t="s">
        <v>2477</v>
      </c>
      <c r="B686" s="1" t="s">
        <v>44</v>
      </c>
      <c r="C686" s="2" t="s">
        <v>23</v>
      </c>
      <c r="D686" s="2" t="s">
        <v>265</v>
      </c>
      <c r="E686" s="2" t="s">
        <v>160</v>
      </c>
      <c r="F686" s="2" t="s">
        <v>167</v>
      </c>
      <c r="G686" s="2" t="s">
        <v>68</v>
      </c>
      <c r="H686" s="2" t="s">
        <v>75</v>
      </c>
      <c r="I686" s="2" t="s">
        <v>117</v>
      </c>
      <c r="J686" s="2" t="s">
        <v>2985</v>
      </c>
      <c r="K686" s="2" t="s">
        <v>95</v>
      </c>
      <c r="L686" s="1" t="s">
        <v>62</v>
      </c>
    </row>
    <row r="687">
      <c r="A687" s="1" t="s">
        <v>2481</v>
      </c>
      <c r="B687" s="1" t="s">
        <v>22</v>
      </c>
      <c r="C687" s="2" t="s">
        <v>38</v>
      </c>
      <c r="D687" s="2" t="s">
        <v>33</v>
      </c>
      <c r="E687" s="2" t="s">
        <v>779</v>
      </c>
      <c r="F687" s="2" t="s">
        <v>1137</v>
      </c>
      <c r="G687" s="2" t="s">
        <v>395</v>
      </c>
      <c r="H687" s="2" t="s">
        <v>178</v>
      </c>
      <c r="I687" s="2" t="s">
        <v>117</v>
      </c>
      <c r="K687" s="2" t="s">
        <v>46</v>
      </c>
      <c r="L687" s="1" t="s">
        <v>113</v>
      </c>
    </row>
    <row r="688">
      <c r="A688" s="1" t="s">
        <v>2483</v>
      </c>
      <c r="B688" s="1" t="s">
        <v>65</v>
      </c>
      <c r="C688" s="2" t="s">
        <v>290</v>
      </c>
      <c r="D688" s="2" t="s">
        <v>54</v>
      </c>
      <c r="E688" s="2" t="s">
        <v>29</v>
      </c>
      <c r="F688" s="2" t="s">
        <v>491</v>
      </c>
      <c r="G688" s="2" t="s">
        <v>71</v>
      </c>
      <c r="H688" s="2" t="s">
        <v>108</v>
      </c>
      <c r="I688" s="2" t="s">
        <v>77</v>
      </c>
      <c r="J688" s="2" t="s">
        <v>2986</v>
      </c>
      <c r="K688" s="2" t="s">
        <v>95</v>
      </c>
      <c r="L688" s="1" t="s">
        <v>62</v>
      </c>
    </row>
    <row r="689">
      <c r="A689" s="1" t="s">
        <v>2485</v>
      </c>
      <c r="B689" s="1" t="s">
        <v>22</v>
      </c>
      <c r="C689" s="2" t="s">
        <v>46</v>
      </c>
      <c r="D689" s="2" t="s">
        <v>395</v>
      </c>
      <c r="E689" s="2" t="s">
        <v>160</v>
      </c>
      <c r="F689" s="2" t="s">
        <v>1137</v>
      </c>
      <c r="G689" s="2" t="s">
        <v>199</v>
      </c>
      <c r="H689" s="2" t="s">
        <v>1091</v>
      </c>
      <c r="I689" s="2" t="s">
        <v>77</v>
      </c>
      <c r="J689" s="2" t="s">
        <v>2987</v>
      </c>
      <c r="K689" s="2" t="s">
        <v>77</v>
      </c>
      <c r="L689" s="1" t="s">
        <v>113</v>
      </c>
    </row>
    <row r="690">
      <c r="A690" s="1" t="s">
        <v>2489</v>
      </c>
      <c r="B690" s="1" t="s">
        <v>22</v>
      </c>
      <c r="C690" s="2" t="s">
        <v>38</v>
      </c>
      <c r="D690" s="2" t="s">
        <v>95</v>
      </c>
      <c r="E690" s="2" t="s">
        <v>2556</v>
      </c>
      <c r="F690" s="2" t="s">
        <v>375</v>
      </c>
      <c r="G690" s="2" t="s">
        <v>68</v>
      </c>
      <c r="H690" s="2" t="s">
        <v>463</v>
      </c>
      <c r="I690" s="2" t="s">
        <v>46</v>
      </c>
      <c r="J690" s="2" t="s">
        <v>2988</v>
      </c>
      <c r="K690" s="2" t="s">
        <v>117</v>
      </c>
      <c r="L690" s="1" t="s">
        <v>113</v>
      </c>
    </row>
    <row r="691">
      <c r="A691" s="1" t="s">
        <v>2491</v>
      </c>
      <c r="B691" s="1" t="s">
        <v>44</v>
      </c>
      <c r="C691" s="2" t="s">
        <v>23</v>
      </c>
      <c r="D691" s="2" t="s">
        <v>68</v>
      </c>
      <c r="E691" s="2" t="s">
        <v>618</v>
      </c>
      <c r="F691" s="2" t="s">
        <v>54</v>
      </c>
      <c r="G691" s="2" t="s">
        <v>154</v>
      </c>
      <c r="H691" s="2" t="s">
        <v>116</v>
      </c>
      <c r="I691" s="2" t="s">
        <v>38</v>
      </c>
      <c r="J691" s="2" t="s">
        <v>2989</v>
      </c>
      <c r="K691" s="2" t="s">
        <v>157</v>
      </c>
      <c r="L691" s="1" t="s">
        <v>62</v>
      </c>
    </row>
    <row r="692">
      <c r="A692" s="1" t="s">
        <v>2495</v>
      </c>
      <c r="B692" s="1" t="s">
        <v>22</v>
      </c>
      <c r="C692" s="2" t="s">
        <v>46</v>
      </c>
      <c r="D692" s="2" t="s">
        <v>339</v>
      </c>
      <c r="E692" s="2" t="s">
        <v>719</v>
      </c>
      <c r="F692" s="2" t="s">
        <v>54</v>
      </c>
      <c r="G692" s="2" t="s">
        <v>395</v>
      </c>
      <c r="H692" s="2" t="s">
        <v>178</v>
      </c>
      <c r="I692" s="2" t="s">
        <v>46</v>
      </c>
      <c r="J692" s="2" t="s">
        <v>2990</v>
      </c>
      <c r="K692" s="2" t="s">
        <v>46</v>
      </c>
      <c r="L692" s="1" t="s">
        <v>62</v>
      </c>
    </row>
    <row r="693">
      <c r="A693" s="1" t="s">
        <v>2497</v>
      </c>
      <c r="B693" s="1" t="s">
        <v>44</v>
      </c>
      <c r="C693" s="2" t="s">
        <v>38</v>
      </c>
      <c r="D693" s="2" t="s">
        <v>213</v>
      </c>
      <c r="E693" s="2" t="s">
        <v>2439</v>
      </c>
      <c r="F693" s="2" t="s">
        <v>228</v>
      </c>
      <c r="G693" s="2" t="s">
        <v>86</v>
      </c>
      <c r="H693" s="2" t="s">
        <v>203</v>
      </c>
      <c r="I693" s="2" t="s">
        <v>77</v>
      </c>
      <c r="J693" s="2" t="s">
        <v>2992</v>
      </c>
      <c r="K693" s="2" t="s">
        <v>38</v>
      </c>
      <c r="L693" s="1" t="s">
        <v>113</v>
      </c>
    </row>
    <row r="694">
      <c r="A694" s="1" t="s">
        <v>2500</v>
      </c>
      <c r="B694" s="1" t="s">
        <v>44</v>
      </c>
      <c r="C694" s="2" t="s">
        <v>23</v>
      </c>
      <c r="D694" s="2" t="s">
        <v>115</v>
      </c>
      <c r="E694" s="2" t="s">
        <v>372</v>
      </c>
      <c r="F694" s="2" t="s">
        <v>267</v>
      </c>
      <c r="G694" s="2" t="s">
        <v>54</v>
      </c>
      <c r="H694" s="2" t="s">
        <v>108</v>
      </c>
      <c r="I694" s="2" t="s">
        <v>58</v>
      </c>
      <c r="J694" s="2" t="s">
        <v>2993</v>
      </c>
      <c r="K694" s="2" t="s">
        <v>117</v>
      </c>
      <c r="L694" s="1" t="s">
        <v>113</v>
      </c>
    </row>
    <row r="695">
      <c r="A695" s="1" t="s">
        <v>2502</v>
      </c>
      <c r="B695" s="1" t="s">
        <v>22</v>
      </c>
      <c r="C695" s="2" t="s">
        <v>23</v>
      </c>
      <c r="D695" s="2" t="s">
        <v>104</v>
      </c>
      <c r="E695" s="2" t="s">
        <v>816</v>
      </c>
      <c r="F695" s="2" t="s">
        <v>48</v>
      </c>
      <c r="G695" s="2" t="s">
        <v>31</v>
      </c>
      <c r="H695" s="2" t="s">
        <v>218</v>
      </c>
      <c r="I695" s="2" t="s">
        <v>58</v>
      </c>
      <c r="J695" s="2" t="s">
        <v>2994</v>
      </c>
      <c r="K695" s="2" t="s">
        <v>77</v>
      </c>
    </row>
    <row r="696">
      <c r="A696" s="1" t="s">
        <v>2505</v>
      </c>
      <c r="B696" s="1" t="s">
        <v>22</v>
      </c>
      <c r="C696" s="2" t="s">
        <v>38</v>
      </c>
      <c r="D696" s="2" t="s">
        <v>224</v>
      </c>
      <c r="E696" s="2" t="s">
        <v>2995</v>
      </c>
      <c r="F696" s="2" t="s">
        <v>1026</v>
      </c>
      <c r="G696" s="2" t="s">
        <v>224</v>
      </c>
      <c r="H696" s="2" t="s">
        <v>163</v>
      </c>
      <c r="I696" s="2" t="s">
        <v>58</v>
      </c>
      <c r="J696" s="2" t="s">
        <v>2996</v>
      </c>
      <c r="K696" s="2" t="s">
        <v>23</v>
      </c>
      <c r="L696" s="1" t="s">
        <v>62</v>
      </c>
    </row>
    <row r="697">
      <c r="A697" s="1" t="s">
        <v>2506</v>
      </c>
      <c r="B697" s="1" t="s">
        <v>22</v>
      </c>
      <c r="C697" s="2" t="s">
        <v>95</v>
      </c>
      <c r="D697" s="2" t="s">
        <v>162</v>
      </c>
      <c r="E697" s="2" t="s">
        <v>1333</v>
      </c>
      <c r="F697" s="2" t="s">
        <v>167</v>
      </c>
      <c r="G697" s="2" t="s">
        <v>199</v>
      </c>
      <c r="H697" s="2" t="s">
        <v>412</v>
      </c>
      <c r="I697" s="2" t="s">
        <v>117</v>
      </c>
      <c r="J697" s="2" t="s">
        <v>697</v>
      </c>
      <c r="K697" s="2" t="s">
        <v>157</v>
      </c>
      <c r="L697" s="1" t="s">
        <v>62</v>
      </c>
    </row>
    <row r="698">
      <c r="A698" s="1" t="s">
        <v>2511</v>
      </c>
      <c r="B698" s="1" t="s">
        <v>65</v>
      </c>
      <c r="C698" s="2" t="s">
        <v>38</v>
      </c>
      <c r="D698" s="2" t="s">
        <v>213</v>
      </c>
      <c r="E698" s="2" t="s">
        <v>618</v>
      </c>
      <c r="F698" s="2" t="s">
        <v>53</v>
      </c>
      <c r="G698" s="2" t="s">
        <v>48</v>
      </c>
      <c r="H698" s="2" t="s">
        <v>75</v>
      </c>
      <c r="I698" s="2" t="s">
        <v>138</v>
      </c>
      <c r="J698" s="2" t="s">
        <v>2997</v>
      </c>
      <c r="K698" s="2" t="s">
        <v>95</v>
      </c>
      <c r="L698" s="1" t="s">
        <v>62</v>
      </c>
    </row>
    <row r="699">
      <c r="A699" s="1" t="s">
        <v>2513</v>
      </c>
      <c r="B699" s="1" t="s">
        <v>22</v>
      </c>
      <c r="C699" s="2" t="s">
        <v>95</v>
      </c>
      <c r="D699" s="2" t="s">
        <v>375</v>
      </c>
      <c r="E699" s="2" t="s">
        <v>310</v>
      </c>
      <c r="F699" s="2" t="s">
        <v>351</v>
      </c>
      <c r="G699" s="2" t="s">
        <v>162</v>
      </c>
      <c r="H699" s="2" t="s">
        <v>75</v>
      </c>
      <c r="I699" s="2" t="s">
        <v>46</v>
      </c>
      <c r="J699" s="2" t="s">
        <v>2998</v>
      </c>
      <c r="K699" s="2" t="s">
        <v>77</v>
      </c>
      <c r="L699" s="1" t="s">
        <v>113</v>
      </c>
    </row>
    <row r="700">
      <c r="A700" s="1" t="s">
        <v>2516</v>
      </c>
      <c r="B700" s="1" t="s">
        <v>22</v>
      </c>
      <c r="C700" s="2" t="s">
        <v>77</v>
      </c>
      <c r="D700" s="2" t="s">
        <v>23</v>
      </c>
      <c r="E700" s="2" t="s">
        <v>2999</v>
      </c>
      <c r="F700" s="2" t="s">
        <v>27</v>
      </c>
      <c r="G700" s="2" t="s">
        <v>201</v>
      </c>
      <c r="H700" s="2" t="s">
        <v>497</v>
      </c>
      <c r="I700" s="2" t="s">
        <v>117</v>
      </c>
      <c r="J700" s="2" t="s">
        <v>3000</v>
      </c>
      <c r="K700" s="2" t="s">
        <v>117</v>
      </c>
      <c r="L700" s="1" t="s">
        <v>113</v>
      </c>
    </row>
    <row r="701">
      <c r="A701" s="1" t="s">
        <v>2521</v>
      </c>
      <c r="B701" s="1" t="s">
        <v>22</v>
      </c>
      <c r="C701" s="2" t="s">
        <v>23</v>
      </c>
      <c r="D701" s="2" t="s">
        <v>290</v>
      </c>
      <c r="E701" s="2" t="s">
        <v>868</v>
      </c>
      <c r="F701" s="2" t="s">
        <v>351</v>
      </c>
      <c r="G701" s="2" t="s">
        <v>68</v>
      </c>
      <c r="H701" s="2" t="s">
        <v>575</v>
      </c>
      <c r="I701" s="2" t="s">
        <v>58</v>
      </c>
      <c r="J701" s="2" t="s">
        <v>3001</v>
      </c>
      <c r="K701" s="2" t="s">
        <v>77</v>
      </c>
      <c r="L701" s="1" t="s">
        <v>113</v>
      </c>
    </row>
    <row r="702">
      <c r="A702" s="1" t="s">
        <v>2523</v>
      </c>
      <c r="B702" s="1" t="s">
        <v>65</v>
      </c>
      <c r="C702" s="2" t="s">
        <v>23</v>
      </c>
      <c r="D702" s="2" t="s">
        <v>104</v>
      </c>
      <c r="E702" s="2" t="s">
        <v>36</v>
      </c>
      <c r="F702" s="2" t="s">
        <v>104</v>
      </c>
      <c r="G702" s="2" t="s">
        <v>395</v>
      </c>
      <c r="H702" s="2" t="s">
        <v>412</v>
      </c>
      <c r="I702" s="2" t="s">
        <v>58</v>
      </c>
      <c r="J702" s="2" t="s">
        <v>3002</v>
      </c>
      <c r="K702" s="2" t="s">
        <v>95</v>
      </c>
      <c r="L702" s="1" t="s">
        <v>62</v>
      </c>
    </row>
    <row r="703">
      <c r="A703" s="1" t="s">
        <v>2526</v>
      </c>
      <c r="B703" s="1" t="s">
        <v>22</v>
      </c>
      <c r="C703" s="2" t="s">
        <v>154</v>
      </c>
      <c r="D703" s="2" t="s">
        <v>68</v>
      </c>
      <c r="E703" s="2" t="s">
        <v>297</v>
      </c>
      <c r="F703" s="2" t="s">
        <v>247</v>
      </c>
      <c r="G703" s="2" t="s">
        <v>68</v>
      </c>
      <c r="H703" s="2" t="s">
        <v>56</v>
      </c>
      <c r="I703" s="2" t="s">
        <v>138</v>
      </c>
      <c r="J703" s="2" t="s">
        <v>3003</v>
      </c>
      <c r="K703" s="2" t="s">
        <v>23</v>
      </c>
      <c r="L703" s="1" t="s">
        <v>62</v>
      </c>
    </row>
    <row r="704">
      <c r="A704" s="1" t="s">
        <v>2527</v>
      </c>
      <c r="B704" s="1" t="s">
        <v>22</v>
      </c>
      <c r="C704" s="2" t="s">
        <v>167</v>
      </c>
      <c r="D704" s="2" t="s">
        <v>461</v>
      </c>
      <c r="E704" s="2" t="s">
        <v>396</v>
      </c>
      <c r="F704" s="2" t="s">
        <v>199</v>
      </c>
      <c r="G704" s="2" t="s">
        <v>351</v>
      </c>
      <c r="H704" s="2" t="s">
        <v>412</v>
      </c>
      <c r="I704" s="2" t="s">
        <v>138</v>
      </c>
      <c r="K704" s="2" t="s">
        <v>77</v>
      </c>
    </row>
    <row r="705">
      <c r="A705" s="1" t="s">
        <v>2531</v>
      </c>
      <c r="B705" s="1" t="s">
        <v>170</v>
      </c>
      <c r="C705" s="2" t="s">
        <v>46</v>
      </c>
      <c r="D705" s="2" t="s">
        <v>395</v>
      </c>
      <c r="E705" s="2" t="s">
        <v>1170</v>
      </c>
      <c r="F705" s="2" t="s">
        <v>287</v>
      </c>
      <c r="G705" s="2" t="s">
        <v>106</v>
      </c>
      <c r="H705" s="2" t="s">
        <v>412</v>
      </c>
      <c r="I705" s="2" t="s">
        <v>117</v>
      </c>
      <c r="J705" s="2" t="s">
        <v>3004</v>
      </c>
      <c r="K705" s="2" t="s">
        <v>117</v>
      </c>
      <c r="L705" s="1" t="s">
        <v>62</v>
      </c>
    </row>
    <row r="706">
      <c r="A706" s="1" t="s">
        <v>2534</v>
      </c>
      <c r="B706" s="1" t="s">
        <v>22</v>
      </c>
      <c r="C706" s="2" t="s">
        <v>157</v>
      </c>
      <c r="D706" s="2" t="s">
        <v>162</v>
      </c>
      <c r="E706" s="2" t="s">
        <v>310</v>
      </c>
      <c r="F706" s="2" t="s">
        <v>31</v>
      </c>
      <c r="G706" s="2" t="s">
        <v>86</v>
      </c>
      <c r="H706" s="2" t="s">
        <v>497</v>
      </c>
      <c r="I706" s="2" t="s">
        <v>46</v>
      </c>
      <c r="J706" s="2" t="s">
        <v>1724</v>
      </c>
      <c r="K706" s="2" t="s">
        <v>117</v>
      </c>
      <c r="L706" s="1" t="s">
        <v>113</v>
      </c>
    </row>
    <row r="707">
      <c r="A707" s="1" t="s">
        <v>2536</v>
      </c>
      <c r="B707" s="1" t="s">
        <v>44</v>
      </c>
      <c r="C707" s="2" t="s">
        <v>38</v>
      </c>
      <c r="D707" s="2" t="s">
        <v>213</v>
      </c>
      <c r="E707" s="2" t="s">
        <v>816</v>
      </c>
      <c r="F707" s="2" t="s">
        <v>104</v>
      </c>
      <c r="G707" s="2" t="s">
        <v>162</v>
      </c>
      <c r="H707" s="2" t="s">
        <v>178</v>
      </c>
      <c r="I707" s="2" t="s">
        <v>46</v>
      </c>
      <c r="J707" s="2" t="s">
        <v>3005</v>
      </c>
      <c r="K707" s="2" t="s">
        <v>38</v>
      </c>
      <c r="L707" s="1" t="s">
        <v>113</v>
      </c>
    </row>
    <row r="708">
      <c r="A708" s="1" t="s">
        <v>2538</v>
      </c>
      <c r="B708" s="1" t="s">
        <v>84</v>
      </c>
      <c r="C708" s="2" t="s">
        <v>154</v>
      </c>
      <c r="D708" s="2" t="s">
        <v>267</v>
      </c>
      <c r="E708" s="2" t="s">
        <v>1133</v>
      </c>
      <c r="F708" s="2" t="s">
        <v>71</v>
      </c>
      <c r="G708" s="2" t="s">
        <v>199</v>
      </c>
      <c r="H708" s="2" t="s">
        <v>203</v>
      </c>
      <c r="I708" s="2" t="s">
        <v>58</v>
      </c>
      <c r="J708" s="2" t="s">
        <v>3006</v>
      </c>
      <c r="K708" s="2" t="s">
        <v>23</v>
      </c>
      <c r="L708" s="1" t="s">
        <v>62</v>
      </c>
    </row>
    <row r="709">
      <c r="A709" s="1" t="s">
        <v>2541</v>
      </c>
      <c r="B709" s="1" t="s">
        <v>22</v>
      </c>
      <c r="C709" s="2" t="s">
        <v>157</v>
      </c>
      <c r="D709" s="2" t="s">
        <v>53</v>
      </c>
      <c r="E709" s="2" t="s">
        <v>725</v>
      </c>
      <c r="F709" s="2" t="s">
        <v>339</v>
      </c>
      <c r="G709" s="2" t="s">
        <v>351</v>
      </c>
      <c r="H709" s="2" t="s">
        <v>310</v>
      </c>
      <c r="I709" s="2" t="s">
        <v>117</v>
      </c>
      <c r="J709" s="2" t="s">
        <v>3007</v>
      </c>
      <c r="K709" s="2" t="s">
        <v>157</v>
      </c>
      <c r="L709" s="1" t="s">
        <v>62</v>
      </c>
    </row>
    <row r="710">
      <c r="A710" s="1" t="s">
        <v>2543</v>
      </c>
      <c r="B710" s="1" t="s">
        <v>84</v>
      </c>
      <c r="C710" s="2" t="s">
        <v>46</v>
      </c>
      <c r="D710" s="2" t="s">
        <v>154</v>
      </c>
      <c r="E710" s="2" t="s">
        <v>1265</v>
      </c>
      <c r="F710" s="2" t="s">
        <v>33</v>
      </c>
      <c r="G710" s="2" t="s">
        <v>71</v>
      </c>
      <c r="H710" s="2" t="s">
        <v>151</v>
      </c>
      <c r="I710" s="2" t="s">
        <v>77</v>
      </c>
      <c r="J710" s="2" t="s">
        <v>354</v>
      </c>
      <c r="K710" s="2" t="s">
        <v>157</v>
      </c>
      <c r="L710" s="1" t="s">
        <v>62</v>
      </c>
    </row>
    <row r="711">
      <c r="A711" s="1" t="s">
        <v>2547</v>
      </c>
      <c r="B711" s="1" t="s">
        <v>84</v>
      </c>
      <c r="C711" s="2" t="s">
        <v>38</v>
      </c>
      <c r="D711" s="2" t="s">
        <v>95</v>
      </c>
      <c r="E711" s="2" t="s">
        <v>69</v>
      </c>
      <c r="F711" s="2" t="s">
        <v>686</v>
      </c>
      <c r="G711" s="2" t="s">
        <v>201</v>
      </c>
      <c r="H711" s="2" t="s">
        <v>463</v>
      </c>
      <c r="I711" s="2" t="s">
        <v>58</v>
      </c>
      <c r="J711" s="2" t="s">
        <v>3008</v>
      </c>
      <c r="K711" s="2" t="s">
        <v>157</v>
      </c>
      <c r="L711" s="1" t="s">
        <v>62</v>
      </c>
    </row>
    <row r="712">
      <c r="A712" s="1" t="s">
        <v>2549</v>
      </c>
      <c r="B712" s="1" t="s">
        <v>22</v>
      </c>
      <c r="C712" s="2" t="s">
        <v>117</v>
      </c>
      <c r="D712" s="2" t="s">
        <v>23</v>
      </c>
      <c r="E712" s="2" t="s">
        <v>494</v>
      </c>
      <c r="F712" s="2" t="s">
        <v>257</v>
      </c>
      <c r="G712" s="2" t="s">
        <v>186</v>
      </c>
      <c r="H712" s="2" t="s">
        <v>151</v>
      </c>
      <c r="I712" s="2" t="s">
        <v>77</v>
      </c>
      <c r="J712" s="2" t="s">
        <v>3009</v>
      </c>
      <c r="K712" s="2" t="s">
        <v>38</v>
      </c>
      <c r="L712" s="1" t="s">
        <v>113</v>
      </c>
    </row>
    <row r="713">
      <c r="A713" s="1" t="s">
        <v>2551</v>
      </c>
      <c r="B713" s="1" t="s">
        <v>84</v>
      </c>
      <c r="C713" s="2" t="s">
        <v>46</v>
      </c>
      <c r="D713" s="2" t="s">
        <v>149</v>
      </c>
      <c r="E713" s="2" t="s">
        <v>839</v>
      </c>
      <c r="F713" s="2" t="s">
        <v>154</v>
      </c>
      <c r="G713" s="2" t="s">
        <v>73</v>
      </c>
      <c r="H713" s="2" t="s">
        <v>75</v>
      </c>
      <c r="I713" s="2" t="s">
        <v>38</v>
      </c>
      <c r="J713" s="2" t="s">
        <v>3010</v>
      </c>
      <c r="K713" s="2" t="s">
        <v>77</v>
      </c>
      <c r="L713" s="1" t="s">
        <v>113</v>
      </c>
    </row>
    <row r="714">
      <c r="A714" s="1" t="s">
        <v>2554</v>
      </c>
      <c r="B714" s="1" t="s">
        <v>84</v>
      </c>
      <c r="C714" s="2" t="s">
        <v>157</v>
      </c>
      <c r="D714" s="2" t="s">
        <v>808</v>
      </c>
      <c r="E714" s="2" t="s">
        <v>611</v>
      </c>
      <c r="F714" s="2" t="s">
        <v>338</v>
      </c>
      <c r="G714" s="2" t="s">
        <v>33</v>
      </c>
      <c r="H714" s="2" t="s">
        <v>203</v>
      </c>
      <c r="I714" s="2" t="s">
        <v>117</v>
      </c>
      <c r="J714" s="2" t="s">
        <v>3011</v>
      </c>
      <c r="K714" s="2" t="s">
        <v>167</v>
      </c>
      <c r="L714" s="1" t="s">
        <v>62</v>
      </c>
    </row>
    <row r="715">
      <c r="A715" s="1" t="s">
        <v>2558</v>
      </c>
      <c r="B715" s="1" t="s">
        <v>22</v>
      </c>
      <c r="C715" s="2" t="s">
        <v>46</v>
      </c>
      <c r="D715" s="2" t="s">
        <v>339</v>
      </c>
      <c r="E715" s="2" t="s">
        <v>1128</v>
      </c>
      <c r="F715" s="2" t="s">
        <v>290</v>
      </c>
      <c r="G715" s="2" t="s">
        <v>300</v>
      </c>
      <c r="H715" s="2" t="s">
        <v>250</v>
      </c>
      <c r="I715" s="2" t="s">
        <v>46</v>
      </c>
      <c r="J715" s="2" t="s">
        <v>3012</v>
      </c>
      <c r="K715" s="2" t="s">
        <v>77</v>
      </c>
      <c r="L715" s="1" t="s">
        <v>113</v>
      </c>
    </row>
    <row r="716">
      <c r="A716" s="1" t="s">
        <v>2560</v>
      </c>
      <c r="B716" s="1" t="s">
        <v>84</v>
      </c>
      <c r="C716" s="2" t="s">
        <v>38</v>
      </c>
      <c r="D716" s="2" t="s">
        <v>157</v>
      </c>
      <c r="E716" s="2" t="s">
        <v>494</v>
      </c>
      <c r="F716" s="2" t="s">
        <v>257</v>
      </c>
      <c r="G716" s="2" t="s">
        <v>395</v>
      </c>
      <c r="H716" s="2" t="s">
        <v>218</v>
      </c>
      <c r="I716" s="2" t="s">
        <v>38</v>
      </c>
      <c r="J716" s="2" t="s">
        <v>3013</v>
      </c>
      <c r="K716" s="2" t="s">
        <v>77</v>
      </c>
      <c r="L716" s="1" t="s">
        <v>113</v>
      </c>
    </row>
    <row r="717">
      <c r="A717" s="1" t="s">
        <v>2563</v>
      </c>
      <c r="B717" s="1" t="s">
        <v>84</v>
      </c>
      <c r="C717" s="2" t="s">
        <v>95</v>
      </c>
      <c r="D717" s="2" t="s">
        <v>265</v>
      </c>
      <c r="E717" s="2" t="s">
        <v>1275</v>
      </c>
      <c r="F717" s="2" t="s">
        <v>247</v>
      </c>
      <c r="G717" s="2" t="s">
        <v>339</v>
      </c>
      <c r="H717" s="2" t="s">
        <v>203</v>
      </c>
      <c r="I717" s="2" t="s">
        <v>138</v>
      </c>
      <c r="J717" s="2" t="s">
        <v>3014</v>
      </c>
      <c r="K717" s="2" t="s">
        <v>23</v>
      </c>
      <c r="L717" s="1" t="s">
        <v>62</v>
      </c>
    </row>
    <row r="718">
      <c r="A718" s="1" t="s">
        <v>2567</v>
      </c>
      <c r="B718" s="1" t="s">
        <v>65</v>
      </c>
      <c r="C718" s="2" t="s">
        <v>38</v>
      </c>
      <c r="D718" s="2" t="s">
        <v>31</v>
      </c>
      <c r="E718" s="2" t="s">
        <v>971</v>
      </c>
      <c r="F718" s="2" t="s">
        <v>95</v>
      </c>
      <c r="G718" s="2" t="s">
        <v>375</v>
      </c>
      <c r="H718" s="2" t="s">
        <v>310</v>
      </c>
      <c r="I718" s="2" t="s">
        <v>117</v>
      </c>
      <c r="J718" s="2" t="s">
        <v>3015</v>
      </c>
      <c r="K718" s="2" t="s">
        <v>23</v>
      </c>
      <c r="L718" s="1" t="s">
        <v>62</v>
      </c>
    </row>
    <row r="719">
      <c r="A719" s="1" t="s">
        <v>2569</v>
      </c>
      <c r="B719" s="1" t="s">
        <v>84</v>
      </c>
      <c r="C719" s="2" t="s">
        <v>167</v>
      </c>
      <c r="D719" s="2" t="s">
        <v>247</v>
      </c>
      <c r="E719" s="2" t="s">
        <v>698</v>
      </c>
      <c r="F719" s="2" t="s">
        <v>46</v>
      </c>
      <c r="G719" s="2" t="s">
        <v>339</v>
      </c>
      <c r="H719" s="2" t="s">
        <v>1091</v>
      </c>
      <c r="I719" s="2" t="s">
        <v>58</v>
      </c>
      <c r="J719" s="2" t="s">
        <v>3016</v>
      </c>
      <c r="K719" s="2" t="s">
        <v>38</v>
      </c>
      <c r="L719" s="1" t="s">
        <v>113</v>
      </c>
    </row>
    <row r="720">
      <c r="A720" s="1" t="s">
        <v>2571</v>
      </c>
      <c r="B720" s="1" t="s">
        <v>65</v>
      </c>
      <c r="C720" s="2" t="s">
        <v>46</v>
      </c>
      <c r="D720" s="2" t="s">
        <v>265</v>
      </c>
      <c r="E720" s="2" t="s">
        <v>2966</v>
      </c>
      <c r="F720" s="2" t="s">
        <v>265</v>
      </c>
      <c r="G720" s="2" t="s">
        <v>115</v>
      </c>
      <c r="H720" s="2" t="s">
        <v>36</v>
      </c>
      <c r="I720" s="2" t="s">
        <v>58</v>
      </c>
      <c r="J720" s="2" t="s">
        <v>1401</v>
      </c>
      <c r="K720" s="2" t="s">
        <v>157</v>
      </c>
      <c r="L720" s="1" t="s">
        <v>62</v>
      </c>
    </row>
    <row r="721">
      <c r="A721" s="1" t="s">
        <v>2575</v>
      </c>
      <c r="B721" s="1" t="s">
        <v>22</v>
      </c>
      <c r="C721" s="2" t="s">
        <v>23</v>
      </c>
      <c r="D721" s="2" t="s">
        <v>186</v>
      </c>
      <c r="E721" s="2" t="s">
        <v>215</v>
      </c>
      <c r="F721" s="2" t="s">
        <v>448</v>
      </c>
      <c r="G721" s="2" t="s">
        <v>201</v>
      </c>
      <c r="H721" s="2" t="s">
        <v>92</v>
      </c>
      <c r="I721" s="2" t="s">
        <v>117</v>
      </c>
      <c r="J721" s="2" t="s">
        <v>2907</v>
      </c>
      <c r="K721" s="2" t="s">
        <v>23</v>
      </c>
      <c r="L721" s="1" t="s">
        <v>62</v>
      </c>
    </row>
    <row r="722">
      <c r="A722" s="1" t="s">
        <v>2578</v>
      </c>
      <c r="B722" s="1" t="s">
        <v>84</v>
      </c>
      <c r="C722" s="2" t="s">
        <v>38</v>
      </c>
      <c r="D722" s="2" t="s">
        <v>33</v>
      </c>
      <c r="E722" s="2" t="s">
        <v>88</v>
      </c>
      <c r="F722" s="2" t="s">
        <v>162</v>
      </c>
      <c r="G722" s="2" t="s">
        <v>213</v>
      </c>
      <c r="H722" s="2" t="s">
        <v>163</v>
      </c>
      <c r="I722" s="2" t="s">
        <v>77</v>
      </c>
      <c r="J722" s="2" t="s">
        <v>3017</v>
      </c>
      <c r="K722" s="2" t="s">
        <v>38</v>
      </c>
      <c r="L722" s="1" t="s">
        <v>62</v>
      </c>
    </row>
    <row r="723">
      <c r="A723" s="1" t="s">
        <v>2579</v>
      </c>
      <c r="B723" s="1" t="s">
        <v>44</v>
      </c>
      <c r="C723" s="2" t="s">
        <v>157</v>
      </c>
      <c r="D723" s="2" t="s">
        <v>287</v>
      </c>
      <c r="E723" s="2" t="s">
        <v>1170</v>
      </c>
      <c r="F723" s="2" t="s">
        <v>224</v>
      </c>
      <c r="G723" s="2" t="s">
        <v>71</v>
      </c>
      <c r="I723" s="2" t="s">
        <v>138</v>
      </c>
      <c r="J723" s="2" t="s">
        <v>3018</v>
      </c>
      <c r="K723" s="2" t="s">
        <v>117</v>
      </c>
      <c r="L723" s="1" t="s">
        <v>113</v>
      </c>
    </row>
    <row r="724">
      <c r="A724" s="1" t="s">
        <v>2582</v>
      </c>
      <c r="B724" s="1" t="s">
        <v>44</v>
      </c>
      <c r="C724" s="2" t="s">
        <v>224</v>
      </c>
      <c r="D724" s="2" t="s">
        <v>339</v>
      </c>
      <c r="E724" s="2" t="s">
        <v>1416</v>
      </c>
      <c r="F724" s="2" t="s">
        <v>514</v>
      </c>
      <c r="G724" s="2" t="s">
        <v>149</v>
      </c>
      <c r="H724" s="2" t="s">
        <v>75</v>
      </c>
      <c r="I724" s="2" t="s">
        <v>117</v>
      </c>
      <c r="J724" s="2" t="s">
        <v>3019</v>
      </c>
      <c r="K724" s="2" t="s">
        <v>117</v>
      </c>
      <c r="L724" s="1" t="s">
        <v>113</v>
      </c>
    </row>
    <row r="725">
      <c r="A725" s="1" t="s">
        <v>2584</v>
      </c>
      <c r="B725" s="1" t="s">
        <v>22</v>
      </c>
      <c r="C725" s="2" t="s">
        <v>224</v>
      </c>
      <c r="D725" s="2" t="s">
        <v>247</v>
      </c>
      <c r="E725" s="2" t="s">
        <v>88</v>
      </c>
      <c r="F725" s="2" t="s">
        <v>86</v>
      </c>
      <c r="G725" s="2" t="s">
        <v>54</v>
      </c>
      <c r="H725" s="2" t="s">
        <v>56</v>
      </c>
      <c r="I725" s="2" t="s">
        <v>77</v>
      </c>
      <c r="J725" s="2" t="s">
        <v>3020</v>
      </c>
      <c r="K725" s="2" t="s">
        <v>77</v>
      </c>
      <c r="L725" s="1" t="s">
        <v>113</v>
      </c>
    </row>
    <row r="726">
      <c r="A726" s="1" t="s">
        <v>2588</v>
      </c>
      <c r="B726" s="1" t="s">
        <v>65</v>
      </c>
      <c r="C726" s="2" t="s">
        <v>23</v>
      </c>
      <c r="D726" s="2" t="s">
        <v>154</v>
      </c>
      <c r="E726" s="2" t="s">
        <v>178</v>
      </c>
      <c r="F726" s="2" t="s">
        <v>491</v>
      </c>
      <c r="G726" s="2" t="s">
        <v>186</v>
      </c>
      <c r="H726" s="2" t="s">
        <v>178</v>
      </c>
      <c r="I726" s="2" t="s">
        <v>138</v>
      </c>
      <c r="J726" s="2" t="s">
        <v>3021</v>
      </c>
      <c r="K726" s="2" t="s">
        <v>46</v>
      </c>
      <c r="L726" s="1" t="s">
        <v>62</v>
      </c>
    </row>
    <row r="727">
      <c r="A727" s="1" t="s">
        <v>2592</v>
      </c>
      <c r="B727" s="1" t="s">
        <v>65</v>
      </c>
      <c r="C727" s="2" t="s">
        <v>157</v>
      </c>
      <c r="D727" s="2" t="s">
        <v>228</v>
      </c>
      <c r="E727" s="2" t="s">
        <v>2439</v>
      </c>
      <c r="F727" s="2" t="s">
        <v>23</v>
      </c>
      <c r="G727" s="2" t="s">
        <v>86</v>
      </c>
      <c r="H727" s="2" t="s">
        <v>108</v>
      </c>
      <c r="I727" s="2" t="s">
        <v>117</v>
      </c>
      <c r="J727" s="2" t="s">
        <v>3022</v>
      </c>
      <c r="K727" s="2" t="s">
        <v>38</v>
      </c>
      <c r="L727" s="1" t="s">
        <v>113</v>
      </c>
    </row>
    <row r="728">
      <c r="A728" s="1" t="s">
        <v>2594</v>
      </c>
      <c r="B728" s="1" t="s">
        <v>22</v>
      </c>
      <c r="C728" s="2" t="s">
        <v>77</v>
      </c>
      <c r="D728" s="2" t="s">
        <v>157</v>
      </c>
      <c r="E728" s="2" t="s">
        <v>758</v>
      </c>
      <c r="F728" s="2" t="s">
        <v>1088</v>
      </c>
      <c r="G728" s="2" t="s">
        <v>351</v>
      </c>
      <c r="H728" s="2" t="s">
        <v>203</v>
      </c>
      <c r="I728" s="2" t="s">
        <v>117</v>
      </c>
      <c r="J728" s="2" t="s">
        <v>3023</v>
      </c>
      <c r="K728" s="2" t="s">
        <v>38</v>
      </c>
      <c r="L728" s="1" t="s">
        <v>113</v>
      </c>
    </row>
    <row r="729">
      <c r="A729" s="1" t="s">
        <v>2598</v>
      </c>
      <c r="B729" s="1" t="s">
        <v>65</v>
      </c>
      <c r="C729" s="2" t="s">
        <v>38</v>
      </c>
      <c r="D729" s="2" t="s">
        <v>224</v>
      </c>
      <c r="E729" s="2" t="s">
        <v>51</v>
      </c>
      <c r="F729" s="2" t="s">
        <v>73</v>
      </c>
      <c r="G729" s="2" t="s">
        <v>375</v>
      </c>
      <c r="H729" s="2" t="s">
        <v>575</v>
      </c>
      <c r="I729" s="2" t="s">
        <v>46</v>
      </c>
      <c r="J729" s="2" t="s">
        <v>3024</v>
      </c>
      <c r="K729" s="2" t="s">
        <v>46</v>
      </c>
      <c r="L729" s="1" t="s">
        <v>113</v>
      </c>
    </row>
    <row r="730">
      <c r="A730" s="1" t="s">
        <v>2601</v>
      </c>
      <c r="B730" s="1" t="s">
        <v>65</v>
      </c>
      <c r="C730" s="2" t="s">
        <v>46</v>
      </c>
      <c r="D730" s="2" t="s">
        <v>265</v>
      </c>
      <c r="E730" s="2" t="s">
        <v>746</v>
      </c>
      <c r="F730" s="2" t="s">
        <v>338</v>
      </c>
      <c r="G730" s="2" t="s">
        <v>338</v>
      </c>
      <c r="H730" s="2" t="s">
        <v>116</v>
      </c>
      <c r="I730" s="2" t="s">
        <v>138</v>
      </c>
      <c r="J730" s="2" t="s">
        <v>3025</v>
      </c>
      <c r="K730" s="2" t="s">
        <v>77</v>
      </c>
      <c r="L730" s="1" t="s">
        <v>113</v>
      </c>
    </row>
    <row r="731">
      <c r="A731" s="1" t="s">
        <v>2602</v>
      </c>
      <c r="B731" s="1" t="s">
        <v>84</v>
      </c>
      <c r="C731" s="2" t="s">
        <v>95</v>
      </c>
      <c r="D731" s="2" t="s">
        <v>338</v>
      </c>
      <c r="E731" s="2" t="s">
        <v>357</v>
      </c>
      <c r="F731" s="2" t="s">
        <v>53</v>
      </c>
      <c r="G731" s="2" t="s">
        <v>104</v>
      </c>
      <c r="H731" s="2" t="s">
        <v>92</v>
      </c>
      <c r="I731" s="2" t="s">
        <v>138</v>
      </c>
      <c r="J731" s="2" t="s">
        <v>3026</v>
      </c>
      <c r="K731" s="2" t="s">
        <v>77</v>
      </c>
    </row>
    <row r="732">
      <c r="A732" s="1" t="s">
        <v>2603</v>
      </c>
      <c r="B732" s="1" t="s">
        <v>65</v>
      </c>
      <c r="C732" s="2" t="s">
        <v>38</v>
      </c>
      <c r="D732" s="2" t="s">
        <v>395</v>
      </c>
      <c r="E732" s="2" t="s">
        <v>1708</v>
      </c>
      <c r="F732" s="2" t="s">
        <v>1049</v>
      </c>
      <c r="G732" s="2" t="s">
        <v>339</v>
      </c>
      <c r="H732" s="2" t="s">
        <v>56</v>
      </c>
      <c r="I732" s="2" t="s">
        <v>138</v>
      </c>
      <c r="J732" s="2" t="s">
        <v>3027</v>
      </c>
      <c r="K732" s="2" t="s">
        <v>95</v>
      </c>
      <c r="L732" s="1" t="s">
        <v>62</v>
      </c>
    </row>
    <row r="733">
      <c r="A733" s="1" t="s">
        <v>2605</v>
      </c>
      <c r="B733" s="1" t="s">
        <v>44</v>
      </c>
      <c r="C733" s="2" t="s">
        <v>46</v>
      </c>
      <c r="D733" s="2" t="s">
        <v>157</v>
      </c>
      <c r="E733" s="2" t="s">
        <v>1211</v>
      </c>
      <c r="F733" s="2" t="s">
        <v>448</v>
      </c>
      <c r="G733" s="2" t="s">
        <v>48</v>
      </c>
      <c r="H733" s="2" t="s">
        <v>218</v>
      </c>
      <c r="I733" s="2" t="s">
        <v>58</v>
      </c>
      <c r="J733" s="2" t="s">
        <v>578</v>
      </c>
      <c r="K733" s="2" t="s">
        <v>38</v>
      </c>
      <c r="L733" s="1" t="s">
        <v>113</v>
      </c>
    </row>
    <row r="734">
      <c r="A734" s="1" t="s">
        <v>2607</v>
      </c>
      <c r="B734" s="1" t="s">
        <v>22</v>
      </c>
      <c r="C734" s="2" t="s">
        <v>167</v>
      </c>
      <c r="D734" s="2" t="s">
        <v>228</v>
      </c>
      <c r="E734" s="2" t="s">
        <v>235</v>
      </c>
      <c r="F734" s="2" t="s">
        <v>1088</v>
      </c>
      <c r="G734" s="2" t="s">
        <v>27</v>
      </c>
      <c r="H734" s="2" t="s">
        <v>36</v>
      </c>
      <c r="I734" s="2" t="s">
        <v>58</v>
      </c>
      <c r="J734" s="2" t="s">
        <v>3028</v>
      </c>
      <c r="K734" s="2" t="s">
        <v>95</v>
      </c>
      <c r="L734" s="1" t="s">
        <v>62</v>
      </c>
    </row>
    <row r="735">
      <c r="A735" s="1" t="s">
        <v>2611</v>
      </c>
      <c r="B735" s="1" t="s">
        <v>22</v>
      </c>
      <c r="C735" s="2" t="s">
        <v>157</v>
      </c>
      <c r="D735" s="2" t="s">
        <v>86</v>
      </c>
      <c r="E735" s="2" t="s">
        <v>2966</v>
      </c>
      <c r="F735" s="2" t="s">
        <v>48</v>
      </c>
      <c r="G735" s="2" t="s">
        <v>54</v>
      </c>
      <c r="H735" s="2" t="s">
        <v>575</v>
      </c>
      <c r="I735" s="2" t="s">
        <v>117</v>
      </c>
      <c r="J735" s="2" t="s">
        <v>3011</v>
      </c>
      <c r="K735" s="2" t="s">
        <v>95</v>
      </c>
      <c r="L735" s="1" t="s">
        <v>62</v>
      </c>
    </row>
    <row r="736">
      <c r="A736" s="1" t="s">
        <v>2613</v>
      </c>
      <c r="B736" s="1" t="s">
        <v>84</v>
      </c>
      <c r="C736" s="2" t="s">
        <v>46</v>
      </c>
      <c r="D736" s="2" t="s">
        <v>186</v>
      </c>
      <c r="E736" s="2" t="s">
        <v>1689</v>
      </c>
      <c r="F736" s="2" t="s">
        <v>73</v>
      </c>
      <c r="G736" s="2" t="s">
        <v>33</v>
      </c>
      <c r="H736" s="2" t="s">
        <v>56</v>
      </c>
      <c r="I736" s="2" t="s">
        <v>77</v>
      </c>
      <c r="J736" s="2" t="s">
        <v>3029</v>
      </c>
      <c r="K736" s="2" t="s">
        <v>154</v>
      </c>
      <c r="L736" s="1" t="s">
        <v>62</v>
      </c>
    </row>
    <row r="737">
      <c r="A737" s="1" t="s">
        <v>2616</v>
      </c>
      <c r="B737" s="1" t="s">
        <v>22</v>
      </c>
      <c r="C737" s="2" t="s">
        <v>46</v>
      </c>
      <c r="D737" s="2" t="s">
        <v>395</v>
      </c>
      <c r="E737" s="2" t="s">
        <v>855</v>
      </c>
      <c r="F737" s="2" t="s">
        <v>23</v>
      </c>
      <c r="G737" s="2" t="s">
        <v>213</v>
      </c>
      <c r="H737" s="2" t="s">
        <v>56</v>
      </c>
      <c r="I737" s="2" t="s">
        <v>77</v>
      </c>
      <c r="J737" s="2" t="s">
        <v>3030</v>
      </c>
      <c r="K737" s="2" t="s">
        <v>95</v>
      </c>
      <c r="L737" s="1" t="s">
        <v>62</v>
      </c>
    </row>
    <row r="738">
      <c r="A738" s="1" t="s">
        <v>2617</v>
      </c>
      <c r="B738" s="1" t="s">
        <v>84</v>
      </c>
      <c r="C738" s="2" t="s">
        <v>31</v>
      </c>
      <c r="D738" s="2" t="s">
        <v>1088</v>
      </c>
      <c r="E738" s="2" t="s">
        <v>51</v>
      </c>
      <c r="F738" s="2" t="s">
        <v>199</v>
      </c>
      <c r="G738" s="2" t="s">
        <v>186</v>
      </c>
      <c r="H738" s="2" t="s">
        <v>36</v>
      </c>
      <c r="I738" s="2" t="s">
        <v>58</v>
      </c>
      <c r="J738" s="2" t="s">
        <v>3031</v>
      </c>
      <c r="K738" s="2" t="s">
        <v>58</v>
      </c>
      <c r="L738" s="1" t="s">
        <v>113</v>
      </c>
    </row>
    <row r="739">
      <c r="A739" s="1" t="s">
        <v>2620</v>
      </c>
      <c r="B739" s="1" t="s">
        <v>22</v>
      </c>
      <c r="C739" s="2" t="s">
        <v>23</v>
      </c>
      <c r="D739" s="2" t="s">
        <v>68</v>
      </c>
      <c r="E739" s="2" t="s">
        <v>1044</v>
      </c>
      <c r="F739" s="2" t="s">
        <v>71</v>
      </c>
      <c r="G739" s="2" t="s">
        <v>115</v>
      </c>
      <c r="H739" s="2" t="s">
        <v>1091</v>
      </c>
      <c r="I739" s="2" t="s">
        <v>77</v>
      </c>
      <c r="J739" s="2" t="s">
        <v>3032</v>
      </c>
      <c r="K739" s="2" t="s">
        <v>58</v>
      </c>
      <c r="L739" s="1" t="s">
        <v>113</v>
      </c>
    </row>
    <row r="740">
      <c r="A740" s="1" t="s">
        <v>2623</v>
      </c>
      <c r="B740" s="1" t="s">
        <v>22</v>
      </c>
      <c r="C740" s="2" t="s">
        <v>46</v>
      </c>
      <c r="D740" s="2" t="s">
        <v>54</v>
      </c>
      <c r="E740" s="2" t="s">
        <v>2556</v>
      </c>
      <c r="F740" s="2" t="s">
        <v>686</v>
      </c>
      <c r="G740" s="2" t="s">
        <v>104</v>
      </c>
      <c r="H740" s="2" t="s">
        <v>114</v>
      </c>
      <c r="I740" s="2" t="s">
        <v>58</v>
      </c>
      <c r="J740" s="2" t="s">
        <v>3004</v>
      </c>
      <c r="K740" s="2" t="s">
        <v>23</v>
      </c>
      <c r="L740" s="1" t="s">
        <v>62</v>
      </c>
    </row>
    <row r="741">
      <c r="A741" s="1" t="s">
        <v>2626</v>
      </c>
      <c r="B741" s="1" t="s">
        <v>65</v>
      </c>
      <c r="C741" s="2" t="s">
        <v>46</v>
      </c>
      <c r="D741" s="2" t="s">
        <v>27</v>
      </c>
      <c r="E741" s="2" t="s">
        <v>446</v>
      </c>
      <c r="F741" s="2" t="s">
        <v>154</v>
      </c>
      <c r="G741" s="2" t="s">
        <v>186</v>
      </c>
      <c r="H741" s="2" t="s">
        <v>75</v>
      </c>
      <c r="I741" s="2" t="s">
        <v>38</v>
      </c>
      <c r="J741" s="2" t="s">
        <v>3033</v>
      </c>
      <c r="K741" s="2" t="s">
        <v>23</v>
      </c>
      <c r="L741" s="1" t="s">
        <v>62</v>
      </c>
    </row>
    <row r="742">
      <c r="A742" s="1" t="s">
        <v>2630</v>
      </c>
      <c r="B742" s="1" t="s">
        <v>65</v>
      </c>
      <c r="C742" s="2" t="s">
        <v>95</v>
      </c>
      <c r="D742" s="2" t="s">
        <v>31</v>
      </c>
      <c r="E742" s="2" t="s">
        <v>1170</v>
      </c>
      <c r="F742" s="2" t="s">
        <v>27</v>
      </c>
      <c r="G742" s="2" t="s">
        <v>351</v>
      </c>
      <c r="H742" s="2" t="s">
        <v>203</v>
      </c>
      <c r="I742" s="2" t="s">
        <v>38</v>
      </c>
      <c r="J742" s="2" t="s">
        <v>427</v>
      </c>
      <c r="K742" s="2" t="s">
        <v>95</v>
      </c>
      <c r="L742" s="1" t="s">
        <v>62</v>
      </c>
    </row>
    <row r="743">
      <c r="A743" s="1" t="s">
        <v>2632</v>
      </c>
      <c r="B743" s="1" t="s">
        <v>65</v>
      </c>
      <c r="C743" s="2" t="s">
        <v>23</v>
      </c>
      <c r="D743" s="2" t="s">
        <v>73</v>
      </c>
      <c r="E743" s="2" t="s">
        <v>1211</v>
      </c>
      <c r="F743" s="2" t="s">
        <v>387</v>
      </c>
      <c r="G743" s="2" t="s">
        <v>245</v>
      </c>
      <c r="H743" s="2" t="s">
        <v>250</v>
      </c>
      <c r="I743" s="2" t="s">
        <v>77</v>
      </c>
      <c r="J743" s="2" t="s">
        <v>3034</v>
      </c>
      <c r="K743" s="2" t="s">
        <v>46</v>
      </c>
      <c r="L743" s="1" t="s">
        <v>113</v>
      </c>
    </row>
    <row r="744">
      <c r="A744" s="1" t="s">
        <v>2634</v>
      </c>
      <c r="B744" s="1" t="s">
        <v>22</v>
      </c>
      <c r="C744" s="2" t="s">
        <v>95</v>
      </c>
      <c r="D744" s="2" t="s">
        <v>448</v>
      </c>
      <c r="E744" s="2" t="s">
        <v>278</v>
      </c>
      <c r="F744" s="2" t="s">
        <v>68</v>
      </c>
      <c r="G744" s="2" t="s">
        <v>135</v>
      </c>
      <c r="I744" s="2" t="s">
        <v>46</v>
      </c>
      <c r="J744" s="2" t="s">
        <v>3035</v>
      </c>
      <c r="K744" s="2" t="s">
        <v>157</v>
      </c>
      <c r="L744" s="1" t="s">
        <v>62</v>
      </c>
    </row>
    <row r="745">
      <c r="A745" s="1" t="s">
        <v>2637</v>
      </c>
      <c r="B745" s="1" t="s">
        <v>84</v>
      </c>
      <c r="C745" s="2" t="s">
        <v>157</v>
      </c>
      <c r="D745" s="2" t="s">
        <v>224</v>
      </c>
      <c r="E745" s="2" t="s">
        <v>575</v>
      </c>
      <c r="F745" s="2" t="s">
        <v>73</v>
      </c>
      <c r="G745" s="2" t="s">
        <v>245</v>
      </c>
      <c r="H745" s="2" t="s">
        <v>114</v>
      </c>
      <c r="I745" s="2" t="s">
        <v>138</v>
      </c>
      <c r="J745" s="1" t="s">
        <v>3036</v>
      </c>
      <c r="K745" s="2" t="s">
        <v>23</v>
      </c>
      <c r="L745" s="1" t="s">
        <v>62</v>
      </c>
    </row>
    <row r="746">
      <c r="A746" s="1" t="s">
        <v>2639</v>
      </c>
      <c r="B746" s="1" t="s">
        <v>22</v>
      </c>
      <c r="C746" s="2" t="s">
        <v>23</v>
      </c>
      <c r="D746" s="2" t="s">
        <v>135</v>
      </c>
      <c r="E746" s="2" t="s">
        <v>497</v>
      </c>
      <c r="F746" s="2" t="s">
        <v>167</v>
      </c>
      <c r="G746" s="2" t="s">
        <v>48</v>
      </c>
      <c r="H746" s="2" t="s">
        <v>203</v>
      </c>
      <c r="I746" s="2" t="s">
        <v>77</v>
      </c>
      <c r="J746" s="2" t="s">
        <v>3037</v>
      </c>
      <c r="K746" s="2" t="s">
        <v>95</v>
      </c>
      <c r="L746" s="1" t="s">
        <v>62</v>
      </c>
    </row>
    <row r="747">
      <c r="A747" s="1" t="s">
        <v>2643</v>
      </c>
      <c r="B747" s="1" t="s">
        <v>84</v>
      </c>
      <c r="C747" s="2" t="s">
        <v>38</v>
      </c>
      <c r="D747" s="2" t="s">
        <v>27</v>
      </c>
      <c r="E747" s="2" t="s">
        <v>310</v>
      </c>
      <c r="F747" s="2" t="s">
        <v>395</v>
      </c>
      <c r="G747" s="2" t="s">
        <v>71</v>
      </c>
      <c r="H747" s="2" t="s">
        <v>203</v>
      </c>
      <c r="I747" s="2" t="s">
        <v>117</v>
      </c>
      <c r="J747" s="2" t="s">
        <v>2965</v>
      </c>
      <c r="K747" s="2" t="s">
        <v>95</v>
      </c>
      <c r="L747" s="1" t="s">
        <v>62</v>
      </c>
    </row>
    <row r="748">
      <c r="A748" s="1" t="s">
        <v>2646</v>
      </c>
      <c r="B748" s="1" t="s">
        <v>170</v>
      </c>
      <c r="C748" s="2" t="s">
        <v>23</v>
      </c>
      <c r="D748" s="2" t="s">
        <v>224</v>
      </c>
      <c r="E748" s="2" t="s">
        <v>882</v>
      </c>
      <c r="F748" s="2" t="s">
        <v>175</v>
      </c>
      <c r="G748" s="2" t="s">
        <v>338</v>
      </c>
      <c r="H748" s="2" t="s">
        <v>178</v>
      </c>
      <c r="I748" s="2" t="s">
        <v>38</v>
      </c>
      <c r="J748" s="2" t="s">
        <v>3038</v>
      </c>
      <c r="K748" s="2" t="s">
        <v>95</v>
      </c>
      <c r="L748" s="1" t="s">
        <v>62</v>
      </c>
    </row>
    <row r="749">
      <c r="A749" s="1" t="s">
        <v>2649</v>
      </c>
      <c r="B749" s="1" t="s">
        <v>22</v>
      </c>
      <c r="C749" s="2" t="s">
        <v>157</v>
      </c>
      <c r="D749" s="2" t="s">
        <v>514</v>
      </c>
      <c r="E749" s="2" t="s">
        <v>102</v>
      </c>
      <c r="F749" s="2" t="s">
        <v>248</v>
      </c>
      <c r="G749" s="2" t="s">
        <v>68</v>
      </c>
      <c r="H749" s="2" t="s">
        <v>1091</v>
      </c>
      <c r="I749" s="2" t="s">
        <v>77</v>
      </c>
      <c r="J749" s="2" t="s">
        <v>3039</v>
      </c>
      <c r="K749" s="2" t="s">
        <v>95</v>
      </c>
      <c r="L749" s="1" t="s">
        <v>62</v>
      </c>
    </row>
    <row r="750">
      <c r="A750" s="1" t="s">
        <v>2651</v>
      </c>
      <c r="B750" s="1" t="s">
        <v>65</v>
      </c>
      <c r="C750" s="2" t="s">
        <v>157</v>
      </c>
      <c r="D750" s="2" t="s">
        <v>351</v>
      </c>
      <c r="E750" s="2" t="s">
        <v>3040</v>
      </c>
      <c r="F750" s="2" t="s">
        <v>245</v>
      </c>
      <c r="G750" s="2" t="s">
        <v>54</v>
      </c>
      <c r="H750" s="2" t="s">
        <v>116</v>
      </c>
      <c r="I750" s="2" t="s">
        <v>77</v>
      </c>
      <c r="J750" s="2" t="s">
        <v>3041</v>
      </c>
      <c r="K750" s="2" t="s">
        <v>38</v>
      </c>
      <c r="L750" s="1" t="s">
        <v>113</v>
      </c>
    </row>
    <row r="751">
      <c r="A751" s="1" t="s">
        <v>2654</v>
      </c>
      <c r="B751" s="1" t="s">
        <v>22</v>
      </c>
      <c r="C751" s="2" t="s">
        <v>95</v>
      </c>
      <c r="D751" s="2" t="s">
        <v>300</v>
      </c>
      <c r="E751" s="2" t="s">
        <v>337</v>
      </c>
      <c r="F751" s="2" t="s">
        <v>287</v>
      </c>
      <c r="G751" s="2" t="s">
        <v>154</v>
      </c>
      <c r="H751" s="2" t="s">
        <v>270</v>
      </c>
      <c r="I751" s="2" t="s">
        <v>117</v>
      </c>
      <c r="J751" s="2" t="s">
        <v>3042</v>
      </c>
      <c r="K751" s="2" t="s">
        <v>95</v>
      </c>
      <c r="L751" s="1" t="s">
        <v>62</v>
      </c>
    </row>
    <row r="752">
      <c r="A752" s="1" t="s">
        <v>2659</v>
      </c>
      <c r="B752" s="1" t="s">
        <v>84</v>
      </c>
      <c r="C752" s="2" t="s">
        <v>23</v>
      </c>
      <c r="D752" s="2" t="s">
        <v>27</v>
      </c>
      <c r="E752" s="2" t="s">
        <v>725</v>
      </c>
      <c r="F752" s="2" t="s">
        <v>157</v>
      </c>
      <c r="G752" s="2" t="s">
        <v>54</v>
      </c>
      <c r="H752" s="2" t="s">
        <v>108</v>
      </c>
      <c r="I752" s="2" t="s">
        <v>77</v>
      </c>
      <c r="J752" s="2" t="s">
        <v>3043</v>
      </c>
      <c r="K752" s="2" t="s">
        <v>23</v>
      </c>
      <c r="L752" s="1" t="s">
        <v>62</v>
      </c>
    </row>
    <row r="753">
      <c r="A753" s="1" t="s">
        <v>2661</v>
      </c>
      <c r="B753" s="1" t="s">
        <v>84</v>
      </c>
      <c r="C753" s="2" t="s">
        <v>95</v>
      </c>
      <c r="D753" s="2" t="s">
        <v>290</v>
      </c>
      <c r="E753" s="2" t="s">
        <v>505</v>
      </c>
      <c r="F753" s="2" t="s">
        <v>351</v>
      </c>
      <c r="G753" s="2" t="s">
        <v>224</v>
      </c>
      <c r="H753" s="2" t="s">
        <v>203</v>
      </c>
      <c r="I753" s="2" t="s">
        <v>117</v>
      </c>
      <c r="J753" s="2" t="s">
        <v>1733</v>
      </c>
      <c r="K753" s="2" t="s">
        <v>77</v>
      </c>
      <c r="L753" s="1" t="s">
        <v>113</v>
      </c>
    </row>
    <row r="754">
      <c r="A754" s="1" t="s">
        <v>2664</v>
      </c>
      <c r="B754" s="1" t="s">
        <v>44</v>
      </c>
      <c r="C754" s="2" t="s">
        <v>95</v>
      </c>
      <c r="D754" s="2" t="s">
        <v>104</v>
      </c>
      <c r="E754" s="2" t="s">
        <v>1860</v>
      </c>
      <c r="F754" s="2" t="s">
        <v>186</v>
      </c>
      <c r="G754" s="2" t="s">
        <v>68</v>
      </c>
      <c r="H754" s="2" t="s">
        <v>412</v>
      </c>
      <c r="I754" s="2" t="s">
        <v>138</v>
      </c>
      <c r="J754" s="2" t="s">
        <v>2559</v>
      </c>
      <c r="K754" s="2" t="s">
        <v>157</v>
      </c>
      <c r="L754" s="1" t="s">
        <v>62</v>
      </c>
    </row>
    <row r="755">
      <c r="A755" s="1" t="s">
        <v>2666</v>
      </c>
      <c r="B755" s="1" t="s">
        <v>84</v>
      </c>
      <c r="C755" s="2" t="s">
        <v>38</v>
      </c>
      <c r="D755" s="2" t="s">
        <v>290</v>
      </c>
      <c r="E755" s="2" t="s">
        <v>522</v>
      </c>
      <c r="F755" s="2" t="s">
        <v>68</v>
      </c>
      <c r="G755" s="2" t="s">
        <v>339</v>
      </c>
      <c r="H755" s="2" t="s">
        <v>75</v>
      </c>
      <c r="I755" s="2" t="s">
        <v>38</v>
      </c>
      <c r="J755" s="2" t="s">
        <v>2850</v>
      </c>
      <c r="K755" s="2" t="s">
        <v>46</v>
      </c>
      <c r="L755" s="1" t="s">
        <v>113</v>
      </c>
    </row>
    <row r="756">
      <c r="A756" s="1" t="s">
        <v>2669</v>
      </c>
      <c r="B756" s="1" t="s">
        <v>65</v>
      </c>
      <c r="C756" s="2" t="s">
        <v>77</v>
      </c>
      <c r="D756" s="2" t="s">
        <v>95</v>
      </c>
      <c r="E756" s="2" t="s">
        <v>246</v>
      </c>
      <c r="F756" s="2" t="s">
        <v>287</v>
      </c>
      <c r="G756" s="2" t="s">
        <v>201</v>
      </c>
      <c r="H756" s="2" t="s">
        <v>463</v>
      </c>
      <c r="I756" s="2" t="s">
        <v>138</v>
      </c>
      <c r="J756" s="2" t="s">
        <v>3044</v>
      </c>
      <c r="K756" s="2" t="s">
        <v>46</v>
      </c>
    </row>
    <row r="757">
      <c r="A757" s="1" t="s">
        <v>2672</v>
      </c>
      <c r="B757" s="1" t="s">
        <v>65</v>
      </c>
      <c r="C757" s="2" t="s">
        <v>290</v>
      </c>
      <c r="D757" s="2" t="s">
        <v>287</v>
      </c>
      <c r="E757" s="2" t="s">
        <v>651</v>
      </c>
      <c r="F757" s="2" t="s">
        <v>300</v>
      </c>
      <c r="G757" s="2" t="s">
        <v>135</v>
      </c>
      <c r="H757" s="2" t="s">
        <v>116</v>
      </c>
      <c r="I757" s="2" t="s">
        <v>77</v>
      </c>
      <c r="J757" s="2" t="s">
        <v>3045</v>
      </c>
      <c r="K757" s="2" t="s">
        <v>38</v>
      </c>
      <c r="L757" s="1" t="s">
        <v>113</v>
      </c>
    </row>
    <row r="758">
      <c r="A758" s="1" t="s">
        <v>2675</v>
      </c>
      <c r="B758" s="1" t="s">
        <v>84</v>
      </c>
      <c r="C758" s="2" t="s">
        <v>23</v>
      </c>
      <c r="D758" s="2" t="s">
        <v>290</v>
      </c>
      <c r="E758" s="2" t="s">
        <v>1109</v>
      </c>
      <c r="F758" s="2" t="s">
        <v>245</v>
      </c>
      <c r="G758" s="2" t="s">
        <v>48</v>
      </c>
      <c r="H758" s="2" t="s">
        <v>310</v>
      </c>
      <c r="I758" s="2" t="s">
        <v>117</v>
      </c>
      <c r="J758" s="2" t="s">
        <v>2938</v>
      </c>
      <c r="K758" s="2" t="s">
        <v>23</v>
      </c>
    </row>
    <row r="759">
      <c r="A759" s="1" t="s">
        <v>2677</v>
      </c>
      <c r="B759" s="1" t="s">
        <v>65</v>
      </c>
      <c r="C759" s="2" t="s">
        <v>167</v>
      </c>
      <c r="D759" s="2" t="s">
        <v>71</v>
      </c>
      <c r="E759" s="2" t="s">
        <v>3046</v>
      </c>
      <c r="F759" s="2" t="s">
        <v>149</v>
      </c>
      <c r="G759" s="2" t="s">
        <v>154</v>
      </c>
      <c r="H759" s="2" t="s">
        <v>412</v>
      </c>
      <c r="I759" s="2" t="s">
        <v>38</v>
      </c>
      <c r="J759" s="2" t="s">
        <v>3047</v>
      </c>
      <c r="K759" s="2" t="s">
        <v>157</v>
      </c>
      <c r="L759" s="1" t="s">
        <v>62</v>
      </c>
    </row>
    <row r="760">
      <c r="A760" s="1" t="s">
        <v>2680</v>
      </c>
      <c r="B760" s="1" t="s">
        <v>22</v>
      </c>
      <c r="C760" s="2" t="s">
        <v>23</v>
      </c>
      <c r="D760" s="2" t="s">
        <v>154</v>
      </c>
      <c r="E760" s="2" t="s">
        <v>685</v>
      </c>
      <c r="F760" s="2" t="s">
        <v>1026</v>
      </c>
      <c r="G760" s="2" t="s">
        <v>351</v>
      </c>
      <c r="H760" s="2" t="s">
        <v>218</v>
      </c>
      <c r="I760" s="2" t="s">
        <v>58</v>
      </c>
      <c r="J760" s="2" t="s">
        <v>3048</v>
      </c>
      <c r="K760" s="2" t="s">
        <v>95</v>
      </c>
      <c r="L760" s="1" t="s">
        <v>62</v>
      </c>
    </row>
    <row r="761">
      <c r="A761" s="1" t="s">
        <v>2683</v>
      </c>
      <c r="B761" s="1" t="s">
        <v>22</v>
      </c>
      <c r="C761" s="2" t="s">
        <v>46</v>
      </c>
      <c r="D761" s="2" t="s">
        <v>71</v>
      </c>
      <c r="E761" s="2" t="s">
        <v>288</v>
      </c>
      <c r="F761" s="2" t="s">
        <v>448</v>
      </c>
      <c r="G761" s="2" t="s">
        <v>33</v>
      </c>
      <c r="H761" s="2" t="s">
        <v>92</v>
      </c>
      <c r="I761" s="2" t="s">
        <v>77</v>
      </c>
      <c r="J761" s="2" t="s">
        <v>1634</v>
      </c>
      <c r="K761" s="2" t="s">
        <v>23</v>
      </c>
      <c r="L761" s="1" t="s">
        <v>62</v>
      </c>
    </row>
    <row r="762">
      <c r="A762" s="1" t="s">
        <v>2687</v>
      </c>
      <c r="B762" s="1" t="s">
        <v>22</v>
      </c>
      <c r="C762" s="2" t="s">
        <v>23</v>
      </c>
      <c r="D762" s="2" t="s">
        <v>351</v>
      </c>
      <c r="E762" s="2" t="s">
        <v>270</v>
      </c>
      <c r="F762" s="2" t="s">
        <v>31</v>
      </c>
      <c r="G762" s="2" t="s">
        <v>33</v>
      </c>
      <c r="H762" s="2" t="s">
        <v>412</v>
      </c>
      <c r="I762" s="2" t="s">
        <v>77</v>
      </c>
      <c r="J762" s="2" t="s">
        <v>3049</v>
      </c>
      <c r="K762" s="2" t="s">
        <v>38</v>
      </c>
      <c r="L762" s="1" t="s">
        <v>62</v>
      </c>
    </row>
    <row r="763">
      <c r="A763" s="1" t="s">
        <v>2689</v>
      </c>
      <c r="B763" s="1" t="s">
        <v>44</v>
      </c>
      <c r="C763" s="2" t="s">
        <v>77</v>
      </c>
      <c r="D763" s="2" t="s">
        <v>95</v>
      </c>
      <c r="E763" s="2" t="s">
        <v>297</v>
      </c>
      <c r="F763" s="2" t="s">
        <v>86</v>
      </c>
      <c r="G763" s="2" t="s">
        <v>154</v>
      </c>
      <c r="H763" s="2" t="s">
        <v>151</v>
      </c>
      <c r="I763" s="2" t="s">
        <v>46</v>
      </c>
      <c r="J763" s="2" t="s">
        <v>3050</v>
      </c>
      <c r="K763" s="2" t="s">
        <v>38</v>
      </c>
    </row>
    <row r="764">
      <c r="A764" s="1" t="s">
        <v>2692</v>
      </c>
      <c r="B764" s="1" t="s">
        <v>84</v>
      </c>
      <c r="C764" s="2" t="s">
        <v>46</v>
      </c>
      <c r="D764" s="2" t="s">
        <v>31</v>
      </c>
      <c r="E764" s="2" t="s">
        <v>973</v>
      </c>
      <c r="F764" s="2" t="s">
        <v>199</v>
      </c>
      <c r="G764" s="2" t="s">
        <v>395</v>
      </c>
      <c r="H764" s="2" t="s">
        <v>250</v>
      </c>
      <c r="I764" s="2" t="s">
        <v>77</v>
      </c>
      <c r="J764" s="1" t="s">
        <v>3051</v>
      </c>
      <c r="K764" s="2" t="s">
        <v>117</v>
      </c>
      <c r="L764" s="1" t="s">
        <v>113</v>
      </c>
    </row>
    <row r="765">
      <c r="A765" s="1" t="s">
        <v>2694</v>
      </c>
      <c r="B765" s="1" t="s">
        <v>170</v>
      </c>
      <c r="C765" s="2" t="s">
        <v>157</v>
      </c>
      <c r="D765" s="2" t="s">
        <v>135</v>
      </c>
      <c r="E765" s="2" t="s">
        <v>1346</v>
      </c>
      <c r="F765" s="2" t="s">
        <v>247</v>
      </c>
      <c r="G765" s="2" t="s">
        <v>73</v>
      </c>
      <c r="H765" s="2" t="s">
        <v>114</v>
      </c>
      <c r="I765" s="2" t="s">
        <v>77</v>
      </c>
      <c r="J765" s="2" t="s">
        <v>793</v>
      </c>
      <c r="K765" s="2" t="s">
        <v>58</v>
      </c>
      <c r="L765" s="1" t="s">
        <v>113</v>
      </c>
    </row>
    <row r="766">
      <c r="A766" s="1" t="s">
        <v>2695</v>
      </c>
      <c r="B766" s="1" t="s">
        <v>65</v>
      </c>
      <c r="C766" s="2" t="s">
        <v>167</v>
      </c>
      <c r="D766" s="2" t="s">
        <v>73</v>
      </c>
      <c r="E766" s="2" t="s">
        <v>337</v>
      </c>
      <c r="F766" s="2" t="s">
        <v>491</v>
      </c>
      <c r="G766" s="2" t="s">
        <v>68</v>
      </c>
      <c r="H766" s="2" t="s">
        <v>163</v>
      </c>
      <c r="I766" s="2" t="s">
        <v>46</v>
      </c>
      <c r="J766" s="2" t="s">
        <v>3052</v>
      </c>
      <c r="K766" s="2" t="s">
        <v>46</v>
      </c>
      <c r="L766" s="1" t="s">
        <v>62</v>
      </c>
    </row>
    <row r="767">
      <c r="A767" s="1" t="s">
        <v>2697</v>
      </c>
      <c r="B767" s="1" t="s">
        <v>84</v>
      </c>
      <c r="C767" s="2" t="s">
        <v>167</v>
      </c>
      <c r="D767" s="2" t="s">
        <v>201</v>
      </c>
      <c r="E767" s="2" t="s">
        <v>3053</v>
      </c>
      <c r="F767" s="2" t="s">
        <v>375</v>
      </c>
      <c r="G767" s="2" t="s">
        <v>154</v>
      </c>
      <c r="H767" s="2" t="s">
        <v>575</v>
      </c>
      <c r="I767" s="2" t="s">
        <v>77</v>
      </c>
      <c r="J767" s="2" t="s">
        <v>3054</v>
      </c>
      <c r="K767" s="2" t="s">
        <v>38</v>
      </c>
      <c r="L767" s="1" t="s">
        <v>113</v>
      </c>
    </row>
    <row r="768">
      <c r="A768" s="1" t="s">
        <v>2698</v>
      </c>
      <c r="B768" s="1" t="s">
        <v>22</v>
      </c>
      <c r="C768" s="2" t="s">
        <v>95</v>
      </c>
      <c r="D768" s="2" t="s">
        <v>395</v>
      </c>
      <c r="E768" s="2" t="s">
        <v>88</v>
      </c>
      <c r="F768" s="2" t="s">
        <v>808</v>
      </c>
      <c r="G768" s="2" t="s">
        <v>68</v>
      </c>
      <c r="H768" s="2" t="s">
        <v>151</v>
      </c>
      <c r="I768" s="2" t="s">
        <v>58</v>
      </c>
      <c r="J768" s="2" t="s">
        <v>1409</v>
      </c>
      <c r="K768" s="2" t="s">
        <v>23</v>
      </c>
      <c r="L768" s="1" t="s">
        <v>62</v>
      </c>
    </row>
    <row r="769">
      <c r="A769" s="1" t="s">
        <v>2700</v>
      </c>
      <c r="B769" s="1" t="s">
        <v>22</v>
      </c>
      <c r="C769" s="2" t="s">
        <v>95</v>
      </c>
      <c r="D769" s="2" t="s">
        <v>68</v>
      </c>
      <c r="E769" s="2" t="s">
        <v>896</v>
      </c>
      <c r="F769" s="2" t="s">
        <v>228</v>
      </c>
      <c r="G769" s="2" t="s">
        <v>351</v>
      </c>
      <c r="H769" s="2" t="s">
        <v>163</v>
      </c>
      <c r="I769" s="2" t="s">
        <v>77</v>
      </c>
      <c r="K769" s="2" t="s">
        <v>46</v>
      </c>
      <c r="L769" s="1" t="s">
        <v>62</v>
      </c>
    </row>
    <row r="770">
      <c r="A770" s="1" t="s">
        <v>2703</v>
      </c>
      <c r="B770" s="1" t="s">
        <v>84</v>
      </c>
      <c r="C770" s="2" t="s">
        <v>167</v>
      </c>
      <c r="D770" s="2" t="s">
        <v>27</v>
      </c>
      <c r="E770" s="2" t="s">
        <v>146</v>
      </c>
      <c r="F770" s="2" t="s">
        <v>224</v>
      </c>
      <c r="G770" s="2" t="s">
        <v>395</v>
      </c>
      <c r="H770" s="2" t="s">
        <v>270</v>
      </c>
      <c r="I770" s="2" t="s">
        <v>46</v>
      </c>
      <c r="J770" s="1" t="s">
        <v>3055</v>
      </c>
      <c r="K770" s="2" t="s">
        <v>157</v>
      </c>
      <c r="L770" s="1" t="s">
        <v>62</v>
      </c>
    </row>
    <row r="771">
      <c r="A771" s="1" t="s">
        <v>2705</v>
      </c>
      <c r="B771" s="1" t="s">
        <v>44</v>
      </c>
      <c r="C771" s="2" t="s">
        <v>46</v>
      </c>
      <c r="D771" s="2" t="s">
        <v>201</v>
      </c>
      <c r="E771" s="2" t="s">
        <v>2231</v>
      </c>
      <c r="F771" s="2" t="s">
        <v>31</v>
      </c>
      <c r="G771" s="2" t="s">
        <v>27</v>
      </c>
      <c r="H771" s="2" t="s">
        <v>92</v>
      </c>
      <c r="I771" s="2" t="s">
        <v>77</v>
      </c>
      <c r="J771" s="2" t="s">
        <v>3056</v>
      </c>
      <c r="K771" s="2" t="s">
        <v>117</v>
      </c>
      <c r="L771" s="1" t="s">
        <v>113</v>
      </c>
    </row>
    <row r="772">
      <c r="A772" s="1" t="s">
        <v>2707</v>
      </c>
      <c r="B772" s="1" t="s">
        <v>44</v>
      </c>
      <c r="C772" s="2" t="s">
        <v>46</v>
      </c>
      <c r="D772" s="2" t="s">
        <v>300</v>
      </c>
      <c r="E772" s="2" t="s">
        <v>146</v>
      </c>
      <c r="F772" s="2" t="s">
        <v>115</v>
      </c>
      <c r="G772" s="2" t="s">
        <v>31</v>
      </c>
      <c r="H772" s="2" t="s">
        <v>151</v>
      </c>
      <c r="I772" s="2" t="s">
        <v>58</v>
      </c>
      <c r="J772" s="2" t="s">
        <v>3057</v>
      </c>
      <c r="K772" s="2" t="s">
        <v>23</v>
      </c>
    </row>
    <row r="773">
      <c r="A773" s="1" t="s">
        <v>2708</v>
      </c>
      <c r="B773" s="1" t="s">
        <v>22</v>
      </c>
      <c r="C773" s="2" t="s">
        <v>46</v>
      </c>
      <c r="D773" s="2" t="s">
        <v>186</v>
      </c>
      <c r="E773" s="2" t="s">
        <v>694</v>
      </c>
      <c r="F773" s="2" t="s">
        <v>491</v>
      </c>
      <c r="G773" s="2" t="s">
        <v>199</v>
      </c>
      <c r="H773" s="2" t="s">
        <v>497</v>
      </c>
      <c r="I773" s="2" t="s">
        <v>58</v>
      </c>
      <c r="J773" s="2" t="s">
        <v>3058</v>
      </c>
      <c r="K773" s="2" t="s">
        <v>157</v>
      </c>
      <c r="L773" s="1" t="s">
        <v>62</v>
      </c>
    </row>
    <row r="774">
      <c r="A774" s="1" t="s">
        <v>2710</v>
      </c>
      <c r="B774" s="1" t="s">
        <v>44</v>
      </c>
      <c r="C774" s="2" t="s">
        <v>167</v>
      </c>
      <c r="D774" s="2" t="s">
        <v>228</v>
      </c>
      <c r="E774" s="2" t="s">
        <v>51</v>
      </c>
      <c r="F774" s="2" t="s">
        <v>1088</v>
      </c>
      <c r="G774" s="2" t="s">
        <v>68</v>
      </c>
      <c r="H774" s="2" t="s">
        <v>116</v>
      </c>
      <c r="I774" s="2" t="s">
        <v>77</v>
      </c>
      <c r="J774" s="2" t="s">
        <v>3059</v>
      </c>
      <c r="K774" s="2" t="s">
        <v>77</v>
      </c>
      <c r="L774" s="1" t="s">
        <v>113</v>
      </c>
    </row>
    <row r="775">
      <c r="A775" s="1" t="s">
        <v>2712</v>
      </c>
      <c r="B775" s="1" t="s">
        <v>22</v>
      </c>
      <c r="C775" s="2" t="s">
        <v>117</v>
      </c>
      <c r="D775" s="2" t="s">
        <v>224</v>
      </c>
      <c r="E775" s="2" t="s">
        <v>69</v>
      </c>
      <c r="F775" s="2" t="s">
        <v>106</v>
      </c>
      <c r="G775" s="2" t="s">
        <v>265</v>
      </c>
      <c r="H775" s="2" t="s">
        <v>108</v>
      </c>
      <c r="I775" s="2" t="s">
        <v>58</v>
      </c>
      <c r="J775" s="2" t="s">
        <v>3060</v>
      </c>
      <c r="K775" s="2" t="s">
        <v>58</v>
      </c>
    </row>
    <row r="776">
      <c r="A776" s="1" t="s">
        <v>2715</v>
      </c>
      <c r="B776" s="1" t="s">
        <v>84</v>
      </c>
      <c r="C776" s="2" t="s">
        <v>167</v>
      </c>
      <c r="D776" s="2" t="s">
        <v>48</v>
      </c>
      <c r="E776" s="2" t="s">
        <v>1992</v>
      </c>
      <c r="F776" s="2" t="s">
        <v>491</v>
      </c>
      <c r="G776" s="2" t="s">
        <v>395</v>
      </c>
      <c r="H776" s="2" t="s">
        <v>92</v>
      </c>
      <c r="I776" s="2" t="s">
        <v>117</v>
      </c>
      <c r="J776" s="2" t="s">
        <v>3061</v>
      </c>
      <c r="K776" s="2" t="s">
        <v>38</v>
      </c>
      <c r="L776" s="1" t="s">
        <v>62</v>
      </c>
    </row>
    <row r="777">
      <c r="A777" s="1" t="s">
        <v>2717</v>
      </c>
      <c r="B777" s="1" t="s">
        <v>44</v>
      </c>
      <c r="C777" s="2" t="s">
        <v>95</v>
      </c>
      <c r="D777" s="2" t="s">
        <v>27</v>
      </c>
      <c r="E777" s="2" t="s">
        <v>1813</v>
      </c>
      <c r="F777" s="2" t="s">
        <v>808</v>
      </c>
      <c r="G777" s="2" t="s">
        <v>68</v>
      </c>
      <c r="H777" s="2" t="s">
        <v>163</v>
      </c>
      <c r="I777" s="2" t="s">
        <v>117</v>
      </c>
      <c r="J777" s="2" t="s">
        <v>3062</v>
      </c>
      <c r="K777" s="2" t="s">
        <v>167</v>
      </c>
      <c r="L777" s="1" t="s">
        <v>62</v>
      </c>
    </row>
    <row r="778">
      <c r="A778" s="1" t="s">
        <v>2720</v>
      </c>
      <c r="B778" s="1" t="s">
        <v>84</v>
      </c>
      <c r="C778" s="2" t="s">
        <v>58</v>
      </c>
      <c r="D778" s="2" t="s">
        <v>77</v>
      </c>
      <c r="E778" s="2" t="s">
        <v>2919</v>
      </c>
      <c r="F778" s="2" t="s">
        <v>186</v>
      </c>
      <c r="G778" s="2" t="s">
        <v>245</v>
      </c>
      <c r="H778" s="2" t="s">
        <v>36</v>
      </c>
      <c r="I778" s="2" t="s">
        <v>138</v>
      </c>
      <c r="K778" s="2" t="s">
        <v>23</v>
      </c>
      <c r="L778" s="1" t="s">
        <v>62</v>
      </c>
    </row>
    <row r="779">
      <c r="A779" s="1" t="s">
        <v>2724</v>
      </c>
      <c r="B779" s="1" t="s">
        <v>170</v>
      </c>
      <c r="C779" s="2" t="s">
        <v>117</v>
      </c>
      <c r="D779" s="2" t="s">
        <v>201</v>
      </c>
      <c r="E779" s="2" t="s">
        <v>809</v>
      </c>
      <c r="F779" s="2" t="s">
        <v>869</v>
      </c>
      <c r="G779" s="2" t="s">
        <v>106</v>
      </c>
      <c r="H779" s="2" t="s">
        <v>108</v>
      </c>
      <c r="I779" s="2" t="s">
        <v>77</v>
      </c>
      <c r="J779" s="2" t="s">
        <v>3063</v>
      </c>
      <c r="K779" s="2" t="s">
        <v>77</v>
      </c>
      <c r="L779" s="1" t="s">
        <v>113</v>
      </c>
    </row>
    <row r="780">
      <c r="A780" s="1" t="s">
        <v>2726</v>
      </c>
      <c r="B780" s="1" t="s">
        <v>170</v>
      </c>
      <c r="C780" s="2" t="s">
        <v>38</v>
      </c>
      <c r="D780" s="2" t="s">
        <v>201</v>
      </c>
      <c r="E780" s="2" t="s">
        <v>1346</v>
      </c>
      <c r="F780" s="2" t="s">
        <v>157</v>
      </c>
      <c r="G780" s="2" t="s">
        <v>73</v>
      </c>
      <c r="H780" s="2" t="s">
        <v>250</v>
      </c>
      <c r="I780" s="2" t="s">
        <v>117</v>
      </c>
      <c r="J780" s="2" t="s">
        <v>3064</v>
      </c>
      <c r="K780" s="2" t="s">
        <v>46</v>
      </c>
      <c r="L780" s="1" t="s">
        <v>113</v>
      </c>
    </row>
    <row r="781">
      <c r="A781" s="1" t="s">
        <v>2729</v>
      </c>
      <c r="B781" s="1" t="s">
        <v>22</v>
      </c>
      <c r="C781" s="2" t="s">
        <v>46</v>
      </c>
      <c r="D781" s="2" t="s">
        <v>351</v>
      </c>
      <c r="E781" s="2" t="s">
        <v>178</v>
      </c>
      <c r="F781" s="2" t="s">
        <v>245</v>
      </c>
      <c r="G781" s="2" t="s">
        <v>339</v>
      </c>
      <c r="H781" s="2" t="s">
        <v>116</v>
      </c>
      <c r="I781" s="2" t="s">
        <v>138</v>
      </c>
      <c r="J781" s="2" t="s">
        <v>3065</v>
      </c>
      <c r="K781" s="2" t="s">
        <v>77</v>
      </c>
      <c r="L781" s="1" t="s">
        <v>113</v>
      </c>
    </row>
    <row r="782">
      <c r="A782" s="1" t="s">
        <v>2731</v>
      </c>
      <c r="B782" s="1" t="s">
        <v>84</v>
      </c>
      <c r="C782" s="2" t="s">
        <v>95</v>
      </c>
      <c r="D782" s="2" t="s">
        <v>31</v>
      </c>
      <c r="E782" s="2" t="s">
        <v>278</v>
      </c>
      <c r="F782" s="2" t="s">
        <v>351</v>
      </c>
      <c r="G782" s="2" t="s">
        <v>162</v>
      </c>
      <c r="H782" s="2" t="s">
        <v>108</v>
      </c>
      <c r="I782" s="2" t="s">
        <v>46</v>
      </c>
      <c r="J782" s="2" t="s">
        <v>1666</v>
      </c>
      <c r="K782" s="2" t="s">
        <v>157</v>
      </c>
      <c r="L782" s="1" t="s">
        <v>62</v>
      </c>
    </row>
    <row r="783">
      <c r="A783" s="1" t="s">
        <v>2734</v>
      </c>
      <c r="B783" s="1" t="s">
        <v>65</v>
      </c>
      <c r="C783" s="2" t="s">
        <v>117</v>
      </c>
      <c r="D783" s="2" t="s">
        <v>290</v>
      </c>
      <c r="E783" s="2" t="s">
        <v>2464</v>
      </c>
      <c r="F783" s="2" t="s">
        <v>265</v>
      </c>
      <c r="G783" s="2" t="s">
        <v>186</v>
      </c>
      <c r="H783" s="2" t="s">
        <v>310</v>
      </c>
      <c r="I783" s="2" t="s">
        <v>77</v>
      </c>
      <c r="J783" s="2" t="s">
        <v>3066</v>
      </c>
      <c r="K783" s="2" t="s">
        <v>167</v>
      </c>
      <c r="L783" s="1" t="s">
        <v>62</v>
      </c>
    </row>
    <row r="784">
      <c r="A784" s="1" t="s">
        <v>2736</v>
      </c>
      <c r="B784" s="1" t="s">
        <v>84</v>
      </c>
      <c r="C784" s="2" t="s">
        <v>117</v>
      </c>
      <c r="D784" s="2" t="s">
        <v>300</v>
      </c>
      <c r="E784" s="2" t="s">
        <v>955</v>
      </c>
      <c r="F784" s="2" t="s">
        <v>257</v>
      </c>
      <c r="G784" s="2" t="s">
        <v>54</v>
      </c>
      <c r="H784" s="2" t="s">
        <v>575</v>
      </c>
      <c r="I784" s="2" t="s">
        <v>46</v>
      </c>
      <c r="J784" s="2" t="s">
        <v>3067</v>
      </c>
      <c r="K784" s="2" t="s">
        <v>154</v>
      </c>
      <c r="L784" s="1" t="s">
        <v>62</v>
      </c>
    </row>
    <row r="785">
      <c r="A785" s="1" t="s">
        <v>2739</v>
      </c>
      <c r="B785" s="1" t="s">
        <v>84</v>
      </c>
      <c r="C785" s="2" t="s">
        <v>38</v>
      </c>
      <c r="D785" s="2" t="s">
        <v>149</v>
      </c>
      <c r="E785" s="2" t="s">
        <v>890</v>
      </c>
      <c r="F785" s="2" t="s">
        <v>46</v>
      </c>
      <c r="G785" s="2" t="s">
        <v>395</v>
      </c>
      <c r="H785" s="2" t="s">
        <v>116</v>
      </c>
      <c r="I785" s="2" t="s">
        <v>58</v>
      </c>
      <c r="K785" s="2" t="s">
        <v>154</v>
      </c>
      <c r="L785" s="1" t="s">
        <v>62</v>
      </c>
    </row>
    <row r="786">
      <c r="A786" s="1" t="s">
        <v>2743</v>
      </c>
      <c r="B786" s="1" t="s">
        <v>84</v>
      </c>
      <c r="C786" s="2" t="s">
        <v>157</v>
      </c>
      <c r="D786" s="2" t="s">
        <v>265</v>
      </c>
      <c r="E786" s="2" t="s">
        <v>1211</v>
      </c>
      <c r="F786" s="2" t="s">
        <v>461</v>
      </c>
      <c r="G786" s="2" t="s">
        <v>106</v>
      </c>
      <c r="H786" s="2" t="s">
        <v>114</v>
      </c>
      <c r="I786" s="2" t="s">
        <v>77</v>
      </c>
      <c r="J786" s="2" t="s">
        <v>3068</v>
      </c>
      <c r="K786" s="2" t="s">
        <v>95</v>
      </c>
      <c r="L786" s="1" t="s">
        <v>62</v>
      </c>
    </row>
    <row r="787">
      <c r="A787" s="1" t="s">
        <v>2746</v>
      </c>
      <c r="B787" s="1" t="s">
        <v>170</v>
      </c>
      <c r="C787" s="2" t="s">
        <v>157</v>
      </c>
      <c r="D787" s="2" t="s">
        <v>27</v>
      </c>
      <c r="E787" s="2" t="s">
        <v>1128</v>
      </c>
      <c r="F787" s="2" t="s">
        <v>1026</v>
      </c>
      <c r="G787" s="2" t="s">
        <v>338</v>
      </c>
      <c r="H787" s="2" t="s">
        <v>203</v>
      </c>
      <c r="I787" s="2" t="s">
        <v>58</v>
      </c>
      <c r="K787" s="2" t="s">
        <v>23</v>
      </c>
      <c r="L787" s="1" t="s">
        <v>62</v>
      </c>
    </row>
    <row r="788">
      <c r="A788" s="1" t="s">
        <v>2747</v>
      </c>
      <c r="B788" s="1" t="s">
        <v>22</v>
      </c>
      <c r="C788" s="2" t="s">
        <v>46</v>
      </c>
      <c r="D788" s="2" t="s">
        <v>154</v>
      </c>
      <c r="E788" s="2" t="s">
        <v>868</v>
      </c>
      <c r="F788" s="2" t="s">
        <v>71</v>
      </c>
      <c r="G788" s="2" t="s">
        <v>68</v>
      </c>
      <c r="H788" s="2" t="s">
        <v>463</v>
      </c>
      <c r="I788" s="2" t="s">
        <v>77</v>
      </c>
      <c r="J788" s="2" t="s">
        <v>3033</v>
      </c>
      <c r="K788" s="2" t="s">
        <v>95</v>
      </c>
      <c r="L788" s="1" t="s">
        <v>62</v>
      </c>
    </row>
    <row r="789">
      <c r="A789" s="1" t="s">
        <v>2750</v>
      </c>
      <c r="B789" s="1" t="s">
        <v>84</v>
      </c>
      <c r="C789" s="2" t="s">
        <v>38</v>
      </c>
      <c r="D789" s="2" t="s">
        <v>33</v>
      </c>
      <c r="E789" s="2" t="s">
        <v>2853</v>
      </c>
      <c r="F789" s="2" t="s">
        <v>338</v>
      </c>
      <c r="G789" s="2" t="s">
        <v>48</v>
      </c>
      <c r="H789" s="2" t="s">
        <v>575</v>
      </c>
      <c r="I789" s="2" t="s">
        <v>117</v>
      </c>
      <c r="J789" s="2" t="s">
        <v>3069</v>
      </c>
      <c r="K789" s="2" t="s">
        <v>38</v>
      </c>
    </row>
    <row r="790">
      <c r="A790" s="1" t="s">
        <v>2752</v>
      </c>
      <c r="B790" s="1" t="s">
        <v>84</v>
      </c>
      <c r="C790" s="2" t="s">
        <v>157</v>
      </c>
      <c r="D790" s="2" t="s">
        <v>245</v>
      </c>
      <c r="E790" s="2" t="s">
        <v>2556</v>
      </c>
      <c r="F790" s="2" t="s">
        <v>808</v>
      </c>
      <c r="G790" s="2" t="s">
        <v>71</v>
      </c>
      <c r="H790" s="2" t="s">
        <v>497</v>
      </c>
      <c r="I790" s="2" t="s">
        <v>77</v>
      </c>
      <c r="J790" s="2" t="s">
        <v>3070</v>
      </c>
      <c r="K790" s="2" t="s">
        <v>117</v>
      </c>
      <c r="L790" s="1" t="s">
        <v>113</v>
      </c>
    </row>
    <row r="791">
      <c r="A791" s="1" t="s">
        <v>2755</v>
      </c>
      <c r="B791" s="1" t="s">
        <v>84</v>
      </c>
      <c r="C791" s="2" t="s">
        <v>38</v>
      </c>
      <c r="D791" s="2" t="s">
        <v>157</v>
      </c>
      <c r="E791" s="2" t="s">
        <v>102</v>
      </c>
      <c r="F791" s="2" t="s">
        <v>201</v>
      </c>
      <c r="G791" s="2" t="s">
        <v>245</v>
      </c>
      <c r="H791" s="2" t="s">
        <v>218</v>
      </c>
      <c r="I791" s="2" t="s">
        <v>77</v>
      </c>
      <c r="J791" s="2" t="s">
        <v>3071</v>
      </c>
      <c r="K791" s="2" t="s">
        <v>77</v>
      </c>
      <c r="L791" s="1" t="s">
        <v>113</v>
      </c>
    </row>
    <row r="792">
      <c r="A792" s="1" t="s">
        <v>2757</v>
      </c>
      <c r="B792" s="1" t="s">
        <v>22</v>
      </c>
      <c r="C792" s="2" t="s">
        <v>95</v>
      </c>
      <c r="D792" s="2" t="s">
        <v>68</v>
      </c>
      <c r="E792" s="2" t="s">
        <v>1265</v>
      </c>
      <c r="F792" s="2" t="s">
        <v>106</v>
      </c>
      <c r="G792" s="2" t="s">
        <v>395</v>
      </c>
      <c r="H792" s="2" t="s">
        <v>250</v>
      </c>
      <c r="I792" s="2" t="s">
        <v>58</v>
      </c>
      <c r="J792" s="2" t="s">
        <v>3072</v>
      </c>
      <c r="K792" s="2" t="s">
        <v>154</v>
      </c>
      <c r="L792" s="1" t="s">
        <v>62</v>
      </c>
    </row>
    <row r="793">
      <c r="A793" s="1" t="s">
        <v>2760</v>
      </c>
      <c r="B793" s="1" t="s">
        <v>84</v>
      </c>
      <c r="C793" s="2" t="s">
        <v>46</v>
      </c>
      <c r="D793" s="2" t="s">
        <v>245</v>
      </c>
      <c r="E793" s="2" t="s">
        <v>575</v>
      </c>
      <c r="F793" s="2" t="s">
        <v>106</v>
      </c>
      <c r="G793" s="2" t="s">
        <v>162</v>
      </c>
      <c r="H793" s="2" t="s">
        <v>310</v>
      </c>
      <c r="I793" s="2" t="s">
        <v>77</v>
      </c>
      <c r="J793" s="2" t="s">
        <v>3073</v>
      </c>
      <c r="K793" s="2" t="s">
        <v>46</v>
      </c>
      <c r="L793" s="1" t="s">
        <v>62</v>
      </c>
    </row>
    <row r="794">
      <c r="A794" s="1" t="s">
        <v>2763</v>
      </c>
      <c r="B794" s="1" t="s">
        <v>84</v>
      </c>
      <c r="C794" s="2" t="s">
        <v>95</v>
      </c>
      <c r="D794" s="2" t="s">
        <v>149</v>
      </c>
      <c r="E794" s="2" t="s">
        <v>560</v>
      </c>
      <c r="F794" s="2" t="s">
        <v>53</v>
      </c>
      <c r="G794" s="2" t="s">
        <v>68</v>
      </c>
      <c r="H794" s="2" t="s">
        <v>36</v>
      </c>
      <c r="I794" s="2" t="s">
        <v>138</v>
      </c>
      <c r="J794" s="1" t="s">
        <v>3074</v>
      </c>
      <c r="K794" s="2" t="s">
        <v>38</v>
      </c>
      <c r="L794" s="1" t="s">
        <v>113</v>
      </c>
    </row>
    <row r="795">
      <c r="A795" s="1" t="s">
        <v>2766</v>
      </c>
      <c r="B795" s="1" t="s">
        <v>170</v>
      </c>
      <c r="C795" s="2" t="s">
        <v>154</v>
      </c>
      <c r="D795" s="2" t="s">
        <v>808</v>
      </c>
      <c r="E795" s="2" t="s">
        <v>3053</v>
      </c>
      <c r="F795" s="2" t="s">
        <v>1026</v>
      </c>
      <c r="G795" s="2" t="s">
        <v>213</v>
      </c>
      <c r="H795" s="2" t="s">
        <v>218</v>
      </c>
      <c r="I795" s="2" t="s">
        <v>77</v>
      </c>
      <c r="J795" s="2" t="s">
        <v>3075</v>
      </c>
      <c r="K795" s="2" t="s">
        <v>117</v>
      </c>
      <c r="L795" s="1" t="s">
        <v>113</v>
      </c>
    </row>
    <row r="796">
      <c r="A796" s="1" t="s">
        <v>2769</v>
      </c>
      <c r="B796" s="1" t="s">
        <v>22</v>
      </c>
      <c r="C796" s="2" t="s">
        <v>95</v>
      </c>
      <c r="D796" s="2" t="s">
        <v>375</v>
      </c>
      <c r="E796" s="2" t="s">
        <v>163</v>
      </c>
      <c r="F796" s="2" t="s">
        <v>290</v>
      </c>
      <c r="G796" s="2" t="s">
        <v>351</v>
      </c>
      <c r="H796" s="2" t="s">
        <v>116</v>
      </c>
      <c r="I796" s="2" t="s">
        <v>77</v>
      </c>
      <c r="J796" s="2" t="s">
        <v>3076</v>
      </c>
      <c r="K796" s="2" t="s">
        <v>38</v>
      </c>
      <c r="L796" s="1" t="s">
        <v>113</v>
      </c>
    </row>
    <row r="797">
      <c r="A797" s="1" t="s">
        <v>2771</v>
      </c>
      <c r="B797" s="1" t="s">
        <v>65</v>
      </c>
      <c r="C797" s="2" t="s">
        <v>290</v>
      </c>
      <c r="D797" s="2" t="s">
        <v>1280</v>
      </c>
      <c r="E797" s="2" t="s">
        <v>3077</v>
      </c>
      <c r="F797" s="2" t="s">
        <v>1137</v>
      </c>
      <c r="G797" s="2" t="s">
        <v>300</v>
      </c>
      <c r="H797" s="2" t="s">
        <v>575</v>
      </c>
      <c r="I797" s="2" t="s">
        <v>58</v>
      </c>
      <c r="J797" s="2" t="s">
        <v>1676</v>
      </c>
      <c r="K797" s="2" t="s">
        <v>23</v>
      </c>
      <c r="L797" s="1" t="s">
        <v>62</v>
      </c>
    </row>
    <row r="798">
      <c r="A798" s="1" t="s">
        <v>2774</v>
      </c>
      <c r="B798" s="1" t="s">
        <v>84</v>
      </c>
      <c r="C798" s="2" t="s">
        <v>95</v>
      </c>
      <c r="D798" s="2" t="s">
        <v>290</v>
      </c>
      <c r="E798" s="2" t="s">
        <v>348</v>
      </c>
      <c r="F798" s="2" t="s">
        <v>339</v>
      </c>
      <c r="G798" s="2" t="s">
        <v>106</v>
      </c>
      <c r="H798" s="2" t="s">
        <v>250</v>
      </c>
      <c r="I798" s="2" t="s">
        <v>77</v>
      </c>
      <c r="J798" s="2" t="s">
        <v>3078</v>
      </c>
      <c r="K798" s="2" t="s">
        <v>23</v>
      </c>
      <c r="L798" s="1" t="s">
        <v>113</v>
      </c>
    </row>
    <row r="799">
      <c r="A799" s="1" t="s">
        <v>2776</v>
      </c>
      <c r="B799" s="1" t="s">
        <v>22</v>
      </c>
      <c r="C799" s="2" t="s">
        <v>290</v>
      </c>
      <c r="D799" s="2" t="s">
        <v>267</v>
      </c>
      <c r="E799" s="2" t="s">
        <v>955</v>
      </c>
      <c r="F799" s="2" t="s">
        <v>186</v>
      </c>
      <c r="G799" s="2" t="s">
        <v>186</v>
      </c>
      <c r="H799" s="2" t="s">
        <v>1091</v>
      </c>
      <c r="I799" s="2" t="s">
        <v>117</v>
      </c>
      <c r="J799" s="2" t="s">
        <v>3079</v>
      </c>
      <c r="K799" s="2" t="s">
        <v>167</v>
      </c>
      <c r="L799" s="1" t="s">
        <v>62</v>
      </c>
    </row>
    <row r="800">
      <c r="A800" s="1" t="s">
        <v>2777</v>
      </c>
      <c r="B800" s="1" t="s">
        <v>170</v>
      </c>
      <c r="C800" s="2" t="s">
        <v>117</v>
      </c>
      <c r="D800" s="2" t="s">
        <v>167</v>
      </c>
      <c r="E800" s="2" t="s">
        <v>1813</v>
      </c>
      <c r="F800" s="2" t="s">
        <v>1137</v>
      </c>
      <c r="G800" s="2" t="s">
        <v>33</v>
      </c>
      <c r="H800" s="2" t="s">
        <v>250</v>
      </c>
      <c r="I800" s="2" t="s">
        <v>77</v>
      </c>
      <c r="J800" s="2" t="s">
        <v>3080</v>
      </c>
      <c r="K800" s="2" t="s">
        <v>38</v>
      </c>
      <c r="L800" s="1" t="s">
        <v>62</v>
      </c>
    </row>
    <row r="801">
      <c r="A801" s="1" t="s">
        <v>2779</v>
      </c>
      <c r="B801" s="1" t="s">
        <v>84</v>
      </c>
      <c r="C801" s="2" t="s">
        <v>23</v>
      </c>
      <c r="D801" s="2" t="s">
        <v>245</v>
      </c>
      <c r="E801" s="2" t="s">
        <v>215</v>
      </c>
      <c r="F801" s="2" t="s">
        <v>53</v>
      </c>
      <c r="G801" s="2" t="s">
        <v>154</v>
      </c>
      <c r="H801" s="2" t="s">
        <v>497</v>
      </c>
      <c r="I801" s="2" t="s">
        <v>58</v>
      </c>
      <c r="J801" s="2" t="s">
        <v>3081</v>
      </c>
      <c r="K801" s="2" t="s">
        <v>157</v>
      </c>
      <c r="L801" s="1" t="s">
        <v>62</v>
      </c>
    </row>
    <row r="802">
      <c r="A802" s="1" t="s">
        <v>2783</v>
      </c>
      <c r="B802" s="1" t="s">
        <v>22</v>
      </c>
      <c r="C802" s="2" t="s">
        <v>38</v>
      </c>
      <c r="D802" s="2" t="s">
        <v>395</v>
      </c>
      <c r="E802" s="2" t="s">
        <v>1909</v>
      </c>
      <c r="F802" s="2" t="s">
        <v>686</v>
      </c>
      <c r="G802" s="2" t="s">
        <v>213</v>
      </c>
      <c r="H802" s="2" t="s">
        <v>178</v>
      </c>
      <c r="I802" s="2" t="s">
        <v>77</v>
      </c>
      <c r="J802" s="2" t="s">
        <v>3082</v>
      </c>
      <c r="K802" s="2" t="s">
        <v>46</v>
      </c>
      <c r="L802" s="1" t="s">
        <v>62</v>
      </c>
    </row>
    <row r="803">
      <c r="A803" s="1" t="s">
        <v>2785</v>
      </c>
      <c r="B803" s="1" t="s">
        <v>84</v>
      </c>
      <c r="C803" s="2" t="s">
        <v>23</v>
      </c>
      <c r="D803" s="2" t="s">
        <v>224</v>
      </c>
      <c r="E803" s="2" t="s">
        <v>626</v>
      </c>
      <c r="F803" s="2" t="s">
        <v>33</v>
      </c>
      <c r="G803" s="2" t="s">
        <v>339</v>
      </c>
      <c r="H803" s="2" t="s">
        <v>203</v>
      </c>
      <c r="I803" s="2" t="s">
        <v>77</v>
      </c>
      <c r="J803" s="2" t="s">
        <v>3083</v>
      </c>
      <c r="K803" s="2" t="s">
        <v>77</v>
      </c>
      <c r="L803" s="1" t="s">
        <v>113</v>
      </c>
    </row>
    <row r="804">
      <c r="A804" s="1" t="s">
        <v>2787</v>
      </c>
      <c r="B804" s="1" t="s">
        <v>84</v>
      </c>
      <c r="C804" s="2" t="s">
        <v>23</v>
      </c>
      <c r="D804" s="2" t="s">
        <v>351</v>
      </c>
      <c r="E804" s="2" t="s">
        <v>1346</v>
      </c>
      <c r="F804" s="2" t="s">
        <v>46</v>
      </c>
      <c r="G804" s="2" t="s">
        <v>339</v>
      </c>
      <c r="H804" s="2" t="s">
        <v>116</v>
      </c>
      <c r="I804" s="2" t="s">
        <v>58</v>
      </c>
      <c r="J804" s="2" t="s">
        <v>3084</v>
      </c>
      <c r="K804" s="2" t="s">
        <v>77</v>
      </c>
      <c r="L804" s="1" t="s">
        <v>113</v>
      </c>
    </row>
    <row r="805">
      <c r="A805" s="1" t="s">
        <v>2789</v>
      </c>
      <c r="B805" s="1" t="s">
        <v>84</v>
      </c>
      <c r="C805" s="2" t="s">
        <v>38</v>
      </c>
      <c r="D805" s="2" t="s">
        <v>213</v>
      </c>
      <c r="E805" s="2" t="s">
        <v>2133</v>
      </c>
      <c r="F805" s="2" t="s">
        <v>104</v>
      </c>
      <c r="G805" s="2" t="s">
        <v>213</v>
      </c>
      <c r="I805" s="2" t="s">
        <v>46</v>
      </c>
      <c r="J805" s="2" t="s">
        <v>2864</v>
      </c>
      <c r="K805" s="2" t="s">
        <v>117</v>
      </c>
      <c r="L805" s="1" t="s">
        <v>113</v>
      </c>
    </row>
    <row r="806">
      <c r="A806" s="1" t="s">
        <v>2792</v>
      </c>
      <c r="B806" s="1" t="s">
        <v>84</v>
      </c>
      <c r="C806" s="2" t="s">
        <v>154</v>
      </c>
      <c r="D806" s="2" t="s">
        <v>213</v>
      </c>
      <c r="E806" s="2" t="s">
        <v>929</v>
      </c>
      <c r="F806" s="2" t="s">
        <v>86</v>
      </c>
      <c r="G806" s="2" t="s">
        <v>375</v>
      </c>
      <c r="H806" s="2" t="s">
        <v>178</v>
      </c>
      <c r="I806" s="2" t="s">
        <v>58</v>
      </c>
      <c r="J806" s="2" t="s">
        <v>3085</v>
      </c>
      <c r="K806" s="2" t="s">
        <v>58</v>
      </c>
      <c r="L806" s="1" t="s">
        <v>113</v>
      </c>
    </row>
    <row r="807">
      <c r="A807" s="1" t="s">
        <v>2795</v>
      </c>
      <c r="B807" s="1" t="s">
        <v>44</v>
      </c>
      <c r="C807" s="2" t="s">
        <v>167</v>
      </c>
      <c r="D807" s="2" t="s">
        <v>201</v>
      </c>
      <c r="E807" s="2" t="s">
        <v>855</v>
      </c>
      <c r="F807" s="2" t="s">
        <v>175</v>
      </c>
      <c r="G807" s="2" t="s">
        <v>213</v>
      </c>
      <c r="H807" s="2" t="s">
        <v>270</v>
      </c>
      <c r="I807" s="2" t="s">
        <v>77</v>
      </c>
      <c r="J807" s="2" t="s">
        <v>3086</v>
      </c>
      <c r="K807" s="2" t="s">
        <v>95</v>
      </c>
      <c r="L807" s="1" t="s">
        <v>62</v>
      </c>
    </row>
    <row r="808">
      <c r="A808" s="1" t="s">
        <v>2797</v>
      </c>
      <c r="B808" s="1" t="s">
        <v>65</v>
      </c>
      <c r="C808" s="2" t="s">
        <v>23</v>
      </c>
      <c r="D808" s="2" t="s">
        <v>33</v>
      </c>
      <c r="E808" s="2" t="s">
        <v>2439</v>
      </c>
      <c r="F808" s="2" t="s">
        <v>31</v>
      </c>
      <c r="G808" s="2" t="s">
        <v>149</v>
      </c>
      <c r="H808" s="2" t="s">
        <v>250</v>
      </c>
      <c r="I808" s="2" t="s">
        <v>117</v>
      </c>
      <c r="J808" s="2" t="s">
        <v>3087</v>
      </c>
      <c r="K808" s="2" t="s">
        <v>117</v>
      </c>
      <c r="L808" s="1" t="s">
        <v>113</v>
      </c>
    </row>
    <row r="809">
      <c r="A809" s="1" t="s">
        <v>2800</v>
      </c>
      <c r="B809" s="1" t="s">
        <v>22</v>
      </c>
      <c r="C809" s="2" t="s">
        <v>157</v>
      </c>
      <c r="D809" s="2" t="s">
        <v>287</v>
      </c>
      <c r="E809" s="2" t="s">
        <v>1620</v>
      </c>
      <c r="F809" s="2" t="s">
        <v>175</v>
      </c>
      <c r="G809" s="2" t="s">
        <v>149</v>
      </c>
      <c r="H809" s="2" t="s">
        <v>178</v>
      </c>
      <c r="I809" s="2" t="s">
        <v>138</v>
      </c>
      <c r="J809" s="1" t="s">
        <v>3088</v>
      </c>
      <c r="K809" s="2" t="s">
        <v>77</v>
      </c>
      <c r="L809" s="1" t="s">
        <v>113</v>
      </c>
    </row>
    <row r="810">
      <c r="A810" s="1" t="s">
        <v>2801</v>
      </c>
      <c r="B810" s="1" t="s">
        <v>65</v>
      </c>
      <c r="C810" s="2" t="s">
        <v>38</v>
      </c>
      <c r="D810" s="2" t="s">
        <v>27</v>
      </c>
      <c r="E810" s="2" t="s">
        <v>929</v>
      </c>
      <c r="F810" s="2" t="s">
        <v>375</v>
      </c>
      <c r="G810" s="2" t="s">
        <v>115</v>
      </c>
      <c r="H810" s="2" t="s">
        <v>56</v>
      </c>
      <c r="I810" s="2" t="s">
        <v>38</v>
      </c>
      <c r="J810" s="2" t="s">
        <v>3089</v>
      </c>
      <c r="K810" s="2" t="s">
        <v>58</v>
      </c>
      <c r="L810" s="1" t="s">
        <v>113</v>
      </c>
    </row>
    <row r="811">
      <c r="A811" s="1" t="s">
        <v>2803</v>
      </c>
      <c r="B811" s="1" t="s">
        <v>44</v>
      </c>
      <c r="C811" s="2" t="s">
        <v>38</v>
      </c>
      <c r="D811" s="2" t="s">
        <v>154</v>
      </c>
      <c r="E811" s="2" t="s">
        <v>1813</v>
      </c>
      <c r="F811" s="2" t="s">
        <v>257</v>
      </c>
      <c r="G811" s="2" t="s">
        <v>154</v>
      </c>
      <c r="H811" s="2" t="s">
        <v>1091</v>
      </c>
      <c r="I811" s="2" t="s">
        <v>138</v>
      </c>
      <c r="J811" s="2" t="s">
        <v>3090</v>
      </c>
      <c r="K811" s="2" t="s">
        <v>77</v>
      </c>
      <c r="L811" s="1" t="s">
        <v>113</v>
      </c>
    </row>
    <row r="812">
      <c r="A812" s="1" t="s">
        <v>2806</v>
      </c>
      <c r="B812" s="1" t="s">
        <v>65</v>
      </c>
      <c r="C812" s="2" t="s">
        <v>154</v>
      </c>
      <c r="D812" s="2" t="s">
        <v>48</v>
      </c>
      <c r="E812" s="2" t="s">
        <v>146</v>
      </c>
      <c r="F812" s="2" t="s">
        <v>175</v>
      </c>
      <c r="G812" s="2" t="s">
        <v>265</v>
      </c>
      <c r="H812" s="2" t="s">
        <v>114</v>
      </c>
      <c r="I812" s="2" t="s">
        <v>77</v>
      </c>
      <c r="J812" s="2" t="s">
        <v>3091</v>
      </c>
      <c r="K812" s="2" t="s">
        <v>23</v>
      </c>
      <c r="L812" s="1" t="s">
        <v>62</v>
      </c>
    </row>
    <row r="813">
      <c r="A813" s="1" t="s">
        <v>2809</v>
      </c>
      <c r="B813" s="1" t="s">
        <v>44</v>
      </c>
      <c r="C813" s="2" t="s">
        <v>117</v>
      </c>
      <c r="D813" s="2" t="s">
        <v>167</v>
      </c>
      <c r="E813" s="2" t="s">
        <v>250</v>
      </c>
      <c r="F813" s="2" t="s">
        <v>375</v>
      </c>
      <c r="G813" s="2" t="s">
        <v>33</v>
      </c>
      <c r="H813" s="2" t="s">
        <v>575</v>
      </c>
      <c r="I813" s="2" t="s">
        <v>77</v>
      </c>
      <c r="J813" s="2" t="s">
        <v>3092</v>
      </c>
      <c r="K813" s="2" t="s">
        <v>95</v>
      </c>
      <c r="L813" s="1" t="s">
        <v>62</v>
      </c>
    </row>
    <row r="814">
      <c r="A814" s="1" t="s">
        <v>2811</v>
      </c>
      <c r="B814" s="1" t="s">
        <v>84</v>
      </c>
      <c r="C814" s="2" t="s">
        <v>117</v>
      </c>
      <c r="D814" s="2" t="s">
        <v>27</v>
      </c>
      <c r="E814" s="2" t="s">
        <v>758</v>
      </c>
      <c r="F814" s="2" t="s">
        <v>27</v>
      </c>
      <c r="G814" s="2" t="s">
        <v>54</v>
      </c>
      <c r="H814" s="2" t="s">
        <v>497</v>
      </c>
      <c r="I814" s="2" t="s">
        <v>77</v>
      </c>
      <c r="J814" s="2" t="s">
        <v>3093</v>
      </c>
      <c r="K814" s="2" t="s">
        <v>95</v>
      </c>
      <c r="L814" s="1" t="s">
        <v>62</v>
      </c>
    </row>
    <row r="815">
      <c r="A815" s="1" t="s">
        <v>2814</v>
      </c>
      <c r="B815" s="1" t="s">
        <v>170</v>
      </c>
      <c r="C815" s="2" t="s">
        <v>23</v>
      </c>
      <c r="D815" s="2" t="s">
        <v>27</v>
      </c>
      <c r="E815" s="2" t="s">
        <v>446</v>
      </c>
      <c r="F815" s="2" t="s">
        <v>157</v>
      </c>
      <c r="G815" s="2" t="s">
        <v>339</v>
      </c>
      <c r="H815" s="2" t="s">
        <v>497</v>
      </c>
      <c r="I815" s="2" t="s">
        <v>58</v>
      </c>
      <c r="J815" s="2" t="s">
        <v>3094</v>
      </c>
      <c r="K815" s="2" t="s">
        <v>95</v>
      </c>
      <c r="L815" s="1" t="s">
        <v>62</v>
      </c>
    </row>
    <row r="816">
      <c r="A816" s="1" t="s">
        <v>2817</v>
      </c>
      <c r="B816" s="1" t="s">
        <v>22</v>
      </c>
      <c r="C816" s="2" t="s">
        <v>46</v>
      </c>
      <c r="D816" s="2" t="s">
        <v>149</v>
      </c>
      <c r="E816" s="2" t="s">
        <v>1128</v>
      </c>
      <c r="F816" s="2" t="s">
        <v>461</v>
      </c>
      <c r="G816" s="2" t="s">
        <v>265</v>
      </c>
      <c r="H816" s="2" t="s">
        <v>1091</v>
      </c>
      <c r="I816" s="2" t="s">
        <v>77</v>
      </c>
      <c r="J816" s="2" t="s">
        <v>2960</v>
      </c>
      <c r="K816" s="2" t="s">
        <v>58</v>
      </c>
      <c r="L816" s="1" t="s">
        <v>62</v>
      </c>
    </row>
    <row r="817">
      <c r="A817" s="1" t="s">
        <v>2819</v>
      </c>
      <c r="B817" s="1" t="s">
        <v>44</v>
      </c>
      <c r="C817" s="2" t="s">
        <v>46</v>
      </c>
      <c r="D817" s="2" t="s">
        <v>186</v>
      </c>
      <c r="E817" s="2" t="s">
        <v>2556</v>
      </c>
      <c r="F817" s="2" t="s">
        <v>375</v>
      </c>
      <c r="G817" s="2" t="s">
        <v>71</v>
      </c>
      <c r="H817" s="2" t="s">
        <v>203</v>
      </c>
      <c r="I817" s="2" t="s">
        <v>138</v>
      </c>
      <c r="J817" s="2" t="s">
        <v>3095</v>
      </c>
      <c r="K817" s="2" t="s">
        <v>95</v>
      </c>
      <c r="L817" s="1" t="s">
        <v>62</v>
      </c>
    </row>
    <row r="818">
      <c r="A818" s="1" t="s">
        <v>2822</v>
      </c>
      <c r="B818" s="1" t="s">
        <v>65</v>
      </c>
      <c r="C818" s="2" t="s">
        <v>167</v>
      </c>
      <c r="D818" s="2" t="s">
        <v>365</v>
      </c>
      <c r="E818" s="2" t="s">
        <v>1128</v>
      </c>
      <c r="F818" s="2" t="s">
        <v>199</v>
      </c>
      <c r="G818" s="2" t="s">
        <v>149</v>
      </c>
      <c r="H818" s="2" t="s">
        <v>108</v>
      </c>
      <c r="I818" s="2" t="s">
        <v>77</v>
      </c>
      <c r="J818" s="2" t="s">
        <v>3071</v>
      </c>
      <c r="K818" s="2" t="s">
        <v>46</v>
      </c>
      <c r="L818" s="1" t="s">
        <v>113</v>
      </c>
    </row>
    <row r="819">
      <c r="A819" s="1" t="s">
        <v>2823</v>
      </c>
      <c r="B819" s="1" t="s">
        <v>65</v>
      </c>
      <c r="C819" s="2" t="s">
        <v>23</v>
      </c>
      <c r="D819" s="2" t="s">
        <v>154</v>
      </c>
      <c r="E819" s="2" t="s">
        <v>328</v>
      </c>
      <c r="F819" s="2" t="s">
        <v>157</v>
      </c>
      <c r="G819" s="2" t="s">
        <v>54</v>
      </c>
      <c r="H819" s="2" t="s">
        <v>270</v>
      </c>
      <c r="I819" s="2" t="s">
        <v>138</v>
      </c>
      <c r="J819" s="2" t="s">
        <v>3096</v>
      </c>
      <c r="K819" s="2" t="s">
        <v>38</v>
      </c>
      <c r="L819" s="1" t="s">
        <v>113</v>
      </c>
    </row>
    <row r="820">
      <c r="A820" s="1" t="s">
        <v>2826</v>
      </c>
      <c r="B820" s="1" t="s">
        <v>44</v>
      </c>
      <c r="C820" s="2" t="s">
        <v>117</v>
      </c>
      <c r="D820" s="2" t="s">
        <v>95</v>
      </c>
      <c r="E820" s="2" t="s">
        <v>560</v>
      </c>
      <c r="F820" s="2" t="s">
        <v>154</v>
      </c>
      <c r="G820" s="2" t="s">
        <v>54</v>
      </c>
      <c r="H820" s="2" t="s">
        <v>36</v>
      </c>
      <c r="I820" s="2" t="s">
        <v>138</v>
      </c>
      <c r="J820" s="2" t="s">
        <v>3097</v>
      </c>
      <c r="K820" s="2" t="s">
        <v>38</v>
      </c>
      <c r="L820" s="1" t="s">
        <v>113</v>
      </c>
    </row>
    <row r="821">
      <c r="A821" s="1" t="s">
        <v>2829</v>
      </c>
      <c r="B821" s="1" t="s">
        <v>22</v>
      </c>
      <c r="C821" s="2" t="s">
        <v>95</v>
      </c>
      <c r="D821" s="2" t="s">
        <v>351</v>
      </c>
      <c r="E821" s="2" t="s">
        <v>203</v>
      </c>
      <c r="F821" s="2" t="s">
        <v>375</v>
      </c>
      <c r="G821" s="2" t="s">
        <v>365</v>
      </c>
      <c r="H821" s="2" t="s">
        <v>108</v>
      </c>
      <c r="I821" s="2" t="s">
        <v>117</v>
      </c>
      <c r="J821" s="2" t="s">
        <v>3098</v>
      </c>
      <c r="K821" s="2" t="s">
        <v>38</v>
      </c>
      <c r="L821" s="1" t="s">
        <v>113</v>
      </c>
    </row>
    <row r="822">
      <c r="A822" s="1" t="s">
        <v>2831</v>
      </c>
      <c r="B822" s="1" t="s">
        <v>65</v>
      </c>
      <c r="C822" s="2" t="s">
        <v>46</v>
      </c>
      <c r="D822" s="2" t="s">
        <v>27</v>
      </c>
      <c r="E822" s="2" t="s">
        <v>412</v>
      </c>
      <c r="F822" s="2" t="s">
        <v>339</v>
      </c>
      <c r="G822" s="2" t="s">
        <v>104</v>
      </c>
      <c r="H822" s="2" t="s">
        <v>163</v>
      </c>
      <c r="I822" s="2" t="s">
        <v>58</v>
      </c>
      <c r="J822" s="2" t="s">
        <v>3099</v>
      </c>
      <c r="K822" s="2" t="s">
        <v>167</v>
      </c>
      <c r="L822" s="1" t="s">
        <v>62</v>
      </c>
    </row>
    <row r="823">
      <c r="A823" s="1" t="s">
        <v>2833</v>
      </c>
      <c r="B823" s="1" t="s">
        <v>22</v>
      </c>
      <c r="C823" s="2" t="s">
        <v>38</v>
      </c>
      <c r="D823" s="2" t="s">
        <v>300</v>
      </c>
      <c r="E823" s="2" t="s">
        <v>178</v>
      </c>
      <c r="F823" s="2" t="s">
        <v>154</v>
      </c>
      <c r="G823" s="2" t="s">
        <v>365</v>
      </c>
      <c r="H823" s="2" t="s">
        <v>575</v>
      </c>
      <c r="I823" s="2" t="s">
        <v>77</v>
      </c>
      <c r="J823" s="2" t="s">
        <v>2498</v>
      </c>
      <c r="K823" s="2" t="s">
        <v>46</v>
      </c>
    </row>
    <row r="824">
      <c r="A824" s="1" t="s">
        <v>2835</v>
      </c>
      <c r="B824" s="1" t="s">
        <v>84</v>
      </c>
      <c r="C824" s="2" t="s">
        <v>157</v>
      </c>
      <c r="D824" s="2" t="s">
        <v>135</v>
      </c>
      <c r="E824" s="2" t="s">
        <v>758</v>
      </c>
      <c r="F824" s="2" t="s">
        <v>514</v>
      </c>
      <c r="G824" s="2" t="s">
        <v>351</v>
      </c>
      <c r="H824" s="2" t="s">
        <v>178</v>
      </c>
      <c r="I824" s="2" t="s">
        <v>138</v>
      </c>
      <c r="J824" s="2" t="s">
        <v>3100</v>
      </c>
      <c r="K824" s="2" t="s">
        <v>46</v>
      </c>
      <c r="L824" s="1" t="s">
        <v>62</v>
      </c>
    </row>
    <row r="825">
      <c r="A825" s="1" t="s">
        <v>2837</v>
      </c>
      <c r="B825" s="1" t="s">
        <v>22</v>
      </c>
      <c r="C825" s="2" t="s">
        <v>23</v>
      </c>
      <c r="D825" s="2" t="s">
        <v>104</v>
      </c>
      <c r="E825" s="2" t="s">
        <v>1737</v>
      </c>
      <c r="F825" s="2" t="s">
        <v>248</v>
      </c>
      <c r="G825" s="2" t="s">
        <v>27</v>
      </c>
      <c r="H825" s="2" t="s">
        <v>1091</v>
      </c>
      <c r="I825" s="2" t="s">
        <v>58</v>
      </c>
      <c r="J825" s="2" t="s">
        <v>3101</v>
      </c>
      <c r="K825" s="2" t="s">
        <v>46</v>
      </c>
      <c r="L825" s="1" t="s">
        <v>62</v>
      </c>
    </row>
    <row r="826">
      <c r="A826" s="1" t="s">
        <v>2838</v>
      </c>
      <c r="B826" s="1" t="s">
        <v>170</v>
      </c>
      <c r="C826" s="2" t="s">
        <v>95</v>
      </c>
      <c r="D826" s="2" t="s">
        <v>71</v>
      </c>
      <c r="E826" s="2" t="s">
        <v>1156</v>
      </c>
      <c r="F826" s="2" t="s">
        <v>257</v>
      </c>
      <c r="G826" s="2" t="s">
        <v>73</v>
      </c>
      <c r="H826" s="2" t="s">
        <v>108</v>
      </c>
      <c r="I826" s="2" t="s">
        <v>117</v>
      </c>
      <c r="J826" s="2" t="s">
        <v>3102</v>
      </c>
      <c r="K826" s="2" t="s">
        <v>157</v>
      </c>
      <c r="L826" s="1" t="s">
        <v>62</v>
      </c>
    </row>
    <row r="827">
      <c r="A827" s="1" t="s">
        <v>2840</v>
      </c>
      <c r="B827" s="1" t="s">
        <v>84</v>
      </c>
      <c r="C827" s="2" t="s">
        <v>167</v>
      </c>
      <c r="D827" s="2" t="s">
        <v>201</v>
      </c>
      <c r="E827" s="2" t="s">
        <v>1737</v>
      </c>
      <c r="F827" s="2" t="s">
        <v>149</v>
      </c>
      <c r="G827" s="2" t="s">
        <v>300</v>
      </c>
      <c r="H827" s="2" t="s">
        <v>1091</v>
      </c>
      <c r="I827" s="2" t="s">
        <v>117</v>
      </c>
      <c r="J827" s="2" t="s">
        <v>3103</v>
      </c>
      <c r="K827" s="2" t="s">
        <v>58</v>
      </c>
      <c r="L827" s="1" t="s">
        <v>113</v>
      </c>
    </row>
    <row r="828">
      <c r="A828" s="1" t="s">
        <v>1034</v>
      </c>
      <c r="B828" s="1" t="s">
        <v>65</v>
      </c>
      <c r="C828" s="2" t="s">
        <v>46</v>
      </c>
      <c r="D828" s="2" t="s">
        <v>167</v>
      </c>
      <c r="E828" s="2" t="s">
        <v>1346</v>
      </c>
      <c r="F828" s="2" t="s">
        <v>257</v>
      </c>
      <c r="G828" s="2" t="s">
        <v>149</v>
      </c>
      <c r="H828" s="2" t="s">
        <v>575</v>
      </c>
      <c r="I828" s="2" t="s">
        <v>46</v>
      </c>
      <c r="J828" s="2" t="s">
        <v>1348</v>
      </c>
      <c r="K828" s="2" t="s">
        <v>46</v>
      </c>
      <c r="L828" s="1" t="s">
        <v>113</v>
      </c>
    </row>
    <row r="829">
      <c r="A829" s="1" t="s">
        <v>1591</v>
      </c>
      <c r="B829" s="1" t="s">
        <v>170</v>
      </c>
      <c r="C829" s="2" t="s">
        <v>95</v>
      </c>
      <c r="D829" s="2" t="s">
        <v>149</v>
      </c>
      <c r="E829" s="2" t="s">
        <v>2173</v>
      </c>
      <c r="F829" s="2" t="s">
        <v>224</v>
      </c>
      <c r="G829" s="2" t="s">
        <v>339</v>
      </c>
      <c r="H829" s="2" t="s">
        <v>75</v>
      </c>
      <c r="I829" s="2" t="s">
        <v>138</v>
      </c>
      <c r="J829" s="2" t="s">
        <v>2176</v>
      </c>
      <c r="K829" s="2" t="s">
        <v>117</v>
      </c>
      <c r="L829" s="1" t="s">
        <v>113</v>
      </c>
    </row>
    <row r="830">
      <c r="A830" s="1" t="s">
        <v>2265</v>
      </c>
      <c r="B830" s="1" t="s">
        <v>44</v>
      </c>
      <c r="C830" s="2" t="s">
        <v>38</v>
      </c>
      <c r="D830" s="2" t="s">
        <v>186</v>
      </c>
      <c r="E830" s="2" t="s">
        <v>2919</v>
      </c>
      <c r="F830" s="2" t="s">
        <v>106</v>
      </c>
      <c r="G830" s="2" t="s">
        <v>186</v>
      </c>
      <c r="H830" s="2" t="s">
        <v>92</v>
      </c>
      <c r="I830" s="2" t="s">
        <v>138</v>
      </c>
      <c r="J830" s="2" t="s">
        <v>2920</v>
      </c>
      <c r="K830" s="2" t="s">
        <v>38</v>
      </c>
      <c r="L830" s="1" t="s">
        <v>113</v>
      </c>
    </row>
    <row r="831">
      <c r="A831" s="1" t="s">
        <v>2603</v>
      </c>
      <c r="B831" s="1" t="s">
        <v>65</v>
      </c>
      <c r="C831" s="2" t="s">
        <v>38</v>
      </c>
      <c r="D831" s="2" t="s">
        <v>395</v>
      </c>
      <c r="E831" s="2" t="s">
        <v>1708</v>
      </c>
      <c r="F831" s="2" t="s">
        <v>1049</v>
      </c>
      <c r="G831" s="2" t="s">
        <v>339</v>
      </c>
      <c r="H831" s="2" t="s">
        <v>56</v>
      </c>
      <c r="I831" s="2" t="s">
        <v>138</v>
      </c>
      <c r="J831" s="2" t="s">
        <v>3027</v>
      </c>
      <c r="K831" s="2" t="s">
        <v>95</v>
      </c>
      <c r="L831" s="1" t="s">
        <v>62</v>
      </c>
    </row>
    <row r="832">
      <c r="A832" s="1" t="s">
        <v>2353</v>
      </c>
      <c r="B832" s="1" t="s">
        <v>22</v>
      </c>
      <c r="C832" s="2" t="s">
        <v>23</v>
      </c>
      <c r="D832" s="2" t="s">
        <v>339</v>
      </c>
      <c r="E832" s="2" t="s">
        <v>29</v>
      </c>
      <c r="F832" s="2" t="s">
        <v>27</v>
      </c>
      <c r="G832" s="2" t="s">
        <v>186</v>
      </c>
      <c r="H832" s="2" t="s">
        <v>310</v>
      </c>
      <c r="I832" s="2" t="s">
        <v>117</v>
      </c>
      <c r="J832" s="2" t="s">
        <v>2949</v>
      </c>
      <c r="K832" s="2" t="s">
        <v>95</v>
      </c>
      <c r="L832" s="1" t="s">
        <v>62</v>
      </c>
    </row>
    <row r="833">
      <c r="A833" s="1" t="s">
        <v>2481</v>
      </c>
      <c r="B833" s="1" t="s">
        <v>22</v>
      </c>
      <c r="C833" s="2" t="s">
        <v>38</v>
      </c>
      <c r="D833" s="2" t="s">
        <v>33</v>
      </c>
      <c r="E833" s="2" t="s">
        <v>779</v>
      </c>
      <c r="F833" s="2" t="s">
        <v>1137</v>
      </c>
      <c r="G833" s="2" t="s">
        <v>395</v>
      </c>
      <c r="H833" s="2" t="s">
        <v>178</v>
      </c>
      <c r="I833" s="2" t="s">
        <v>117</v>
      </c>
      <c r="K833" s="2" t="s">
        <v>46</v>
      </c>
      <c r="L833" s="1" t="s">
        <v>113</v>
      </c>
    </row>
    <row r="834">
      <c r="A834" s="1" t="s">
        <v>1444</v>
      </c>
      <c r="B834" s="1" t="s">
        <v>22</v>
      </c>
      <c r="C834" s="2" t="s">
        <v>23</v>
      </c>
      <c r="D834" s="2" t="s">
        <v>54</v>
      </c>
      <c r="E834" s="2" t="s">
        <v>560</v>
      </c>
      <c r="F834" s="2" t="s">
        <v>224</v>
      </c>
      <c r="G834" s="2" t="s">
        <v>162</v>
      </c>
      <c r="H834" s="2" t="s">
        <v>108</v>
      </c>
      <c r="I834" s="2" t="s">
        <v>38</v>
      </c>
      <c r="J834" s="2" t="s">
        <v>1940</v>
      </c>
      <c r="K834" s="2" t="s">
        <v>58</v>
      </c>
      <c r="L834" s="1" t="s">
        <v>113</v>
      </c>
    </row>
    <row r="835">
      <c r="A835" s="1" t="s">
        <v>2444</v>
      </c>
      <c r="B835" s="1" t="s">
        <v>65</v>
      </c>
      <c r="C835" s="2" t="s">
        <v>167</v>
      </c>
      <c r="D835" s="2" t="s">
        <v>201</v>
      </c>
      <c r="E835" s="2" t="s">
        <v>538</v>
      </c>
      <c r="F835" s="2" t="s">
        <v>300</v>
      </c>
      <c r="G835" s="2" t="s">
        <v>199</v>
      </c>
      <c r="H835" s="2" t="s">
        <v>36</v>
      </c>
      <c r="I835" s="2" t="s">
        <v>58</v>
      </c>
      <c r="J835" s="2" t="s">
        <v>1640</v>
      </c>
      <c r="K835" s="2" t="s">
        <v>95</v>
      </c>
      <c r="L835" s="1" t="s">
        <v>62</v>
      </c>
    </row>
    <row r="836">
      <c r="A836" s="1" t="s">
        <v>1597</v>
      </c>
      <c r="B836" s="1" t="s">
        <v>170</v>
      </c>
      <c r="C836" s="2" t="s">
        <v>23</v>
      </c>
      <c r="D836" s="2" t="s">
        <v>135</v>
      </c>
      <c r="E836" s="2" t="s">
        <v>424</v>
      </c>
      <c r="F836" s="2" t="s">
        <v>104</v>
      </c>
      <c r="G836" s="2" t="s">
        <v>71</v>
      </c>
      <c r="H836" s="2" t="s">
        <v>575</v>
      </c>
      <c r="I836" s="2" t="s">
        <v>38</v>
      </c>
      <c r="J836" s="2" t="s">
        <v>2188</v>
      </c>
      <c r="K836" s="2" t="s">
        <v>38</v>
      </c>
      <c r="L836" s="1" t="s">
        <v>113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8.0"/>
    <col customWidth="1" min="3" max="3" width="19.63"/>
    <col customWidth="1" min="4" max="4" width="17.75"/>
    <col customWidth="1" min="5" max="5" width="23.63"/>
    <col customWidth="1" min="6" max="6" width="23.38"/>
    <col customWidth="1" min="7" max="7" width="26.13"/>
    <col customWidth="1" min="8" max="8" width="24.5"/>
    <col customWidth="1" min="9" max="9" width="30.75"/>
    <col customWidth="1" min="10" max="10" width="17.38"/>
    <col customWidth="1" min="11" max="11" width="25.38"/>
    <col customWidth="1" min="12" max="12" width="20.13"/>
    <col customWidth="1" min="13" max="13" width="22.63"/>
    <col customWidth="1" min="14" max="14" width="15.38"/>
    <col customWidth="1" min="15" max="15" width="22.63"/>
    <col customWidth="1" min="16" max="16" width="28.38"/>
    <col customWidth="1" min="17" max="17" width="22.38"/>
    <col customWidth="1" min="18" max="18" width="28.25"/>
  </cols>
  <sheetData>
    <row r="1" ht="22.5" customHeight="1">
      <c r="A1" s="3" t="s">
        <v>0</v>
      </c>
      <c r="B1" s="3" t="s">
        <v>1</v>
      </c>
      <c r="C1" s="3" t="s">
        <v>3</v>
      </c>
      <c r="D1" s="3" t="s">
        <v>5</v>
      </c>
      <c r="E1" s="3" t="s">
        <v>7</v>
      </c>
      <c r="F1" s="3" t="s">
        <v>2876</v>
      </c>
      <c r="G1" s="4" t="s">
        <v>2877</v>
      </c>
      <c r="H1" s="3" t="s">
        <v>9</v>
      </c>
      <c r="I1" s="3" t="s">
        <v>10</v>
      </c>
      <c r="J1" s="3" t="s">
        <v>12</v>
      </c>
      <c r="K1" s="3" t="s">
        <v>14</v>
      </c>
      <c r="L1" s="3" t="s">
        <v>16</v>
      </c>
      <c r="M1" s="3" t="s">
        <v>17</v>
      </c>
      <c r="N1" s="3" t="s">
        <v>19</v>
      </c>
      <c r="O1" s="3" t="s">
        <v>2881</v>
      </c>
      <c r="P1" s="3" t="s">
        <v>2883</v>
      </c>
      <c r="Q1" s="3" t="s">
        <v>2884</v>
      </c>
      <c r="R1" s="3" t="s">
        <v>2885</v>
      </c>
    </row>
    <row r="2" ht="22.5" customHeight="1">
      <c r="A2" s="5" t="s">
        <v>21</v>
      </c>
      <c r="B2" s="5" t="s">
        <v>22</v>
      </c>
      <c r="C2" s="6">
        <v>6.0</v>
      </c>
      <c r="D2" s="6">
        <v>14.0</v>
      </c>
      <c r="E2" s="6">
        <v>10.4</v>
      </c>
      <c r="F2" s="6">
        <f t="shared" ref="F2:F806" si="1">FLOOR(E2,1)</f>
        <v>10</v>
      </c>
      <c r="G2" s="6">
        <v>10.0</v>
      </c>
      <c r="H2" s="6">
        <v>13.0</v>
      </c>
      <c r="I2" s="6">
        <v>17.0</v>
      </c>
      <c r="J2" s="6">
        <v>7.0</v>
      </c>
      <c r="K2" s="6">
        <v>4.0</v>
      </c>
      <c r="L2" s="9">
        <v>45838.0</v>
      </c>
      <c r="M2" s="6">
        <v>6.0</v>
      </c>
      <c r="O2" s="10" t="str">
        <f t="shared" ref="O2:O806" si="2">IF(DATEDIF(L2,"2026-09-01","Y")&lt;=2,"No",IF(DATEDIF(L2,"2026-09-01","Y")&gt;2,"Yes",""))</f>
        <v>No</v>
      </c>
      <c r="P2" s="10" t="s">
        <v>62</v>
      </c>
      <c r="Q2" s="10">
        <f t="shared" ref="Q2:Q806" si="3">IF(P2="No",0,IF(P2="Yes",1,""))</f>
        <v>0</v>
      </c>
      <c r="R2" s="10">
        <v>0.0</v>
      </c>
    </row>
    <row r="3" ht="22.5" customHeight="1">
      <c r="A3" s="5" t="s">
        <v>40</v>
      </c>
      <c r="B3" s="5" t="s">
        <v>44</v>
      </c>
      <c r="C3" s="6">
        <v>5.0</v>
      </c>
      <c r="D3" s="6">
        <v>28.0</v>
      </c>
      <c r="E3" s="6">
        <v>9.2</v>
      </c>
      <c r="F3" s="6">
        <f t="shared" si="1"/>
        <v>9</v>
      </c>
      <c r="G3" s="6">
        <v>9.0</v>
      </c>
      <c r="H3" s="6">
        <v>44.0</v>
      </c>
      <c r="I3" s="6">
        <v>30.0</v>
      </c>
      <c r="J3" s="6">
        <v>13.0</v>
      </c>
      <c r="K3" s="6">
        <v>1.0</v>
      </c>
      <c r="L3" s="9">
        <v>46027.0</v>
      </c>
      <c r="M3" s="6">
        <v>6.0</v>
      </c>
      <c r="N3" s="5" t="s">
        <v>62</v>
      </c>
      <c r="O3" s="5" t="str">
        <f t="shared" si="2"/>
        <v>No</v>
      </c>
      <c r="P3" s="5" t="s">
        <v>62</v>
      </c>
      <c r="Q3" s="5">
        <f t="shared" si="3"/>
        <v>0</v>
      </c>
      <c r="R3" s="5">
        <v>0.0</v>
      </c>
    </row>
    <row r="4" ht="22.5" customHeight="1">
      <c r="A4" s="5" t="s">
        <v>57</v>
      </c>
      <c r="B4" s="5" t="s">
        <v>65</v>
      </c>
      <c r="C4" s="6">
        <v>5.0</v>
      </c>
      <c r="D4" s="6">
        <v>24.0</v>
      </c>
      <c r="E4" s="6">
        <v>12.9</v>
      </c>
      <c r="F4" s="6">
        <f t="shared" si="1"/>
        <v>12</v>
      </c>
      <c r="G4" s="6">
        <v>12.0</v>
      </c>
      <c r="H4" s="6">
        <v>29.0</v>
      </c>
      <c r="I4" s="6">
        <v>31.0</v>
      </c>
      <c r="J4" s="6">
        <v>10.0</v>
      </c>
      <c r="K4" s="6">
        <v>2.0</v>
      </c>
      <c r="L4" s="9">
        <v>45928.0</v>
      </c>
      <c r="M4" s="6">
        <v>6.0</v>
      </c>
      <c r="N4" s="5" t="s">
        <v>62</v>
      </c>
      <c r="O4" s="5" t="str">
        <f t="shared" si="2"/>
        <v>No</v>
      </c>
      <c r="P4" s="5" t="s">
        <v>62</v>
      </c>
      <c r="Q4" s="5">
        <f t="shared" si="3"/>
        <v>0</v>
      </c>
      <c r="R4" s="5">
        <v>0.0</v>
      </c>
    </row>
    <row r="5" ht="22.5" customHeight="1">
      <c r="A5" s="5" t="s">
        <v>72</v>
      </c>
      <c r="B5" s="5" t="s">
        <v>84</v>
      </c>
      <c r="C5" s="6">
        <v>6.0</v>
      </c>
      <c r="D5" s="6">
        <v>34.0</v>
      </c>
      <c r="E5" s="6">
        <v>7.3</v>
      </c>
      <c r="F5" s="6">
        <f t="shared" si="1"/>
        <v>7</v>
      </c>
      <c r="G5" s="6">
        <v>7.0</v>
      </c>
      <c r="H5" s="6">
        <v>44.0</v>
      </c>
      <c r="I5" s="6">
        <v>24.0</v>
      </c>
      <c r="J5" s="6">
        <v>18.0</v>
      </c>
      <c r="K5" s="6">
        <v>4.0</v>
      </c>
      <c r="L5" s="9">
        <v>45591.0</v>
      </c>
      <c r="M5" s="6">
        <v>7.0</v>
      </c>
      <c r="N5" s="5" t="s">
        <v>62</v>
      </c>
      <c r="O5" s="5" t="str">
        <f t="shared" si="2"/>
        <v>No</v>
      </c>
      <c r="P5" s="5" t="s">
        <v>62</v>
      </c>
      <c r="Q5" s="5">
        <f t="shared" si="3"/>
        <v>0</v>
      </c>
      <c r="R5" s="5">
        <v>0.0</v>
      </c>
    </row>
    <row r="6" ht="22.5" customHeight="1">
      <c r="A6" s="5" t="s">
        <v>87</v>
      </c>
      <c r="B6" s="5" t="s">
        <v>22</v>
      </c>
      <c r="C6" s="6">
        <v>6.0</v>
      </c>
      <c r="D6" s="6">
        <v>29.0</v>
      </c>
      <c r="E6" s="6">
        <v>5.9</v>
      </c>
      <c r="F6" s="6">
        <f t="shared" si="1"/>
        <v>5</v>
      </c>
      <c r="G6" s="6">
        <v>5.0</v>
      </c>
      <c r="H6" s="6">
        <v>32.0</v>
      </c>
      <c r="I6" s="6">
        <v>20.0</v>
      </c>
      <c r="J6" s="6">
        <v>11.0</v>
      </c>
      <c r="K6" s="6">
        <v>5.0</v>
      </c>
      <c r="L6" s="9">
        <v>45303.0</v>
      </c>
      <c r="M6" s="6">
        <v>2.0</v>
      </c>
      <c r="N6" s="5" t="s">
        <v>113</v>
      </c>
      <c r="O6" s="5" t="str">
        <f t="shared" si="2"/>
        <v>No</v>
      </c>
      <c r="P6" s="5" t="s">
        <v>62</v>
      </c>
      <c r="Q6" s="5">
        <f t="shared" si="3"/>
        <v>0</v>
      </c>
      <c r="R6" s="5">
        <v>0.0</v>
      </c>
    </row>
    <row r="7" ht="22.5" customHeight="1">
      <c r="A7" s="5" t="s">
        <v>99</v>
      </c>
      <c r="B7" s="5" t="s">
        <v>22</v>
      </c>
      <c r="C7" s="6">
        <v>4.0</v>
      </c>
      <c r="D7" s="6">
        <v>17.0</v>
      </c>
      <c r="E7" s="6">
        <v>8.0</v>
      </c>
      <c r="F7" s="6">
        <f t="shared" si="1"/>
        <v>8</v>
      </c>
      <c r="G7" s="6">
        <v>8.0</v>
      </c>
      <c r="H7" s="6">
        <v>36.0</v>
      </c>
      <c r="I7" s="6">
        <v>17.0</v>
      </c>
      <c r="J7" s="6">
        <v>1.0</v>
      </c>
      <c r="K7" s="6">
        <v>3.0</v>
      </c>
      <c r="L7" s="9">
        <v>44653.0</v>
      </c>
      <c r="M7" s="6">
        <v>5.0</v>
      </c>
      <c r="N7" s="5" t="s">
        <v>113</v>
      </c>
      <c r="O7" s="5" t="str">
        <f t="shared" si="2"/>
        <v>Yes</v>
      </c>
      <c r="P7" s="5" t="s">
        <v>113</v>
      </c>
      <c r="Q7" s="5">
        <f t="shared" si="3"/>
        <v>1</v>
      </c>
      <c r="R7" s="5">
        <v>1.0</v>
      </c>
    </row>
    <row r="8" ht="22.5" customHeight="1">
      <c r="A8" s="5" t="s">
        <v>119</v>
      </c>
      <c r="B8" s="5" t="s">
        <v>44</v>
      </c>
      <c r="C8" s="6">
        <v>5.0</v>
      </c>
      <c r="D8" s="6">
        <v>28.0</v>
      </c>
      <c r="E8" s="6">
        <v>7.3</v>
      </c>
      <c r="F8" s="6">
        <f t="shared" si="1"/>
        <v>7</v>
      </c>
      <c r="G8" s="6">
        <v>7.0</v>
      </c>
      <c r="H8" s="6">
        <v>44.0</v>
      </c>
      <c r="I8" s="6">
        <v>35.0</v>
      </c>
      <c r="J8" s="6">
        <v>18.0</v>
      </c>
      <c r="K8" s="6">
        <v>0.0</v>
      </c>
      <c r="L8" s="9">
        <v>45143.0</v>
      </c>
      <c r="M8" s="6">
        <v>4.0</v>
      </c>
      <c r="N8" s="5" t="s">
        <v>113</v>
      </c>
      <c r="O8" s="5" t="str">
        <f t="shared" si="2"/>
        <v>Yes</v>
      </c>
      <c r="P8" s="5" t="s">
        <v>113</v>
      </c>
      <c r="Q8" s="5">
        <f t="shared" si="3"/>
        <v>1</v>
      </c>
      <c r="R8" s="5">
        <v>1.0</v>
      </c>
    </row>
    <row r="9" ht="22.5" customHeight="1">
      <c r="A9" s="5" t="s">
        <v>126</v>
      </c>
      <c r="B9" s="5" t="s">
        <v>84</v>
      </c>
      <c r="C9" s="6">
        <v>7.0</v>
      </c>
      <c r="D9" s="6">
        <v>29.0</v>
      </c>
      <c r="E9" s="6">
        <v>6.3</v>
      </c>
      <c r="F9" s="6">
        <f t="shared" si="1"/>
        <v>6</v>
      </c>
      <c r="G9" s="6">
        <v>6.0</v>
      </c>
      <c r="H9" s="6">
        <v>20.0</v>
      </c>
      <c r="I9" s="6">
        <v>21.0</v>
      </c>
      <c r="J9" s="6">
        <v>15.0</v>
      </c>
      <c r="K9" s="6">
        <v>2.0</v>
      </c>
      <c r="L9" s="9">
        <v>45710.0</v>
      </c>
      <c r="M9" s="6">
        <v>10.0</v>
      </c>
      <c r="N9" s="5" t="s">
        <v>62</v>
      </c>
      <c r="O9" s="5" t="str">
        <f t="shared" si="2"/>
        <v>No</v>
      </c>
      <c r="P9" s="5" t="s">
        <v>62</v>
      </c>
      <c r="Q9" s="5">
        <f t="shared" si="3"/>
        <v>0</v>
      </c>
      <c r="R9" s="5">
        <v>0.0</v>
      </c>
    </row>
    <row r="10" ht="22.5" customHeight="1">
      <c r="A10" s="5" t="s">
        <v>134</v>
      </c>
      <c r="B10" s="5" t="s">
        <v>65</v>
      </c>
      <c r="C10" s="6">
        <v>8.0</v>
      </c>
      <c r="D10" s="6">
        <v>35.0</v>
      </c>
      <c r="E10" s="6">
        <v>8.5</v>
      </c>
      <c r="F10" s="6">
        <f t="shared" si="1"/>
        <v>8</v>
      </c>
      <c r="G10" s="6">
        <v>8.0</v>
      </c>
      <c r="H10" s="6">
        <v>32.0</v>
      </c>
      <c r="I10" s="6">
        <v>33.0</v>
      </c>
      <c r="J10" s="6">
        <v>16.0</v>
      </c>
      <c r="K10" s="6">
        <v>4.0</v>
      </c>
      <c r="L10" s="9">
        <v>46069.0</v>
      </c>
      <c r="M10" s="6">
        <v>9.0</v>
      </c>
      <c r="O10" s="10" t="str">
        <f t="shared" si="2"/>
        <v>No</v>
      </c>
      <c r="P10" s="10" t="s">
        <v>62</v>
      </c>
      <c r="Q10" s="10">
        <f t="shared" si="3"/>
        <v>0</v>
      </c>
      <c r="R10" s="10">
        <v>0.0</v>
      </c>
    </row>
    <row r="11" ht="22.5" customHeight="1">
      <c r="A11" s="5" t="s">
        <v>145</v>
      </c>
      <c r="B11" s="5" t="s">
        <v>170</v>
      </c>
      <c r="C11" s="6">
        <v>3.0</v>
      </c>
      <c r="D11" s="6">
        <v>7.0</v>
      </c>
      <c r="E11" s="6">
        <v>11.9</v>
      </c>
      <c r="F11" s="6">
        <f t="shared" si="1"/>
        <v>11</v>
      </c>
      <c r="G11" s="6">
        <v>11.0</v>
      </c>
      <c r="H11" s="6">
        <v>46.0</v>
      </c>
      <c r="I11" s="6">
        <v>24.0</v>
      </c>
      <c r="J11" s="6">
        <v>3.0</v>
      </c>
      <c r="K11" s="6">
        <v>4.0</v>
      </c>
      <c r="L11" s="9">
        <v>46104.0</v>
      </c>
      <c r="M11" s="6">
        <v>6.0</v>
      </c>
      <c r="O11" s="10" t="str">
        <f t="shared" si="2"/>
        <v>No</v>
      </c>
      <c r="P11" s="10" t="s">
        <v>62</v>
      </c>
      <c r="Q11" s="10">
        <f t="shared" si="3"/>
        <v>0</v>
      </c>
      <c r="R11" s="10">
        <v>0.0</v>
      </c>
    </row>
    <row r="12" ht="22.5" customHeight="1">
      <c r="A12" s="5" t="s">
        <v>156</v>
      </c>
      <c r="B12" s="5" t="s">
        <v>44</v>
      </c>
      <c r="C12" s="6">
        <v>6.0</v>
      </c>
      <c r="D12" s="6">
        <v>22.0</v>
      </c>
      <c r="E12" s="6">
        <v>9.3</v>
      </c>
      <c r="F12" s="6">
        <f t="shared" si="1"/>
        <v>9</v>
      </c>
      <c r="G12" s="6">
        <v>9.0</v>
      </c>
      <c r="H12" s="6">
        <v>21.0</v>
      </c>
      <c r="I12" s="6">
        <v>20.0</v>
      </c>
      <c r="J12" s="6">
        <v>3.0</v>
      </c>
      <c r="K12" s="6">
        <v>1.0</v>
      </c>
      <c r="L12" s="9">
        <v>46200.0</v>
      </c>
      <c r="M12" s="6">
        <v>8.0</v>
      </c>
      <c r="N12" s="5" t="s">
        <v>62</v>
      </c>
      <c r="O12" s="5" t="str">
        <f t="shared" si="2"/>
        <v>No</v>
      </c>
      <c r="P12" s="5" t="s">
        <v>62</v>
      </c>
      <c r="Q12" s="5">
        <f t="shared" si="3"/>
        <v>0</v>
      </c>
      <c r="R12" s="5">
        <v>0.0</v>
      </c>
    </row>
    <row r="13" ht="22.5" customHeight="1">
      <c r="A13" s="5" t="s">
        <v>169</v>
      </c>
      <c r="B13" s="5" t="s">
        <v>65</v>
      </c>
      <c r="C13" s="6">
        <v>6.0</v>
      </c>
      <c r="D13" s="6">
        <v>28.0</v>
      </c>
      <c r="E13" s="6">
        <v>4.2</v>
      </c>
      <c r="F13" s="6">
        <f t="shared" si="1"/>
        <v>4</v>
      </c>
      <c r="G13" s="6">
        <v>4.0</v>
      </c>
      <c r="H13" s="6">
        <v>38.0</v>
      </c>
      <c r="I13" s="6">
        <v>16.0</v>
      </c>
      <c r="J13" s="6">
        <v>12.0</v>
      </c>
      <c r="K13" s="6">
        <v>0.0</v>
      </c>
      <c r="L13" s="9">
        <v>45776.0</v>
      </c>
      <c r="M13" s="6">
        <v>7.0</v>
      </c>
      <c r="N13" s="5" t="s">
        <v>62</v>
      </c>
      <c r="O13" s="5" t="str">
        <f t="shared" si="2"/>
        <v>No</v>
      </c>
      <c r="P13" s="5" t="s">
        <v>62</v>
      </c>
      <c r="Q13" s="5">
        <f t="shared" si="3"/>
        <v>0</v>
      </c>
      <c r="R13" s="5">
        <v>0.0</v>
      </c>
    </row>
    <row r="14" ht="22.5" customHeight="1">
      <c r="A14" s="5" t="s">
        <v>182</v>
      </c>
      <c r="B14" s="5" t="s">
        <v>22</v>
      </c>
      <c r="C14" s="6">
        <v>7.0</v>
      </c>
      <c r="D14" s="6">
        <v>19.0</v>
      </c>
      <c r="E14" s="6">
        <v>10.8</v>
      </c>
      <c r="F14" s="6">
        <f t="shared" si="1"/>
        <v>10</v>
      </c>
      <c r="G14" s="6">
        <v>10.0</v>
      </c>
      <c r="H14" s="6">
        <v>32.0</v>
      </c>
      <c r="I14" s="6">
        <v>20.0</v>
      </c>
      <c r="J14" s="6">
        <v>19.0</v>
      </c>
      <c r="K14" s="6">
        <v>1.0</v>
      </c>
      <c r="L14" s="9">
        <v>44647.0</v>
      </c>
      <c r="M14" s="6">
        <v>1.0</v>
      </c>
      <c r="N14" s="5" t="s">
        <v>113</v>
      </c>
      <c r="O14" s="5" t="str">
        <f t="shared" si="2"/>
        <v>Yes</v>
      </c>
      <c r="P14" s="5" t="s">
        <v>113</v>
      </c>
      <c r="Q14" s="5">
        <f t="shared" si="3"/>
        <v>1</v>
      </c>
      <c r="R14" s="5">
        <v>1.0</v>
      </c>
    </row>
    <row r="15" ht="22.5" customHeight="1">
      <c r="A15" s="5" t="s">
        <v>192</v>
      </c>
      <c r="B15" s="5" t="s">
        <v>22</v>
      </c>
      <c r="C15" s="6">
        <v>5.0</v>
      </c>
      <c r="D15" s="6">
        <v>12.0</v>
      </c>
      <c r="E15" s="6">
        <v>15.9</v>
      </c>
      <c r="F15" s="6">
        <f t="shared" si="1"/>
        <v>15</v>
      </c>
      <c r="G15" s="6">
        <v>15.0</v>
      </c>
      <c r="H15" s="6">
        <v>47.0</v>
      </c>
      <c r="I15" s="6">
        <v>36.0</v>
      </c>
      <c r="J15" s="6">
        <v>13.0</v>
      </c>
      <c r="K15" s="6">
        <v>5.0</v>
      </c>
      <c r="L15" s="11"/>
      <c r="M15" s="6">
        <v>10.0</v>
      </c>
      <c r="N15" s="5" t="s">
        <v>62</v>
      </c>
      <c r="O15" s="5" t="str">
        <f t="shared" si="2"/>
        <v>Yes</v>
      </c>
      <c r="P15" s="5" t="s">
        <v>113</v>
      </c>
      <c r="Q15" s="5">
        <f t="shared" si="3"/>
        <v>1</v>
      </c>
      <c r="R15" s="5">
        <v>1.0</v>
      </c>
    </row>
    <row r="16" ht="22.5" customHeight="1">
      <c r="A16" s="5" t="s">
        <v>202</v>
      </c>
      <c r="B16" s="5" t="s">
        <v>22</v>
      </c>
      <c r="C16" s="6">
        <v>7.0</v>
      </c>
      <c r="D16" s="6">
        <v>20.0</v>
      </c>
      <c r="E16" s="6">
        <v>12.1</v>
      </c>
      <c r="F16" s="6">
        <f t="shared" si="1"/>
        <v>12</v>
      </c>
      <c r="G16" s="6">
        <v>12.0</v>
      </c>
      <c r="H16" s="6">
        <v>36.0</v>
      </c>
      <c r="I16" s="6">
        <v>16.0</v>
      </c>
      <c r="J16" s="6">
        <v>8.0</v>
      </c>
      <c r="K16" s="6">
        <v>3.0</v>
      </c>
      <c r="L16" s="9">
        <v>44573.0</v>
      </c>
      <c r="M16" s="6">
        <v>4.0</v>
      </c>
      <c r="N16" s="5" t="s">
        <v>113</v>
      </c>
      <c r="O16" s="5" t="str">
        <f t="shared" si="2"/>
        <v>Yes</v>
      </c>
      <c r="P16" s="5" t="s">
        <v>113</v>
      </c>
      <c r="Q16" s="5">
        <f t="shared" si="3"/>
        <v>1</v>
      </c>
      <c r="R16" s="5">
        <v>1.0</v>
      </c>
    </row>
    <row r="17" ht="22.5" customHeight="1">
      <c r="A17" s="5" t="s">
        <v>214</v>
      </c>
      <c r="B17" s="5" t="s">
        <v>22</v>
      </c>
      <c r="C17" s="6">
        <v>7.0</v>
      </c>
      <c r="D17" s="6">
        <v>18.0</v>
      </c>
      <c r="E17" s="6">
        <v>2.7</v>
      </c>
      <c r="F17" s="6">
        <f t="shared" si="1"/>
        <v>2</v>
      </c>
      <c r="G17" s="6">
        <v>2.0</v>
      </c>
      <c r="H17" s="6">
        <v>52.0</v>
      </c>
      <c r="I17" s="6">
        <v>42.0</v>
      </c>
      <c r="J17" s="6">
        <v>17.0</v>
      </c>
      <c r="K17" s="6">
        <v>3.0</v>
      </c>
      <c r="L17" s="9">
        <v>44861.0</v>
      </c>
      <c r="M17" s="6">
        <v>4.0</v>
      </c>
      <c r="N17" s="5" t="s">
        <v>113</v>
      </c>
      <c r="O17" s="5" t="str">
        <f t="shared" si="2"/>
        <v>Yes</v>
      </c>
      <c r="P17" s="5" t="s">
        <v>113</v>
      </c>
      <c r="Q17" s="5">
        <f t="shared" si="3"/>
        <v>1</v>
      </c>
      <c r="R17" s="5">
        <v>1.0</v>
      </c>
    </row>
    <row r="18" ht="22.5" customHeight="1">
      <c r="A18" s="5" t="s">
        <v>225</v>
      </c>
      <c r="B18" s="5" t="s">
        <v>84</v>
      </c>
      <c r="C18" s="6">
        <v>2.0</v>
      </c>
      <c r="D18" s="6">
        <v>5.0</v>
      </c>
      <c r="E18" s="6">
        <v>9.3</v>
      </c>
      <c r="F18" s="6">
        <f t="shared" si="1"/>
        <v>9</v>
      </c>
      <c r="G18" s="6">
        <v>9.0</v>
      </c>
      <c r="H18" s="6">
        <v>58.0</v>
      </c>
      <c r="I18" s="6">
        <v>18.0</v>
      </c>
      <c r="J18" s="6">
        <v>3.0</v>
      </c>
      <c r="K18" s="6">
        <v>4.0</v>
      </c>
      <c r="L18" s="9">
        <v>46171.0</v>
      </c>
      <c r="M18" s="6">
        <v>6.0</v>
      </c>
      <c r="N18" s="5" t="s">
        <v>62</v>
      </c>
      <c r="O18" s="5" t="str">
        <f t="shared" si="2"/>
        <v>No</v>
      </c>
      <c r="P18" s="5" t="s">
        <v>62</v>
      </c>
      <c r="Q18" s="5">
        <f t="shared" si="3"/>
        <v>0</v>
      </c>
      <c r="R18" s="5">
        <v>0.0</v>
      </c>
    </row>
    <row r="19" ht="22.5" customHeight="1">
      <c r="A19" s="5" t="s">
        <v>233</v>
      </c>
      <c r="B19" s="5" t="s">
        <v>84</v>
      </c>
      <c r="C19" s="6">
        <v>8.0</v>
      </c>
      <c r="D19" s="6">
        <v>27.0</v>
      </c>
      <c r="E19" s="6">
        <v>3.0</v>
      </c>
      <c r="F19" s="6">
        <f t="shared" si="1"/>
        <v>3</v>
      </c>
      <c r="G19" s="6">
        <v>3.0</v>
      </c>
      <c r="H19" s="6">
        <v>60.0</v>
      </c>
      <c r="I19" s="6">
        <v>31.0</v>
      </c>
      <c r="J19" s="6">
        <v>4.0</v>
      </c>
      <c r="K19" s="6">
        <v>4.0</v>
      </c>
      <c r="L19" s="9">
        <v>44761.0</v>
      </c>
      <c r="M19" s="6">
        <v>2.0</v>
      </c>
      <c r="N19" s="5" t="s">
        <v>113</v>
      </c>
      <c r="O19" s="5" t="str">
        <f t="shared" si="2"/>
        <v>Yes</v>
      </c>
      <c r="P19" s="5" t="s">
        <v>113</v>
      </c>
      <c r="Q19" s="5">
        <f t="shared" si="3"/>
        <v>1</v>
      </c>
      <c r="R19" s="5">
        <v>1.0</v>
      </c>
    </row>
    <row r="20" ht="22.5" customHeight="1">
      <c r="A20" s="5" t="s">
        <v>242</v>
      </c>
      <c r="B20" s="5" t="s">
        <v>22</v>
      </c>
      <c r="C20" s="6">
        <v>3.0</v>
      </c>
      <c r="D20" s="6">
        <v>17.0</v>
      </c>
      <c r="E20" s="6">
        <v>5.6</v>
      </c>
      <c r="F20" s="6">
        <f t="shared" si="1"/>
        <v>5</v>
      </c>
      <c r="G20" s="6">
        <v>5.0</v>
      </c>
      <c r="H20" s="6">
        <v>35.0</v>
      </c>
      <c r="I20" s="6">
        <v>24.0</v>
      </c>
      <c r="J20" s="6">
        <v>4.0</v>
      </c>
      <c r="K20" s="6">
        <v>5.0</v>
      </c>
      <c r="L20" s="9">
        <v>45614.0</v>
      </c>
      <c r="M20" s="6">
        <v>6.0</v>
      </c>
      <c r="N20" s="5" t="s">
        <v>62</v>
      </c>
      <c r="O20" s="5" t="str">
        <f t="shared" si="2"/>
        <v>No</v>
      </c>
      <c r="P20" s="5" t="s">
        <v>62</v>
      </c>
      <c r="Q20" s="5">
        <f t="shared" si="3"/>
        <v>0</v>
      </c>
      <c r="R20" s="5">
        <v>0.0</v>
      </c>
    </row>
    <row r="21" ht="22.5" customHeight="1">
      <c r="A21" s="5" t="s">
        <v>253</v>
      </c>
      <c r="B21" s="5" t="s">
        <v>84</v>
      </c>
      <c r="C21" s="6">
        <v>12.0</v>
      </c>
      <c r="D21" s="6">
        <v>45.0</v>
      </c>
      <c r="E21" s="6">
        <v>8.4</v>
      </c>
      <c r="F21" s="6">
        <f t="shared" si="1"/>
        <v>8</v>
      </c>
      <c r="G21" s="6">
        <v>8.0</v>
      </c>
      <c r="H21" s="6">
        <v>11.0</v>
      </c>
      <c r="I21" s="6">
        <v>22.0</v>
      </c>
      <c r="J21" s="6">
        <v>3.0</v>
      </c>
      <c r="K21" s="6">
        <v>3.0</v>
      </c>
      <c r="L21" s="9">
        <v>45597.0</v>
      </c>
      <c r="M21" s="6">
        <v>8.0</v>
      </c>
      <c r="N21" s="5" t="s">
        <v>62</v>
      </c>
      <c r="O21" s="5" t="str">
        <f t="shared" si="2"/>
        <v>No</v>
      </c>
      <c r="P21" s="5" t="s">
        <v>62</v>
      </c>
      <c r="Q21" s="5">
        <f t="shared" si="3"/>
        <v>0</v>
      </c>
      <c r="R21" s="5">
        <v>0.0</v>
      </c>
    </row>
    <row r="22" ht="22.5" customHeight="1">
      <c r="A22" s="5" t="s">
        <v>262</v>
      </c>
      <c r="B22" s="5" t="s">
        <v>22</v>
      </c>
      <c r="C22" s="6">
        <v>5.0</v>
      </c>
      <c r="D22" s="6">
        <v>12.0</v>
      </c>
      <c r="E22" s="6">
        <v>7.7</v>
      </c>
      <c r="F22" s="6">
        <f t="shared" si="1"/>
        <v>7</v>
      </c>
      <c r="G22" s="6">
        <v>7.0</v>
      </c>
      <c r="H22" s="6">
        <v>28.0</v>
      </c>
      <c r="I22" s="6">
        <v>15.0</v>
      </c>
      <c r="J22" s="6">
        <v>19.0</v>
      </c>
      <c r="K22" s="6">
        <v>3.0</v>
      </c>
      <c r="L22" s="9">
        <v>44767.0</v>
      </c>
      <c r="M22" s="6">
        <v>4.0</v>
      </c>
      <c r="N22" s="5" t="s">
        <v>113</v>
      </c>
      <c r="O22" s="5" t="str">
        <f t="shared" si="2"/>
        <v>Yes</v>
      </c>
      <c r="P22" s="5" t="s">
        <v>113</v>
      </c>
      <c r="Q22" s="5">
        <f t="shared" si="3"/>
        <v>1</v>
      </c>
      <c r="R22" s="5">
        <v>1.0</v>
      </c>
    </row>
    <row r="23" ht="22.5" customHeight="1">
      <c r="A23" s="5" t="s">
        <v>274</v>
      </c>
      <c r="B23" s="5" t="s">
        <v>22</v>
      </c>
      <c r="C23" s="6">
        <v>4.0</v>
      </c>
      <c r="D23" s="6">
        <v>7.0</v>
      </c>
      <c r="E23" s="6">
        <v>11.9</v>
      </c>
      <c r="F23" s="6">
        <f t="shared" si="1"/>
        <v>11</v>
      </c>
      <c r="G23" s="6">
        <v>11.0</v>
      </c>
      <c r="H23" s="6">
        <v>5.0</v>
      </c>
      <c r="I23" s="6">
        <v>24.0</v>
      </c>
      <c r="J23" s="6">
        <v>5.0</v>
      </c>
      <c r="K23" s="6">
        <v>5.0</v>
      </c>
      <c r="L23" s="9">
        <v>44502.0</v>
      </c>
      <c r="M23" s="6">
        <v>3.0</v>
      </c>
      <c r="N23" s="5" t="s">
        <v>113</v>
      </c>
      <c r="O23" s="5" t="str">
        <f t="shared" si="2"/>
        <v>Yes</v>
      </c>
      <c r="P23" s="5" t="s">
        <v>113</v>
      </c>
      <c r="Q23" s="5">
        <f t="shared" si="3"/>
        <v>1</v>
      </c>
      <c r="R23" s="5">
        <v>1.0</v>
      </c>
    </row>
    <row r="24" ht="22.5" customHeight="1">
      <c r="A24" s="5" t="s">
        <v>281</v>
      </c>
      <c r="B24" s="5" t="s">
        <v>22</v>
      </c>
      <c r="C24" s="6">
        <v>9.0</v>
      </c>
      <c r="D24" s="6">
        <v>42.0</v>
      </c>
      <c r="E24" s="6">
        <v>16.0</v>
      </c>
      <c r="F24" s="6">
        <f t="shared" si="1"/>
        <v>16</v>
      </c>
      <c r="G24" s="6">
        <v>16.0</v>
      </c>
      <c r="H24" s="6">
        <v>12.0</v>
      </c>
      <c r="I24" s="6">
        <v>16.0</v>
      </c>
      <c r="J24" s="6">
        <v>18.0</v>
      </c>
      <c r="K24" s="6">
        <v>5.0</v>
      </c>
      <c r="L24" s="9">
        <v>45965.0</v>
      </c>
      <c r="M24" s="6">
        <v>6.0</v>
      </c>
      <c r="N24" s="5" t="s">
        <v>62</v>
      </c>
      <c r="O24" s="5" t="str">
        <f t="shared" si="2"/>
        <v>No</v>
      </c>
      <c r="P24" s="5" t="s">
        <v>62</v>
      </c>
      <c r="Q24" s="5">
        <f t="shared" si="3"/>
        <v>0</v>
      </c>
      <c r="R24" s="5">
        <v>0.0</v>
      </c>
    </row>
    <row r="25" ht="22.5" customHeight="1">
      <c r="A25" s="5" t="s">
        <v>291</v>
      </c>
      <c r="B25" s="5" t="s">
        <v>84</v>
      </c>
      <c r="C25" s="6">
        <v>4.0</v>
      </c>
      <c r="D25" s="6">
        <v>13.0</v>
      </c>
      <c r="E25" s="6">
        <v>8.9</v>
      </c>
      <c r="F25" s="6">
        <f t="shared" si="1"/>
        <v>8</v>
      </c>
      <c r="G25" s="6">
        <v>8.0</v>
      </c>
      <c r="H25" s="6">
        <v>12.0</v>
      </c>
      <c r="I25" s="6">
        <v>12.0</v>
      </c>
      <c r="J25" s="6">
        <v>11.0</v>
      </c>
      <c r="K25" s="6">
        <v>3.0</v>
      </c>
      <c r="L25" s="9">
        <v>46077.0</v>
      </c>
      <c r="M25" s="6">
        <v>7.0</v>
      </c>
      <c r="N25" s="5" t="s">
        <v>62</v>
      </c>
      <c r="O25" s="5" t="str">
        <f t="shared" si="2"/>
        <v>No</v>
      </c>
      <c r="P25" s="5" t="s">
        <v>62</v>
      </c>
      <c r="Q25" s="5">
        <f t="shared" si="3"/>
        <v>0</v>
      </c>
      <c r="R25" s="5">
        <v>0.0</v>
      </c>
    </row>
    <row r="26" ht="22.5" customHeight="1">
      <c r="A26" s="5" t="s">
        <v>298</v>
      </c>
      <c r="B26" s="5" t="s">
        <v>65</v>
      </c>
      <c r="C26" s="6">
        <v>4.0</v>
      </c>
      <c r="D26" s="6">
        <v>21.0</v>
      </c>
      <c r="E26" s="6">
        <v>5.3</v>
      </c>
      <c r="F26" s="6">
        <f t="shared" si="1"/>
        <v>5</v>
      </c>
      <c r="G26" s="6">
        <v>5.0</v>
      </c>
      <c r="H26" s="6">
        <v>41.0</v>
      </c>
      <c r="I26" s="6">
        <v>26.0</v>
      </c>
      <c r="J26" s="6">
        <v>16.0</v>
      </c>
      <c r="K26" s="6">
        <v>2.0</v>
      </c>
      <c r="L26" s="9">
        <v>46086.0</v>
      </c>
      <c r="M26" s="6">
        <v>6.0</v>
      </c>
      <c r="N26" s="5" t="s">
        <v>62</v>
      </c>
      <c r="O26" s="5" t="str">
        <f t="shared" si="2"/>
        <v>No</v>
      </c>
      <c r="P26" s="5" t="s">
        <v>62</v>
      </c>
      <c r="Q26" s="5">
        <f t="shared" si="3"/>
        <v>0</v>
      </c>
      <c r="R26" s="5">
        <v>0.0</v>
      </c>
    </row>
    <row r="27" ht="22.5" customHeight="1">
      <c r="A27" s="5" t="s">
        <v>306</v>
      </c>
      <c r="B27" s="5" t="s">
        <v>22</v>
      </c>
      <c r="C27" s="6">
        <v>6.0</v>
      </c>
      <c r="D27" s="6">
        <v>27.0</v>
      </c>
      <c r="E27" s="6">
        <v>1.5</v>
      </c>
      <c r="F27" s="6">
        <f t="shared" si="1"/>
        <v>1</v>
      </c>
      <c r="G27" s="6">
        <v>1.0</v>
      </c>
      <c r="H27" s="6">
        <v>25.0</v>
      </c>
      <c r="I27" s="6">
        <v>20.0</v>
      </c>
      <c r="J27" s="6">
        <v>17.0</v>
      </c>
      <c r="K27" s="6">
        <v>1.0</v>
      </c>
      <c r="L27" s="9">
        <v>45908.0</v>
      </c>
      <c r="M27" s="6">
        <v>8.0</v>
      </c>
      <c r="N27" s="5" t="s">
        <v>62</v>
      </c>
      <c r="O27" s="5" t="str">
        <f t="shared" si="2"/>
        <v>No</v>
      </c>
      <c r="P27" s="5" t="s">
        <v>62</v>
      </c>
      <c r="Q27" s="5">
        <f t="shared" si="3"/>
        <v>0</v>
      </c>
      <c r="R27" s="5">
        <v>0.0</v>
      </c>
    </row>
    <row r="28" ht="22.5" customHeight="1">
      <c r="A28" s="5" t="s">
        <v>314</v>
      </c>
      <c r="B28" s="5" t="s">
        <v>84</v>
      </c>
      <c r="C28" s="6">
        <v>9.0</v>
      </c>
      <c r="D28" s="6">
        <v>46.0</v>
      </c>
      <c r="E28" s="6">
        <v>13.6</v>
      </c>
      <c r="F28" s="6">
        <f t="shared" si="1"/>
        <v>13</v>
      </c>
      <c r="G28" s="6">
        <v>13.0</v>
      </c>
      <c r="H28" s="6">
        <v>13.0</v>
      </c>
      <c r="I28" s="6">
        <v>38.0</v>
      </c>
      <c r="J28" s="8"/>
      <c r="K28" s="6">
        <v>1.0</v>
      </c>
      <c r="L28" s="11"/>
      <c r="M28" s="6">
        <v>7.0</v>
      </c>
      <c r="N28" s="5" t="s">
        <v>62</v>
      </c>
      <c r="O28" s="5" t="str">
        <f t="shared" si="2"/>
        <v>Yes</v>
      </c>
      <c r="P28" s="5" t="s">
        <v>113</v>
      </c>
      <c r="Q28" s="5">
        <f t="shared" si="3"/>
        <v>1</v>
      </c>
      <c r="R28" s="5">
        <v>1.0</v>
      </c>
    </row>
    <row r="29" ht="22.5" customHeight="1">
      <c r="A29" s="5" t="s">
        <v>321</v>
      </c>
      <c r="B29" s="5" t="s">
        <v>84</v>
      </c>
      <c r="C29" s="6">
        <v>4.0</v>
      </c>
      <c r="D29" s="6">
        <v>11.0</v>
      </c>
      <c r="E29" s="6">
        <v>6.3</v>
      </c>
      <c r="F29" s="6">
        <f t="shared" si="1"/>
        <v>6</v>
      </c>
      <c r="G29" s="6">
        <v>6.0</v>
      </c>
      <c r="H29" s="6">
        <v>37.0</v>
      </c>
      <c r="I29" s="6">
        <v>33.0</v>
      </c>
      <c r="J29" s="6">
        <v>12.0</v>
      </c>
      <c r="K29" s="6">
        <v>2.0</v>
      </c>
      <c r="L29" s="9">
        <v>44550.0</v>
      </c>
      <c r="M29" s="6">
        <v>1.0</v>
      </c>
      <c r="N29" s="5" t="s">
        <v>113</v>
      </c>
      <c r="O29" s="5" t="str">
        <f t="shared" si="2"/>
        <v>Yes</v>
      </c>
      <c r="P29" s="5" t="s">
        <v>113</v>
      </c>
      <c r="Q29" s="5">
        <f t="shared" si="3"/>
        <v>1</v>
      </c>
      <c r="R29" s="5">
        <v>1.0</v>
      </c>
    </row>
    <row r="30" ht="22.5" customHeight="1">
      <c r="A30" s="5" t="s">
        <v>329</v>
      </c>
      <c r="B30" s="5" t="s">
        <v>170</v>
      </c>
      <c r="C30" s="6">
        <v>3.0</v>
      </c>
      <c r="D30" s="6">
        <v>14.0</v>
      </c>
      <c r="E30" s="6">
        <v>6.5</v>
      </c>
      <c r="F30" s="6">
        <f t="shared" si="1"/>
        <v>6</v>
      </c>
      <c r="G30" s="6">
        <v>6.0</v>
      </c>
      <c r="H30" s="6">
        <v>33.0</v>
      </c>
      <c r="I30" s="6">
        <v>39.0</v>
      </c>
      <c r="J30" s="8"/>
      <c r="K30" s="6">
        <v>5.0</v>
      </c>
      <c r="L30" s="9">
        <v>45833.0</v>
      </c>
      <c r="M30" s="6">
        <v>6.0</v>
      </c>
      <c r="N30" s="5" t="s">
        <v>62</v>
      </c>
      <c r="O30" s="5" t="str">
        <f t="shared" si="2"/>
        <v>No</v>
      </c>
      <c r="P30" s="5" t="s">
        <v>62</v>
      </c>
      <c r="Q30" s="5">
        <f t="shared" si="3"/>
        <v>0</v>
      </c>
      <c r="R30" s="5">
        <v>0.0</v>
      </c>
    </row>
    <row r="31" ht="22.5" customHeight="1">
      <c r="A31" s="5" t="s">
        <v>335</v>
      </c>
      <c r="B31" s="5" t="s">
        <v>84</v>
      </c>
      <c r="C31" s="6">
        <v>6.0</v>
      </c>
      <c r="D31" s="6">
        <v>16.0</v>
      </c>
      <c r="E31" s="6">
        <v>6.8</v>
      </c>
      <c r="F31" s="6">
        <f t="shared" si="1"/>
        <v>6</v>
      </c>
      <c r="G31" s="6">
        <v>6.0</v>
      </c>
      <c r="H31" s="6">
        <v>54.0</v>
      </c>
      <c r="I31" s="6">
        <v>20.0</v>
      </c>
      <c r="J31" s="6">
        <v>11.0</v>
      </c>
      <c r="K31" s="6">
        <v>5.0</v>
      </c>
      <c r="L31" s="9">
        <v>45184.0</v>
      </c>
      <c r="M31" s="6">
        <v>1.0</v>
      </c>
      <c r="N31" s="5" t="s">
        <v>113</v>
      </c>
      <c r="O31" s="5" t="str">
        <f t="shared" si="2"/>
        <v>No</v>
      </c>
      <c r="P31" s="5" t="s">
        <v>62</v>
      </c>
      <c r="Q31" s="5">
        <f t="shared" si="3"/>
        <v>0</v>
      </c>
      <c r="R31" s="5">
        <v>0.0</v>
      </c>
    </row>
    <row r="32" ht="22.5" customHeight="1">
      <c r="A32" s="5" t="s">
        <v>341</v>
      </c>
      <c r="B32" s="5" t="s">
        <v>22</v>
      </c>
      <c r="C32" s="6">
        <v>4.0</v>
      </c>
      <c r="D32" s="6">
        <v>23.0</v>
      </c>
      <c r="E32" s="6">
        <v>8.6</v>
      </c>
      <c r="F32" s="6">
        <f t="shared" si="1"/>
        <v>8</v>
      </c>
      <c r="G32" s="6">
        <v>8.0</v>
      </c>
      <c r="H32" s="6">
        <v>21.0</v>
      </c>
      <c r="I32" s="6">
        <v>26.0</v>
      </c>
      <c r="J32" s="6">
        <v>13.0</v>
      </c>
      <c r="K32" s="6">
        <v>3.0</v>
      </c>
      <c r="L32" s="9">
        <v>46170.0</v>
      </c>
      <c r="M32" s="6">
        <v>3.0</v>
      </c>
      <c r="N32" s="5" t="s">
        <v>62</v>
      </c>
      <c r="O32" s="5" t="str">
        <f t="shared" si="2"/>
        <v>No</v>
      </c>
      <c r="P32" s="5" t="s">
        <v>62</v>
      </c>
      <c r="Q32" s="5">
        <f t="shared" si="3"/>
        <v>0</v>
      </c>
      <c r="R32" s="5">
        <v>0.0</v>
      </c>
    </row>
    <row r="33" ht="22.5" customHeight="1">
      <c r="A33" s="5" t="s">
        <v>349</v>
      </c>
      <c r="B33" s="5" t="s">
        <v>170</v>
      </c>
      <c r="C33" s="6">
        <v>9.0</v>
      </c>
      <c r="D33" s="6">
        <v>39.0</v>
      </c>
      <c r="E33" s="6">
        <v>8.8</v>
      </c>
      <c r="F33" s="6">
        <f t="shared" si="1"/>
        <v>8</v>
      </c>
      <c r="G33" s="6">
        <v>8.0</v>
      </c>
      <c r="H33" s="6">
        <v>17.0</v>
      </c>
      <c r="I33" s="6">
        <v>10.0</v>
      </c>
      <c r="J33" s="6">
        <v>15.0</v>
      </c>
      <c r="K33" s="6">
        <v>5.0</v>
      </c>
      <c r="L33" s="9">
        <v>45885.0</v>
      </c>
      <c r="M33" s="6">
        <v>8.0</v>
      </c>
      <c r="N33" s="5" t="s">
        <v>62</v>
      </c>
      <c r="O33" s="5" t="str">
        <f t="shared" si="2"/>
        <v>No</v>
      </c>
      <c r="P33" s="5" t="s">
        <v>62</v>
      </c>
      <c r="Q33" s="5">
        <f t="shared" si="3"/>
        <v>0</v>
      </c>
      <c r="R33" s="5">
        <v>0.0</v>
      </c>
    </row>
    <row r="34" ht="22.5" customHeight="1">
      <c r="A34" s="5" t="s">
        <v>356</v>
      </c>
      <c r="B34" s="5" t="s">
        <v>44</v>
      </c>
      <c r="C34" s="6">
        <v>11.0</v>
      </c>
      <c r="D34" s="6">
        <v>33.0</v>
      </c>
      <c r="E34" s="6">
        <v>5.6</v>
      </c>
      <c r="F34" s="6">
        <f t="shared" si="1"/>
        <v>5</v>
      </c>
      <c r="G34" s="6">
        <v>5.0</v>
      </c>
      <c r="H34" s="6">
        <v>17.0</v>
      </c>
      <c r="I34" s="6">
        <v>23.0</v>
      </c>
      <c r="J34" s="6">
        <v>9.0</v>
      </c>
      <c r="K34" s="6">
        <v>5.0</v>
      </c>
      <c r="L34" s="9">
        <v>44833.0</v>
      </c>
      <c r="M34" s="6">
        <v>3.0</v>
      </c>
      <c r="N34" s="5" t="s">
        <v>113</v>
      </c>
      <c r="O34" s="5" t="str">
        <f t="shared" si="2"/>
        <v>Yes</v>
      </c>
      <c r="P34" s="5" t="s">
        <v>113</v>
      </c>
      <c r="Q34" s="5">
        <f t="shared" si="3"/>
        <v>1</v>
      </c>
      <c r="R34" s="5">
        <v>1.0</v>
      </c>
    </row>
    <row r="35" ht="22.5" customHeight="1">
      <c r="A35" s="5" t="s">
        <v>362</v>
      </c>
      <c r="B35" s="5" t="s">
        <v>44</v>
      </c>
      <c r="C35" s="6">
        <v>4.0</v>
      </c>
      <c r="D35" s="6">
        <v>11.0</v>
      </c>
      <c r="E35" s="6">
        <v>6.3</v>
      </c>
      <c r="F35" s="6">
        <f t="shared" si="1"/>
        <v>6</v>
      </c>
      <c r="G35" s="6">
        <v>6.0</v>
      </c>
      <c r="H35" s="6">
        <v>26.0</v>
      </c>
      <c r="I35" s="6">
        <v>26.0</v>
      </c>
      <c r="J35" s="6">
        <v>12.0</v>
      </c>
      <c r="K35" s="6">
        <v>2.0</v>
      </c>
      <c r="L35" s="9">
        <v>44807.0</v>
      </c>
      <c r="M35" s="6">
        <v>3.0</v>
      </c>
      <c r="N35" s="5" t="s">
        <v>113</v>
      </c>
      <c r="O35" s="5" t="str">
        <f t="shared" si="2"/>
        <v>Yes</v>
      </c>
      <c r="P35" s="5" t="s">
        <v>113</v>
      </c>
      <c r="Q35" s="5">
        <f t="shared" si="3"/>
        <v>1</v>
      </c>
      <c r="R35" s="5">
        <v>1.0</v>
      </c>
    </row>
    <row r="36" ht="22.5" customHeight="1">
      <c r="A36" s="5" t="s">
        <v>367</v>
      </c>
      <c r="B36" s="5" t="s">
        <v>65</v>
      </c>
      <c r="C36" s="6">
        <v>3.0</v>
      </c>
      <c r="D36" s="6">
        <v>7.0</v>
      </c>
      <c r="E36" s="6">
        <v>4.5</v>
      </c>
      <c r="F36" s="6">
        <f t="shared" si="1"/>
        <v>4</v>
      </c>
      <c r="G36" s="6">
        <v>4.0</v>
      </c>
      <c r="H36" s="6">
        <v>25.0</v>
      </c>
      <c r="I36" s="6">
        <v>26.0</v>
      </c>
      <c r="J36" s="6">
        <v>16.0</v>
      </c>
      <c r="K36" s="6">
        <v>0.0</v>
      </c>
      <c r="L36" s="9">
        <v>46145.0</v>
      </c>
      <c r="M36" s="6">
        <v>4.0</v>
      </c>
      <c r="N36" s="5" t="s">
        <v>62</v>
      </c>
      <c r="O36" s="5" t="str">
        <f t="shared" si="2"/>
        <v>No</v>
      </c>
      <c r="P36" s="5" t="s">
        <v>62</v>
      </c>
      <c r="Q36" s="5">
        <f t="shared" si="3"/>
        <v>0</v>
      </c>
      <c r="R36" s="5">
        <v>0.0</v>
      </c>
    </row>
    <row r="37" ht="22.5" customHeight="1">
      <c r="A37" s="5" t="s">
        <v>373</v>
      </c>
      <c r="B37" s="5" t="s">
        <v>22</v>
      </c>
      <c r="C37" s="6">
        <v>6.0</v>
      </c>
      <c r="D37" s="6">
        <v>28.0</v>
      </c>
      <c r="E37" s="6">
        <v>4.2</v>
      </c>
      <c r="F37" s="6">
        <f t="shared" si="1"/>
        <v>4</v>
      </c>
      <c r="G37" s="6">
        <v>4.0</v>
      </c>
      <c r="H37" s="6">
        <v>12.0</v>
      </c>
      <c r="I37" s="6">
        <v>25.0</v>
      </c>
      <c r="J37" s="6">
        <v>1.0</v>
      </c>
      <c r="K37" s="6">
        <v>5.0</v>
      </c>
      <c r="L37" s="9">
        <v>44439.0</v>
      </c>
      <c r="M37" s="6">
        <v>1.0</v>
      </c>
      <c r="N37" s="5" t="s">
        <v>113</v>
      </c>
      <c r="O37" s="5" t="str">
        <f t="shared" si="2"/>
        <v>Yes</v>
      </c>
      <c r="P37" s="5" t="s">
        <v>113</v>
      </c>
      <c r="Q37" s="5">
        <f t="shared" si="3"/>
        <v>1</v>
      </c>
      <c r="R37" s="5">
        <v>1.0</v>
      </c>
    </row>
    <row r="38" ht="22.5" customHeight="1">
      <c r="A38" s="5" t="s">
        <v>380</v>
      </c>
      <c r="B38" s="5" t="s">
        <v>170</v>
      </c>
      <c r="C38" s="6">
        <v>8.0</v>
      </c>
      <c r="D38" s="6">
        <v>20.0</v>
      </c>
      <c r="E38" s="6">
        <v>4.2</v>
      </c>
      <c r="F38" s="6">
        <f t="shared" si="1"/>
        <v>4</v>
      </c>
      <c r="G38" s="6">
        <v>4.0</v>
      </c>
      <c r="H38" s="6">
        <v>60.0</v>
      </c>
      <c r="I38" s="6">
        <v>26.0</v>
      </c>
      <c r="J38" s="6">
        <v>8.0</v>
      </c>
      <c r="K38" s="6">
        <v>5.0</v>
      </c>
      <c r="L38" s="9">
        <v>45923.0</v>
      </c>
      <c r="M38" s="6">
        <v>8.0</v>
      </c>
      <c r="N38" s="5" t="s">
        <v>62</v>
      </c>
      <c r="O38" s="5" t="str">
        <f t="shared" si="2"/>
        <v>No</v>
      </c>
      <c r="P38" s="5" t="s">
        <v>62</v>
      </c>
      <c r="Q38" s="5">
        <f t="shared" si="3"/>
        <v>0</v>
      </c>
      <c r="R38" s="5">
        <v>0.0</v>
      </c>
    </row>
    <row r="39" ht="22.5" customHeight="1">
      <c r="A39" s="5" t="s">
        <v>389</v>
      </c>
      <c r="B39" s="5" t="s">
        <v>65</v>
      </c>
      <c r="C39" s="6">
        <v>7.0</v>
      </c>
      <c r="D39" s="6">
        <v>29.0</v>
      </c>
      <c r="E39" s="6">
        <v>6.2</v>
      </c>
      <c r="F39" s="6">
        <f t="shared" si="1"/>
        <v>6</v>
      </c>
      <c r="G39" s="6">
        <v>6.0</v>
      </c>
      <c r="H39" s="6">
        <v>40.0</v>
      </c>
      <c r="I39" s="6">
        <v>10.0</v>
      </c>
      <c r="J39" s="6">
        <v>12.0</v>
      </c>
      <c r="K39" s="6">
        <v>1.0</v>
      </c>
      <c r="L39" s="9">
        <v>45610.0</v>
      </c>
      <c r="M39" s="6">
        <v>9.0</v>
      </c>
      <c r="N39" s="5" t="s">
        <v>62</v>
      </c>
      <c r="O39" s="5" t="str">
        <f t="shared" si="2"/>
        <v>No</v>
      </c>
      <c r="P39" s="5" t="s">
        <v>62</v>
      </c>
      <c r="Q39" s="5">
        <f t="shared" si="3"/>
        <v>0</v>
      </c>
      <c r="R39" s="5">
        <v>0.0</v>
      </c>
    </row>
    <row r="40" ht="22.5" customHeight="1">
      <c r="A40" s="5" t="s">
        <v>398</v>
      </c>
      <c r="B40" s="5" t="s">
        <v>84</v>
      </c>
      <c r="C40" s="6">
        <v>7.0</v>
      </c>
      <c r="D40" s="6">
        <v>19.0</v>
      </c>
      <c r="E40" s="6">
        <v>3.6</v>
      </c>
      <c r="F40" s="6">
        <f t="shared" si="1"/>
        <v>3</v>
      </c>
      <c r="G40" s="6">
        <v>3.0</v>
      </c>
      <c r="H40" s="6">
        <v>51.0</v>
      </c>
      <c r="I40" s="6">
        <v>27.0</v>
      </c>
      <c r="J40" s="6">
        <v>6.0</v>
      </c>
      <c r="K40" s="6">
        <v>0.0</v>
      </c>
      <c r="L40" s="9">
        <v>46228.0</v>
      </c>
      <c r="M40" s="6">
        <v>8.0</v>
      </c>
      <c r="N40" s="5" t="s">
        <v>62</v>
      </c>
      <c r="O40" s="5" t="str">
        <f t="shared" si="2"/>
        <v>No</v>
      </c>
      <c r="P40" s="5" t="s">
        <v>62</v>
      </c>
      <c r="Q40" s="5">
        <f t="shared" si="3"/>
        <v>0</v>
      </c>
      <c r="R40" s="5">
        <v>0.0</v>
      </c>
    </row>
    <row r="41" ht="22.5" customHeight="1">
      <c r="A41" s="5" t="s">
        <v>404</v>
      </c>
      <c r="B41" s="5" t="s">
        <v>22</v>
      </c>
      <c r="C41" s="6">
        <v>3.0</v>
      </c>
      <c r="D41" s="6">
        <v>13.0</v>
      </c>
      <c r="E41" s="6">
        <v>1.0</v>
      </c>
      <c r="F41" s="6">
        <f t="shared" si="1"/>
        <v>1</v>
      </c>
      <c r="G41" s="6">
        <v>1.0</v>
      </c>
      <c r="H41" s="6">
        <v>27.0</v>
      </c>
      <c r="I41" s="6">
        <v>29.0</v>
      </c>
      <c r="J41" s="6">
        <v>1.0</v>
      </c>
      <c r="K41" s="6">
        <v>2.0</v>
      </c>
      <c r="L41" s="9">
        <v>46179.0</v>
      </c>
      <c r="M41" s="6">
        <v>7.0</v>
      </c>
      <c r="N41" s="5" t="s">
        <v>62</v>
      </c>
      <c r="O41" s="5" t="str">
        <f t="shared" si="2"/>
        <v>No</v>
      </c>
      <c r="P41" s="5" t="s">
        <v>62</v>
      </c>
      <c r="Q41" s="5">
        <f t="shared" si="3"/>
        <v>0</v>
      </c>
      <c r="R41" s="5">
        <v>0.0</v>
      </c>
    </row>
    <row r="42" ht="22.5" customHeight="1">
      <c r="A42" s="5" t="s">
        <v>410</v>
      </c>
      <c r="B42" s="5" t="s">
        <v>84</v>
      </c>
      <c r="C42" s="6">
        <v>5.0</v>
      </c>
      <c r="D42" s="6">
        <v>26.0</v>
      </c>
      <c r="E42" s="6">
        <v>5.3</v>
      </c>
      <c r="F42" s="6">
        <f t="shared" si="1"/>
        <v>5</v>
      </c>
      <c r="G42" s="6">
        <v>5.0</v>
      </c>
      <c r="H42" s="6">
        <v>27.0</v>
      </c>
      <c r="I42" s="6">
        <v>36.0</v>
      </c>
      <c r="J42" s="6">
        <v>10.0</v>
      </c>
      <c r="K42" s="6">
        <v>2.0</v>
      </c>
      <c r="L42" s="9">
        <v>45711.0</v>
      </c>
      <c r="M42" s="6">
        <v>9.0</v>
      </c>
      <c r="N42" s="5" t="s">
        <v>62</v>
      </c>
      <c r="O42" s="5" t="str">
        <f t="shared" si="2"/>
        <v>No</v>
      </c>
      <c r="P42" s="5" t="s">
        <v>62</v>
      </c>
      <c r="Q42" s="5">
        <f t="shared" si="3"/>
        <v>0</v>
      </c>
      <c r="R42" s="5">
        <v>0.0</v>
      </c>
    </row>
    <row r="43" ht="22.5" customHeight="1">
      <c r="A43" s="5" t="s">
        <v>415</v>
      </c>
      <c r="B43" s="5" t="s">
        <v>170</v>
      </c>
      <c r="C43" s="6">
        <v>10.0</v>
      </c>
      <c r="D43" s="6">
        <v>50.0</v>
      </c>
      <c r="E43" s="6">
        <v>2.8</v>
      </c>
      <c r="F43" s="6">
        <f t="shared" si="1"/>
        <v>2</v>
      </c>
      <c r="G43" s="6">
        <v>2.0</v>
      </c>
      <c r="H43" s="6">
        <v>23.0</v>
      </c>
      <c r="I43" s="6">
        <v>28.0</v>
      </c>
      <c r="J43" s="6">
        <v>14.0</v>
      </c>
      <c r="K43" s="6">
        <v>4.0</v>
      </c>
      <c r="L43" s="9">
        <v>45820.0</v>
      </c>
      <c r="M43" s="6">
        <v>9.0</v>
      </c>
      <c r="N43" s="5" t="s">
        <v>62</v>
      </c>
      <c r="O43" s="5" t="str">
        <f t="shared" si="2"/>
        <v>No</v>
      </c>
      <c r="P43" s="5" t="s">
        <v>62</v>
      </c>
      <c r="Q43" s="5">
        <f t="shared" si="3"/>
        <v>0</v>
      </c>
      <c r="R43" s="5">
        <v>0.0</v>
      </c>
    </row>
    <row r="44" ht="22.5" customHeight="1">
      <c r="A44" s="5" t="s">
        <v>421</v>
      </c>
      <c r="B44" s="5" t="s">
        <v>44</v>
      </c>
      <c r="C44" s="6">
        <v>8.0</v>
      </c>
      <c r="D44" s="6">
        <v>39.0</v>
      </c>
      <c r="E44" s="6">
        <v>7.1</v>
      </c>
      <c r="F44" s="6">
        <f t="shared" si="1"/>
        <v>7</v>
      </c>
      <c r="G44" s="6">
        <v>7.0</v>
      </c>
      <c r="H44" s="6">
        <v>39.0</v>
      </c>
      <c r="I44" s="6">
        <v>24.0</v>
      </c>
      <c r="J44" s="6">
        <v>17.0</v>
      </c>
      <c r="K44" s="6">
        <v>5.0</v>
      </c>
      <c r="L44" s="9">
        <v>45170.0</v>
      </c>
      <c r="M44" s="6">
        <v>2.0</v>
      </c>
      <c r="N44" s="5" t="s">
        <v>113</v>
      </c>
      <c r="O44" s="5" t="str">
        <f t="shared" si="2"/>
        <v>Yes</v>
      </c>
      <c r="P44" s="5" t="s">
        <v>113</v>
      </c>
      <c r="Q44" s="5">
        <f t="shared" si="3"/>
        <v>1</v>
      </c>
      <c r="R44" s="5">
        <v>1.0</v>
      </c>
    </row>
    <row r="45" ht="22.5" customHeight="1">
      <c r="A45" s="5" t="s">
        <v>426</v>
      </c>
      <c r="B45" s="5" t="s">
        <v>22</v>
      </c>
      <c r="C45" s="6">
        <v>12.0</v>
      </c>
      <c r="D45" s="6">
        <v>28.0</v>
      </c>
      <c r="E45" s="6">
        <v>4.5</v>
      </c>
      <c r="F45" s="6">
        <f t="shared" si="1"/>
        <v>4</v>
      </c>
      <c r="G45" s="6">
        <v>4.0</v>
      </c>
      <c r="H45" s="6">
        <v>48.0</v>
      </c>
      <c r="I45" s="6">
        <v>34.0</v>
      </c>
      <c r="J45" s="6">
        <v>12.0</v>
      </c>
      <c r="K45" s="6">
        <v>0.0</v>
      </c>
      <c r="L45" s="9">
        <v>44696.0</v>
      </c>
      <c r="M45" s="6">
        <v>2.0</v>
      </c>
      <c r="N45" s="5" t="s">
        <v>113</v>
      </c>
      <c r="O45" s="5" t="str">
        <f t="shared" si="2"/>
        <v>Yes</v>
      </c>
      <c r="P45" s="5" t="s">
        <v>113</v>
      </c>
      <c r="Q45" s="5">
        <f t="shared" si="3"/>
        <v>1</v>
      </c>
      <c r="R45" s="5">
        <v>1.0</v>
      </c>
    </row>
    <row r="46" ht="22.5" customHeight="1">
      <c r="A46" s="5" t="s">
        <v>431</v>
      </c>
      <c r="B46" s="5" t="s">
        <v>65</v>
      </c>
      <c r="C46" s="6">
        <v>9.0</v>
      </c>
      <c r="D46" s="6">
        <v>17.0</v>
      </c>
      <c r="E46" s="6">
        <v>8.7</v>
      </c>
      <c r="F46" s="6">
        <f t="shared" si="1"/>
        <v>8</v>
      </c>
      <c r="G46" s="6">
        <v>8.0</v>
      </c>
      <c r="H46" s="6">
        <v>16.0</v>
      </c>
      <c r="I46" s="6">
        <v>10.0</v>
      </c>
      <c r="J46" s="6">
        <v>19.0</v>
      </c>
      <c r="K46" s="6">
        <v>5.0</v>
      </c>
      <c r="L46" s="9">
        <v>45441.0</v>
      </c>
      <c r="M46" s="6">
        <v>4.0</v>
      </c>
      <c r="O46" s="10" t="str">
        <f t="shared" si="2"/>
        <v>No</v>
      </c>
      <c r="P46" s="10" t="s">
        <v>62</v>
      </c>
      <c r="Q46" s="10">
        <f t="shared" si="3"/>
        <v>0</v>
      </c>
      <c r="R46" s="10">
        <v>0.0</v>
      </c>
    </row>
    <row r="47" ht="22.5" customHeight="1">
      <c r="A47" s="5" t="s">
        <v>438</v>
      </c>
      <c r="B47" s="5" t="s">
        <v>22</v>
      </c>
      <c r="C47" s="6">
        <v>4.0</v>
      </c>
      <c r="D47" s="6">
        <v>19.0</v>
      </c>
      <c r="E47" s="6">
        <v>3.0</v>
      </c>
      <c r="F47" s="6">
        <f t="shared" si="1"/>
        <v>3</v>
      </c>
      <c r="G47" s="6">
        <v>3.0</v>
      </c>
      <c r="H47" s="6">
        <v>10.0</v>
      </c>
      <c r="I47" s="6">
        <v>21.0</v>
      </c>
      <c r="J47" s="6">
        <v>18.0</v>
      </c>
      <c r="K47" s="6">
        <v>5.0</v>
      </c>
      <c r="L47" s="9">
        <v>46250.0</v>
      </c>
      <c r="M47" s="6">
        <v>7.0</v>
      </c>
      <c r="N47" s="5" t="s">
        <v>62</v>
      </c>
      <c r="O47" s="5" t="str">
        <f t="shared" si="2"/>
        <v>No</v>
      </c>
      <c r="P47" s="5" t="s">
        <v>62</v>
      </c>
      <c r="Q47" s="5">
        <f t="shared" si="3"/>
        <v>0</v>
      </c>
      <c r="R47" s="5">
        <v>0.0</v>
      </c>
    </row>
    <row r="48" ht="22.5" customHeight="1">
      <c r="A48" s="5" t="s">
        <v>443</v>
      </c>
      <c r="B48" s="5" t="s">
        <v>84</v>
      </c>
      <c r="C48" s="6">
        <v>3.0</v>
      </c>
      <c r="D48" s="6">
        <v>9.0</v>
      </c>
      <c r="E48" s="6">
        <v>1.8</v>
      </c>
      <c r="F48" s="6">
        <f t="shared" si="1"/>
        <v>1</v>
      </c>
      <c r="G48" s="6">
        <v>1.0</v>
      </c>
      <c r="H48" s="6">
        <v>18.0</v>
      </c>
      <c r="I48" s="6">
        <v>19.0</v>
      </c>
      <c r="J48" s="6">
        <v>3.0</v>
      </c>
      <c r="K48" s="6">
        <v>4.0</v>
      </c>
      <c r="L48" s="9">
        <v>45420.0</v>
      </c>
      <c r="M48" s="6">
        <v>3.0</v>
      </c>
      <c r="N48" s="5" t="s">
        <v>113</v>
      </c>
      <c r="O48" s="5" t="str">
        <f t="shared" si="2"/>
        <v>No</v>
      </c>
      <c r="P48" s="5" t="s">
        <v>62</v>
      </c>
      <c r="Q48" s="5">
        <f t="shared" si="3"/>
        <v>0</v>
      </c>
      <c r="R48" s="5">
        <v>0.0</v>
      </c>
    </row>
    <row r="49" ht="22.5" customHeight="1">
      <c r="A49" s="5" t="s">
        <v>450</v>
      </c>
      <c r="B49" s="5" t="s">
        <v>84</v>
      </c>
      <c r="C49" s="6">
        <v>4.0</v>
      </c>
      <c r="D49" s="6">
        <v>14.0</v>
      </c>
      <c r="E49" s="6">
        <v>6.3</v>
      </c>
      <c r="F49" s="6">
        <f t="shared" si="1"/>
        <v>6</v>
      </c>
      <c r="G49" s="6">
        <v>6.0</v>
      </c>
      <c r="H49" s="6">
        <v>46.0</v>
      </c>
      <c r="I49" s="6">
        <v>25.0</v>
      </c>
      <c r="J49" s="6">
        <v>6.0</v>
      </c>
      <c r="K49" s="6">
        <v>5.0</v>
      </c>
      <c r="L49" s="9">
        <v>45749.0</v>
      </c>
      <c r="M49" s="6">
        <v>6.0</v>
      </c>
      <c r="N49" s="5" t="s">
        <v>62</v>
      </c>
      <c r="O49" s="5" t="str">
        <f t="shared" si="2"/>
        <v>No</v>
      </c>
      <c r="P49" s="5" t="s">
        <v>62</v>
      </c>
      <c r="Q49" s="5">
        <f t="shared" si="3"/>
        <v>0</v>
      </c>
      <c r="R49" s="5">
        <v>0.0</v>
      </c>
    </row>
    <row r="50" ht="22.5" customHeight="1">
      <c r="A50" s="5" t="s">
        <v>455</v>
      </c>
      <c r="B50" s="5" t="s">
        <v>22</v>
      </c>
      <c r="C50" s="6">
        <v>5.0</v>
      </c>
      <c r="D50" s="6">
        <v>8.0</v>
      </c>
      <c r="E50" s="6">
        <v>5.1</v>
      </c>
      <c r="F50" s="6">
        <f t="shared" si="1"/>
        <v>5</v>
      </c>
      <c r="G50" s="6">
        <v>5.0</v>
      </c>
      <c r="H50" s="6">
        <v>60.0</v>
      </c>
      <c r="I50" s="6">
        <v>10.0</v>
      </c>
      <c r="J50" s="6">
        <v>19.0</v>
      </c>
      <c r="K50" s="6">
        <v>1.0</v>
      </c>
      <c r="L50" s="9">
        <v>44605.0</v>
      </c>
      <c r="M50" s="6">
        <v>3.0</v>
      </c>
      <c r="O50" s="10" t="str">
        <f t="shared" si="2"/>
        <v>Yes</v>
      </c>
      <c r="P50" s="10" t="s">
        <v>113</v>
      </c>
      <c r="Q50" s="10">
        <f t="shared" si="3"/>
        <v>1</v>
      </c>
      <c r="R50" s="10">
        <v>1.0</v>
      </c>
    </row>
    <row r="51" ht="22.5" customHeight="1">
      <c r="A51" s="5" t="s">
        <v>467</v>
      </c>
      <c r="B51" s="5" t="s">
        <v>44</v>
      </c>
      <c r="C51" s="6">
        <v>6.0</v>
      </c>
      <c r="D51" s="6">
        <v>16.0</v>
      </c>
      <c r="E51" s="6">
        <v>2.6</v>
      </c>
      <c r="F51" s="6">
        <f t="shared" si="1"/>
        <v>2</v>
      </c>
      <c r="G51" s="6">
        <v>2.0</v>
      </c>
      <c r="H51" s="6">
        <v>36.0</v>
      </c>
      <c r="I51" s="6">
        <v>36.0</v>
      </c>
      <c r="J51" s="6">
        <v>4.0</v>
      </c>
      <c r="K51" s="6">
        <v>3.0</v>
      </c>
      <c r="L51" s="9">
        <v>45366.0</v>
      </c>
      <c r="M51" s="6">
        <v>5.0</v>
      </c>
      <c r="N51" s="5" t="s">
        <v>113</v>
      </c>
      <c r="O51" s="5" t="str">
        <f t="shared" si="2"/>
        <v>No</v>
      </c>
      <c r="P51" s="5" t="s">
        <v>62</v>
      </c>
      <c r="Q51" s="5">
        <f t="shared" si="3"/>
        <v>0</v>
      </c>
      <c r="R51" s="5">
        <v>0.0</v>
      </c>
    </row>
    <row r="52" ht="22.5" customHeight="1">
      <c r="A52" s="5" t="s">
        <v>472</v>
      </c>
      <c r="B52" s="5" t="s">
        <v>65</v>
      </c>
      <c r="C52" s="6">
        <v>6.0</v>
      </c>
      <c r="D52" s="6">
        <v>10.0</v>
      </c>
      <c r="E52" s="6">
        <v>10.4</v>
      </c>
      <c r="F52" s="6">
        <f t="shared" si="1"/>
        <v>10</v>
      </c>
      <c r="G52" s="6">
        <v>10.0</v>
      </c>
      <c r="H52" s="6">
        <v>46.0</v>
      </c>
      <c r="I52" s="6">
        <v>23.0</v>
      </c>
      <c r="J52" s="6">
        <v>2.0</v>
      </c>
      <c r="K52" s="6">
        <v>2.0</v>
      </c>
      <c r="L52" s="9">
        <v>45184.0</v>
      </c>
      <c r="M52" s="6">
        <v>4.0</v>
      </c>
      <c r="N52" s="5" t="s">
        <v>113</v>
      </c>
      <c r="O52" s="5" t="str">
        <f t="shared" si="2"/>
        <v>No</v>
      </c>
      <c r="P52" s="5" t="s">
        <v>62</v>
      </c>
      <c r="Q52" s="5">
        <f t="shared" si="3"/>
        <v>0</v>
      </c>
      <c r="R52" s="5">
        <v>0.0</v>
      </c>
    </row>
    <row r="53" ht="22.5" customHeight="1">
      <c r="A53" s="5" t="s">
        <v>479</v>
      </c>
      <c r="B53" s="5" t="s">
        <v>44</v>
      </c>
      <c r="C53" s="6">
        <v>5.0</v>
      </c>
      <c r="D53" s="6">
        <v>27.0</v>
      </c>
      <c r="E53" s="6">
        <v>3.4</v>
      </c>
      <c r="F53" s="6">
        <f t="shared" si="1"/>
        <v>3</v>
      </c>
      <c r="G53" s="6">
        <v>3.0</v>
      </c>
      <c r="H53" s="6">
        <v>24.0</v>
      </c>
      <c r="I53" s="6">
        <v>28.0</v>
      </c>
      <c r="J53" s="6">
        <v>5.0</v>
      </c>
      <c r="K53" s="6">
        <v>3.0</v>
      </c>
      <c r="L53" s="9">
        <v>45764.0</v>
      </c>
      <c r="M53" s="6">
        <v>7.0</v>
      </c>
      <c r="N53" s="5" t="s">
        <v>62</v>
      </c>
      <c r="O53" s="5" t="str">
        <f t="shared" si="2"/>
        <v>No</v>
      </c>
      <c r="P53" s="5" t="s">
        <v>62</v>
      </c>
      <c r="Q53" s="5">
        <f t="shared" si="3"/>
        <v>0</v>
      </c>
      <c r="R53" s="5">
        <v>0.0</v>
      </c>
    </row>
    <row r="54" ht="22.5" customHeight="1">
      <c r="A54" s="5" t="s">
        <v>484</v>
      </c>
      <c r="B54" s="5" t="s">
        <v>44</v>
      </c>
      <c r="C54" s="6">
        <v>4.0</v>
      </c>
      <c r="D54" s="6">
        <v>10.0</v>
      </c>
      <c r="E54" s="6">
        <v>4.0</v>
      </c>
      <c r="F54" s="6">
        <f t="shared" si="1"/>
        <v>4</v>
      </c>
      <c r="G54" s="6">
        <v>4.0</v>
      </c>
      <c r="H54" s="6">
        <v>58.0</v>
      </c>
      <c r="I54" s="6">
        <v>27.0</v>
      </c>
      <c r="J54" s="6">
        <v>18.0</v>
      </c>
      <c r="K54" s="6">
        <v>4.0</v>
      </c>
      <c r="L54" s="9">
        <v>45690.0</v>
      </c>
      <c r="M54" s="6">
        <v>7.0</v>
      </c>
      <c r="N54" s="5" t="s">
        <v>62</v>
      </c>
      <c r="O54" s="5" t="str">
        <f t="shared" si="2"/>
        <v>No</v>
      </c>
      <c r="P54" s="5" t="s">
        <v>62</v>
      </c>
      <c r="Q54" s="5">
        <f t="shared" si="3"/>
        <v>0</v>
      </c>
      <c r="R54" s="5">
        <v>0.0</v>
      </c>
    </row>
    <row r="55" ht="22.5" customHeight="1">
      <c r="A55" s="5" t="s">
        <v>493</v>
      </c>
      <c r="B55" s="5" t="s">
        <v>84</v>
      </c>
      <c r="C55" s="6">
        <v>9.0</v>
      </c>
      <c r="D55" s="6">
        <v>36.0</v>
      </c>
      <c r="E55" s="6">
        <v>11.5</v>
      </c>
      <c r="F55" s="6">
        <f t="shared" si="1"/>
        <v>11</v>
      </c>
      <c r="G55" s="6">
        <v>11.0</v>
      </c>
      <c r="H55" s="6">
        <v>10.0</v>
      </c>
      <c r="I55" s="6">
        <v>35.0</v>
      </c>
      <c r="J55" s="6">
        <v>2.0</v>
      </c>
      <c r="K55" s="6">
        <v>4.0</v>
      </c>
      <c r="L55" s="9">
        <v>45255.0</v>
      </c>
      <c r="M55" s="6">
        <v>1.0</v>
      </c>
      <c r="N55" s="5" t="s">
        <v>113</v>
      </c>
      <c r="O55" s="5" t="str">
        <f t="shared" si="2"/>
        <v>No</v>
      </c>
      <c r="P55" s="5" t="s">
        <v>62</v>
      </c>
      <c r="Q55" s="5">
        <f t="shared" si="3"/>
        <v>0</v>
      </c>
      <c r="R55" s="5">
        <v>0.0</v>
      </c>
    </row>
    <row r="56" ht="22.5" customHeight="1">
      <c r="A56" s="5" t="s">
        <v>502</v>
      </c>
      <c r="B56" s="5" t="s">
        <v>44</v>
      </c>
      <c r="C56" s="6">
        <v>3.0</v>
      </c>
      <c r="D56" s="6">
        <v>5.0</v>
      </c>
      <c r="E56" s="6">
        <v>9.0</v>
      </c>
      <c r="F56" s="6">
        <f t="shared" si="1"/>
        <v>9</v>
      </c>
      <c r="G56" s="6">
        <v>9.0</v>
      </c>
      <c r="H56" s="6">
        <v>34.0</v>
      </c>
      <c r="I56" s="6">
        <v>10.0</v>
      </c>
      <c r="J56" s="6">
        <v>8.0</v>
      </c>
      <c r="K56" s="6">
        <v>4.0</v>
      </c>
      <c r="L56" s="9">
        <v>46171.0</v>
      </c>
      <c r="M56" s="6">
        <v>9.0</v>
      </c>
      <c r="N56" s="5" t="s">
        <v>62</v>
      </c>
      <c r="O56" s="5" t="str">
        <f t="shared" si="2"/>
        <v>No</v>
      </c>
      <c r="P56" s="5" t="s">
        <v>62</v>
      </c>
      <c r="Q56" s="5">
        <f t="shared" si="3"/>
        <v>0</v>
      </c>
      <c r="R56" s="5">
        <v>0.0</v>
      </c>
    </row>
    <row r="57" ht="22.5" customHeight="1">
      <c r="A57" s="5" t="s">
        <v>507</v>
      </c>
      <c r="B57" s="5" t="s">
        <v>170</v>
      </c>
      <c r="C57" s="6">
        <v>2.0</v>
      </c>
      <c r="D57" s="6">
        <v>9.0</v>
      </c>
      <c r="E57" s="6">
        <v>3.1</v>
      </c>
      <c r="F57" s="6">
        <f t="shared" si="1"/>
        <v>3</v>
      </c>
      <c r="G57" s="6">
        <v>3.0</v>
      </c>
      <c r="H57" s="6">
        <v>25.0</v>
      </c>
      <c r="I57" s="6">
        <v>26.0</v>
      </c>
      <c r="J57" s="6">
        <v>9.0</v>
      </c>
      <c r="K57" s="6">
        <v>5.0</v>
      </c>
      <c r="L57" s="9">
        <v>45893.0</v>
      </c>
      <c r="M57" s="6">
        <v>8.0</v>
      </c>
      <c r="N57" s="5" t="s">
        <v>62</v>
      </c>
      <c r="O57" s="5" t="str">
        <f t="shared" si="2"/>
        <v>No</v>
      </c>
      <c r="P57" s="5" t="s">
        <v>62</v>
      </c>
      <c r="Q57" s="5">
        <f t="shared" si="3"/>
        <v>0</v>
      </c>
      <c r="R57" s="5">
        <v>0.0</v>
      </c>
    </row>
    <row r="58" ht="22.5" customHeight="1">
      <c r="A58" s="5" t="s">
        <v>513</v>
      </c>
      <c r="B58" s="5" t="s">
        <v>22</v>
      </c>
      <c r="C58" s="6">
        <v>5.0</v>
      </c>
      <c r="D58" s="6">
        <v>15.0</v>
      </c>
      <c r="E58" s="6">
        <v>5.4</v>
      </c>
      <c r="F58" s="6">
        <f t="shared" si="1"/>
        <v>5</v>
      </c>
      <c r="G58" s="6">
        <v>5.0</v>
      </c>
      <c r="H58" s="6">
        <v>31.0</v>
      </c>
      <c r="I58" s="6">
        <v>34.0</v>
      </c>
      <c r="J58" s="6">
        <v>8.0</v>
      </c>
      <c r="K58" s="6">
        <v>5.0</v>
      </c>
      <c r="L58" s="9">
        <v>45876.0</v>
      </c>
      <c r="M58" s="6">
        <v>8.0</v>
      </c>
      <c r="N58" s="5" t="s">
        <v>62</v>
      </c>
      <c r="O58" s="5" t="str">
        <f t="shared" si="2"/>
        <v>No</v>
      </c>
      <c r="P58" s="5" t="s">
        <v>62</v>
      </c>
      <c r="Q58" s="5">
        <f t="shared" si="3"/>
        <v>0</v>
      </c>
      <c r="R58" s="5">
        <v>0.0</v>
      </c>
    </row>
    <row r="59" ht="22.5" customHeight="1">
      <c r="A59" s="5" t="s">
        <v>519</v>
      </c>
      <c r="B59" s="5" t="s">
        <v>170</v>
      </c>
      <c r="C59" s="6">
        <v>6.0</v>
      </c>
      <c r="D59" s="6">
        <v>33.0</v>
      </c>
      <c r="E59" s="6">
        <v>2.9</v>
      </c>
      <c r="F59" s="6">
        <f t="shared" si="1"/>
        <v>2</v>
      </c>
      <c r="G59" s="6">
        <v>2.0</v>
      </c>
      <c r="H59" s="6">
        <v>8.0</v>
      </c>
      <c r="I59" s="6">
        <v>24.0</v>
      </c>
      <c r="J59" s="6">
        <v>4.0</v>
      </c>
      <c r="K59" s="6">
        <v>3.0</v>
      </c>
      <c r="L59" s="9">
        <v>45082.0</v>
      </c>
      <c r="M59" s="6">
        <v>4.0</v>
      </c>
      <c r="N59" s="5" t="s">
        <v>113</v>
      </c>
      <c r="O59" s="5" t="str">
        <f t="shared" si="2"/>
        <v>Yes</v>
      </c>
      <c r="P59" s="5" t="s">
        <v>113</v>
      </c>
      <c r="Q59" s="5">
        <f t="shared" si="3"/>
        <v>1</v>
      </c>
      <c r="R59" s="5">
        <v>1.0</v>
      </c>
    </row>
    <row r="60" ht="22.5" customHeight="1">
      <c r="A60" s="5" t="s">
        <v>524</v>
      </c>
      <c r="B60" s="5" t="s">
        <v>22</v>
      </c>
      <c r="C60" s="6">
        <v>5.0</v>
      </c>
      <c r="D60" s="6">
        <v>27.0</v>
      </c>
      <c r="E60" s="6">
        <v>11.0</v>
      </c>
      <c r="F60" s="6">
        <f t="shared" si="1"/>
        <v>11</v>
      </c>
      <c r="G60" s="6">
        <v>11.0</v>
      </c>
      <c r="H60" s="6">
        <v>44.0</v>
      </c>
      <c r="I60" s="6">
        <v>17.0</v>
      </c>
      <c r="J60" s="6">
        <v>18.0</v>
      </c>
      <c r="K60" s="6">
        <v>4.0</v>
      </c>
      <c r="L60" s="11"/>
      <c r="M60" s="6">
        <v>6.0</v>
      </c>
      <c r="O60" s="10" t="str">
        <f t="shared" si="2"/>
        <v>Yes</v>
      </c>
      <c r="P60" s="10" t="s">
        <v>113</v>
      </c>
      <c r="Q60" s="10">
        <f t="shared" si="3"/>
        <v>1</v>
      </c>
      <c r="R60" s="10">
        <v>1.0</v>
      </c>
    </row>
    <row r="61" ht="22.5" customHeight="1">
      <c r="A61" s="5" t="s">
        <v>530</v>
      </c>
      <c r="B61" s="5" t="s">
        <v>22</v>
      </c>
      <c r="C61" s="6">
        <v>4.0</v>
      </c>
      <c r="D61" s="6">
        <v>12.0</v>
      </c>
      <c r="E61" s="6">
        <v>11.0</v>
      </c>
      <c r="F61" s="6">
        <f t="shared" si="1"/>
        <v>11</v>
      </c>
      <c r="G61" s="6">
        <v>11.0</v>
      </c>
      <c r="H61" s="6">
        <v>40.0</v>
      </c>
      <c r="I61" s="6">
        <v>20.0</v>
      </c>
      <c r="J61" s="6">
        <v>7.0</v>
      </c>
      <c r="K61" s="6">
        <v>3.0</v>
      </c>
      <c r="L61" s="9">
        <v>45668.0</v>
      </c>
      <c r="M61" s="6">
        <v>6.0</v>
      </c>
      <c r="O61" s="10" t="str">
        <f t="shared" si="2"/>
        <v>No</v>
      </c>
      <c r="P61" s="10" t="s">
        <v>62</v>
      </c>
      <c r="Q61" s="10">
        <f t="shared" si="3"/>
        <v>0</v>
      </c>
      <c r="R61" s="10">
        <v>0.0</v>
      </c>
    </row>
    <row r="62" ht="22.5" customHeight="1">
      <c r="A62" s="5" t="s">
        <v>535</v>
      </c>
      <c r="B62" s="5" t="s">
        <v>22</v>
      </c>
      <c r="C62" s="6">
        <v>5.0</v>
      </c>
      <c r="D62" s="6">
        <v>28.0</v>
      </c>
      <c r="E62" s="6">
        <v>17.3</v>
      </c>
      <c r="F62" s="6">
        <f t="shared" si="1"/>
        <v>17</v>
      </c>
      <c r="G62" s="6">
        <v>17.0</v>
      </c>
      <c r="H62" s="6">
        <v>16.0</v>
      </c>
      <c r="I62" s="6">
        <v>22.0</v>
      </c>
      <c r="J62" s="6">
        <v>13.0</v>
      </c>
      <c r="K62" s="6">
        <v>0.0</v>
      </c>
      <c r="L62" s="9">
        <v>44790.0</v>
      </c>
      <c r="M62" s="6">
        <v>3.0</v>
      </c>
      <c r="N62" s="5" t="s">
        <v>113</v>
      </c>
      <c r="O62" s="5" t="str">
        <f t="shared" si="2"/>
        <v>Yes</v>
      </c>
      <c r="P62" s="5" t="s">
        <v>113</v>
      </c>
      <c r="Q62" s="5">
        <f t="shared" si="3"/>
        <v>1</v>
      </c>
      <c r="R62" s="5">
        <v>1.0</v>
      </c>
    </row>
    <row r="63" ht="22.5" customHeight="1">
      <c r="A63" s="5" t="s">
        <v>541</v>
      </c>
      <c r="B63" s="5" t="s">
        <v>65</v>
      </c>
      <c r="C63" s="6">
        <v>9.0</v>
      </c>
      <c r="D63" s="6">
        <v>54.0</v>
      </c>
      <c r="E63" s="6">
        <v>21.0</v>
      </c>
      <c r="F63" s="6">
        <f t="shared" si="1"/>
        <v>21</v>
      </c>
      <c r="G63" s="6">
        <v>21.0</v>
      </c>
      <c r="H63" s="6">
        <v>29.0</v>
      </c>
      <c r="I63" s="6">
        <v>19.0</v>
      </c>
      <c r="J63" s="6">
        <v>16.0</v>
      </c>
      <c r="K63" s="6">
        <v>5.0</v>
      </c>
      <c r="L63" s="9">
        <v>45444.0</v>
      </c>
      <c r="M63" s="6">
        <v>3.0</v>
      </c>
      <c r="N63" s="5" t="s">
        <v>113</v>
      </c>
      <c r="O63" s="5" t="str">
        <f t="shared" si="2"/>
        <v>No</v>
      </c>
      <c r="P63" s="5" t="s">
        <v>62</v>
      </c>
      <c r="Q63" s="5">
        <f t="shared" si="3"/>
        <v>0</v>
      </c>
      <c r="R63" s="5">
        <v>0.0</v>
      </c>
    </row>
    <row r="64" ht="22.5" customHeight="1">
      <c r="A64" s="5" t="s">
        <v>548</v>
      </c>
      <c r="B64" s="5" t="s">
        <v>22</v>
      </c>
      <c r="C64" s="6">
        <v>3.0</v>
      </c>
      <c r="D64" s="6">
        <v>16.0</v>
      </c>
      <c r="E64" s="6">
        <v>4.4</v>
      </c>
      <c r="F64" s="6">
        <f t="shared" si="1"/>
        <v>4</v>
      </c>
      <c r="G64" s="6">
        <v>4.0</v>
      </c>
      <c r="H64" s="6">
        <v>54.0</v>
      </c>
      <c r="I64" s="6">
        <v>24.0</v>
      </c>
      <c r="J64" s="6">
        <v>19.0</v>
      </c>
      <c r="K64" s="6">
        <v>4.0</v>
      </c>
      <c r="L64" s="9">
        <v>45223.0</v>
      </c>
      <c r="M64" s="6">
        <v>4.0</v>
      </c>
      <c r="N64" s="5" t="s">
        <v>113</v>
      </c>
      <c r="O64" s="5" t="str">
        <f t="shared" si="2"/>
        <v>No</v>
      </c>
      <c r="P64" s="5" t="s">
        <v>62</v>
      </c>
      <c r="Q64" s="5">
        <f t="shared" si="3"/>
        <v>0</v>
      </c>
      <c r="R64" s="5">
        <v>0.0</v>
      </c>
    </row>
    <row r="65" ht="22.5" customHeight="1">
      <c r="A65" s="5" t="s">
        <v>554</v>
      </c>
      <c r="B65" s="5" t="s">
        <v>22</v>
      </c>
      <c r="C65" s="6">
        <v>3.0</v>
      </c>
      <c r="D65" s="6">
        <v>16.0</v>
      </c>
      <c r="E65" s="6">
        <v>10.0</v>
      </c>
      <c r="F65" s="6">
        <f t="shared" si="1"/>
        <v>10</v>
      </c>
      <c r="G65" s="6">
        <v>10.0</v>
      </c>
      <c r="H65" s="6">
        <v>44.0</v>
      </c>
      <c r="I65" s="6">
        <v>37.0</v>
      </c>
      <c r="J65" s="6">
        <v>18.0</v>
      </c>
      <c r="K65" s="6">
        <v>3.0</v>
      </c>
      <c r="L65" s="9">
        <v>45621.0</v>
      </c>
      <c r="M65" s="6">
        <v>8.0</v>
      </c>
      <c r="N65" s="5" t="s">
        <v>62</v>
      </c>
      <c r="O65" s="5" t="str">
        <f t="shared" si="2"/>
        <v>No</v>
      </c>
      <c r="P65" s="5" t="s">
        <v>62</v>
      </c>
      <c r="Q65" s="5">
        <f t="shared" si="3"/>
        <v>0</v>
      </c>
      <c r="R65" s="5">
        <v>0.0</v>
      </c>
    </row>
    <row r="66" ht="22.5" customHeight="1">
      <c r="A66" s="5" t="s">
        <v>563</v>
      </c>
      <c r="B66" s="5" t="s">
        <v>84</v>
      </c>
      <c r="C66" s="6">
        <v>3.0</v>
      </c>
      <c r="D66" s="6">
        <v>8.0</v>
      </c>
      <c r="E66" s="6">
        <v>1.6</v>
      </c>
      <c r="F66" s="6">
        <f t="shared" si="1"/>
        <v>1</v>
      </c>
      <c r="G66" s="6">
        <v>1.0</v>
      </c>
      <c r="H66" s="6">
        <v>19.0</v>
      </c>
      <c r="I66" s="6">
        <v>20.0</v>
      </c>
      <c r="J66" s="6">
        <v>4.0</v>
      </c>
      <c r="K66" s="6">
        <v>2.0</v>
      </c>
      <c r="L66" s="9">
        <v>45128.0</v>
      </c>
      <c r="M66" s="6">
        <v>5.0</v>
      </c>
      <c r="N66" s="5" t="s">
        <v>113</v>
      </c>
      <c r="O66" s="5" t="str">
        <f t="shared" si="2"/>
        <v>Yes</v>
      </c>
      <c r="P66" s="5" t="s">
        <v>113</v>
      </c>
      <c r="Q66" s="5">
        <f t="shared" si="3"/>
        <v>1</v>
      </c>
      <c r="R66" s="5">
        <v>1.0</v>
      </c>
    </row>
    <row r="67" ht="22.5" customHeight="1">
      <c r="A67" s="5" t="s">
        <v>568</v>
      </c>
      <c r="B67" s="5" t="s">
        <v>22</v>
      </c>
      <c r="C67" s="6">
        <v>8.0</v>
      </c>
      <c r="D67" s="6">
        <v>33.0</v>
      </c>
      <c r="E67" s="6">
        <v>7.5</v>
      </c>
      <c r="F67" s="6">
        <f t="shared" si="1"/>
        <v>7</v>
      </c>
      <c r="G67" s="6">
        <v>7.0</v>
      </c>
      <c r="H67" s="6">
        <v>28.0</v>
      </c>
      <c r="I67" s="6">
        <v>21.0</v>
      </c>
      <c r="J67" s="6">
        <v>1.0</v>
      </c>
      <c r="K67" s="6">
        <v>0.0</v>
      </c>
      <c r="L67" s="9">
        <v>46184.0</v>
      </c>
      <c r="M67" s="6">
        <v>5.0</v>
      </c>
      <c r="O67" s="10" t="str">
        <f t="shared" si="2"/>
        <v>No</v>
      </c>
      <c r="P67" s="10" t="s">
        <v>62</v>
      </c>
      <c r="Q67" s="10">
        <f t="shared" si="3"/>
        <v>0</v>
      </c>
      <c r="R67" s="10">
        <v>0.0</v>
      </c>
    </row>
    <row r="68" ht="22.5" customHeight="1">
      <c r="A68" s="5" t="s">
        <v>574</v>
      </c>
      <c r="B68" s="5" t="s">
        <v>65</v>
      </c>
      <c r="C68" s="6">
        <v>7.0</v>
      </c>
      <c r="D68" s="6">
        <v>13.0</v>
      </c>
      <c r="E68" s="6">
        <v>8.6</v>
      </c>
      <c r="F68" s="6">
        <f t="shared" si="1"/>
        <v>8</v>
      </c>
      <c r="G68" s="6">
        <v>8.0</v>
      </c>
      <c r="H68" s="6">
        <v>6.0</v>
      </c>
      <c r="I68" s="6">
        <v>29.0</v>
      </c>
      <c r="J68" s="6">
        <v>1.0</v>
      </c>
      <c r="K68" s="6">
        <v>5.0</v>
      </c>
      <c r="L68" s="9">
        <v>44434.0</v>
      </c>
      <c r="M68" s="6">
        <v>3.0</v>
      </c>
      <c r="N68" s="5" t="s">
        <v>113</v>
      </c>
      <c r="O68" s="5" t="str">
        <f t="shared" si="2"/>
        <v>Yes</v>
      </c>
      <c r="P68" s="5" t="s">
        <v>113</v>
      </c>
      <c r="Q68" s="5">
        <f t="shared" si="3"/>
        <v>1</v>
      </c>
      <c r="R68" s="5">
        <v>1.0</v>
      </c>
    </row>
    <row r="69" ht="22.5" customHeight="1">
      <c r="A69" s="5" t="s">
        <v>580</v>
      </c>
      <c r="B69" s="5" t="s">
        <v>170</v>
      </c>
      <c r="C69" s="6">
        <v>8.0</v>
      </c>
      <c r="D69" s="6">
        <v>15.0</v>
      </c>
      <c r="E69" s="6">
        <v>3.5</v>
      </c>
      <c r="F69" s="6">
        <f t="shared" si="1"/>
        <v>3</v>
      </c>
      <c r="G69" s="6">
        <v>3.0</v>
      </c>
      <c r="H69" s="6">
        <v>55.0</v>
      </c>
      <c r="I69" s="6">
        <v>24.0</v>
      </c>
      <c r="J69" s="6">
        <v>16.0</v>
      </c>
      <c r="K69" s="6">
        <v>5.0</v>
      </c>
      <c r="L69" s="9">
        <v>45595.0</v>
      </c>
      <c r="M69" s="6">
        <v>9.0</v>
      </c>
      <c r="N69" s="5" t="s">
        <v>62</v>
      </c>
      <c r="O69" s="5" t="str">
        <f t="shared" si="2"/>
        <v>No</v>
      </c>
      <c r="P69" s="5" t="s">
        <v>62</v>
      </c>
      <c r="Q69" s="5">
        <f t="shared" si="3"/>
        <v>0</v>
      </c>
      <c r="R69" s="5">
        <v>0.0</v>
      </c>
    </row>
    <row r="70" ht="22.5" customHeight="1">
      <c r="A70" s="5" t="s">
        <v>586</v>
      </c>
      <c r="B70" s="5" t="s">
        <v>44</v>
      </c>
      <c r="C70" s="6">
        <v>7.0</v>
      </c>
      <c r="D70" s="6">
        <v>42.0</v>
      </c>
      <c r="E70" s="6">
        <v>4.3</v>
      </c>
      <c r="F70" s="6">
        <f t="shared" si="1"/>
        <v>4</v>
      </c>
      <c r="G70" s="6">
        <v>4.0</v>
      </c>
      <c r="H70" s="6">
        <v>31.0</v>
      </c>
      <c r="I70" s="6">
        <v>14.0</v>
      </c>
      <c r="J70" s="6">
        <v>12.0</v>
      </c>
      <c r="K70" s="6">
        <v>5.0</v>
      </c>
      <c r="L70" s="9">
        <v>46049.0</v>
      </c>
      <c r="M70" s="6">
        <v>5.0</v>
      </c>
      <c r="N70" s="5" t="s">
        <v>62</v>
      </c>
      <c r="O70" s="5" t="str">
        <f t="shared" si="2"/>
        <v>No</v>
      </c>
      <c r="P70" s="5" t="s">
        <v>62</v>
      </c>
      <c r="Q70" s="5">
        <f t="shared" si="3"/>
        <v>0</v>
      </c>
      <c r="R70" s="5">
        <v>0.0</v>
      </c>
    </row>
    <row r="71" ht="22.5" customHeight="1">
      <c r="A71" s="5" t="s">
        <v>589</v>
      </c>
      <c r="B71" s="5" t="s">
        <v>65</v>
      </c>
      <c r="C71" s="6">
        <v>8.0</v>
      </c>
      <c r="D71" s="6">
        <v>24.0</v>
      </c>
      <c r="E71" s="6">
        <v>11.1</v>
      </c>
      <c r="F71" s="6">
        <f t="shared" si="1"/>
        <v>11</v>
      </c>
      <c r="G71" s="6">
        <v>11.0</v>
      </c>
      <c r="H71" s="6">
        <v>58.0</v>
      </c>
      <c r="I71" s="6">
        <v>25.0</v>
      </c>
      <c r="J71" s="6">
        <v>7.0</v>
      </c>
      <c r="K71" s="6">
        <v>4.0</v>
      </c>
      <c r="L71" s="9">
        <v>46208.0</v>
      </c>
      <c r="M71" s="6">
        <v>6.0</v>
      </c>
      <c r="N71" s="5" t="s">
        <v>62</v>
      </c>
      <c r="O71" s="5" t="str">
        <f t="shared" si="2"/>
        <v>No</v>
      </c>
      <c r="P71" s="5" t="s">
        <v>62</v>
      </c>
      <c r="Q71" s="5">
        <f t="shared" si="3"/>
        <v>0</v>
      </c>
      <c r="R71" s="5">
        <v>0.0</v>
      </c>
    </row>
    <row r="72" ht="22.5" customHeight="1">
      <c r="A72" s="5" t="s">
        <v>595</v>
      </c>
      <c r="B72" s="5" t="s">
        <v>22</v>
      </c>
      <c r="C72" s="6">
        <v>7.0</v>
      </c>
      <c r="D72" s="6">
        <v>34.0</v>
      </c>
      <c r="E72" s="6">
        <v>8.7</v>
      </c>
      <c r="F72" s="6">
        <f t="shared" si="1"/>
        <v>8</v>
      </c>
      <c r="G72" s="6">
        <v>8.0</v>
      </c>
      <c r="H72" s="6">
        <v>52.0</v>
      </c>
      <c r="I72" s="6">
        <v>24.0</v>
      </c>
      <c r="J72" s="6">
        <v>1.0</v>
      </c>
      <c r="K72" s="6">
        <v>3.0</v>
      </c>
      <c r="L72" s="9">
        <v>45827.0</v>
      </c>
      <c r="M72" s="6">
        <v>6.0</v>
      </c>
      <c r="N72" s="5" t="s">
        <v>62</v>
      </c>
      <c r="O72" s="5" t="str">
        <f t="shared" si="2"/>
        <v>No</v>
      </c>
      <c r="P72" s="5" t="s">
        <v>62</v>
      </c>
      <c r="Q72" s="5">
        <f t="shared" si="3"/>
        <v>0</v>
      </c>
      <c r="R72" s="5">
        <v>0.0</v>
      </c>
    </row>
    <row r="73" ht="22.5" customHeight="1">
      <c r="A73" s="5" t="s">
        <v>600</v>
      </c>
      <c r="B73" s="5" t="s">
        <v>170</v>
      </c>
      <c r="C73" s="6">
        <v>5.0</v>
      </c>
      <c r="D73" s="6">
        <v>26.0</v>
      </c>
      <c r="E73" s="6">
        <v>16.1</v>
      </c>
      <c r="F73" s="6">
        <f t="shared" si="1"/>
        <v>16</v>
      </c>
      <c r="G73" s="6">
        <v>16.0</v>
      </c>
      <c r="H73" s="6">
        <v>19.0</v>
      </c>
      <c r="I73" s="6">
        <v>33.0</v>
      </c>
      <c r="J73" s="6">
        <v>2.0</v>
      </c>
      <c r="K73" s="6">
        <v>0.0</v>
      </c>
      <c r="L73" s="9">
        <v>45808.0</v>
      </c>
      <c r="M73" s="6">
        <v>6.0</v>
      </c>
      <c r="O73" s="10" t="str">
        <f t="shared" si="2"/>
        <v>No</v>
      </c>
      <c r="P73" s="10" t="s">
        <v>62</v>
      </c>
      <c r="Q73" s="10">
        <f t="shared" si="3"/>
        <v>0</v>
      </c>
      <c r="R73" s="10">
        <v>0.0</v>
      </c>
    </row>
    <row r="74" ht="22.5" customHeight="1">
      <c r="A74" s="5" t="s">
        <v>603</v>
      </c>
      <c r="B74" s="5" t="s">
        <v>65</v>
      </c>
      <c r="C74" s="6">
        <v>3.0</v>
      </c>
      <c r="D74" s="6">
        <v>16.0</v>
      </c>
      <c r="E74" s="6">
        <v>15.0</v>
      </c>
      <c r="F74" s="6">
        <f t="shared" si="1"/>
        <v>15</v>
      </c>
      <c r="G74" s="6">
        <v>15.0</v>
      </c>
      <c r="H74" s="6">
        <v>15.0</v>
      </c>
      <c r="I74" s="6">
        <v>17.0</v>
      </c>
      <c r="J74" s="6">
        <v>19.0</v>
      </c>
      <c r="K74" s="6">
        <v>0.0</v>
      </c>
      <c r="L74" s="9">
        <v>45733.0</v>
      </c>
      <c r="M74" s="6">
        <v>7.0</v>
      </c>
      <c r="N74" s="5" t="s">
        <v>62</v>
      </c>
      <c r="O74" s="5" t="str">
        <f t="shared" si="2"/>
        <v>No</v>
      </c>
      <c r="P74" s="5" t="s">
        <v>62</v>
      </c>
      <c r="Q74" s="5">
        <f t="shared" si="3"/>
        <v>0</v>
      </c>
      <c r="R74" s="5">
        <v>0.0</v>
      </c>
    </row>
    <row r="75" ht="22.5" customHeight="1">
      <c r="A75" s="5" t="s">
        <v>606</v>
      </c>
      <c r="B75" s="5" t="s">
        <v>65</v>
      </c>
      <c r="C75" s="6">
        <v>4.0</v>
      </c>
      <c r="D75" s="6">
        <v>24.0</v>
      </c>
      <c r="E75" s="6">
        <v>1.9</v>
      </c>
      <c r="F75" s="6">
        <f t="shared" si="1"/>
        <v>1</v>
      </c>
      <c r="G75" s="6">
        <v>1.0</v>
      </c>
      <c r="H75" s="6">
        <v>8.0</v>
      </c>
      <c r="I75" s="6">
        <v>33.0</v>
      </c>
      <c r="J75" s="6">
        <v>2.0</v>
      </c>
      <c r="K75" s="6">
        <v>0.0</v>
      </c>
      <c r="L75" s="9">
        <v>46203.0</v>
      </c>
      <c r="M75" s="6">
        <v>7.0</v>
      </c>
      <c r="N75" s="5" t="s">
        <v>62</v>
      </c>
      <c r="O75" s="5" t="str">
        <f t="shared" si="2"/>
        <v>No</v>
      </c>
      <c r="P75" s="5" t="s">
        <v>62</v>
      </c>
      <c r="Q75" s="5">
        <f t="shared" si="3"/>
        <v>0</v>
      </c>
      <c r="R75" s="5">
        <v>0.0</v>
      </c>
    </row>
    <row r="76" ht="22.5" customHeight="1">
      <c r="A76" s="5" t="s">
        <v>610</v>
      </c>
      <c r="B76" s="5" t="s">
        <v>65</v>
      </c>
      <c r="C76" s="6">
        <v>5.0</v>
      </c>
      <c r="D76" s="6">
        <v>13.0</v>
      </c>
      <c r="E76" s="6">
        <v>4.7</v>
      </c>
      <c r="F76" s="6">
        <f t="shared" si="1"/>
        <v>4</v>
      </c>
      <c r="G76" s="6">
        <v>4.0</v>
      </c>
      <c r="H76" s="6">
        <v>16.0</v>
      </c>
      <c r="I76" s="6">
        <v>24.0</v>
      </c>
      <c r="J76" s="6">
        <v>6.0</v>
      </c>
      <c r="K76" s="6">
        <v>1.0</v>
      </c>
      <c r="L76" s="9">
        <v>44883.0</v>
      </c>
      <c r="M76" s="6">
        <v>2.0</v>
      </c>
      <c r="N76" s="5" t="s">
        <v>113</v>
      </c>
      <c r="O76" s="5" t="str">
        <f t="shared" si="2"/>
        <v>Yes</v>
      </c>
      <c r="P76" s="5" t="s">
        <v>113</v>
      </c>
      <c r="Q76" s="5">
        <f t="shared" si="3"/>
        <v>1</v>
      </c>
      <c r="R76" s="5">
        <v>1.0</v>
      </c>
    </row>
    <row r="77" ht="22.5" customHeight="1">
      <c r="A77" s="5" t="s">
        <v>615</v>
      </c>
      <c r="B77" s="5" t="s">
        <v>65</v>
      </c>
      <c r="C77" s="6">
        <v>8.0</v>
      </c>
      <c r="D77" s="6">
        <v>13.0</v>
      </c>
      <c r="E77" s="6">
        <v>3.2</v>
      </c>
      <c r="F77" s="6">
        <f t="shared" si="1"/>
        <v>3</v>
      </c>
      <c r="G77" s="6">
        <v>3.0</v>
      </c>
      <c r="H77" s="6">
        <v>40.0</v>
      </c>
      <c r="I77" s="6">
        <v>16.0</v>
      </c>
      <c r="J77" s="6">
        <v>14.0</v>
      </c>
      <c r="K77" s="6">
        <v>4.0</v>
      </c>
      <c r="L77" s="9">
        <v>45366.0</v>
      </c>
      <c r="M77" s="6">
        <v>2.0</v>
      </c>
      <c r="N77" s="5" t="s">
        <v>113</v>
      </c>
      <c r="O77" s="5" t="str">
        <f t="shared" si="2"/>
        <v>No</v>
      </c>
      <c r="P77" s="5" t="s">
        <v>62</v>
      </c>
      <c r="Q77" s="5">
        <f t="shared" si="3"/>
        <v>0</v>
      </c>
      <c r="R77" s="5">
        <v>0.0</v>
      </c>
    </row>
    <row r="78" ht="22.5" customHeight="1">
      <c r="A78" s="5" t="s">
        <v>619</v>
      </c>
      <c r="B78" s="5" t="s">
        <v>170</v>
      </c>
      <c r="C78" s="6">
        <v>5.0</v>
      </c>
      <c r="D78" s="6">
        <v>17.0</v>
      </c>
      <c r="E78" s="6">
        <v>10.3</v>
      </c>
      <c r="F78" s="6">
        <f t="shared" si="1"/>
        <v>10</v>
      </c>
      <c r="G78" s="6">
        <v>10.0</v>
      </c>
      <c r="H78" s="6">
        <v>20.0</v>
      </c>
      <c r="I78" s="6">
        <v>15.0</v>
      </c>
      <c r="J78" s="6">
        <v>17.0</v>
      </c>
      <c r="K78" s="6">
        <v>1.0</v>
      </c>
      <c r="L78" s="9">
        <v>45581.0</v>
      </c>
      <c r="M78" s="6">
        <v>7.0</v>
      </c>
      <c r="N78" s="5" t="s">
        <v>62</v>
      </c>
      <c r="O78" s="5" t="str">
        <f t="shared" si="2"/>
        <v>No</v>
      </c>
      <c r="P78" s="5" t="s">
        <v>62</v>
      </c>
      <c r="Q78" s="5">
        <f t="shared" si="3"/>
        <v>0</v>
      </c>
      <c r="R78" s="5">
        <v>0.0</v>
      </c>
    </row>
    <row r="79" ht="22.5" customHeight="1">
      <c r="A79" s="5" t="s">
        <v>623</v>
      </c>
      <c r="B79" s="5" t="s">
        <v>22</v>
      </c>
      <c r="C79" s="6">
        <v>4.0</v>
      </c>
      <c r="D79" s="6">
        <v>8.0</v>
      </c>
      <c r="E79" s="6">
        <v>7.9</v>
      </c>
      <c r="F79" s="6">
        <f t="shared" si="1"/>
        <v>7</v>
      </c>
      <c r="G79" s="6">
        <v>7.0</v>
      </c>
      <c r="H79" s="6">
        <v>14.0</v>
      </c>
      <c r="I79" s="6">
        <v>40.0</v>
      </c>
      <c r="J79" s="6">
        <v>2.0</v>
      </c>
      <c r="K79" s="6">
        <v>1.0</v>
      </c>
      <c r="L79" s="9">
        <v>45802.0</v>
      </c>
      <c r="M79" s="6">
        <v>10.0</v>
      </c>
      <c r="N79" s="5" t="s">
        <v>62</v>
      </c>
      <c r="O79" s="5" t="str">
        <f t="shared" si="2"/>
        <v>No</v>
      </c>
      <c r="P79" s="5" t="s">
        <v>62</v>
      </c>
      <c r="Q79" s="5">
        <f t="shared" si="3"/>
        <v>0</v>
      </c>
      <c r="R79" s="5">
        <v>0.0</v>
      </c>
    </row>
    <row r="80" ht="22.5" customHeight="1">
      <c r="A80" s="5" t="s">
        <v>628</v>
      </c>
      <c r="B80" s="5" t="s">
        <v>22</v>
      </c>
      <c r="C80" s="6">
        <v>3.0</v>
      </c>
      <c r="D80" s="6">
        <v>5.0</v>
      </c>
      <c r="E80" s="6">
        <v>3.4</v>
      </c>
      <c r="F80" s="6">
        <f t="shared" si="1"/>
        <v>3</v>
      </c>
      <c r="G80" s="6">
        <v>3.0</v>
      </c>
      <c r="H80" s="6">
        <v>25.0</v>
      </c>
      <c r="I80" s="6">
        <v>24.0</v>
      </c>
      <c r="J80" s="6">
        <v>1.0</v>
      </c>
      <c r="K80" s="6">
        <v>1.0</v>
      </c>
      <c r="L80" s="9">
        <v>45538.0</v>
      </c>
      <c r="M80" s="6">
        <v>5.0</v>
      </c>
      <c r="N80" s="5" t="s">
        <v>62</v>
      </c>
      <c r="O80" s="5" t="str">
        <f t="shared" si="2"/>
        <v>No</v>
      </c>
      <c r="P80" s="5" t="s">
        <v>62</v>
      </c>
      <c r="Q80" s="5">
        <f t="shared" si="3"/>
        <v>0</v>
      </c>
      <c r="R80" s="5">
        <v>0.0</v>
      </c>
    </row>
    <row r="81" ht="22.5" customHeight="1">
      <c r="A81" s="5" t="s">
        <v>633</v>
      </c>
      <c r="B81" s="5" t="s">
        <v>44</v>
      </c>
      <c r="C81" s="6">
        <v>7.0</v>
      </c>
      <c r="D81" s="6">
        <v>22.0</v>
      </c>
      <c r="E81" s="6">
        <v>3.8</v>
      </c>
      <c r="F81" s="6">
        <f t="shared" si="1"/>
        <v>3</v>
      </c>
      <c r="G81" s="6">
        <v>3.0</v>
      </c>
      <c r="H81" s="6">
        <v>37.0</v>
      </c>
      <c r="I81" s="6">
        <v>32.0</v>
      </c>
      <c r="J81" s="6">
        <v>10.0</v>
      </c>
      <c r="K81" s="6">
        <v>0.0</v>
      </c>
      <c r="L81" s="9">
        <v>45738.0</v>
      </c>
      <c r="M81" s="6">
        <v>6.0</v>
      </c>
      <c r="N81" s="5" t="s">
        <v>62</v>
      </c>
      <c r="O81" s="5" t="str">
        <f t="shared" si="2"/>
        <v>No</v>
      </c>
      <c r="P81" s="5" t="s">
        <v>62</v>
      </c>
      <c r="Q81" s="5">
        <f t="shared" si="3"/>
        <v>0</v>
      </c>
      <c r="R81" s="5">
        <v>0.0</v>
      </c>
    </row>
    <row r="82" ht="22.5" customHeight="1">
      <c r="A82" s="5" t="s">
        <v>636</v>
      </c>
      <c r="B82" s="5" t="s">
        <v>22</v>
      </c>
      <c r="C82" s="6">
        <v>6.0</v>
      </c>
      <c r="D82" s="6">
        <v>24.0</v>
      </c>
      <c r="E82" s="6">
        <v>5.1</v>
      </c>
      <c r="F82" s="6">
        <f t="shared" si="1"/>
        <v>5</v>
      </c>
      <c r="G82" s="6">
        <v>5.0</v>
      </c>
      <c r="H82" s="6">
        <v>37.0</v>
      </c>
      <c r="I82" s="6">
        <v>46.0</v>
      </c>
      <c r="J82" s="6">
        <v>10.0</v>
      </c>
      <c r="K82" s="6">
        <v>4.0</v>
      </c>
      <c r="L82" s="9">
        <v>46025.0</v>
      </c>
      <c r="M82" s="6">
        <v>7.0</v>
      </c>
      <c r="N82" s="5" t="s">
        <v>62</v>
      </c>
      <c r="O82" s="5" t="str">
        <f t="shared" si="2"/>
        <v>No</v>
      </c>
      <c r="P82" s="5" t="s">
        <v>62</v>
      </c>
      <c r="Q82" s="5">
        <f t="shared" si="3"/>
        <v>0</v>
      </c>
      <c r="R82" s="5">
        <v>0.0</v>
      </c>
    </row>
    <row r="83" ht="22.5" customHeight="1">
      <c r="A83" s="5" t="s">
        <v>640</v>
      </c>
      <c r="B83" s="5" t="s">
        <v>170</v>
      </c>
      <c r="C83" s="6">
        <v>10.0</v>
      </c>
      <c r="D83" s="6">
        <v>29.0</v>
      </c>
      <c r="E83" s="6">
        <v>1.3</v>
      </c>
      <c r="F83" s="6">
        <f t="shared" si="1"/>
        <v>1</v>
      </c>
      <c r="G83" s="6">
        <v>1.0</v>
      </c>
      <c r="H83" s="6">
        <v>20.0</v>
      </c>
      <c r="I83" s="6">
        <v>32.0</v>
      </c>
      <c r="J83" s="6">
        <v>8.0</v>
      </c>
      <c r="K83" s="6">
        <v>3.0</v>
      </c>
      <c r="L83" s="9">
        <v>46072.0</v>
      </c>
      <c r="M83" s="6">
        <v>5.0</v>
      </c>
      <c r="N83" s="5" t="s">
        <v>62</v>
      </c>
      <c r="O83" s="5" t="str">
        <f t="shared" si="2"/>
        <v>No</v>
      </c>
      <c r="P83" s="5" t="s">
        <v>62</v>
      </c>
      <c r="Q83" s="5">
        <f t="shared" si="3"/>
        <v>0</v>
      </c>
      <c r="R83" s="5">
        <v>0.0</v>
      </c>
    </row>
    <row r="84" ht="22.5" customHeight="1">
      <c r="A84" s="5" t="s">
        <v>644</v>
      </c>
      <c r="B84" s="5" t="s">
        <v>22</v>
      </c>
      <c r="C84" s="6">
        <v>7.0</v>
      </c>
      <c r="D84" s="6">
        <v>31.0</v>
      </c>
      <c r="E84" s="6">
        <v>3.2</v>
      </c>
      <c r="F84" s="6">
        <f t="shared" si="1"/>
        <v>3</v>
      </c>
      <c r="G84" s="6">
        <v>3.0</v>
      </c>
      <c r="H84" s="6">
        <v>10.0</v>
      </c>
      <c r="I84" s="6">
        <v>23.0</v>
      </c>
      <c r="J84" s="6">
        <v>3.0</v>
      </c>
      <c r="K84" s="6">
        <v>2.0</v>
      </c>
      <c r="L84" s="9">
        <v>44598.0</v>
      </c>
      <c r="M84" s="6">
        <v>3.0</v>
      </c>
      <c r="N84" s="5" t="s">
        <v>113</v>
      </c>
      <c r="O84" s="5" t="str">
        <f t="shared" si="2"/>
        <v>Yes</v>
      </c>
      <c r="P84" s="5" t="s">
        <v>113</v>
      </c>
      <c r="Q84" s="5">
        <f t="shared" si="3"/>
        <v>1</v>
      </c>
      <c r="R84" s="5">
        <v>1.0</v>
      </c>
    </row>
    <row r="85" ht="22.5" customHeight="1">
      <c r="A85" s="5" t="s">
        <v>649</v>
      </c>
      <c r="B85" s="5" t="s">
        <v>22</v>
      </c>
      <c r="C85" s="6">
        <v>7.0</v>
      </c>
      <c r="D85" s="6">
        <v>18.0</v>
      </c>
      <c r="E85" s="6">
        <v>17.9</v>
      </c>
      <c r="F85" s="6">
        <f t="shared" si="1"/>
        <v>17</v>
      </c>
      <c r="G85" s="6">
        <v>17.0</v>
      </c>
      <c r="H85" s="6">
        <v>6.0</v>
      </c>
      <c r="I85" s="6">
        <v>23.0</v>
      </c>
      <c r="J85" s="6">
        <v>18.0</v>
      </c>
      <c r="K85" s="6">
        <v>1.0</v>
      </c>
      <c r="L85" s="9">
        <v>44919.0</v>
      </c>
      <c r="M85" s="6">
        <v>6.0</v>
      </c>
      <c r="N85" s="5" t="s">
        <v>113</v>
      </c>
      <c r="O85" s="5" t="str">
        <f t="shared" si="2"/>
        <v>Yes</v>
      </c>
      <c r="P85" s="5" t="s">
        <v>113</v>
      </c>
      <c r="Q85" s="5">
        <f t="shared" si="3"/>
        <v>1</v>
      </c>
      <c r="R85" s="5">
        <v>1.0</v>
      </c>
    </row>
    <row r="86" ht="22.5" customHeight="1">
      <c r="A86" s="5" t="s">
        <v>653</v>
      </c>
      <c r="B86" s="5" t="s">
        <v>65</v>
      </c>
      <c r="C86" s="6">
        <v>10.0</v>
      </c>
      <c r="D86" s="6">
        <v>16.0</v>
      </c>
      <c r="E86" s="6">
        <v>11.7</v>
      </c>
      <c r="F86" s="6">
        <f t="shared" si="1"/>
        <v>11</v>
      </c>
      <c r="G86" s="6">
        <v>11.0</v>
      </c>
      <c r="H86" s="6">
        <v>40.0</v>
      </c>
      <c r="I86" s="6">
        <v>31.0</v>
      </c>
      <c r="J86" s="6">
        <v>1.0</v>
      </c>
      <c r="K86" s="6">
        <v>5.0</v>
      </c>
      <c r="L86" s="9">
        <v>45657.0</v>
      </c>
      <c r="M86" s="6">
        <v>6.0</v>
      </c>
      <c r="N86" s="5" t="s">
        <v>62</v>
      </c>
      <c r="O86" s="5" t="str">
        <f t="shared" si="2"/>
        <v>No</v>
      </c>
      <c r="P86" s="5" t="s">
        <v>62</v>
      </c>
      <c r="Q86" s="5">
        <f t="shared" si="3"/>
        <v>0</v>
      </c>
      <c r="R86" s="5">
        <v>0.0</v>
      </c>
    </row>
    <row r="87" ht="22.5" customHeight="1">
      <c r="A87" s="5" t="s">
        <v>657</v>
      </c>
      <c r="B87" s="5" t="s">
        <v>65</v>
      </c>
      <c r="C87" s="6">
        <v>5.0</v>
      </c>
      <c r="D87" s="6">
        <v>25.0</v>
      </c>
      <c r="E87" s="6">
        <v>2.7</v>
      </c>
      <c r="F87" s="6">
        <f t="shared" si="1"/>
        <v>2</v>
      </c>
      <c r="G87" s="6">
        <v>2.0</v>
      </c>
      <c r="H87" s="6">
        <v>50.0</v>
      </c>
      <c r="I87" s="6">
        <v>30.0</v>
      </c>
      <c r="J87" s="6">
        <v>10.0</v>
      </c>
      <c r="K87" s="6">
        <v>1.0</v>
      </c>
      <c r="L87" s="9">
        <v>45605.0</v>
      </c>
      <c r="M87" s="6">
        <v>8.0</v>
      </c>
      <c r="N87" s="5" t="s">
        <v>62</v>
      </c>
      <c r="O87" s="5" t="str">
        <f t="shared" si="2"/>
        <v>No</v>
      </c>
      <c r="P87" s="5" t="s">
        <v>62</v>
      </c>
      <c r="Q87" s="5">
        <f t="shared" si="3"/>
        <v>0</v>
      </c>
      <c r="R87" s="5">
        <v>0.0</v>
      </c>
    </row>
    <row r="88" ht="22.5" customHeight="1">
      <c r="A88" s="5" t="s">
        <v>661</v>
      </c>
      <c r="B88" s="5" t="s">
        <v>44</v>
      </c>
      <c r="C88" s="6">
        <v>10.0</v>
      </c>
      <c r="D88" s="6">
        <v>43.0</v>
      </c>
      <c r="E88" s="6">
        <v>7.4</v>
      </c>
      <c r="F88" s="6">
        <f t="shared" si="1"/>
        <v>7</v>
      </c>
      <c r="G88" s="6">
        <v>7.0</v>
      </c>
      <c r="H88" s="6">
        <v>41.0</v>
      </c>
      <c r="I88" s="6">
        <v>26.0</v>
      </c>
      <c r="J88" s="6">
        <v>10.0</v>
      </c>
      <c r="K88" s="6">
        <v>4.0</v>
      </c>
      <c r="L88" s="9">
        <v>44612.0</v>
      </c>
      <c r="M88" s="6">
        <v>4.0</v>
      </c>
      <c r="N88" s="5" t="s">
        <v>113</v>
      </c>
      <c r="O88" s="5" t="str">
        <f t="shared" si="2"/>
        <v>Yes</v>
      </c>
      <c r="P88" s="5" t="s">
        <v>113</v>
      </c>
      <c r="Q88" s="5">
        <f t="shared" si="3"/>
        <v>1</v>
      </c>
      <c r="R88" s="5">
        <v>1.0</v>
      </c>
    </row>
    <row r="89" ht="22.5" customHeight="1">
      <c r="A89" s="5" t="s">
        <v>665</v>
      </c>
      <c r="B89" s="5" t="s">
        <v>84</v>
      </c>
      <c r="C89" s="6">
        <v>3.0</v>
      </c>
      <c r="D89" s="6">
        <v>15.0</v>
      </c>
      <c r="E89" s="6">
        <v>11.3</v>
      </c>
      <c r="F89" s="6">
        <f t="shared" si="1"/>
        <v>11</v>
      </c>
      <c r="G89" s="6">
        <v>11.0</v>
      </c>
      <c r="H89" s="6">
        <v>38.0</v>
      </c>
      <c r="I89" s="6">
        <v>25.0</v>
      </c>
      <c r="J89" s="6">
        <v>17.0</v>
      </c>
      <c r="K89" s="6">
        <v>4.0</v>
      </c>
      <c r="L89" s="9">
        <v>45042.0</v>
      </c>
      <c r="M89" s="6">
        <v>4.0</v>
      </c>
      <c r="N89" s="5" t="s">
        <v>113</v>
      </c>
      <c r="O89" s="5" t="str">
        <f t="shared" si="2"/>
        <v>Yes</v>
      </c>
      <c r="P89" s="5" t="s">
        <v>113</v>
      </c>
      <c r="Q89" s="5">
        <f t="shared" si="3"/>
        <v>1</v>
      </c>
      <c r="R89" s="5">
        <v>1.0</v>
      </c>
    </row>
    <row r="90" ht="22.5" customHeight="1">
      <c r="A90" s="5" t="s">
        <v>671</v>
      </c>
      <c r="B90" s="5" t="s">
        <v>22</v>
      </c>
      <c r="C90" s="6">
        <v>11.0</v>
      </c>
      <c r="D90" s="6">
        <v>18.0</v>
      </c>
      <c r="E90" s="6">
        <v>1.9</v>
      </c>
      <c r="F90" s="6">
        <f t="shared" si="1"/>
        <v>1</v>
      </c>
      <c r="G90" s="6">
        <v>1.0</v>
      </c>
      <c r="H90" s="6">
        <v>16.0</v>
      </c>
      <c r="I90" s="6">
        <v>29.0</v>
      </c>
      <c r="J90" s="6">
        <v>13.0</v>
      </c>
      <c r="K90" s="6">
        <v>0.0</v>
      </c>
      <c r="L90" s="9">
        <v>44661.0</v>
      </c>
      <c r="M90" s="6">
        <v>3.0</v>
      </c>
      <c r="N90" s="5" t="s">
        <v>113</v>
      </c>
      <c r="O90" s="5" t="str">
        <f t="shared" si="2"/>
        <v>Yes</v>
      </c>
      <c r="P90" s="5" t="s">
        <v>113</v>
      </c>
      <c r="Q90" s="5">
        <f t="shared" si="3"/>
        <v>1</v>
      </c>
      <c r="R90" s="5">
        <v>1.0</v>
      </c>
    </row>
    <row r="91" ht="22.5" customHeight="1">
      <c r="A91" s="5" t="s">
        <v>674</v>
      </c>
      <c r="B91" s="5" t="s">
        <v>65</v>
      </c>
      <c r="C91" s="6">
        <v>7.0</v>
      </c>
      <c r="D91" s="6">
        <v>37.0</v>
      </c>
      <c r="E91" s="6">
        <v>12.0</v>
      </c>
      <c r="F91" s="6">
        <f t="shared" si="1"/>
        <v>12</v>
      </c>
      <c r="G91" s="6">
        <v>12.0</v>
      </c>
      <c r="H91" s="6">
        <v>22.0</v>
      </c>
      <c r="I91" s="6">
        <v>11.0</v>
      </c>
      <c r="J91" s="6">
        <v>1.0</v>
      </c>
      <c r="K91" s="6">
        <v>5.0</v>
      </c>
      <c r="L91" s="9">
        <v>44528.0</v>
      </c>
      <c r="M91" s="6">
        <v>3.0</v>
      </c>
      <c r="N91" s="5" t="s">
        <v>113</v>
      </c>
      <c r="O91" s="5" t="str">
        <f t="shared" si="2"/>
        <v>Yes</v>
      </c>
      <c r="P91" s="5" t="s">
        <v>113</v>
      </c>
      <c r="Q91" s="5">
        <f t="shared" si="3"/>
        <v>1</v>
      </c>
      <c r="R91" s="5">
        <v>1.0</v>
      </c>
    </row>
    <row r="92" ht="22.5" customHeight="1">
      <c r="A92" s="5" t="s">
        <v>679</v>
      </c>
      <c r="B92" s="5" t="s">
        <v>65</v>
      </c>
      <c r="C92" s="6">
        <v>10.0</v>
      </c>
      <c r="D92" s="6">
        <v>43.0</v>
      </c>
      <c r="E92" s="6">
        <v>8.6</v>
      </c>
      <c r="F92" s="6">
        <f t="shared" si="1"/>
        <v>8</v>
      </c>
      <c r="G92" s="6">
        <v>8.0</v>
      </c>
      <c r="H92" s="6">
        <v>12.0</v>
      </c>
      <c r="I92" s="6">
        <v>22.0</v>
      </c>
      <c r="J92" s="6">
        <v>2.0</v>
      </c>
      <c r="K92" s="6">
        <v>1.0</v>
      </c>
      <c r="L92" s="9">
        <v>45580.0</v>
      </c>
      <c r="M92" s="6">
        <v>9.0</v>
      </c>
      <c r="N92" s="5" t="s">
        <v>62</v>
      </c>
      <c r="O92" s="5" t="str">
        <f t="shared" si="2"/>
        <v>No</v>
      </c>
      <c r="P92" s="5" t="s">
        <v>62</v>
      </c>
      <c r="Q92" s="5">
        <f t="shared" si="3"/>
        <v>0</v>
      </c>
      <c r="R92" s="5">
        <v>0.0</v>
      </c>
    </row>
    <row r="93" ht="22.5" customHeight="1">
      <c r="A93" s="5" t="s">
        <v>683</v>
      </c>
      <c r="B93" s="5" t="s">
        <v>84</v>
      </c>
      <c r="C93" s="6">
        <v>5.0</v>
      </c>
      <c r="D93" s="6">
        <v>20.0</v>
      </c>
      <c r="E93" s="6">
        <v>4.1</v>
      </c>
      <c r="F93" s="6">
        <f t="shared" si="1"/>
        <v>4</v>
      </c>
      <c r="G93" s="6">
        <v>4.0</v>
      </c>
      <c r="H93" s="6">
        <v>52.0</v>
      </c>
      <c r="I93" s="6">
        <v>12.0</v>
      </c>
      <c r="J93" s="6">
        <v>11.0</v>
      </c>
      <c r="K93" s="6">
        <v>4.0</v>
      </c>
      <c r="L93" s="9">
        <v>46108.0</v>
      </c>
      <c r="M93" s="6">
        <v>7.0</v>
      </c>
      <c r="N93" s="5" t="s">
        <v>62</v>
      </c>
      <c r="O93" s="5" t="str">
        <f t="shared" si="2"/>
        <v>No</v>
      </c>
      <c r="P93" s="5" t="s">
        <v>62</v>
      </c>
      <c r="Q93" s="5">
        <f t="shared" si="3"/>
        <v>0</v>
      </c>
      <c r="R93" s="5">
        <v>0.0</v>
      </c>
    </row>
    <row r="94" ht="22.5" customHeight="1">
      <c r="A94" s="5" t="s">
        <v>687</v>
      </c>
      <c r="B94" s="5" t="s">
        <v>65</v>
      </c>
      <c r="C94" s="6">
        <v>2.0</v>
      </c>
      <c r="D94" s="6">
        <v>9.0</v>
      </c>
      <c r="E94" s="6">
        <v>9.4</v>
      </c>
      <c r="F94" s="6">
        <f t="shared" si="1"/>
        <v>9</v>
      </c>
      <c r="G94" s="6">
        <v>9.0</v>
      </c>
      <c r="H94" s="6">
        <v>26.0</v>
      </c>
      <c r="I94" s="6">
        <v>30.0</v>
      </c>
      <c r="J94" s="6">
        <v>18.0</v>
      </c>
      <c r="K94" s="6">
        <v>5.0</v>
      </c>
      <c r="L94" s="9">
        <v>45682.0</v>
      </c>
      <c r="M94" s="6">
        <v>10.0</v>
      </c>
      <c r="N94" s="5" t="s">
        <v>62</v>
      </c>
      <c r="O94" s="5" t="str">
        <f t="shared" si="2"/>
        <v>No</v>
      </c>
      <c r="P94" s="5" t="s">
        <v>62</v>
      </c>
      <c r="Q94" s="5">
        <f t="shared" si="3"/>
        <v>0</v>
      </c>
      <c r="R94" s="5">
        <v>0.0</v>
      </c>
    </row>
    <row r="95" ht="22.5" customHeight="1">
      <c r="A95" s="5" t="s">
        <v>693</v>
      </c>
      <c r="B95" s="5" t="s">
        <v>84</v>
      </c>
      <c r="C95" s="6">
        <v>7.0</v>
      </c>
      <c r="D95" s="6">
        <v>38.0</v>
      </c>
      <c r="E95" s="6">
        <v>8.0</v>
      </c>
      <c r="F95" s="6">
        <f t="shared" si="1"/>
        <v>8</v>
      </c>
      <c r="G95" s="6">
        <v>8.0</v>
      </c>
      <c r="H95" s="6">
        <v>9.0</v>
      </c>
      <c r="I95" s="6">
        <v>20.0</v>
      </c>
      <c r="J95" s="6">
        <v>1.0</v>
      </c>
      <c r="K95" s="6">
        <v>1.0</v>
      </c>
      <c r="L95" s="9">
        <v>45643.0</v>
      </c>
      <c r="M95" s="6">
        <v>9.0</v>
      </c>
      <c r="N95" s="5" t="s">
        <v>62</v>
      </c>
      <c r="O95" s="5" t="str">
        <f t="shared" si="2"/>
        <v>No</v>
      </c>
      <c r="P95" s="5" t="s">
        <v>62</v>
      </c>
      <c r="Q95" s="5">
        <f t="shared" si="3"/>
        <v>0</v>
      </c>
      <c r="R95" s="5">
        <v>0.0</v>
      </c>
    </row>
    <row r="96" ht="22.5" customHeight="1">
      <c r="A96" s="5" t="s">
        <v>695</v>
      </c>
      <c r="B96" s="5" t="s">
        <v>84</v>
      </c>
      <c r="C96" s="6">
        <v>9.0</v>
      </c>
      <c r="D96" s="6">
        <v>37.0</v>
      </c>
      <c r="E96" s="6">
        <v>8.3</v>
      </c>
      <c r="F96" s="6">
        <f t="shared" si="1"/>
        <v>8</v>
      </c>
      <c r="G96" s="6">
        <v>8.0</v>
      </c>
      <c r="H96" s="6">
        <v>60.0</v>
      </c>
      <c r="I96" s="6">
        <v>12.0</v>
      </c>
      <c r="J96" s="6">
        <v>11.0</v>
      </c>
      <c r="K96" s="6">
        <v>5.0</v>
      </c>
      <c r="L96" s="9">
        <v>45716.0</v>
      </c>
      <c r="M96" s="6">
        <v>7.0</v>
      </c>
      <c r="O96" s="10" t="str">
        <f t="shared" si="2"/>
        <v>No</v>
      </c>
      <c r="P96" s="10" t="s">
        <v>62</v>
      </c>
      <c r="Q96" s="10">
        <f t="shared" si="3"/>
        <v>0</v>
      </c>
      <c r="R96" s="10">
        <v>0.0</v>
      </c>
    </row>
    <row r="97" ht="22.5" customHeight="1">
      <c r="A97" s="5" t="s">
        <v>701</v>
      </c>
      <c r="B97" s="5" t="s">
        <v>84</v>
      </c>
      <c r="C97" s="6">
        <v>7.0</v>
      </c>
      <c r="D97" s="6">
        <v>29.0</v>
      </c>
      <c r="E97" s="6">
        <v>7.3</v>
      </c>
      <c r="F97" s="6">
        <f t="shared" si="1"/>
        <v>7</v>
      </c>
      <c r="G97" s="6">
        <v>7.0</v>
      </c>
      <c r="H97" s="6">
        <v>25.0</v>
      </c>
      <c r="I97" s="6">
        <v>19.0</v>
      </c>
      <c r="J97" s="6">
        <v>6.0</v>
      </c>
      <c r="K97" s="6">
        <v>2.0</v>
      </c>
      <c r="L97" s="9">
        <v>45995.0</v>
      </c>
      <c r="M97" s="6">
        <v>9.0</v>
      </c>
      <c r="N97" s="5" t="s">
        <v>62</v>
      </c>
      <c r="O97" s="5" t="str">
        <f t="shared" si="2"/>
        <v>No</v>
      </c>
      <c r="P97" s="5" t="s">
        <v>62</v>
      </c>
      <c r="Q97" s="5">
        <f t="shared" si="3"/>
        <v>0</v>
      </c>
      <c r="R97" s="5">
        <v>0.0</v>
      </c>
    </row>
    <row r="98" ht="22.5" customHeight="1">
      <c r="A98" s="5" t="s">
        <v>704</v>
      </c>
      <c r="B98" s="5" t="s">
        <v>170</v>
      </c>
      <c r="C98" s="6">
        <v>3.0</v>
      </c>
      <c r="D98" s="6">
        <v>18.0</v>
      </c>
      <c r="E98" s="6">
        <v>3.7</v>
      </c>
      <c r="F98" s="6">
        <f t="shared" si="1"/>
        <v>3</v>
      </c>
      <c r="G98" s="6">
        <v>3.0</v>
      </c>
      <c r="H98" s="6">
        <v>53.0</v>
      </c>
      <c r="I98" s="6">
        <v>26.0</v>
      </c>
      <c r="J98" s="6">
        <v>13.0</v>
      </c>
      <c r="K98" s="6">
        <v>1.0</v>
      </c>
      <c r="L98" s="9">
        <v>45776.0</v>
      </c>
      <c r="M98" s="6">
        <v>3.0</v>
      </c>
      <c r="N98" s="5" t="s">
        <v>62</v>
      </c>
      <c r="O98" s="5" t="str">
        <f t="shared" si="2"/>
        <v>No</v>
      </c>
      <c r="P98" s="5" t="s">
        <v>62</v>
      </c>
      <c r="Q98" s="5">
        <f t="shared" si="3"/>
        <v>0</v>
      </c>
      <c r="R98" s="5">
        <v>0.0</v>
      </c>
    </row>
    <row r="99" ht="22.5" customHeight="1">
      <c r="A99" s="5" t="s">
        <v>707</v>
      </c>
      <c r="B99" s="5" t="s">
        <v>22</v>
      </c>
      <c r="C99" s="6">
        <v>4.0</v>
      </c>
      <c r="D99" s="6">
        <v>20.0</v>
      </c>
      <c r="E99" s="6">
        <v>4.2</v>
      </c>
      <c r="F99" s="6">
        <f t="shared" si="1"/>
        <v>4</v>
      </c>
      <c r="G99" s="6">
        <v>4.0</v>
      </c>
      <c r="H99" s="6">
        <v>45.0</v>
      </c>
      <c r="I99" s="6">
        <v>23.0</v>
      </c>
      <c r="J99" s="6">
        <v>9.0</v>
      </c>
      <c r="K99" s="6">
        <v>5.0</v>
      </c>
      <c r="L99" s="9">
        <v>45513.0</v>
      </c>
      <c r="M99" s="6">
        <v>3.0</v>
      </c>
      <c r="N99" s="5" t="s">
        <v>113</v>
      </c>
      <c r="O99" s="5" t="str">
        <f t="shared" si="2"/>
        <v>No</v>
      </c>
      <c r="P99" s="5" t="s">
        <v>62</v>
      </c>
      <c r="Q99" s="5">
        <f t="shared" si="3"/>
        <v>0</v>
      </c>
      <c r="R99" s="5">
        <v>0.0</v>
      </c>
    </row>
    <row r="100" ht="22.5" customHeight="1">
      <c r="A100" s="5" t="s">
        <v>712</v>
      </c>
      <c r="B100" s="5" t="s">
        <v>170</v>
      </c>
      <c r="C100" s="6">
        <v>6.0</v>
      </c>
      <c r="D100" s="6">
        <v>21.0</v>
      </c>
      <c r="E100" s="6">
        <v>5.7</v>
      </c>
      <c r="F100" s="6">
        <f t="shared" si="1"/>
        <v>5</v>
      </c>
      <c r="G100" s="6">
        <v>5.0</v>
      </c>
      <c r="H100" s="6">
        <v>30.0</v>
      </c>
      <c r="I100" s="6">
        <v>16.0</v>
      </c>
      <c r="J100" s="6">
        <v>6.0</v>
      </c>
      <c r="K100" s="6">
        <v>1.0</v>
      </c>
      <c r="L100" s="9">
        <v>45586.0</v>
      </c>
      <c r="M100" s="6">
        <v>7.0</v>
      </c>
      <c r="N100" s="5" t="s">
        <v>62</v>
      </c>
      <c r="O100" s="5" t="str">
        <f t="shared" si="2"/>
        <v>No</v>
      </c>
      <c r="P100" s="5" t="s">
        <v>62</v>
      </c>
      <c r="Q100" s="5">
        <f t="shared" si="3"/>
        <v>0</v>
      </c>
      <c r="R100" s="5">
        <v>0.0</v>
      </c>
    </row>
    <row r="101" ht="22.5" customHeight="1">
      <c r="A101" s="5" t="s">
        <v>717</v>
      </c>
      <c r="B101" s="5" t="s">
        <v>65</v>
      </c>
      <c r="C101" s="6">
        <v>4.0</v>
      </c>
      <c r="D101" s="6">
        <v>19.0</v>
      </c>
      <c r="E101" s="6">
        <v>6.9</v>
      </c>
      <c r="F101" s="6">
        <f t="shared" si="1"/>
        <v>6</v>
      </c>
      <c r="G101" s="6">
        <v>6.0</v>
      </c>
      <c r="H101" s="6">
        <v>33.0</v>
      </c>
      <c r="I101" s="6">
        <v>11.0</v>
      </c>
      <c r="J101" s="6">
        <v>12.0</v>
      </c>
      <c r="K101" s="6">
        <v>5.0</v>
      </c>
      <c r="L101" s="9">
        <v>45890.0</v>
      </c>
      <c r="M101" s="6">
        <v>5.0</v>
      </c>
      <c r="N101" s="5" t="s">
        <v>62</v>
      </c>
      <c r="O101" s="5" t="str">
        <f t="shared" si="2"/>
        <v>No</v>
      </c>
      <c r="P101" s="5" t="s">
        <v>62</v>
      </c>
      <c r="Q101" s="5">
        <f t="shared" si="3"/>
        <v>0</v>
      </c>
      <c r="R101" s="5">
        <v>0.0</v>
      </c>
    </row>
    <row r="102" ht="22.5" customHeight="1">
      <c r="A102" s="5" t="s">
        <v>722</v>
      </c>
      <c r="B102" s="5" t="s">
        <v>22</v>
      </c>
      <c r="C102" s="6">
        <v>4.0</v>
      </c>
      <c r="D102" s="6">
        <v>13.0</v>
      </c>
      <c r="E102" s="6">
        <v>9.8</v>
      </c>
      <c r="F102" s="6">
        <f t="shared" si="1"/>
        <v>9</v>
      </c>
      <c r="G102" s="6">
        <v>9.0</v>
      </c>
      <c r="H102" s="6">
        <v>9.0</v>
      </c>
      <c r="I102" s="6">
        <v>26.0</v>
      </c>
      <c r="J102" s="6">
        <v>1.0</v>
      </c>
      <c r="K102" s="6">
        <v>5.0</v>
      </c>
      <c r="L102" s="9">
        <v>45374.0</v>
      </c>
      <c r="M102" s="6">
        <v>1.0</v>
      </c>
      <c r="N102" s="5" t="s">
        <v>113</v>
      </c>
      <c r="O102" s="5" t="str">
        <f t="shared" si="2"/>
        <v>No</v>
      </c>
      <c r="P102" s="5" t="s">
        <v>62</v>
      </c>
      <c r="Q102" s="5">
        <f t="shared" si="3"/>
        <v>0</v>
      </c>
      <c r="R102" s="5">
        <v>0.0</v>
      </c>
    </row>
    <row r="103" ht="22.5" customHeight="1">
      <c r="A103" s="5" t="s">
        <v>727</v>
      </c>
      <c r="B103" s="5" t="s">
        <v>84</v>
      </c>
      <c r="C103" s="6">
        <v>6.0</v>
      </c>
      <c r="D103" s="6">
        <v>15.0</v>
      </c>
      <c r="E103" s="6">
        <v>18.1</v>
      </c>
      <c r="F103" s="6">
        <f t="shared" si="1"/>
        <v>18</v>
      </c>
      <c r="G103" s="6">
        <v>18.0</v>
      </c>
      <c r="H103" s="6">
        <v>13.0</v>
      </c>
      <c r="I103" s="6">
        <v>20.0</v>
      </c>
      <c r="J103" s="6">
        <v>14.0</v>
      </c>
      <c r="K103" s="6">
        <v>3.0</v>
      </c>
      <c r="L103" s="9">
        <v>44902.0</v>
      </c>
      <c r="M103" s="6">
        <v>2.0</v>
      </c>
      <c r="O103" s="10" t="str">
        <f t="shared" si="2"/>
        <v>Yes</v>
      </c>
      <c r="P103" s="10" t="s">
        <v>113</v>
      </c>
      <c r="Q103" s="10">
        <f t="shared" si="3"/>
        <v>1</v>
      </c>
      <c r="R103" s="10">
        <v>1.0</v>
      </c>
    </row>
    <row r="104" ht="22.5" customHeight="1">
      <c r="A104" s="5" t="s">
        <v>730</v>
      </c>
      <c r="B104" s="5" t="s">
        <v>44</v>
      </c>
      <c r="C104" s="6">
        <v>7.0</v>
      </c>
      <c r="D104" s="6">
        <v>29.0</v>
      </c>
      <c r="E104" s="6">
        <v>7.7</v>
      </c>
      <c r="F104" s="6">
        <f t="shared" si="1"/>
        <v>7</v>
      </c>
      <c r="G104" s="6">
        <v>7.0</v>
      </c>
      <c r="H104" s="6">
        <v>44.0</v>
      </c>
      <c r="I104" s="6">
        <v>23.0</v>
      </c>
      <c r="J104" s="6">
        <v>12.0</v>
      </c>
      <c r="K104" s="6">
        <v>0.0</v>
      </c>
      <c r="L104" s="9">
        <v>44789.0</v>
      </c>
      <c r="M104" s="6">
        <v>4.0</v>
      </c>
      <c r="N104" s="5" t="s">
        <v>113</v>
      </c>
      <c r="O104" s="5" t="str">
        <f t="shared" si="2"/>
        <v>Yes</v>
      </c>
      <c r="P104" s="5" t="s">
        <v>113</v>
      </c>
      <c r="Q104" s="5">
        <f t="shared" si="3"/>
        <v>1</v>
      </c>
      <c r="R104" s="5">
        <v>1.0</v>
      </c>
    </row>
    <row r="105" ht="22.5" customHeight="1">
      <c r="A105" s="5" t="s">
        <v>737</v>
      </c>
      <c r="B105" s="5" t="s">
        <v>22</v>
      </c>
      <c r="C105" s="6">
        <v>6.0</v>
      </c>
      <c r="D105" s="6">
        <v>34.0</v>
      </c>
      <c r="E105" s="6">
        <v>9.7</v>
      </c>
      <c r="F105" s="6">
        <f t="shared" si="1"/>
        <v>9</v>
      </c>
      <c r="G105" s="6">
        <v>9.0</v>
      </c>
      <c r="H105" s="6">
        <v>52.0</v>
      </c>
      <c r="I105" s="6">
        <v>24.0</v>
      </c>
      <c r="J105" s="6">
        <v>17.0</v>
      </c>
      <c r="K105" s="6">
        <v>4.0</v>
      </c>
      <c r="L105" s="9">
        <v>45649.0</v>
      </c>
      <c r="M105" s="6">
        <v>8.0</v>
      </c>
      <c r="N105" s="5" t="s">
        <v>62</v>
      </c>
      <c r="O105" s="5" t="str">
        <f t="shared" si="2"/>
        <v>No</v>
      </c>
      <c r="P105" s="5" t="s">
        <v>62</v>
      </c>
      <c r="Q105" s="5">
        <f t="shared" si="3"/>
        <v>0</v>
      </c>
      <c r="R105" s="5">
        <v>0.0</v>
      </c>
    </row>
    <row r="106" ht="22.5" customHeight="1">
      <c r="A106" s="5" t="s">
        <v>741</v>
      </c>
      <c r="B106" s="5" t="s">
        <v>22</v>
      </c>
      <c r="C106" s="6">
        <v>4.0</v>
      </c>
      <c r="D106" s="6">
        <v>23.0</v>
      </c>
      <c r="E106" s="6">
        <v>11.0</v>
      </c>
      <c r="F106" s="6">
        <f t="shared" si="1"/>
        <v>11</v>
      </c>
      <c r="G106" s="6">
        <v>11.0</v>
      </c>
      <c r="H106" s="6">
        <v>31.0</v>
      </c>
      <c r="I106" s="6">
        <v>28.0</v>
      </c>
      <c r="J106" s="6">
        <v>14.0</v>
      </c>
      <c r="K106" s="6">
        <v>5.0</v>
      </c>
      <c r="L106" s="9">
        <v>45626.0</v>
      </c>
      <c r="M106" s="6">
        <v>7.0</v>
      </c>
      <c r="N106" s="5" t="s">
        <v>62</v>
      </c>
      <c r="O106" s="5" t="str">
        <f t="shared" si="2"/>
        <v>No</v>
      </c>
      <c r="P106" s="5" t="s">
        <v>62</v>
      </c>
      <c r="Q106" s="5">
        <f t="shared" si="3"/>
        <v>0</v>
      </c>
      <c r="R106" s="5">
        <v>0.0</v>
      </c>
    </row>
    <row r="107" ht="22.5" customHeight="1">
      <c r="A107" s="5" t="s">
        <v>744</v>
      </c>
      <c r="B107" s="5" t="s">
        <v>65</v>
      </c>
      <c r="C107" s="6">
        <v>6.0</v>
      </c>
      <c r="D107" s="6">
        <v>18.0</v>
      </c>
      <c r="E107" s="6">
        <v>10.1</v>
      </c>
      <c r="F107" s="6">
        <f t="shared" si="1"/>
        <v>10</v>
      </c>
      <c r="G107" s="6">
        <v>10.0</v>
      </c>
      <c r="H107" s="6">
        <v>37.0</v>
      </c>
      <c r="I107" s="6">
        <v>32.0</v>
      </c>
      <c r="J107" s="6">
        <v>7.0</v>
      </c>
      <c r="K107" s="6">
        <v>0.0</v>
      </c>
      <c r="L107" s="9">
        <v>44978.0</v>
      </c>
      <c r="M107" s="6">
        <v>4.0</v>
      </c>
      <c r="N107" s="5" t="s">
        <v>113</v>
      </c>
      <c r="O107" s="5" t="str">
        <f t="shared" si="2"/>
        <v>Yes</v>
      </c>
      <c r="P107" s="5" t="s">
        <v>113</v>
      </c>
      <c r="Q107" s="5">
        <f t="shared" si="3"/>
        <v>1</v>
      </c>
      <c r="R107" s="5">
        <v>1.0</v>
      </c>
    </row>
    <row r="108" ht="22.5" customHeight="1">
      <c r="A108" s="5" t="s">
        <v>749</v>
      </c>
      <c r="B108" s="5" t="s">
        <v>22</v>
      </c>
      <c r="C108" s="6">
        <v>4.0</v>
      </c>
      <c r="D108" s="6">
        <v>15.0</v>
      </c>
      <c r="E108" s="6">
        <v>3.6</v>
      </c>
      <c r="F108" s="6">
        <f t="shared" si="1"/>
        <v>3</v>
      </c>
      <c r="G108" s="6">
        <v>3.0</v>
      </c>
      <c r="H108" s="6">
        <v>46.0</v>
      </c>
      <c r="I108" s="6">
        <v>26.0</v>
      </c>
      <c r="J108" s="6">
        <v>5.0</v>
      </c>
      <c r="K108" s="6">
        <v>2.0</v>
      </c>
      <c r="L108" s="9">
        <v>45460.0</v>
      </c>
      <c r="M108" s="6">
        <v>5.0</v>
      </c>
      <c r="N108" s="5" t="s">
        <v>113</v>
      </c>
      <c r="O108" s="5" t="str">
        <f t="shared" si="2"/>
        <v>No</v>
      </c>
      <c r="P108" s="5" t="s">
        <v>62</v>
      </c>
      <c r="Q108" s="5">
        <f t="shared" si="3"/>
        <v>0</v>
      </c>
      <c r="R108" s="5">
        <v>0.0</v>
      </c>
    </row>
    <row r="109" ht="22.5" customHeight="1">
      <c r="A109" s="5" t="s">
        <v>751</v>
      </c>
      <c r="B109" s="5" t="s">
        <v>170</v>
      </c>
      <c r="C109" s="6">
        <v>4.0</v>
      </c>
      <c r="D109" s="6">
        <v>10.0</v>
      </c>
      <c r="E109" s="6">
        <v>13.9</v>
      </c>
      <c r="F109" s="6">
        <f t="shared" si="1"/>
        <v>13</v>
      </c>
      <c r="G109" s="6">
        <v>13.0</v>
      </c>
      <c r="H109" s="6">
        <v>35.0</v>
      </c>
      <c r="I109" s="6">
        <v>22.0</v>
      </c>
      <c r="J109" s="6">
        <v>18.0</v>
      </c>
      <c r="K109" s="6">
        <v>2.0</v>
      </c>
      <c r="L109" s="9">
        <v>44763.0</v>
      </c>
      <c r="M109" s="6">
        <v>3.0</v>
      </c>
      <c r="N109" s="5" t="s">
        <v>113</v>
      </c>
      <c r="O109" s="5" t="str">
        <f t="shared" si="2"/>
        <v>Yes</v>
      </c>
      <c r="P109" s="5" t="s">
        <v>113</v>
      </c>
      <c r="Q109" s="5">
        <f t="shared" si="3"/>
        <v>1</v>
      </c>
      <c r="R109" s="5">
        <v>1.0</v>
      </c>
    </row>
    <row r="110" ht="22.5" customHeight="1">
      <c r="A110" s="5" t="s">
        <v>756</v>
      </c>
      <c r="B110" s="5" t="s">
        <v>22</v>
      </c>
      <c r="C110" s="6">
        <v>7.0</v>
      </c>
      <c r="D110" s="6">
        <v>42.0</v>
      </c>
      <c r="E110" s="6">
        <v>12.7</v>
      </c>
      <c r="F110" s="6">
        <f t="shared" si="1"/>
        <v>12</v>
      </c>
      <c r="G110" s="6">
        <v>12.0</v>
      </c>
      <c r="H110" s="6">
        <v>17.0</v>
      </c>
      <c r="I110" s="6">
        <v>25.0</v>
      </c>
      <c r="J110" s="6">
        <v>8.0</v>
      </c>
      <c r="K110" s="6">
        <v>3.0</v>
      </c>
      <c r="L110" s="9">
        <v>45234.0</v>
      </c>
      <c r="M110" s="6">
        <v>3.0</v>
      </c>
      <c r="N110" s="5" t="s">
        <v>113</v>
      </c>
      <c r="O110" s="5" t="str">
        <f t="shared" si="2"/>
        <v>No</v>
      </c>
      <c r="P110" s="5" t="s">
        <v>62</v>
      </c>
      <c r="Q110" s="5">
        <f t="shared" si="3"/>
        <v>0</v>
      </c>
      <c r="R110" s="5">
        <v>0.0</v>
      </c>
    </row>
    <row r="111" ht="22.5" customHeight="1">
      <c r="A111" s="5" t="s">
        <v>762</v>
      </c>
      <c r="B111" s="5" t="s">
        <v>22</v>
      </c>
      <c r="C111" s="6">
        <v>6.0</v>
      </c>
      <c r="D111" s="6">
        <v>35.0</v>
      </c>
      <c r="E111" s="6">
        <v>7.2</v>
      </c>
      <c r="F111" s="6">
        <f t="shared" si="1"/>
        <v>7</v>
      </c>
      <c r="G111" s="6">
        <v>7.0</v>
      </c>
      <c r="H111" s="6">
        <v>52.0</v>
      </c>
      <c r="I111" s="6">
        <v>22.0</v>
      </c>
      <c r="J111" s="6">
        <v>16.0</v>
      </c>
      <c r="K111" s="6">
        <v>4.0</v>
      </c>
      <c r="L111" s="9">
        <v>45277.0</v>
      </c>
      <c r="M111" s="6">
        <v>2.0</v>
      </c>
      <c r="N111" s="5" t="s">
        <v>113</v>
      </c>
      <c r="O111" s="5" t="str">
        <f t="shared" si="2"/>
        <v>No</v>
      </c>
      <c r="P111" s="5" t="s">
        <v>62</v>
      </c>
      <c r="Q111" s="5">
        <f t="shared" si="3"/>
        <v>0</v>
      </c>
      <c r="R111" s="5">
        <v>0.0</v>
      </c>
    </row>
    <row r="112" ht="22.5" customHeight="1">
      <c r="A112" s="5" t="s">
        <v>766</v>
      </c>
      <c r="B112" s="5" t="s">
        <v>44</v>
      </c>
      <c r="C112" s="6">
        <v>7.0</v>
      </c>
      <c r="D112" s="6">
        <v>31.0</v>
      </c>
      <c r="E112" s="6">
        <v>3.7</v>
      </c>
      <c r="F112" s="6">
        <f t="shared" si="1"/>
        <v>3</v>
      </c>
      <c r="G112" s="6">
        <v>3.0</v>
      </c>
      <c r="H112" s="6">
        <v>12.0</v>
      </c>
      <c r="I112" s="6">
        <v>12.0</v>
      </c>
      <c r="J112" s="6">
        <v>2.0</v>
      </c>
      <c r="K112" s="6">
        <v>3.0</v>
      </c>
      <c r="L112" s="9">
        <v>45808.0</v>
      </c>
      <c r="M112" s="6">
        <v>8.0</v>
      </c>
      <c r="N112" s="5" t="s">
        <v>62</v>
      </c>
      <c r="O112" s="5" t="str">
        <f t="shared" si="2"/>
        <v>No</v>
      </c>
      <c r="P112" s="5" t="s">
        <v>62</v>
      </c>
      <c r="Q112" s="5">
        <f t="shared" si="3"/>
        <v>0</v>
      </c>
      <c r="R112" s="5">
        <v>0.0</v>
      </c>
    </row>
    <row r="113" ht="22.5" customHeight="1">
      <c r="A113" s="5" t="s">
        <v>768</v>
      </c>
      <c r="B113" s="5" t="s">
        <v>65</v>
      </c>
      <c r="C113" s="6">
        <v>3.0</v>
      </c>
      <c r="D113" s="6">
        <v>15.0</v>
      </c>
      <c r="E113" s="6">
        <v>6.8</v>
      </c>
      <c r="F113" s="6">
        <f t="shared" si="1"/>
        <v>6</v>
      </c>
      <c r="G113" s="6">
        <v>6.0</v>
      </c>
      <c r="H113" s="6">
        <v>34.0</v>
      </c>
      <c r="I113" s="6">
        <v>34.0</v>
      </c>
      <c r="J113" s="6">
        <v>2.0</v>
      </c>
      <c r="K113" s="6">
        <v>5.0</v>
      </c>
      <c r="L113" s="11"/>
      <c r="M113" s="6">
        <v>2.0</v>
      </c>
      <c r="N113" s="5" t="s">
        <v>113</v>
      </c>
      <c r="O113" s="5" t="str">
        <f t="shared" si="2"/>
        <v>Yes</v>
      </c>
      <c r="P113" s="5" t="s">
        <v>113</v>
      </c>
      <c r="Q113" s="5">
        <f t="shared" si="3"/>
        <v>1</v>
      </c>
      <c r="R113" s="5">
        <v>1.0</v>
      </c>
    </row>
    <row r="114" ht="22.5" customHeight="1">
      <c r="A114" s="5" t="s">
        <v>771</v>
      </c>
      <c r="B114" s="5" t="s">
        <v>65</v>
      </c>
      <c r="C114" s="6">
        <v>5.0</v>
      </c>
      <c r="D114" s="6">
        <v>24.0</v>
      </c>
      <c r="E114" s="6">
        <v>2.1</v>
      </c>
      <c r="F114" s="6">
        <f t="shared" si="1"/>
        <v>2</v>
      </c>
      <c r="G114" s="6">
        <v>2.0</v>
      </c>
      <c r="H114" s="6">
        <v>46.0</v>
      </c>
      <c r="I114" s="6">
        <v>32.0</v>
      </c>
      <c r="J114" s="6">
        <v>4.0</v>
      </c>
      <c r="K114" s="6">
        <v>5.0</v>
      </c>
      <c r="L114" s="9">
        <v>46015.0</v>
      </c>
      <c r="M114" s="6">
        <v>7.0</v>
      </c>
      <c r="N114" s="5" t="s">
        <v>62</v>
      </c>
      <c r="O114" s="5" t="str">
        <f t="shared" si="2"/>
        <v>No</v>
      </c>
      <c r="P114" s="5" t="s">
        <v>62</v>
      </c>
      <c r="Q114" s="5">
        <f t="shared" si="3"/>
        <v>0</v>
      </c>
      <c r="R114" s="5">
        <v>0.0</v>
      </c>
    </row>
    <row r="115" ht="22.5" customHeight="1">
      <c r="A115" s="5" t="s">
        <v>775</v>
      </c>
      <c r="B115" s="5" t="s">
        <v>44</v>
      </c>
      <c r="C115" s="6">
        <v>8.0</v>
      </c>
      <c r="D115" s="6">
        <v>33.0</v>
      </c>
      <c r="E115" s="6">
        <v>14.9</v>
      </c>
      <c r="F115" s="6">
        <f t="shared" si="1"/>
        <v>14</v>
      </c>
      <c r="G115" s="6">
        <v>14.0</v>
      </c>
      <c r="H115" s="6">
        <v>27.0</v>
      </c>
      <c r="I115" s="6">
        <v>41.0</v>
      </c>
      <c r="J115" s="6">
        <v>12.0</v>
      </c>
      <c r="K115" s="6">
        <v>3.0</v>
      </c>
      <c r="L115" s="9">
        <v>45876.0</v>
      </c>
      <c r="M115" s="6">
        <v>8.0</v>
      </c>
      <c r="N115" s="5" t="s">
        <v>62</v>
      </c>
      <c r="O115" s="5" t="str">
        <f t="shared" si="2"/>
        <v>No</v>
      </c>
      <c r="P115" s="5" t="s">
        <v>62</v>
      </c>
      <c r="Q115" s="5">
        <f t="shared" si="3"/>
        <v>0</v>
      </c>
      <c r="R115" s="5">
        <v>0.0</v>
      </c>
    </row>
    <row r="116" ht="22.5" customHeight="1">
      <c r="A116" s="5" t="s">
        <v>780</v>
      </c>
      <c r="B116" s="5" t="s">
        <v>65</v>
      </c>
      <c r="C116" s="6">
        <v>7.0</v>
      </c>
      <c r="D116" s="6">
        <v>12.0</v>
      </c>
      <c r="E116" s="6">
        <v>4.4</v>
      </c>
      <c r="F116" s="6">
        <f t="shared" si="1"/>
        <v>4</v>
      </c>
      <c r="G116" s="6">
        <v>4.0</v>
      </c>
      <c r="H116" s="6">
        <v>11.0</v>
      </c>
      <c r="I116" s="6">
        <v>43.0</v>
      </c>
      <c r="J116" s="6">
        <v>7.0</v>
      </c>
      <c r="K116" s="6">
        <v>3.0</v>
      </c>
      <c r="L116" s="9">
        <v>44561.0</v>
      </c>
      <c r="M116" s="6">
        <v>5.0</v>
      </c>
      <c r="N116" s="5" t="s">
        <v>113</v>
      </c>
      <c r="O116" s="5" t="str">
        <f t="shared" si="2"/>
        <v>Yes</v>
      </c>
      <c r="P116" s="5" t="s">
        <v>113</v>
      </c>
      <c r="Q116" s="5">
        <f t="shared" si="3"/>
        <v>1</v>
      </c>
      <c r="R116" s="5">
        <v>1.0</v>
      </c>
    </row>
    <row r="117" ht="22.5" customHeight="1">
      <c r="A117" s="5" t="s">
        <v>783</v>
      </c>
      <c r="B117" s="5" t="s">
        <v>22</v>
      </c>
      <c r="C117" s="6">
        <v>6.0</v>
      </c>
      <c r="D117" s="6">
        <v>21.0</v>
      </c>
      <c r="E117" s="6">
        <v>5.6</v>
      </c>
      <c r="F117" s="6">
        <f t="shared" si="1"/>
        <v>5</v>
      </c>
      <c r="G117" s="6">
        <v>5.0</v>
      </c>
      <c r="H117" s="6">
        <v>50.0</v>
      </c>
      <c r="I117" s="6">
        <v>16.0</v>
      </c>
      <c r="J117" s="6">
        <v>15.0</v>
      </c>
      <c r="K117" s="6">
        <v>4.0</v>
      </c>
      <c r="L117" s="9">
        <v>44988.0</v>
      </c>
      <c r="M117" s="6">
        <v>4.0</v>
      </c>
      <c r="N117" s="5" t="s">
        <v>113</v>
      </c>
      <c r="O117" s="5" t="str">
        <f t="shared" si="2"/>
        <v>Yes</v>
      </c>
      <c r="P117" s="5" t="s">
        <v>113</v>
      </c>
      <c r="Q117" s="5">
        <f t="shared" si="3"/>
        <v>1</v>
      </c>
      <c r="R117" s="5">
        <v>1.0</v>
      </c>
    </row>
    <row r="118" ht="22.5" customHeight="1">
      <c r="A118" s="5" t="s">
        <v>786</v>
      </c>
      <c r="B118" s="5" t="s">
        <v>44</v>
      </c>
      <c r="C118" s="6">
        <v>5.0</v>
      </c>
      <c r="D118" s="6">
        <v>23.0</v>
      </c>
      <c r="E118" s="6">
        <v>14.3</v>
      </c>
      <c r="F118" s="6">
        <f t="shared" si="1"/>
        <v>14</v>
      </c>
      <c r="G118" s="6">
        <v>14.0</v>
      </c>
      <c r="H118" s="6">
        <v>40.0</v>
      </c>
      <c r="I118" s="6">
        <v>22.0</v>
      </c>
      <c r="J118" s="6">
        <v>4.0</v>
      </c>
      <c r="K118" s="6">
        <v>3.0</v>
      </c>
      <c r="L118" s="9">
        <v>46215.0</v>
      </c>
      <c r="M118" s="6">
        <v>8.0</v>
      </c>
      <c r="N118" s="5" t="s">
        <v>62</v>
      </c>
      <c r="O118" s="5" t="str">
        <f t="shared" si="2"/>
        <v>No</v>
      </c>
      <c r="P118" s="5" t="s">
        <v>62</v>
      </c>
      <c r="Q118" s="5">
        <f t="shared" si="3"/>
        <v>0</v>
      </c>
      <c r="R118" s="5">
        <v>0.0</v>
      </c>
    </row>
    <row r="119" ht="22.5" customHeight="1">
      <c r="A119" s="5" t="s">
        <v>791</v>
      </c>
      <c r="B119" s="5" t="s">
        <v>84</v>
      </c>
      <c r="C119" s="6">
        <v>4.0</v>
      </c>
      <c r="D119" s="6">
        <v>18.0</v>
      </c>
      <c r="E119" s="6">
        <v>13.4</v>
      </c>
      <c r="F119" s="6">
        <f t="shared" si="1"/>
        <v>13</v>
      </c>
      <c r="G119" s="6">
        <v>13.0</v>
      </c>
      <c r="H119" s="6">
        <v>10.0</v>
      </c>
      <c r="I119" s="6">
        <v>45.0</v>
      </c>
      <c r="J119" s="6">
        <v>12.0</v>
      </c>
      <c r="K119" s="6">
        <v>0.0</v>
      </c>
      <c r="L119" s="9">
        <v>45488.0</v>
      </c>
      <c r="M119" s="6">
        <v>2.0</v>
      </c>
      <c r="N119" s="5" t="s">
        <v>113</v>
      </c>
      <c r="O119" s="5" t="str">
        <f t="shared" si="2"/>
        <v>No</v>
      </c>
      <c r="P119" s="5" t="s">
        <v>62</v>
      </c>
      <c r="Q119" s="5">
        <f t="shared" si="3"/>
        <v>0</v>
      </c>
      <c r="R119" s="5">
        <v>0.0</v>
      </c>
    </row>
    <row r="120" ht="22.5" customHeight="1">
      <c r="A120" s="5" t="s">
        <v>795</v>
      </c>
      <c r="B120" s="5" t="s">
        <v>65</v>
      </c>
      <c r="C120" s="6">
        <v>4.0</v>
      </c>
      <c r="D120" s="6">
        <v>13.0</v>
      </c>
      <c r="E120" s="6">
        <v>8.1</v>
      </c>
      <c r="F120" s="6">
        <f t="shared" si="1"/>
        <v>8</v>
      </c>
      <c r="G120" s="6">
        <v>8.0</v>
      </c>
      <c r="H120" s="6">
        <v>11.0</v>
      </c>
      <c r="I120" s="6">
        <v>25.0</v>
      </c>
      <c r="J120" s="6">
        <v>17.0</v>
      </c>
      <c r="K120" s="6">
        <v>2.0</v>
      </c>
      <c r="L120" s="9">
        <v>44741.0</v>
      </c>
      <c r="M120" s="6">
        <v>2.0</v>
      </c>
      <c r="N120" s="5" t="s">
        <v>113</v>
      </c>
      <c r="O120" s="5" t="str">
        <f t="shared" si="2"/>
        <v>Yes</v>
      </c>
      <c r="P120" s="5" t="s">
        <v>113</v>
      </c>
      <c r="Q120" s="5">
        <f t="shared" si="3"/>
        <v>1</v>
      </c>
      <c r="R120" s="5">
        <v>1.0</v>
      </c>
    </row>
    <row r="121" ht="22.5" customHeight="1">
      <c r="A121" s="5" t="s">
        <v>798</v>
      </c>
      <c r="B121" s="5" t="s">
        <v>44</v>
      </c>
      <c r="C121" s="6">
        <v>8.0</v>
      </c>
      <c r="D121" s="6">
        <v>46.0</v>
      </c>
      <c r="E121" s="6">
        <v>16.1</v>
      </c>
      <c r="F121" s="6">
        <f t="shared" si="1"/>
        <v>16</v>
      </c>
      <c r="G121" s="6">
        <v>16.0</v>
      </c>
      <c r="H121" s="6">
        <v>44.0</v>
      </c>
      <c r="I121" s="6">
        <v>27.0</v>
      </c>
      <c r="J121" s="8"/>
      <c r="K121" s="6">
        <v>4.0</v>
      </c>
      <c r="L121" s="9">
        <v>45010.0</v>
      </c>
      <c r="M121" s="6">
        <v>1.0</v>
      </c>
      <c r="N121" s="5" t="s">
        <v>113</v>
      </c>
      <c r="O121" s="5" t="str">
        <f t="shared" si="2"/>
        <v>Yes</v>
      </c>
      <c r="P121" s="5" t="s">
        <v>113</v>
      </c>
      <c r="Q121" s="5">
        <f t="shared" si="3"/>
        <v>1</v>
      </c>
      <c r="R121" s="5">
        <v>1.0</v>
      </c>
    </row>
    <row r="122" ht="22.5" customHeight="1">
      <c r="A122" s="5" t="s">
        <v>801</v>
      </c>
      <c r="B122" s="5" t="s">
        <v>22</v>
      </c>
      <c r="C122" s="6">
        <v>8.0</v>
      </c>
      <c r="D122" s="6">
        <v>18.0</v>
      </c>
      <c r="E122" s="6">
        <v>3.5</v>
      </c>
      <c r="F122" s="6">
        <f t="shared" si="1"/>
        <v>3</v>
      </c>
      <c r="G122" s="6">
        <v>3.0</v>
      </c>
      <c r="H122" s="6">
        <v>9.0</v>
      </c>
      <c r="I122" s="6">
        <v>13.0</v>
      </c>
      <c r="J122" s="6">
        <v>15.0</v>
      </c>
      <c r="K122" s="6">
        <v>0.0</v>
      </c>
      <c r="L122" s="9">
        <v>44709.0</v>
      </c>
      <c r="M122" s="6">
        <v>1.0</v>
      </c>
      <c r="N122" s="5" t="s">
        <v>113</v>
      </c>
      <c r="O122" s="5" t="str">
        <f t="shared" si="2"/>
        <v>Yes</v>
      </c>
      <c r="P122" s="5" t="s">
        <v>113</v>
      </c>
      <c r="Q122" s="5">
        <f t="shared" si="3"/>
        <v>1</v>
      </c>
      <c r="R122" s="5">
        <v>1.0</v>
      </c>
    </row>
    <row r="123" ht="22.5" customHeight="1">
      <c r="A123" s="5" t="s">
        <v>805</v>
      </c>
      <c r="B123" s="5" t="s">
        <v>22</v>
      </c>
      <c r="C123" s="6">
        <v>7.0</v>
      </c>
      <c r="D123" s="6">
        <v>26.0</v>
      </c>
      <c r="E123" s="6">
        <v>8.1</v>
      </c>
      <c r="F123" s="6">
        <f t="shared" si="1"/>
        <v>8</v>
      </c>
      <c r="G123" s="6">
        <v>8.0</v>
      </c>
      <c r="H123" s="6">
        <v>54.0</v>
      </c>
      <c r="I123" s="6">
        <v>26.0</v>
      </c>
      <c r="J123" s="6">
        <v>16.0</v>
      </c>
      <c r="K123" s="6">
        <v>3.0</v>
      </c>
      <c r="L123" s="9">
        <v>45634.0</v>
      </c>
      <c r="M123" s="6">
        <v>8.0</v>
      </c>
      <c r="N123" s="5" t="s">
        <v>62</v>
      </c>
      <c r="O123" s="5" t="str">
        <f t="shared" si="2"/>
        <v>No</v>
      </c>
      <c r="P123" s="5" t="s">
        <v>62</v>
      </c>
      <c r="Q123" s="5">
        <f t="shared" si="3"/>
        <v>0</v>
      </c>
      <c r="R123" s="5">
        <v>0.0</v>
      </c>
    </row>
    <row r="124" ht="22.5" customHeight="1">
      <c r="A124" s="5" t="s">
        <v>811</v>
      </c>
      <c r="B124" s="5" t="s">
        <v>22</v>
      </c>
      <c r="C124" s="6">
        <v>7.0</v>
      </c>
      <c r="D124" s="6">
        <v>32.0</v>
      </c>
      <c r="E124" s="6">
        <v>3.5</v>
      </c>
      <c r="F124" s="6">
        <f t="shared" si="1"/>
        <v>3</v>
      </c>
      <c r="G124" s="6">
        <v>3.0</v>
      </c>
      <c r="H124" s="6">
        <v>24.0</v>
      </c>
      <c r="I124" s="6">
        <v>40.0</v>
      </c>
      <c r="J124" s="6">
        <v>12.0</v>
      </c>
      <c r="K124" s="6">
        <v>0.0</v>
      </c>
      <c r="L124" s="9">
        <v>45045.0</v>
      </c>
      <c r="M124" s="6">
        <v>4.0</v>
      </c>
      <c r="N124" s="5" t="s">
        <v>113</v>
      </c>
      <c r="O124" s="5" t="str">
        <f t="shared" si="2"/>
        <v>Yes</v>
      </c>
      <c r="P124" s="5" t="s">
        <v>113</v>
      </c>
      <c r="Q124" s="5">
        <f t="shared" si="3"/>
        <v>1</v>
      </c>
      <c r="R124" s="5">
        <v>1.0</v>
      </c>
    </row>
    <row r="125" ht="22.5" customHeight="1">
      <c r="A125" s="5" t="s">
        <v>815</v>
      </c>
      <c r="B125" s="5" t="s">
        <v>84</v>
      </c>
      <c r="C125" s="6">
        <v>8.0</v>
      </c>
      <c r="D125" s="6">
        <v>37.0</v>
      </c>
      <c r="E125" s="6">
        <v>12.2</v>
      </c>
      <c r="F125" s="6">
        <f t="shared" si="1"/>
        <v>12</v>
      </c>
      <c r="G125" s="6">
        <v>12.0</v>
      </c>
      <c r="H125" s="6">
        <v>57.0</v>
      </c>
      <c r="I125" s="6">
        <v>35.0</v>
      </c>
      <c r="J125" s="6">
        <v>8.0</v>
      </c>
      <c r="K125" s="6">
        <v>2.0</v>
      </c>
      <c r="L125" s="11"/>
      <c r="M125" s="6">
        <v>8.0</v>
      </c>
      <c r="N125" s="5" t="s">
        <v>62</v>
      </c>
      <c r="O125" s="5" t="str">
        <f t="shared" si="2"/>
        <v>Yes</v>
      </c>
      <c r="P125" s="5" t="s">
        <v>113</v>
      </c>
      <c r="Q125" s="5">
        <f t="shared" si="3"/>
        <v>1</v>
      </c>
      <c r="R125" s="5">
        <v>1.0</v>
      </c>
    </row>
    <row r="126" ht="22.5" customHeight="1">
      <c r="A126" s="5" t="s">
        <v>819</v>
      </c>
      <c r="B126" s="5" t="s">
        <v>65</v>
      </c>
      <c r="C126" s="6">
        <v>9.0</v>
      </c>
      <c r="D126" s="6">
        <v>40.0</v>
      </c>
      <c r="E126" s="6">
        <v>12.0</v>
      </c>
      <c r="F126" s="6">
        <f t="shared" si="1"/>
        <v>12</v>
      </c>
      <c r="G126" s="6">
        <v>12.0</v>
      </c>
      <c r="H126" s="6">
        <v>51.0</v>
      </c>
      <c r="I126" s="6">
        <v>20.0</v>
      </c>
      <c r="J126" s="6">
        <v>16.0</v>
      </c>
      <c r="K126" s="6">
        <v>5.0</v>
      </c>
      <c r="L126" s="9">
        <v>44474.0</v>
      </c>
      <c r="M126" s="6">
        <v>6.0</v>
      </c>
      <c r="N126" s="5" t="s">
        <v>113</v>
      </c>
      <c r="O126" s="5" t="str">
        <f t="shared" si="2"/>
        <v>Yes</v>
      </c>
      <c r="P126" s="5" t="s">
        <v>113</v>
      </c>
      <c r="Q126" s="5">
        <f t="shared" si="3"/>
        <v>1</v>
      </c>
      <c r="R126" s="5">
        <v>1.0</v>
      </c>
    </row>
    <row r="127" ht="22.5" customHeight="1">
      <c r="A127" s="5" t="s">
        <v>822</v>
      </c>
      <c r="B127" s="5" t="s">
        <v>44</v>
      </c>
      <c r="C127" s="6">
        <v>7.0</v>
      </c>
      <c r="D127" s="6">
        <v>19.0</v>
      </c>
      <c r="E127" s="6">
        <v>16.8</v>
      </c>
      <c r="F127" s="6">
        <f t="shared" si="1"/>
        <v>16</v>
      </c>
      <c r="G127" s="6">
        <v>16.0</v>
      </c>
      <c r="H127" s="6">
        <v>41.0</v>
      </c>
      <c r="I127" s="6">
        <v>22.0</v>
      </c>
      <c r="J127" s="6">
        <v>18.0</v>
      </c>
      <c r="K127" s="6">
        <v>2.0</v>
      </c>
      <c r="L127" s="11"/>
      <c r="M127" s="6">
        <v>3.0</v>
      </c>
      <c r="N127" s="5" t="s">
        <v>113</v>
      </c>
      <c r="O127" s="5" t="str">
        <f t="shared" si="2"/>
        <v>Yes</v>
      </c>
      <c r="P127" s="5" t="s">
        <v>113</v>
      </c>
      <c r="Q127" s="5">
        <f t="shared" si="3"/>
        <v>1</v>
      </c>
      <c r="R127" s="5">
        <v>1.0</v>
      </c>
    </row>
    <row r="128" ht="22.5" customHeight="1">
      <c r="A128" s="5" t="s">
        <v>826</v>
      </c>
      <c r="B128" s="5" t="s">
        <v>170</v>
      </c>
      <c r="C128" s="6">
        <v>4.0</v>
      </c>
      <c r="D128" s="6">
        <v>9.0</v>
      </c>
      <c r="E128" s="6">
        <v>6.7</v>
      </c>
      <c r="F128" s="6">
        <f t="shared" si="1"/>
        <v>6</v>
      </c>
      <c r="G128" s="6">
        <v>6.0</v>
      </c>
      <c r="H128" s="6">
        <v>27.0</v>
      </c>
      <c r="I128" s="6">
        <v>16.0</v>
      </c>
      <c r="J128" s="6">
        <v>7.0</v>
      </c>
      <c r="K128" s="6">
        <v>1.0</v>
      </c>
      <c r="L128" s="9">
        <v>45671.0</v>
      </c>
      <c r="M128" s="6">
        <v>8.0</v>
      </c>
      <c r="N128" s="5" t="s">
        <v>62</v>
      </c>
      <c r="O128" s="5" t="str">
        <f t="shared" si="2"/>
        <v>No</v>
      </c>
      <c r="P128" s="5" t="s">
        <v>62</v>
      </c>
      <c r="Q128" s="5">
        <f t="shared" si="3"/>
        <v>0</v>
      </c>
      <c r="R128" s="5">
        <v>0.0</v>
      </c>
    </row>
    <row r="129" ht="22.5" customHeight="1">
      <c r="A129" s="5" t="s">
        <v>830</v>
      </c>
      <c r="B129" s="5" t="s">
        <v>84</v>
      </c>
      <c r="C129" s="6">
        <v>8.0</v>
      </c>
      <c r="D129" s="6">
        <v>35.0</v>
      </c>
      <c r="E129" s="6">
        <v>19.3</v>
      </c>
      <c r="F129" s="6">
        <f t="shared" si="1"/>
        <v>19</v>
      </c>
      <c r="G129" s="6">
        <v>19.0</v>
      </c>
      <c r="H129" s="6">
        <v>56.0</v>
      </c>
      <c r="I129" s="6">
        <v>18.0</v>
      </c>
      <c r="J129" s="6">
        <v>11.0</v>
      </c>
      <c r="K129" s="6">
        <v>4.0</v>
      </c>
      <c r="L129" s="9">
        <v>45632.0</v>
      </c>
      <c r="M129" s="6">
        <v>7.0</v>
      </c>
      <c r="N129" s="5" t="s">
        <v>62</v>
      </c>
      <c r="O129" s="5" t="str">
        <f t="shared" si="2"/>
        <v>No</v>
      </c>
      <c r="P129" s="5" t="s">
        <v>62</v>
      </c>
      <c r="Q129" s="5">
        <f t="shared" si="3"/>
        <v>0</v>
      </c>
      <c r="R129" s="5">
        <v>0.0</v>
      </c>
    </row>
    <row r="130" ht="22.5" customHeight="1">
      <c r="A130" s="5" t="s">
        <v>834</v>
      </c>
      <c r="B130" s="5" t="s">
        <v>22</v>
      </c>
      <c r="C130" s="6">
        <v>6.0</v>
      </c>
      <c r="D130" s="6">
        <v>25.0</v>
      </c>
      <c r="E130" s="6">
        <v>3.3</v>
      </c>
      <c r="F130" s="6">
        <f t="shared" si="1"/>
        <v>3</v>
      </c>
      <c r="G130" s="6">
        <v>3.0</v>
      </c>
      <c r="H130" s="6">
        <v>7.0</v>
      </c>
      <c r="I130" s="6">
        <v>10.0</v>
      </c>
      <c r="J130" s="6">
        <v>7.0</v>
      </c>
      <c r="K130" s="6">
        <v>1.0</v>
      </c>
      <c r="L130" s="9">
        <v>45979.0</v>
      </c>
      <c r="M130" s="6">
        <v>4.0</v>
      </c>
      <c r="N130" s="5" t="s">
        <v>62</v>
      </c>
      <c r="O130" s="5" t="str">
        <f t="shared" si="2"/>
        <v>No</v>
      </c>
      <c r="P130" s="5" t="s">
        <v>62</v>
      </c>
      <c r="Q130" s="5">
        <f t="shared" si="3"/>
        <v>0</v>
      </c>
      <c r="R130" s="5">
        <v>0.0</v>
      </c>
    </row>
    <row r="131" ht="22.5" customHeight="1">
      <c r="A131" s="5" t="s">
        <v>837</v>
      </c>
      <c r="B131" s="5" t="s">
        <v>22</v>
      </c>
      <c r="C131" s="6">
        <v>6.0</v>
      </c>
      <c r="D131" s="6">
        <v>14.0</v>
      </c>
      <c r="E131" s="6">
        <v>6.4</v>
      </c>
      <c r="F131" s="6">
        <f t="shared" si="1"/>
        <v>6</v>
      </c>
      <c r="G131" s="6">
        <v>6.0</v>
      </c>
      <c r="H131" s="6">
        <v>30.0</v>
      </c>
      <c r="I131" s="6">
        <v>24.0</v>
      </c>
      <c r="J131" s="6">
        <v>13.0</v>
      </c>
      <c r="K131" s="6">
        <v>4.0</v>
      </c>
      <c r="L131" s="9">
        <v>45006.0</v>
      </c>
      <c r="M131" s="6">
        <v>3.0</v>
      </c>
      <c r="N131" s="5" t="s">
        <v>113</v>
      </c>
      <c r="O131" s="5" t="str">
        <f t="shared" si="2"/>
        <v>Yes</v>
      </c>
      <c r="P131" s="5" t="s">
        <v>113</v>
      </c>
      <c r="Q131" s="5">
        <f t="shared" si="3"/>
        <v>1</v>
      </c>
      <c r="R131" s="5">
        <v>1.0</v>
      </c>
    </row>
    <row r="132" ht="22.5" customHeight="1">
      <c r="A132" s="5" t="s">
        <v>841</v>
      </c>
      <c r="B132" s="5" t="s">
        <v>22</v>
      </c>
      <c r="C132" s="6">
        <v>8.0</v>
      </c>
      <c r="D132" s="6">
        <v>37.0</v>
      </c>
      <c r="E132" s="6">
        <v>3.4</v>
      </c>
      <c r="F132" s="6">
        <f t="shared" si="1"/>
        <v>3</v>
      </c>
      <c r="G132" s="6">
        <v>3.0</v>
      </c>
      <c r="H132" s="6">
        <v>35.0</v>
      </c>
      <c r="I132" s="6">
        <v>37.0</v>
      </c>
      <c r="J132" s="6">
        <v>17.0</v>
      </c>
      <c r="K132" s="6">
        <v>4.0</v>
      </c>
      <c r="L132" s="9">
        <v>45198.0</v>
      </c>
      <c r="M132" s="6">
        <v>3.0</v>
      </c>
      <c r="N132" s="5" t="s">
        <v>113</v>
      </c>
      <c r="O132" s="5" t="str">
        <f t="shared" si="2"/>
        <v>No</v>
      </c>
      <c r="P132" s="5" t="s">
        <v>62</v>
      </c>
      <c r="Q132" s="5">
        <f t="shared" si="3"/>
        <v>0</v>
      </c>
      <c r="R132" s="5">
        <v>0.0</v>
      </c>
    </row>
    <row r="133" ht="22.5" customHeight="1">
      <c r="A133" s="5" t="s">
        <v>845</v>
      </c>
      <c r="B133" s="5" t="s">
        <v>22</v>
      </c>
      <c r="C133" s="6">
        <v>5.0</v>
      </c>
      <c r="D133" s="6">
        <v>18.0</v>
      </c>
      <c r="E133" s="6">
        <v>7.5</v>
      </c>
      <c r="F133" s="6">
        <f t="shared" si="1"/>
        <v>7</v>
      </c>
      <c r="G133" s="6">
        <v>7.0</v>
      </c>
      <c r="H133" s="6">
        <v>22.0</v>
      </c>
      <c r="I133" s="6">
        <v>28.0</v>
      </c>
      <c r="J133" s="6">
        <v>9.0</v>
      </c>
      <c r="K133" s="6">
        <v>2.0</v>
      </c>
      <c r="L133" s="9">
        <v>44494.0</v>
      </c>
      <c r="M133" s="6">
        <v>4.0</v>
      </c>
      <c r="N133" s="5" t="s">
        <v>113</v>
      </c>
      <c r="O133" s="5" t="str">
        <f t="shared" si="2"/>
        <v>Yes</v>
      </c>
      <c r="P133" s="5" t="s">
        <v>113</v>
      </c>
      <c r="Q133" s="5">
        <f t="shared" si="3"/>
        <v>1</v>
      </c>
      <c r="R133" s="5">
        <v>1.0</v>
      </c>
    </row>
    <row r="134" ht="22.5" customHeight="1">
      <c r="A134" s="5" t="s">
        <v>849</v>
      </c>
      <c r="B134" s="5" t="s">
        <v>44</v>
      </c>
      <c r="C134" s="6">
        <v>10.0</v>
      </c>
      <c r="D134" s="6">
        <v>45.0</v>
      </c>
      <c r="E134" s="6">
        <v>3.6</v>
      </c>
      <c r="F134" s="6">
        <f t="shared" si="1"/>
        <v>3</v>
      </c>
      <c r="G134" s="6">
        <v>3.0</v>
      </c>
      <c r="H134" s="6">
        <v>59.0</v>
      </c>
      <c r="I134" s="6">
        <v>36.0</v>
      </c>
      <c r="J134" s="6">
        <v>20.0</v>
      </c>
      <c r="K134" s="6">
        <v>1.0</v>
      </c>
      <c r="L134" s="9">
        <v>44738.0</v>
      </c>
      <c r="M134" s="6">
        <v>3.0</v>
      </c>
      <c r="N134" s="5" t="s">
        <v>113</v>
      </c>
      <c r="O134" s="5" t="str">
        <f t="shared" si="2"/>
        <v>Yes</v>
      </c>
      <c r="P134" s="5" t="s">
        <v>113</v>
      </c>
      <c r="Q134" s="5">
        <f t="shared" si="3"/>
        <v>1</v>
      </c>
      <c r="R134" s="5">
        <v>1.0</v>
      </c>
    </row>
    <row r="135" ht="22.5" customHeight="1">
      <c r="A135" s="5" t="s">
        <v>854</v>
      </c>
      <c r="B135" s="5" t="s">
        <v>22</v>
      </c>
      <c r="C135" s="6">
        <v>5.0</v>
      </c>
      <c r="D135" s="6">
        <v>26.0</v>
      </c>
      <c r="E135" s="6">
        <v>12.3</v>
      </c>
      <c r="F135" s="6">
        <f t="shared" si="1"/>
        <v>12</v>
      </c>
      <c r="G135" s="6">
        <v>12.0</v>
      </c>
      <c r="H135" s="6">
        <v>14.0</v>
      </c>
      <c r="I135" s="6">
        <v>34.0</v>
      </c>
      <c r="J135" s="8"/>
      <c r="K135" s="6">
        <v>3.0</v>
      </c>
      <c r="L135" s="9">
        <v>45807.0</v>
      </c>
      <c r="M135" s="6">
        <v>6.0</v>
      </c>
      <c r="N135" s="5" t="s">
        <v>62</v>
      </c>
      <c r="O135" s="5" t="str">
        <f t="shared" si="2"/>
        <v>No</v>
      </c>
      <c r="P135" s="5" t="s">
        <v>62</v>
      </c>
      <c r="Q135" s="5">
        <f t="shared" si="3"/>
        <v>0</v>
      </c>
      <c r="R135" s="5">
        <v>0.0</v>
      </c>
    </row>
    <row r="136" ht="22.5" customHeight="1">
      <c r="A136" s="5" t="s">
        <v>857</v>
      </c>
      <c r="B136" s="5" t="s">
        <v>84</v>
      </c>
      <c r="C136" s="6">
        <v>6.0</v>
      </c>
      <c r="D136" s="6">
        <v>14.0</v>
      </c>
      <c r="E136" s="6">
        <v>8.8</v>
      </c>
      <c r="F136" s="6">
        <f t="shared" si="1"/>
        <v>8</v>
      </c>
      <c r="G136" s="6">
        <v>8.0</v>
      </c>
      <c r="H136" s="6">
        <v>13.0</v>
      </c>
      <c r="I136" s="6">
        <v>21.0</v>
      </c>
      <c r="J136" s="6">
        <v>7.0</v>
      </c>
      <c r="K136" s="6">
        <v>5.0</v>
      </c>
      <c r="L136" s="9">
        <v>44843.0</v>
      </c>
      <c r="M136" s="6">
        <v>4.0</v>
      </c>
      <c r="N136" s="5" t="s">
        <v>113</v>
      </c>
      <c r="O136" s="5" t="str">
        <f t="shared" si="2"/>
        <v>Yes</v>
      </c>
      <c r="P136" s="5" t="s">
        <v>113</v>
      </c>
      <c r="Q136" s="5">
        <f t="shared" si="3"/>
        <v>1</v>
      </c>
      <c r="R136" s="5">
        <v>1.0</v>
      </c>
    </row>
    <row r="137" ht="22.5" customHeight="1">
      <c r="A137" s="5" t="s">
        <v>861</v>
      </c>
      <c r="B137" s="5" t="s">
        <v>65</v>
      </c>
      <c r="C137" s="6">
        <v>3.0</v>
      </c>
      <c r="D137" s="6">
        <v>5.0</v>
      </c>
      <c r="E137" s="6">
        <v>3.1</v>
      </c>
      <c r="F137" s="6">
        <f t="shared" si="1"/>
        <v>3</v>
      </c>
      <c r="G137" s="6">
        <v>3.0</v>
      </c>
      <c r="H137" s="6">
        <v>48.0</v>
      </c>
      <c r="I137" s="6">
        <v>19.0</v>
      </c>
      <c r="J137" s="6">
        <v>7.0</v>
      </c>
      <c r="K137" s="6">
        <v>2.0</v>
      </c>
      <c r="L137" s="9">
        <v>45911.0</v>
      </c>
      <c r="M137" s="6">
        <v>6.0</v>
      </c>
      <c r="N137" s="5" t="s">
        <v>62</v>
      </c>
      <c r="O137" s="5" t="str">
        <f t="shared" si="2"/>
        <v>No</v>
      </c>
      <c r="P137" s="5" t="s">
        <v>62</v>
      </c>
      <c r="Q137" s="5">
        <f t="shared" si="3"/>
        <v>0</v>
      </c>
      <c r="R137" s="5">
        <v>0.0</v>
      </c>
    </row>
    <row r="138" ht="22.5" customHeight="1">
      <c r="A138" s="5" t="s">
        <v>864</v>
      </c>
      <c r="B138" s="5" t="s">
        <v>22</v>
      </c>
      <c r="C138" s="6">
        <v>7.0</v>
      </c>
      <c r="D138" s="6">
        <v>35.0</v>
      </c>
      <c r="E138" s="6">
        <v>10.7</v>
      </c>
      <c r="F138" s="6">
        <f t="shared" si="1"/>
        <v>10</v>
      </c>
      <c r="G138" s="6">
        <v>10.0</v>
      </c>
      <c r="H138" s="6">
        <v>36.0</v>
      </c>
      <c r="I138" s="6">
        <v>19.0</v>
      </c>
      <c r="J138" s="6">
        <v>13.0</v>
      </c>
      <c r="K138" s="6">
        <v>5.0</v>
      </c>
      <c r="L138" s="9">
        <v>45883.0</v>
      </c>
      <c r="M138" s="6">
        <v>6.0</v>
      </c>
      <c r="N138" s="5" t="s">
        <v>62</v>
      </c>
      <c r="O138" s="5" t="str">
        <f t="shared" si="2"/>
        <v>No</v>
      </c>
      <c r="P138" s="5" t="s">
        <v>62</v>
      </c>
      <c r="Q138" s="5">
        <f t="shared" si="3"/>
        <v>0</v>
      </c>
      <c r="R138" s="5">
        <v>0.0</v>
      </c>
    </row>
    <row r="139" ht="22.5" customHeight="1">
      <c r="A139" s="5" t="s">
        <v>871</v>
      </c>
      <c r="B139" s="5" t="s">
        <v>44</v>
      </c>
      <c r="C139" s="6">
        <v>4.0</v>
      </c>
      <c r="D139" s="6">
        <v>17.0</v>
      </c>
      <c r="E139" s="6">
        <v>15.5</v>
      </c>
      <c r="F139" s="6">
        <f t="shared" si="1"/>
        <v>15</v>
      </c>
      <c r="G139" s="6">
        <v>15.0</v>
      </c>
      <c r="H139" s="6">
        <v>53.0</v>
      </c>
      <c r="I139" s="6">
        <v>11.0</v>
      </c>
      <c r="J139" s="6">
        <v>10.0</v>
      </c>
      <c r="K139" s="6">
        <v>5.0</v>
      </c>
      <c r="L139" s="9">
        <v>44791.0</v>
      </c>
      <c r="M139" s="6">
        <v>1.0</v>
      </c>
      <c r="N139" s="5" t="s">
        <v>113</v>
      </c>
      <c r="O139" s="5" t="str">
        <f t="shared" si="2"/>
        <v>Yes</v>
      </c>
      <c r="P139" s="5" t="s">
        <v>113</v>
      </c>
      <c r="Q139" s="5">
        <f t="shared" si="3"/>
        <v>1</v>
      </c>
      <c r="R139" s="5">
        <v>1.0</v>
      </c>
    </row>
    <row r="140" ht="22.5" customHeight="1">
      <c r="A140" s="5" t="s">
        <v>876</v>
      </c>
      <c r="B140" s="5" t="s">
        <v>44</v>
      </c>
      <c r="C140" s="6">
        <v>7.0</v>
      </c>
      <c r="D140" s="6">
        <v>33.0</v>
      </c>
      <c r="E140" s="6">
        <v>9.3</v>
      </c>
      <c r="F140" s="6">
        <f t="shared" si="1"/>
        <v>9</v>
      </c>
      <c r="G140" s="6">
        <v>9.0</v>
      </c>
      <c r="H140" s="6">
        <v>39.0</v>
      </c>
      <c r="I140" s="6">
        <v>25.0</v>
      </c>
      <c r="J140" s="6">
        <v>1.0</v>
      </c>
      <c r="K140" s="6">
        <v>1.0</v>
      </c>
      <c r="L140" s="9">
        <v>45717.0</v>
      </c>
      <c r="M140" s="6">
        <v>9.0</v>
      </c>
      <c r="N140" s="5" t="s">
        <v>62</v>
      </c>
      <c r="O140" s="5" t="str">
        <f t="shared" si="2"/>
        <v>No</v>
      </c>
      <c r="P140" s="5" t="s">
        <v>62</v>
      </c>
      <c r="Q140" s="5">
        <f t="shared" si="3"/>
        <v>0</v>
      </c>
      <c r="R140" s="5">
        <v>0.0</v>
      </c>
    </row>
    <row r="141" ht="22.5" customHeight="1">
      <c r="A141" s="5" t="s">
        <v>881</v>
      </c>
      <c r="B141" s="5" t="s">
        <v>22</v>
      </c>
      <c r="C141" s="6">
        <v>3.0</v>
      </c>
      <c r="D141" s="6">
        <v>16.0</v>
      </c>
      <c r="E141" s="6">
        <v>2.5</v>
      </c>
      <c r="F141" s="6">
        <f t="shared" si="1"/>
        <v>2</v>
      </c>
      <c r="G141" s="6">
        <v>2.0</v>
      </c>
      <c r="H141" s="6">
        <v>6.0</v>
      </c>
      <c r="I141" s="6">
        <v>10.0</v>
      </c>
      <c r="J141" s="6">
        <v>17.0</v>
      </c>
      <c r="K141" s="6">
        <v>4.0</v>
      </c>
      <c r="L141" s="9">
        <v>44961.0</v>
      </c>
      <c r="M141" s="6">
        <v>2.0</v>
      </c>
      <c r="N141" s="5" t="s">
        <v>113</v>
      </c>
      <c r="O141" s="5" t="str">
        <f t="shared" si="2"/>
        <v>Yes</v>
      </c>
      <c r="P141" s="5" t="s">
        <v>113</v>
      </c>
      <c r="Q141" s="5">
        <f t="shared" si="3"/>
        <v>1</v>
      </c>
      <c r="R141" s="5">
        <v>1.0</v>
      </c>
    </row>
    <row r="142" ht="22.5" customHeight="1">
      <c r="A142" s="5" t="s">
        <v>884</v>
      </c>
      <c r="B142" s="5" t="s">
        <v>84</v>
      </c>
      <c r="C142" s="6">
        <v>4.0</v>
      </c>
      <c r="D142" s="6">
        <v>20.0</v>
      </c>
      <c r="E142" s="6">
        <v>6.1</v>
      </c>
      <c r="F142" s="6">
        <f t="shared" si="1"/>
        <v>6</v>
      </c>
      <c r="G142" s="6">
        <v>6.0</v>
      </c>
      <c r="H142" s="6">
        <v>38.0</v>
      </c>
      <c r="I142" s="6">
        <v>30.0</v>
      </c>
      <c r="J142" s="6">
        <v>14.0</v>
      </c>
      <c r="K142" s="6">
        <v>1.0</v>
      </c>
      <c r="L142" s="9">
        <v>45044.0</v>
      </c>
      <c r="M142" s="6">
        <v>1.0</v>
      </c>
      <c r="N142" s="5" t="s">
        <v>113</v>
      </c>
      <c r="O142" s="5" t="str">
        <f t="shared" si="2"/>
        <v>Yes</v>
      </c>
      <c r="P142" s="5" t="s">
        <v>113</v>
      </c>
      <c r="Q142" s="5">
        <f t="shared" si="3"/>
        <v>1</v>
      </c>
      <c r="R142" s="5">
        <v>1.0</v>
      </c>
    </row>
    <row r="143" ht="22.5" customHeight="1">
      <c r="A143" s="5" t="s">
        <v>889</v>
      </c>
      <c r="B143" s="5" t="s">
        <v>22</v>
      </c>
      <c r="C143" s="6">
        <v>6.0</v>
      </c>
      <c r="D143" s="6">
        <v>35.0</v>
      </c>
      <c r="E143" s="6">
        <v>10.0</v>
      </c>
      <c r="F143" s="6">
        <f t="shared" si="1"/>
        <v>10</v>
      </c>
      <c r="G143" s="6">
        <v>10.0</v>
      </c>
      <c r="H143" s="6">
        <v>49.0</v>
      </c>
      <c r="I143" s="6">
        <v>26.0</v>
      </c>
      <c r="J143" s="8"/>
      <c r="K143" s="6">
        <v>5.0</v>
      </c>
      <c r="L143" s="9">
        <v>45777.0</v>
      </c>
      <c r="M143" s="6">
        <v>7.0</v>
      </c>
      <c r="N143" s="5" t="s">
        <v>62</v>
      </c>
      <c r="O143" s="5" t="str">
        <f t="shared" si="2"/>
        <v>No</v>
      </c>
      <c r="P143" s="5" t="s">
        <v>62</v>
      </c>
      <c r="Q143" s="5">
        <f t="shared" si="3"/>
        <v>0</v>
      </c>
      <c r="R143" s="5">
        <v>0.0</v>
      </c>
    </row>
    <row r="144" ht="22.5" customHeight="1">
      <c r="A144" s="5" t="s">
        <v>892</v>
      </c>
      <c r="B144" s="5" t="s">
        <v>22</v>
      </c>
      <c r="C144" s="6">
        <v>4.0</v>
      </c>
      <c r="D144" s="6">
        <v>16.0</v>
      </c>
      <c r="E144" s="6">
        <v>5.7</v>
      </c>
      <c r="F144" s="6">
        <f t="shared" si="1"/>
        <v>5</v>
      </c>
      <c r="G144" s="6">
        <v>5.0</v>
      </c>
      <c r="H144" s="6">
        <v>14.0</v>
      </c>
      <c r="I144" s="6">
        <v>29.0</v>
      </c>
      <c r="J144" s="6">
        <v>16.0</v>
      </c>
      <c r="K144" s="6">
        <v>4.0</v>
      </c>
      <c r="L144" s="9">
        <v>45236.0</v>
      </c>
      <c r="M144" s="6">
        <v>3.0</v>
      </c>
      <c r="N144" s="5" t="s">
        <v>113</v>
      </c>
      <c r="O144" s="5" t="str">
        <f t="shared" si="2"/>
        <v>No</v>
      </c>
      <c r="P144" s="5" t="s">
        <v>62</v>
      </c>
      <c r="Q144" s="5">
        <f t="shared" si="3"/>
        <v>0</v>
      </c>
      <c r="R144" s="5">
        <v>0.0</v>
      </c>
    </row>
    <row r="145" ht="22.5" customHeight="1">
      <c r="A145" s="5" t="s">
        <v>897</v>
      </c>
      <c r="B145" s="5" t="s">
        <v>170</v>
      </c>
      <c r="C145" s="6">
        <v>5.0</v>
      </c>
      <c r="D145" s="6">
        <v>18.0</v>
      </c>
      <c r="E145" s="6">
        <v>3.3</v>
      </c>
      <c r="F145" s="6">
        <f t="shared" si="1"/>
        <v>3</v>
      </c>
      <c r="G145" s="6">
        <v>3.0</v>
      </c>
      <c r="H145" s="6">
        <v>13.0</v>
      </c>
      <c r="I145" s="6">
        <v>33.0</v>
      </c>
      <c r="J145" s="6">
        <v>6.0</v>
      </c>
      <c r="K145" s="6">
        <v>3.0</v>
      </c>
      <c r="L145" s="9">
        <v>45911.0</v>
      </c>
      <c r="M145" s="6">
        <v>9.0</v>
      </c>
      <c r="N145" s="5" t="s">
        <v>62</v>
      </c>
      <c r="O145" s="5" t="str">
        <f t="shared" si="2"/>
        <v>No</v>
      </c>
      <c r="P145" s="5" t="s">
        <v>62</v>
      </c>
      <c r="Q145" s="5">
        <f t="shared" si="3"/>
        <v>0</v>
      </c>
      <c r="R145" s="5">
        <v>0.0</v>
      </c>
    </row>
    <row r="146" ht="22.5" customHeight="1">
      <c r="A146" s="5" t="s">
        <v>901</v>
      </c>
      <c r="B146" s="5" t="s">
        <v>84</v>
      </c>
      <c r="C146" s="6">
        <v>6.0</v>
      </c>
      <c r="D146" s="6">
        <v>20.0</v>
      </c>
      <c r="E146" s="6">
        <v>13.1</v>
      </c>
      <c r="F146" s="6">
        <f t="shared" si="1"/>
        <v>13</v>
      </c>
      <c r="G146" s="6">
        <v>13.0</v>
      </c>
      <c r="H146" s="6">
        <v>58.0</v>
      </c>
      <c r="I146" s="6">
        <v>27.0</v>
      </c>
      <c r="J146" s="6">
        <v>12.0</v>
      </c>
      <c r="K146" s="6">
        <v>4.0</v>
      </c>
      <c r="L146" s="9">
        <v>45639.0</v>
      </c>
      <c r="M146" s="6">
        <v>10.0</v>
      </c>
      <c r="N146" s="5" t="s">
        <v>62</v>
      </c>
      <c r="O146" s="5" t="str">
        <f t="shared" si="2"/>
        <v>No</v>
      </c>
      <c r="P146" s="5" t="s">
        <v>62</v>
      </c>
      <c r="Q146" s="5">
        <f t="shared" si="3"/>
        <v>0</v>
      </c>
      <c r="R146" s="5">
        <v>0.0</v>
      </c>
    </row>
    <row r="147" ht="22.5" customHeight="1">
      <c r="A147" s="5" t="s">
        <v>906</v>
      </c>
      <c r="B147" s="5" t="s">
        <v>84</v>
      </c>
      <c r="C147" s="6">
        <v>7.0</v>
      </c>
      <c r="D147" s="6">
        <v>15.0</v>
      </c>
      <c r="E147" s="6">
        <v>5.6</v>
      </c>
      <c r="F147" s="6">
        <f t="shared" si="1"/>
        <v>5</v>
      </c>
      <c r="G147" s="6">
        <v>5.0</v>
      </c>
      <c r="H147" s="6">
        <v>51.0</v>
      </c>
      <c r="I147" s="6">
        <v>38.0</v>
      </c>
      <c r="J147" s="6">
        <v>17.0</v>
      </c>
      <c r="K147" s="6">
        <v>4.0</v>
      </c>
      <c r="L147" s="9">
        <v>46002.0</v>
      </c>
      <c r="M147" s="6">
        <v>9.0</v>
      </c>
      <c r="N147" s="5" t="s">
        <v>62</v>
      </c>
      <c r="O147" s="5" t="str">
        <f t="shared" si="2"/>
        <v>No</v>
      </c>
      <c r="P147" s="5" t="s">
        <v>62</v>
      </c>
      <c r="Q147" s="5">
        <f t="shared" si="3"/>
        <v>0</v>
      </c>
      <c r="R147" s="5">
        <v>0.0</v>
      </c>
    </row>
    <row r="148" ht="22.5" customHeight="1">
      <c r="A148" s="5" t="s">
        <v>910</v>
      </c>
      <c r="B148" s="5" t="s">
        <v>170</v>
      </c>
      <c r="C148" s="6">
        <v>4.0</v>
      </c>
      <c r="D148" s="6">
        <v>16.0</v>
      </c>
      <c r="E148" s="6">
        <v>15.5</v>
      </c>
      <c r="F148" s="6">
        <f t="shared" si="1"/>
        <v>15</v>
      </c>
      <c r="G148" s="6">
        <v>15.0</v>
      </c>
      <c r="H148" s="6">
        <v>33.0</v>
      </c>
      <c r="I148" s="6">
        <v>30.0</v>
      </c>
      <c r="J148" s="6">
        <v>3.0</v>
      </c>
      <c r="K148" s="6">
        <v>0.0</v>
      </c>
      <c r="L148" s="9">
        <v>45996.0</v>
      </c>
      <c r="M148" s="6">
        <v>8.0</v>
      </c>
      <c r="N148" s="5" t="s">
        <v>62</v>
      </c>
      <c r="O148" s="5" t="str">
        <f t="shared" si="2"/>
        <v>No</v>
      </c>
      <c r="P148" s="5" t="s">
        <v>62</v>
      </c>
      <c r="Q148" s="5">
        <f t="shared" si="3"/>
        <v>0</v>
      </c>
      <c r="R148" s="5">
        <v>0.0</v>
      </c>
    </row>
    <row r="149" ht="22.5" customHeight="1">
      <c r="A149" s="5" t="s">
        <v>915</v>
      </c>
      <c r="B149" s="5" t="s">
        <v>22</v>
      </c>
      <c r="C149" s="6">
        <v>4.0</v>
      </c>
      <c r="D149" s="6">
        <v>11.0</v>
      </c>
      <c r="E149" s="6">
        <v>4.8</v>
      </c>
      <c r="F149" s="6">
        <f t="shared" si="1"/>
        <v>4</v>
      </c>
      <c r="G149" s="6">
        <v>4.0</v>
      </c>
      <c r="H149" s="6">
        <v>10.0</v>
      </c>
      <c r="I149" s="6">
        <v>19.0</v>
      </c>
      <c r="J149" s="6">
        <v>5.0</v>
      </c>
      <c r="K149" s="6">
        <v>3.0</v>
      </c>
      <c r="L149" s="9">
        <v>46152.0</v>
      </c>
      <c r="M149" s="6">
        <v>8.0</v>
      </c>
      <c r="N149" s="5" t="s">
        <v>62</v>
      </c>
      <c r="O149" s="5" t="str">
        <f t="shared" si="2"/>
        <v>No</v>
      </c>
      <c r="P149" s="5" t="s">
        <v>62</v>
      </c>
      <c r="Q149" s="5">
        <f t="shared" si="3"/>
        <v>0</v>
      </c>
      <c r="R149" s="5">
        <v>0.0</v>
      </c>
    </row>
    <row r="150" ht="22.5" customHeight="1">
      <c r="A150" s="5" t="s">
        <v>919</v>
      </c>
      <c r="B150" s="5" t="s">
        <v>44</v>
      </c>
      <c r="C150" s="6">
        <v>5.0</v>
      </c>
      <c r="D150" s="6">
        <v>28.0</v>
      </c>
      <c r="E150" s="6">
        <v>5.4</v>
      </c>
      <c r="F150" s="6">
        <f t="shared" si="1"/>
        <v>5</v>
      </c>
      <c r="G150" s="6">
        <v>5.0</v>
      </c>
      <c r="H150" s="6">
        <v>13.0</v>
      </c>
      <c r="I150" s="6">
        <v>23.0</v>
      </c>
      <c r="J150" s="6">
        <v>3.0</v>
      </c>
      <c r="K150" s="6">
        <v>3.0</v>
      </c>
      <c r="L150" s="9">
        <v>45860.0</v>
      </c>
      <c r="M150" s="6">
        <v>8.0</v>
      </c>
      <c r="N150" s="5" t="s">
        <v>62</v>
      </c>
      <c r="O150" s="5" t="str">
        <f t="shared" si="2"/>
        <v>No</v>
      </c>
      <c r="P150" s="5" t="s">
        <v>62</v>
      </c>
      <c r="Q150" s="5">
        <f t="shared" si="3"/>
        <v>0</v>
      </c>
      <c r="R150" s="5">
        <v>0.0</v>
      </c>
    </row>
    <row r="151" ht="22.5" customHeight="1">
      <c r="A151" s="5" t="s">
        <v>922</v>
      </c>
      <c r="B151" s="5" t="s">
        <v>22</v>
      </c>
      <c r="C151" s="6">
        <v>6.0</v>
      </c>
      <c r="D151" s="6">
        <v>25.0</v>
      </c>
      <c r="E151" s="6">
        <v>4.5</v>
      </c>
      <c r="F151" s="6">
        <f t="shared" si="1"/>
        <v>4</v>
      </c>
      <c r="G151" s="6">
        <v>4.0</v>
      </c>
      <c r="H151" s="6">
        <v>51.0</v>
      </c>
      <c r="I151" s="6">
        <v>10.0</v>
      </c>
      <c r="J151" s="6">
        <v>4.0</v>
      </c>
      <c r="K151" s="6">
        <v>3.0</v>
      </c>
      <c r="L151" s="9">
        <v>45041.0</v>
      </c>
      <c r="M151" s="6">
        <v>3.0</v>
      </c>
      <c r="N151" s="5" t="s">
        <v>113</v>
      </c>
      <c r="O151" s="5" t="str">
        <f t="shared" si="2"/>
        <v>Yes</v>
      </c>
      <c r="P151" s="5" t="s">
        <v>113</v>
      </c>
      <c r="Q151" s="5">
        <f t="shared" si="3"/>
        <v>1</v>
      </c>
      <c r="R151" s="5">
        <v>1.0</v>
      </c>
    </row>
    <row r="152" ht="22.5" customHeight="1">
      <c r="A152" s="5" t="s">
        <v>924</v>
      </c>
      <c r="B152" s="5" t="s">
        <v>22</v>
      </c>
      <c r="C152" s="6">
        <v>5.0</v>
      </c>
      <c r="D152" s="6">
        <v>21.0</v>
      </c>
      <c r="E152" s="6">
        <v>6.0</v>
      </c>
      <c r="F152" s="6">
        <f t="shared" si="1"/>
        <v>6</v>
      </c>
      <c r="G152" s="6">
        <v>6.0</v>
      </c>
      <c r="H152" s="6">
        <v>48.0</v>
      </c>
      <c r="I152" s="6">
        <v>18.0</v>
      </c>
      <c r="J152" s="6">
        <v>11.0</v>
      </c>
      <c r="K152" s="6">
        <v>3.0</v>
      </c>
      <c r="L152" s="9">
        <v>45516.0</v>
      </c>
      <c r="M152" s="6">
        <v>3.0</v>
      </c>
      <c r="N152" s="5" t="s">
        <v>113</v>
      </c>
      <c r="O152" s="5" t="str">
        <f t="shared" si="2"/>
        <v>No</v>
      </c>
      <c r="P152" s="5" t="s">
        <v>62</v>
      </c>
      <c r="Q152" s="5">
        <f t="shared" si="3"/>
        <v>0</v>
      </c>
      <c r="R152" s="5">
        <v>0.0</v>
      </c>
    </row>
    <row r="153" ht="22.5" customHeight="1">
      <c r="A153" s="5" t="s">
        <v>928</v>
      </c>
      <c r="B153" s="5" t="s">
        <v>84</v>
      </c>
      <c r="C153" s="6">
        <v>3.0</v>
      </c>
      <c r="D153" s="6">
        <v>9.0</v>
      </c>
      <c r="E153" s="6">
        <v>8.7</v>
      </c>
      <c r="F153" s="6">
        <f t="shared" si="1"/>
        <v>8</v>
      </c>
      <c r="G153" s="6">
        <v>8.0</v>
      </c>
      <c r="H153" s="6">
        <v>45.0</v>
      </c>
      <c r="I153" s="6">
        <v>22.0</v>
      </c>
      <c r="J153" s="8"/>
      <c r="K153" s="6">
        <v>4.0</v>
      </c>
      <c r="L153" s="9">
        <v>44429.0</v>
      </c>
      <c r="M153" s="6">
        <v>5.0</v>
      </c>
      <c r="N153" s="5" t="s">
        <v>113</v>
      </c>
      <c r="O153" s="5" t="str">
        <f t="shared" si="2"/>
        <v>Yes</v>
      </c>
      <c r="P153" s="5" t="s">
        <v>113</v>
      </c>
      <c r="Q153" s="5">
        <f t="shared" si="3"/>
        <v>1</v>
      </c>
      <c r="R153" s="5">
        <v>1.0</v>
      </c>
    </row>
    <row r="154" ht="22.5" customHeight="1">
      <c r="A154" s="5" t="s">
        <v>931</v>
      </c>
      <c r="B154" s="5" t="s">
        <v>44</v>
      </c>
      <c r="C154" s="6">
        <v>7.0</v>
      </c>
      <c r="D154" s="6">
        <v>12.0</v>
      </c>
      <c r="E154" s="6">
        <v>3.4</v>
      </c>
      <c r="F154" s="6">
        <f t="shared" si="1"/>
        <v>3</v>
      </c>
      <c r="G154" s="6">
        <v>3.0</v>
      </c>
      <c r="H154" s="6">
        <v>9.0</v>
      </c>
      <c r="I154" s="6">
        <v>29.0</v>
      </c>
      <c r="J154" s="6">
        <v>10.0</v>
      </c>
      <c r="K154" s="6">
        <v>4.0</v>
      </c>
      <c r="L154" s="11"/>
      <c r="M154" s="6">
        <v>9.0</v>
      </c>
      <c r="N154" s="5" t="s">
        <v>62</v>
      </c>
      <c r="O154" s="5" t="str">
        <f t="shared" si="2"/>
        <v>Yes</v>
      </c>
      <c r="P154" s="5" t="s">
        <v>113</v>
      </c>
      <c r="Q154" s="5">
        <f t="shared" si="3"/>
        <v>1</v>
      </c>
      <c r="R154" s="5">
        <v>1.0</v>
      </c>
    </row>
    <row r="155" ht="22.5" customHeight="1">
      <c r="A155" s="5" t="s">
        <v>934</v>
      </c>
      <c r="B155" s="5" t="s">
        <v>22</v>
      </c>
      <c r="C155" s="6">
        <v>7.0</v>
      </c>
      <c r="D155" s="6">
        <v>11.0</v>
      </c>
      <c r="E155" s="6">
        <v>3.0</v>
      </c>
      <c r="F155" s="6">
        <f t="shared" si="1"/>
        <v>3</v>
      </c>
      <c r="G155" s="6">
        <v>3.0</v>
      </c>
      <c r="H155" s="6">
        <v>29.0</v>
      </c>
      <c r="I155" s="6">
        <v>19.0</v>
      </c>
      <c r="J155" s="6">
        <v>19.0</v>
      </c>
      <c r="K155" s="6">
        <v>0.0</v>
      </c>
      <c r="L155" s="9">
        <v>45135.0</v>
      </c>
      <c r="M155" s="6">
        <v>4.0</v>
      </c>
      <c r="N155" s="5" t="s">
        <v>113</v>
      </c>
      <c r="O155" s="5" t="str">
        <f t="shared" si="2"/>
        <v>Yes</v>
      </c>
      <c r="P155" s="5" t="s">
        <v>113</v>
      </c>
      <c r="Q155" s="5">
        <f t="shared" si="3"/>
        <v>1</v>
      </c>
      <c r="R155" s="5">
        <v>1.0</v>
      </c>
    </row>
    <row r="156" ht="22.5" customHeight="1">
      <c r="A156" s="5" t="s">
        <v>936</v>
      </c>
      <c r="B156" s="5" t="s">
        <v>65</v>
      </c>
      <c r="C156" s="6">
        <v>9.0</v>
      </c>
      <c r="D156" s="6">
        <v>31.0</v>
      </c>
      <c r="E156" s="6">
        <v>1.9</v>
      </c>
      <c r="F156" s="6">
        <f t="shared" si="1"/>
        <v>1</v>
      </c>
      <c r="G156" s="6">
        <v>1.0</v>
      </c>
      <c r="H156" s="6">
        <v>55.0</v>
      </c>
      <c r="I156" s="6">
        <v>15.0</v>
      </c>
      <c r="J156" s="6">
        <v>5.0</v>
      </c>
      <c r="K156" s="6">
        <v>5.0</v>
      </c>
      <c r="L156" s="9">
        <v>44695.0</v>
      </c>
      <c r="M156" s="6">
        <v>2.0</v>
      </c>
      <c r="N156" s="5" t="s">
        <v>113</v>
      </c>
      <c r="O156" s="5" t="str">
        <f t="shared" si="2"/>
        <v>Yes</v>
      </c>
      <c r="P156" s="5" t="s">
        <v>113</v>
      </c>
      <c r="Q156" s="5">
        <f t="shared" si="3"/>
        <v>1</v>
      </c>
      <c r="R156" s="5">
        <v>1.0</v>
      </c>
    </row>
    <row r="157" ht="22.5" customHeight="1">
      <c r="A157" s="5" t="s">
        <v>940</v>
      </c>
      <c r="B157" s="5" t="s">
        <v>65</v>
      </c>
      <c r="C157" s="6">
        <v>2.0</v>
      </c>
      <c r="D157" s="6">
        <v>4.0</v>
      </c>
      <c r="E157" s="6">
        <v>1.7</v>
      </c>
      <c r="F157" s="6">
        <f t="shared" si="1"/>
        <v>1</v>
      </c>
      <c r="G157" s="6">
        <v>1.0</v>
      </c>
      <c r="H157" s="6">
        <v>31.0</v>
      </c>
      <c r="I157" s="6">
        <v>10.0</v>
      </c>
      <c r="J157" s="6">
        <v>4.0</v>
      </c>
      <c r="K157" s="6">
        <v>3.0</v>
      </c>
      <c r="L157" s="9">
        <v>45563.0</v>
      </c>
      <c r="M157" s="6">
        <v>7.0</v>
      </c>
      <c r="N157" s="5" t="s">
        <v>62</v>
      </c>
      <c r="O157" s="5" t="str">
        <f t="shared" si="2"/>
        <v>No</v>
      </c>
      <c r="P157" s="5" t="s">
        <v>62</v>
      </c>
      <c r="Q157" s="5">
        <f t="shared" si="3"/>
        <v>0</v>
      </c>
      <c r="R157" s="5">
        <v>0.0</v>
      </c>
    </row>
    <row r="158" ht="22.5" customHeight="1">
      <c r="A158" s="5" t="s">
        <v>943</v>
      </c>
      <c r="B158" s="5" t="s">
        <v>22</v>
      </c>
      <c r="C158" s="6">
        <v>7.0</v>
      </c>
      <c r="D158" s="6">
        <v>30.0</v>
      </c>
      <c r="E158" s="6">
        <v>2.5</v>
      </c>
      <c r="F158" s="6">
        <f t="shared" si="1"/>
        <v>2</v>
      </c>
      <c r="G158" s="6">
        <v>2.0</v>
      </c>
      <c r="H158" s="6">
        <v>24.0</v>
      </c>
      <c r="I158" s="6">
        <v>20.0</v>
      </c>
      <c r="J158" s="6">
        <v>4.0</v>
      </c>
      <c r="K158" s="6">
        <v>4.0</v>
      </c>
      <c r="L158" s="9">
        <v>45119.0</v>
      </c>
      <c r="M158" s="6">
        <v>2.0</v>
      </c>
      <c r="N158" s="5" t="s">
        <v>113</v>
      </c>
      <c r="O158" s="5" t="str">
        <f t="shared" si="2"/>
        <v>Yes</v>
      </c>
      <c r="P158" s="5" t="s">
        <v>113</v>
      </c>
      <c r="Q158" s="5">
        <f t="shared" si="3"/>
        <v>1</v>
      </c>
      <c r="R158" s="5">
        <v>1.0</v>
      </c>
    </row>
    <row r="159" ht="22.5" customHeight="1">
      <c r="A159" s="5" t="s">
        <v>947</v>
      </c>
      <c r="B159" s="5" t="s">
        <v>65</v>
      </c>
      <c r="C159" s="6">
        <v>3.0</v>
      </c>
      <c r="D159" s="6">
        <v>16.0</v>
      </c>
      <c r="E159" s="6">
        <v>4.7</v>
      </c>
      <c r="F159" s="6">
        <f t="shared" si="1"/>
        <v>4</v>
      </c>
      <c r="G159" s="6">
        <v>4.0</v>
      </c>
      <c r="H159" s="6">
        <v>46.0</v>
      </c>
      <c r="I159" s="6">
        <v>41.0</v>
      </c>
      <c r="J159" s="6">
        <v>4.0</v>
      </c>
      <c r="K159" s="6">
        <v>0.0</v>
      </c>
      <c r="L159" s="9">
        <v>46140.0</v>
      </c>
      <c r="M159" s="6">
        <v>9.0</v>
      </c>
      <c r="N159" s="5" t="s">
        <v>62</v>
      </c>
      <c r="O159" s="5" t="str">
        <f t="shared" si="2"/>
        <v>No</v>
      </c>
      <c r="P159" s="5" t="s">
        <v>62</v>
      </c>
      <c r="Q159" s="5">
        <f t="shared" si="3"/>
        <v>0</v>
      </c>
      <c r="R159" s="5">
        <v>0.0</v>
      </c>
    </row>
    <row r="160" ht="22.5" customHeight="1">
      <c r="A160" s="5" t="s">
        <v>950</v>
      </c>
      <c r="B160" s="5" t="s">
        <v>22</v>
      </c>
      <c r="C160" s="6">
        <v>6.0</v>
      </c>
      <c r="D160" s="6">
        <v>33.0</v>
      </c>
      <c r="E160" s="6">
        <v>7.4</v>
      </c>
      <c r="F160" s="6">
        <f t="shared" si="1"/>
        <v>7</v>
      </c>
      <c r="G160" s="6">
        <v>7.0</v>
      </c>
      <c r="H160" s="6">
        <v>23.0</v>
      </c>
      <c r="I160" s="6">
        <v>27.0</v>
      </c>
      <c r="J160" s="6">
        <v>14.0</v>
      </c>
      <c r="K160" s="6">
        <v>0.0</v>
      </c>
      <c r="L160" s="9">
        <v>45119.0</v>
      </c>
      <c r="M160" s="6">
        <v>3.0</v>
      </c>
      <c r="N160" s="5" t="s">
        <v>113</v>
      </c>
      <c r="O160" s="5" t="str">
        <f t="shared" si="2"/>
        <v>Yes</v>
      </c>
      <c r="P160" s="5" t="s">
        <v>113</v>
      </c>
      <c r="Q160" s="5">
        <f t="shared" si="3"/>
        <v>1</v>
      </c>
      <c r="R160" s="5">
        <v>1.0</v>
      </c>
    </row>
    <row r="161" ht="22.5" customHeight="1">
      <c r="A161" s="5" t="s">
        <v>954</v>
      </c>
      <c r="B161" s="5" t="s">
        <v>65</v>
      </c>
      <c r="C161" s="6">
        <v>3.0</v>
      </c>
      <c r="D161" s="6">
        <v>13.0</v>
      </c>
      <c r="E161" s="6">
        <v>8.4</v>
      </c>
      <c r="F161" s="6">
        <f t="shared" si="1"/>
        <v>8</v>
      </c>
      <c r="G161" s="6">
        <v>8.0</v>
      </c>
      <c r="H161" s="6">
        <v>56.0</v>
      </c>
      <c r="I161" s="6">
        <v>33.0</v>
      </c>
      <c r="J161" s="6">
        <v>15.0</v>
      </c>
      <c r="K161" s="6">
        <v>2.0</v>
      </c>
      <c r="L161" s="9">
        <v>45209.0</v>
      </c>
      <c r="M161" s="6">
        <v>3.0</v>
      </c>
      <c r="N161" s="5" t="s">
        <v>113</v>
      </c>
      <c r="O161" s="5" t="str">
        <f t="shared" si="2"/>
        <v>No</v>
      </c>
      <c r="P161" s="5" t="s">
        <v>62</v>
      </c>
      <c r="Q161" s="5">
        <f t="shared" si="3"/>
        <v>0</v>
      </c>
      <c r="R161" s="5">
        <v>0.0</v>
      </c>
    </row>
    <row r="162" ht="22.5" customHeight="1">
      <c r="A162" s="5" t="s">
        <v>957</v>
      </c>
      <c r="B162" s="5" t="s">
        <v>65</v>
      </c>
      <c r="C162" s="6">
        <v>7.0</v>
      </c>
      <c r="D162" s="6">
        <v>17.0</v>
      </c>
      <c r="E162" s="6">
        <v>7.2</v>
      </c>
      <c r="F162" s="6">
        <f t="shared" si="1"/>
        <v>7</v>
      </c>
      <c r="G162" s="6">
        <v>7.0</v>
      </c>
      <c r="H162" s="6">
        <v>25.0</v>
      </c>
      <c r="I162" s="6">
        <v>18.0</v>
      </c>
      <c r="J162" s="6">
        <v>2.0</v>
      </c>
      <c r="K162" s="6">
        <v>0.0</v>
      </c>
      <c r="L162" s="9">
        <v>45533.0</v>
      </c>
      <c r="M162" s="6">
        <v>8.0</v>
      </c>
      <c r="N162" s="5" t="s">
        <v>62</v>
      </c>
      <c r="O162" s="5" t="str">
        <f t="shared" si="2"/>
        <v>No</v>
      </c>
      <c r="P162" s="5" t="s">
        <v>62</v>
      </c>
      <c r="Q162" s="5">
        <f t="shared" si="3"/>
        <v>0</v>
      </c>
      <c r="R162" s="5">
        <v>0.0</v>
      </c>
    </row>
    <row r="163" ht="22.5" customHeight="1">
      <c r="A163" s="5" t="s">
        <v>962</v>
      </c>
      <c r="B163" s="5" t="s">
        <v>84</v>
      </c>
      <c r="C163" s="6">
        <v>5.0</v>
      </c>
      <c r="D163" s="6">
        <v>27.0</v>
      </c>
      <c r="E163" s="6">
        <v>14.5</v>
      </c>
      <c r="F163" s="6">
        <f t="shared" si="1"/>
        <v>14</v>
      </c>
      <c r="G163" s="6">
        <v>14.0</v>
      </c>
      <c r="H163" s="6">
        <v>20.0</v>
      </c>
      <c r="I163" s="6">
        <v>12.0</v>
      </c>
      <c r="J163" s="6">
        <v>5.0</v>
      </c>
      <c r="K163" s="6">
        <v>4.0</v>
      </c>
      <c r="L163" s="9">
        <v>44833.0</v>
      </c>
      <c r="M163" s="6">
        <v>4.0</v>
      </c>
      <c r="N163" s="5" t="s">
        <v>113</v>
      </c>
      <c r="O163" s="5" t="str">
        <f t="shared" si="2"/>
        <v>Yes</v>
      </c>
      <c r="P163" s="5" t="s">
        <v>113</v>
      </c>
      <c r="Q163" s="5">
        <f t="shared" si="3"/>
        <v>1</v>
      </c>
      <c r="R163" s="5">
        <v>1.0</v>
      </c>
    </row>
    <row r="164" ht="22.5" customHeight="1">
      <c r="A164" s="5" t="s">
        <v>965</v>
      </c>
      <c r="B164" s="5" t="s">
        <v>170</v>
      </c>
      <c r="C164" s="6">
        <v>4.0</v>
      </c>
      <c r="D164" s="6">
        <v>22.0</v>
      </c>
      <c r="E164" s="6">
        <v>17.1</v>
      </c>
      <c r="F164" s="6">
        <f t="shared" si="1"/>
        <v>17</v>
      </c>
      <c r="G164" s="6">
        <v>17.0</v>
      </c>
      <c r="H164" s="6">
        <v>55.0</v>
      </c>
      <c r="I164" s="6">
        <v>15.0</v>
      </c>
      <c r="J164" s="6">
        <v>19.0</v>
      </c>
      <c r="K164" s="6">
        <v>5.0</v>
      </c>
      <c r="L164" s="9">
        <v>45834.0</v>
      </c>
      <c r="M164" s="6">
        <v>6.0</v>
      </c>
      <c r="N164" s="5" t="s">
        <v>62</v>
      </c>
      <c r="O164" s="5" t="str">
        <f t="shared" si="2"/>
        <v>No</v>
      </c>
      <c r="P164" s="5" t="s">
        <v>62</v>
      </c>
      <c r="Q164" s="5">
        <f t="shared" si="3"/>
        <v>0</v>
      </c>
      <c r="R164" s="5">
        <v>0.0</v>
      </c>
    </row>
    <row r="165" ht="22.5" customHeight="1">
      <c r="A165" s="5" t="s">
        <v>969</v>
      </c>
      <c r="B165" s="5" t="s">
        <v>65</v>
      </c>
      <c r="C165" s="6">
        <v>6.0</v>
      </c>
      <c r="D165" s="6">
        <v>14.0</v>
      </c>
      <c r="E165" s="6">
        <v>5.6</v>
      </c>
      <c r="F165" s="6">
        <f t="shared" si="1"/>
        <v>5</v>
      </c>
      <c r="G165" s="6">
        <v>5.0</v>
      </c>
      <c r="H165" s="6">
        <v>56.0</v>
      </c>
      <c r="I165" s="6">
        <v>24.0</v>
      </c>
      <c r="J165" s="6">
        <v>6.0</v>
      </c>
      <c r="K165" s="6">
        <v>1.0</v>
      </c>
      <c r="L165" s="9">
        <v>45767.0</v>
      </c>
      <c r="M165" s="6">
        <v>7.0</v>
      </c>
      <c r="N165" s="5" t="s">
        <v>62</v>
      </c>
      <c r="O165" s="5" t="str">
        <f t="shared" si="2"/>
        <v>No</v>
      </c>
      <c r="P165" s="5" t="s">
        <v>62</v>
      </c>
      <c r="Q165" s="5">
        <f t="shared" si="3"/>
        <v>0</v>
      </c>
      <c r="R165" s="5">
        <v>0.0</v>
      </c>
    </row>
    <row r="166" ht="22.5" customHeight="1">
      <c r="A166" s="5" t="s">
        <v>975</v>
      </c>
      <c r="B166" s="5" t="s">
        <v>22</v>
      </c>
      <c r="C166" s="6">
        <v>7.0</v>
      </c>
      <c r="D166" s="6">
        <v>34.0</v>
      </c>
      <c r="E166" s="6">
        <v>3.5</v>
      </c>
      <c r="F166" s="6">
        <f t="shared" si="1"/>
        <v>3</v>
      </c>
      <c r="G166" s="6">
        <v>3.0</v>
      </c>
      <c r="H166" s="6">
        <v>26.0</v>
      </c>
      <c r="I166" s="6">
        <v>10.0</v>
      </c>
      <c r="J166" s="6">
        <v>5.0</v>
      </c>
      <c r="K166" s="6">
        <v>4.0</v>
      </c>
      <c r="L166" s="9">
        <v>45659.0</v>
      </c>
      <c r="M166" s="6">
        <v>10.0</v>
      </c>
      <c r="N166" s="5" t="s">
        <v>62</v>
      </c>
      <c r="O166" s="5" t="str">
        <f t="shared" si="2"/>
        <v>No</v>
      </c>
      <c r="P166" s="5" t="s">
        <v>62</v>
      </c>
      <c r="Q166" s="5">
        <f t="shared" si="3"/>
        <v>0</v>
      </c>
      <c r="R166" s="5">
        <v>0.0</v>
      </c>
    </row>
    <row r="167" ht="22.5" customHeight="1">
      <c r="A167" s="5" t="s">
        <v>979</v>
      </c>
      <c r="B167" s="5" t="s">
        <v>22</v>
      </c>
      <c r="C167" s="6">
        <v>4.0</v>
      </c>
      <c r="D167" s="6">
        <v>11.0</v>
      </c>
      <c r="E167" s="6">
        <v>20.0</v>
      </c>
      <c r="F167" s="6">
        <f t="shared" si="1"/>
        <v>20</v>
      </c>
      <c r="G167" s="6">
        <v>20.0</v>
      </c>
      <c r="H167" s="6">
        <v>10.0</v>
      </c>
      <c r="I167" s="6">
        <v>17.0</v>
      </c>
      <c r="J167" s="6">
        <v>8.0</v>
      </c>
      <c r="K167" s="6">
        <v>2.0</v>
      </c>
      <c r="L167" s="9">
        <v>45463.0</v>
      </c>
      <c r="M167" s="6">
        <v>4.0</v>
      </c>
      <c r="N167" s="5" t="s">
        <v>113</v>
      </c>
      <c r="O167" s="5" t="str">
        <f t="shared" si="2"/>
        <v>No</v>
      </c>
      <c r="P167" s="5" t="s">
        <v>62</v>
      </c>
      <c r="Q167" s="5">
        <f t="shared" si="3"/>
        <v>0</v>
      </c>
      <c r="R167" s="5">
        <v>0.0</v>
      </c>
    </row>
    <row r="168" ht="22.5" customHeight="1">
      <c r="A168" s="5" t="s">
        <v>982</v>
      </c>
      <c r="B168" s="5" t="s">
        <v>170</v>
      </c>
      <c r="C168" s="6">
        <v>5.0</v>
      </c>
      <c r="D168" s="6">
        <v>26.0</v>
      </c>
      <c r="E168" s="6">
        <v>12.8</v>
      </c>
      <c r="F168" s="6">
        <f t="shared" si="1"/>
        <v>12</v>
      </c>
      <c r="G168" s="6">
        <v>12.0</v>
      </c>
      <c r="H168" s="6">
        <v>44.0</v>
      </c>
      <c r="I168" s="6">
        <v>20.0</v>
      </c>
      <c r="J168" s="6">
        <v>7.0</v>
      </c>
      <c r="K168" s="6">
        <v>2.0</v>
      </c>
      <c r="L168" s="9">
        <v>45037.0</v>
      </c>
      <c r="M168" s="6">
        <v>3.0</v>
      </c>
      <c r="N168" s="5" t="s">
        <v>113</v>
      </c>
      <c r="O168" s="5" t="str">
        <f t="shared" si="2"/>
        <v>Yes</v>
      </c>
      <c r="P168" s="5" t="s">
        <v>113</v>
      </c>
      <c r="Q168" s="5">
        <f t="shared" si="3"/>
        <v>1</v>
      </c>
      <c r="R168" s="5">
        <v>1.0</v>
      </c>
    </row>
    <row r="169" ht="22.5" customHeight="1">
      <c r="A169" s="5" t="s">
        <v>986</v>
      </c>
      <c r="B169" s="5" t="s">
        <v>84</v>
      </c>
      <c r="C169" s="6">
        <v>9.0</v>
      </c>
      <c r="D169" s="6">
        <v>54.0</v>
      </c>
      <c r="E169" s="6">
        <v>12.3</v>
      </c>
      <c r="F169" s="6">
        <f t="shared" si="1"/>
        <v>12</v>
      </c>
      <c r="G169" s="6">
        <v>12.0</v>
      </c>
      <c r="H169" s="6">
        <v>59.0</v>
      </c>
      <c r="I169" s="6">
        <v>14.0</v>
      </c>
      <c r="J169" s="6">
        <v>18.0</v>
      </c>
      <c r="K169" s="6">
        <v>5.0</v>
      </c>
      <c r="L169" s="9">
        <v>45187.0</v>
      </c>
      <c r="M169" s="6">
        <v>4.0</v>
      </c>
      <c r="N169" s="5" t="s">
        <v>113</v>
      </c>
      <c r="O169" s="5" t="str">
        <f t="shared" si="2"/>
        <v>No</v>
      </c>
      <c r="P169" s="5" t="s">
        <v>62</v>
      </c>
      <c r="Q169" s="5">
        <f t="shared" si="3"/>
        <v>0</v>
      </c>
      <c r="R169" s="5">
        <v>0.0</v>
      </c>
    </row>
    <row r="170" ht="22.5" customHeight="1">
      <c r="A170" s="5" t="s">
        <v>989</v>
      </c>
      <c r="B170" s="5" t="s">
        <v>65</v>
      </c>
      <c r="C170" s="6">
        <v>5.0</v>
      </c>
      <c r="D170" s="6">
        <v>8.0</v>
      </c>
      <c r="E170" s="6">
        <v>4.6</v>
      </c>
      <c r="F170" s="6">
        <f t="shared" si="1"/>
        <v>4</v>
      </c>
      <c r="G170" s="6">
        <v>4.0</v>
      </c>
      <c r="H170" s="6">
        <v>51.0</v>
      </c>
      <c r="I170" s="6">
        <v>10.0</v>
      </c>
      <c r="J170" s="6">
        <v>14.0</v>
      </c>
      <c r="K170" s="6">
        <v>0.0</v>
      </c>
      <c r="L170" s="9">
        <v>44734.0</v>
      </c>
      <c r="M170" s="6">
        <v>4.0</v>
      </c>
      <c r="N170" s="5" t="s">
        <v>113</v>
      </c>
      <c r="O170" s="5" t="str">
        <f t="shared" si="2"/>
        <v>Yes</v>
      </c>
      <c r="P170" s="5" t="s">
        <v>113</v>
      </c>
      <c r="Q170" s="5">
        <f t="shared" si="3"/>
        <v>1</v>
      </c>
      <c r="R170" s="5">
        <v>1.0</v>
      </c>
    </row>
    <row r="171" ht="22.5" customHeight="1">
      <c r="A171" s="5" t="s">
        <v>992</v>
      </c>
      <c r="B171" s="5" t="s">
        <v>170</v>
      </c>
      <c r="C171" s="6">
        <v>11.0</v>
      </c>
      <c r="D171" s="6">
        <v>61.0</v>
      </c>
      <c r="E171" s="6">
        <v>10.8</v>
      </c>
      <c r="F171" s="6">
        <f t="shared" si="1"/>
        <v>10</v>
      </c>
      <c r="G171" s="6">
        <v>10.0</v>
      </c>
      <c r="H171" s="6">
        <v>7.0</v>
      </c>
      <c r="I171" s="6">
        <v>27.0</v>
      </c>
      <c r="J171" s="6">
        <v>18.0</v>
      </c>
      <c r="K171" s="6">
        <v>1.0</v>
      </c>
      <c r="L171" s="9">
        <v>46008.0</v>
      </c>
      <c r="M171" s="6">
        <v>6.0</v>
      </c>
      <c r="N171" s="5" t="s">
        <v>62</v>
      </c>
      <c r="O171" s="5" t="str">
        <f t="shared" si="2"/>
        <v>No</v>
      </c>
      <c r="P171" s="5" t="s">
        <v>62</v>
      </c>
      <c r="Q171" s="5">
        <f t="shared" si="3"/>
        <v>0</v>
      </c>
      <c r="R171" s="5">
        <v>0.0</v>
      </c>
    </row>
    <row r="172" ht="22.5" customHeight="1">
      <c r="A172" s="5" t="s">
        <v>995</v>
      </c>
      <c r="B172" s="5" t="s">
        <v>84</v>
      </c>
      <c r="C172" s="6">
        <v>5.0</v>
      </c>
      <c r="D172" s="6">
        <v>22.0</v>
      </c>
      <c r="E172" s="6">
        <v>7.3</v>
      </c>
      <c r="F172" s="6">
        <f t="shared" si="1"/>
        <v>7</v>
      </c>
      <c r="G172" s="6">
        <v>7.0</v>
      </c>
      <c r="H172" s="6">
        <v>54.0</v>
      </c>
      <c r="I172" s="6">
        <v>25.0</v>
      </c>
      <c r="J172" s="6">
        <v>3.0</v>
      </c>
      <c r="K172" s="6">
        <v>0.0</v>
      </c>
      <c r="L172" s="9">
        <v>45500.0</v>
      </c>
      <c r="M172" s="6">
        <v>3.0</v>
      </c>
      <c r="N172" s="5" t="s">
        <v>113</v>
      </c>
      <c r="O172" s="5" t="str">
        <f t="shared" si="2"/>
        <v>No</v>
      </c>
      <c r="P172" s="5" t="s">
        <v>62</v>
      </c>
      <c r="Q172" s="5">
        <f t="shared" si="3"/>
        <v>0</v>
      </c>
      <c r="R172" s="5">
        <v>0.0</v>
      </c>
    </row>
    <row r="173" ht="22.5" customHeight="1">
      <c r="A173" s="5" t="s">
        <v>998</v>
      </c>
      <c r="B173" s="5" t="s">
        <v>22</v>
      </c>
      <c r="C173" s="6">
        <v>6.0</v>
      </c>
      <c r="D173" s="6">
        <v>35.0</v>
      </c>
      <c r="E173" s="6">
        <v>6.4</v>
      </c>
      <c r="F173" s="6">
        <f t="shared" si="1"/>
        <v>6</v>
      </c>
      <c r="G173" s="6">
        <v>6.0</v>
      </c>
      <c r="H173" s="6">
        <v>44.0</v>
      </c>
      <c r="I173" s="6">
        <v>31.0</v>
      </c>
      <c r="J173" s="6">
        <v>3.0</v>
      </c>
      <c r="K173" s="6">
        <v>3.0</v>
      </c>
      <c r="L173" s="9">
        <v>44894.0</v>
      </c>
      <c r="M173" s="6">
        <v>4.0</v>
      </c>
      <c r="N173" s="5" t="s">
        <v>113</v>
      </c>
      <c r="O173" s="5" t="str">
        <f t="shared" si="2"/>
        <v>Yes</v>
      </c>
      <c r="P173" s="5" t="s">
        <v>113</v>
      </c>
      <c r="Q173" s="5">
        <f t="shared" si="3"/>
        <v>1</v>
      </c>
      <c r="R173" s="5">
        <v>1.0</v>
      </c>
    </row>
    <row r="174" ht="22.5" customHeight="1">
      <c r="A174" s="5" t="s">
        <v>1002</v>
      </c>
      <c r="B174" s="5" t="s">
        <v>65</v>
      </c>
      <c r="C174" s="6">
        <v>11.0</v>
      </c>
      <c r="D174" s="6">
        <v>40.0</v>
      </c>
      <c r="E174" s="6">
        <v>6.4</v>
      </c>
      <c r="F174" s="6">
        <f t="shared" si="1"/>
        <v>6</v>
      </c>
      <c r="G174" s="6">
        <v>6.0</v>
      </c>
      <c r="H174" s="6">
        <v>58.0</v>
      </c>
      <c r="I174" s="6">
        <v>16.0</v>
      </c>
      <c r="J174" s="6">
        <v>2.0</v>
      </c>
      <c r="K174" s="6">
        <v>5.0</v>
      </c>
      <c r="L174" s="9">
        <v>45192.0</v>
      </c>
      <c r="M174" s="6">
        <v>3.0</v>
      </c>
      <c r="O174" s="10" t="str">
        <f t="shared" si="2"/>
        <v>No</v>
      </c>
      <c r="P174" s="10" t="s">
        <v>62</v>
      </c>
      <c r="Q174" s="10">
        <f t="shared" si="3"/>
        <v>0</v>
      </c>
      <c r="R174" s="10">
        <v>0.0</v>
      </c>
    </row>
    <row r="175" ht="22.5" customHeight="1">
      <c r="A175" s="5" t="s">
        <v>1003</v>
      </c>
      <c r="B175" s="5" t="s">
        <v>22</v>
      </c>
      <c r="C175" s="6">
        <v>4.0</v>
      </c>
      <c r="D175" s="6">
        <v>21.0</v>
      </c>
      <c r="E175" s="6">
        <v>9.0</v>
      </c>
      <c r="F175" s="6">
        <f t="shared" si="1"/>
        <v>9</v>
      </c>
      <c r="G175" s="6">
        <v>9.0</v>
      </c>
      <c r="H175" s="6">
        <v>59.0</v>
      </c>
      <c r="I175" s="6">
        <v>31.0</v>
      </c>
      <c r="J175" s="6">
        <v>10.0</v>
      </c>
      <c r="K175" s="6">
        <v>3.0</v>
      </c>
      <c r="L175" s="9">
        <v>45369.0</v>
      </c>
      <c r="M175" s="6">
        <v>4.0</v>
      </c>
      <c r="N175" s="5" t="s">
        <v>113</v>
      </c>
      <c r="O175" s="5" t="str">
        <f t="shared" si="2"/>
        <v>No</v>
      </c>
      <c r="P175" s="5" t="s">
        <v>62</v>
      </c>
      <c r="Q175" s="5">
        <f t="shared" si="3"/>
        <v>0</v>
      </c>
      <c r="R175" s="5">
        <v>0.0</v>
      </c>
    </row>
    <row r="176" ht="22.5" customHeight="1">
      <c r="A176" s="5" t="s">
        <v>1006</v>
      </c>
      <c r="B176" s="5" t="s">
        <v>65</v>
      </c>
      <c r="C176" s="6">
        <v>5.0</v>
      </c>
      <c r="D176" s="6">
        <v>9.0</v>
      </c>
      <c r="E176" s="6">
        <v>14.8</v>
      </c>
      <c r="F176" s="6">
        <f t="shared" si="1"/>
        <v>14</v>
      </c>
      <c r="G176" s="6">
        <v>14.0</v>
      </c>
      <c r="H176" s="6">
        <v>35.0</v>
      </c>
      <c r="I176" s="6">
        <v>37.0</v>
      </c>
      <c r="J176" s="6">
        <v>7.0</v>
      </c>
      <c r="K176" s="6">
        <v>1.0</v>
      </c>
      <c r="L176" s="9">
        <v>45833.0</v>
      </c>
      <c r="M176" s="6">
        <v>9.0</v>
      </c>
      <c r="N176" s="5" t="s">
        <v>62</v>
      </c>
      <c r="O176" s="5" t="str">
        <f t="shared" si="2"/>
        <v>No</v>
      </c>
      <c r="P176" s="5" t="s">
        <v>62</v>
      </c>
      <c r="Q176" s="5">
        <f t="shared" si="3"/>
        <v>0</v>
      </c>
      <c r="R176" s="5">
        <v>0.0</v>
      </c>
    </row>
    <row r="177" ht="22.5" customHeight="1">
      <c r="A177" s="5" t="s">
        <v>1010</v>
      </c>
      <c r="B177" s="5" t="s">
        <v>44</v>
      </c>
      <c r="C177" s="6">
        <v>6.0</v>
      </c>
      <c r="D177" s="6">
        <v>11.0</v>
      </c>
      <c r="E177" s="6">
        <v>5.1</v>
      </c>
      <c r="F177" s="6">
        <f t="shared" si="1"/>
        <v>5</v>
      </c>
      <c r="G177" s="6">
        <v>5.0</v>
      </c>
      <c r="H177" s="6">
        <v>50.0</v>
      </c>
      <c r="I177" s="6">
        <v>20.0</v>
      </c>
      <c r="J177" s="6">
        <v>13.0</v>
      </c>
      <c r="K177" s="6">
        <v>5.0</v>
      </c>
      <c r="L177" s="9">
        <v>45956.0</v>
      </c>
      <c r="M177" s="6">
        <v>4.0</v>
      </c>
      <c r="N177" s="5" t="s">
        <v>62</v>
      </c>
      <c r="O177" s="5" t="str">
        <f t="shared" si="2"/>
        <v>No</v>
      </c>
      <c r="P177" s="5" t="s">
        <v>62</v>
      </c>
      <c r="Q177" s="5">
        <f t="shared" si="3"/>
        <v>0</v>
      </c>
      <c r="R177" s="5">
        <v>0.0</v>
      </c>
    </row>
    <row r="178" ht="22.5" customHeight="1">
      <c r="A178" s="5" t="s">
        <v>1012</v>
      </c>
      <c r="B178" s="5" t="s">
        <v>22</v>
      </c>
      <c r="C178" s="6">
        <v>11.0</v>
      </c>
      <c r="D178" s="6">
        <v>65.0</v>
      </c>
      <c r="E178" s="6">
        <v>7.5</v>
      </c>
      <c r="F178" s="6">
        <f t="shared" si="1"/>
        <v>7</v>
      </c>
      <c r="G178" s="6">
        <v>7.0</v>
      </c>
      <c r="H178" s="6">
        <v>42.0</v>
      </c>
      <c r="I178" s="6">
        <v>26.0</v>
      </c>
      <c r="J178" s="6">
        <v>14.0</v>
      </c>
      <c r="K178" s="6">
        <v>4.0</v>
      </c>
      <c r="L178" s="9">
        <v>45988.0</v>
      </c>
      <c r="M178" s="6">
        <v>8.0</v>
      </c>
      <c r="N178" s="5" t="s">
        <v>62</v>
      </c>
      <c r="O178" s="5" t="str">
        <f t="shared" si="2"/>
        <v>No</v>
      </c>
      <c r="P178" s="5" t="s">
        <v>62</v>
      </c>
      <c r="Q178" s="5">
        <f t="shared" si="3"/>
        <v>0</v>
      </c>
      <c r="R178" s="5">
        <v>0.0</v>
      </c>
    </row>
    <row r="179" ht="22.5" customHeight="1">
      <c r="A179" s="5" t="s">
        <v>1016</v>
      </c>
      <c r="B179" s="5" t="s">
        <v>22</v>
      </c>
      <c r="C179" s="6">
        <v>5.0</v>
      </c>
      <c r="D179" s="6">
        <v>26.0</v>
      </c>
      <c r="E179" s="6">
        <v>6.3</v>
      </c>
      <c r="F179" s="6">
        <f t="shared" si="1"/>
        <v>6</v>
      </c>
      <c r="G179" s="6">
        <v>6.0</v>
      </c>
      <c r="H179" s="6">
        <v>21.0</v>
      </c>
      <c r="I179" s="6">
        <v>20.0</v>
      </c>
      <c r="J179" s="6">
        <v>4.0</v>
      </c>
      <c r="K179" s="6">
        <v>4.0</v>
      </c>
      <c r="L179" s="9">
        <v>46082.0</v>
      </c>
      <c r="M179" s="6">
        <v>7.0</v>
      </c>
      <c r="N179" s="5" t="s">
        <v>62</v>
      </c>
      <c r="O179" s="5" t="str">
        <f t="shared" si="2"/>
        <v>No</v>
      </c>
      <c r="P179" s="5" t="s">
        <v>62</v>
      </c>
      <c r="Q179" s="5">
        <f t="shared" si="3"/>
        <v>0</v>
      </c>
      <c r="R179" s="5">
        <v>0.0</v>
      </c>
    </row>
    <row r="180" ht="22.5" customHeight="1">
      <c r="A180" s="5" t="s">
        <v>1019</v>
      </c>
      <c r="B180" s="5" t="s">
        <v>22</v>
      </c>
      <c r="C180" s="6">
        <v>3.0</v>
      </c>
      <c r="D180" s="6">
        <v>16.0</v>
      </c>
      <c r="E180" s="6">
        <v>8.6</v>
      </c>
      <c r="F180" s="6">
        <f t="shared" si="1"/>
        <v>8</v>
      </c>
      <c r="G180" s="6">
        <v>8.0</v>
      </c>
      <c r="H180" s="6">
        <v>27.0</v>
      </c>
      <c r="I180" s="6">
        <v>18.0</v>
      </c>
      <c r="J180" s="6">
        <v>19.0</v>
      </c>
      <c r="K180" s="6">
        <v>4.0</v>
      </c>
      <c r="L180" s="9">
        <v>46209.0</v>
      </c>
      <c r="M180" s="6">
        <v>5.0</v>
      </c>
      <c r="N180" s="5" t="s">
        <v>62</v>
      </c>
      <c r="O180" s="5" t="str">
        <f t="shared" si="2"/>
        <v>No</v>
      </c>
      <c r="P180" s="5" t="s">
        <v>62</v>
      </c>
      <c r="Q180" s="5">
        <f t="shared" si="3"/>
        <v>0</v>
      </c>
      <c r="R180" s="5">
        <v>0.0</v>
      </c>
    </row>
    <row r="181" ht="22.5" customHeight="1">
      <c r="A181" s="5" t="s">
        <v>1023</v>
      </c>
      <c r="B181" s="5" t="s">
        <v>44</v>
      </c>
      <c r="C181" s="6">
        <v>4.0</v>
      </c>
      <c r="D181" s="6">
        <v>23.0</v>
      </c>
      <c r="E181" s="6">
        <v>5.8</v>
      </c>
      <c r="F181" s="6">
        <f t="shared" si="1"/>
        <v>5</v>
      </c>
      <c r="G181" s="6">
        <v>5.0</v>
      </c>
      <c r="H181" s="6">
        <v>40.0</v>
      </c>
      <c r="I181" s="6">
        <v>30.0</v>
      </c>
      <c r="J181" s="6">
        <v>11.0</v>
      </c>
      <c r="K181" s="6">
        <v>3.0</v>
      </c>
      <c r="L181" s="9">
        <v>45964.0</v>
      </c>
      <c r="M181" s="6">
        <v>7.0</v>
      </c>
      <c r="N181" s="5" t="s">
        <v>62</v>
      </c>
      <c r="O181" s="5" t="str">
        <f t="shared" si="2"/>
        <v>No</v>
      </c>
      <c r="P181" s="5" t="s">
        <v>62</v>
      </c>
      <c r="Q181" s="5">
        <f t="shared" si="3"/>
        <v>0</v>
      </c>
      <c r="R181" s="5">
        <v>0.0</v>
      </c>
    </row>
    <row r="182" ht="22.5" customHeight="1">
      <c r="A182" s="5" t="s">
        <v>1029</v>
      </c>
      <c r="B182" s="5" t="s">
        <v>44</v>
      </c>
      <c r="C182" s="6">
        <v>6.0</v>
      </c>
      <c r="D182" s="6">
        <v>11.0</v>
      </c>
      <c r="E182" s="6">
        <v>19.0</v>
      </c>
      <c r="F182" s="6">
        <f t="shared" si="1"/>
        <v>19</v>
      </c>
      <c r="G182" s="6">
        <v>19.0</v>
      </c>
      <c r="H182" s="6">
        <v>30.0</v>
      </c>
      <c r="I182" s="6">
        <v>24.0</v>
      </c>
      <c r="J182" s="6">
        <v>17.0</v>
      </c>
      <c r="K182" s="6">
        <v>1.0</v>
      </c>
      <c r="L182" s="9">
        <v>45593.0</v>
      </c>
      <c r="M182" s="6">
        <v>8.0</v>
      </c>
      <c r="N182" s="5" t="s">
        <v>62</v>
      </c>
      <c r="O182" s="5" t="str">
        <f t="shared" si="2"/>
        <v>No</v>
      </c>
      <c r="P182" s="5" t="s">
        <v>62</v>
      </c>
      <c r="Q182" s="5">
        <f t="shared" si="3"/>
        <v>0</v>
      </c>
      <c r="R182" s="5">
        <v>0.0</v>
      </c>
    </row>
    <row r="183" ht="22.5" customHeight="1">
      <c r="A183" s="5" t="s">
        <v>1031</v>
      </c>
      <c r="B183" s="5" t="s">
        <v>22</v>
      </c>
      <c r="C183" s="6">
        <v>9.0</v>
      </c>
      <c r="D183" s="6">
        <v>29.0</v>
      </c>
      <c r="E183" s="6">
        <v>4.3</v>
      </c>
      <c r="F183" s="6">
        <f t="shared" si="1"/>
        <v>4</v>
      </c>
      <c r="G183" s="6">
        <v>4.0</v>
      </c>
      <c r="H183" s="6">
        <v>54.0</v>
      </c>
      <c r="I183" s="6">
        <v>35.0</v>
      </c>
      <c r="J183" s="6">
        <v>19.0</v>
      </c>
      <c r="K183" s="6">
        <v>2.0</v>
      </c>
      <c r="L183" s="9">
        <v>45231.0</v>
      </c>
      <c r="M183" s="6">
        <v>1.0</v>
      </c>
      <c r="N183" s="5" t="s">
        <v>113</v>
      </c>
      <c r="O183" s="5" t="str">
        <f t="shared" si="2"/>
        <v>No</v>
      </c>
      <c r="P183" s="5" t="s">
        <v>62</v>
      </c>
      <c r="Q183" s="5">
        <f t="shared" si="3"/>
        <v>0</v>
      </c>
      <c r="R183" s="5">
        <v>0.0</v>
      </c>
    </row>
    <row r="184" ht="22.5" customHeight="1">
      <c r="A184" s="5" t="s">
        <v>1034</v>
      </c>
      <c r="B184" s="5" t="s">
        <v>65</v>
      </c>
      <c r="C184" s="6">
        <v>5.0</v>
      </c>
      <c r="D184" s="6">
        <v>9.0</v>
      </c>
      <c r="E184" s="6">
        <v>5.2</v>
      </c>
      <c r="F184" s="6">
        <f t="shared" si="1"/>
        <v>5</v>
      </c>
      <c r="G184" s="6">
        <v>5.0</v>
      </c>
      <c r="H184" s="6">
        <v>58.0</v>
      </c>
      <c r="I184" s="6">
        <v>21.0</v>
      </c>
      <c r="J184" s="6">
        <v>2.0</v>
      </c>
      <c r="K184" s="6">
        <v>5.0</v>
      </c>
      <c r="L184" s="9">
        <v>44990.0</v>
      </c>
      <c r="M184" s="6">
        <v>5.0</v>
      </c>
      <c r="N184" s="5" t="s">
        <v>113</v>
      </c>
      <c r="O184" s="5" t="str">
        <f t="shared" si="2"/>
        <v>Yes</v>
      </c>
      <c r="P184" s="5" t="s">
        <v>113</v>
      </c>
      <c r="Q184" s="5">
        <f t="shared" si="3"/>
        <v>1</v>
      </c>
      <c r="R184" s="5">
        <v>1.0</v>
      </c>
    </row>
    <row r="185" ht="22.5" customHeight="1">
      <c r="A185" s="5" t="s">
        <v>1038</v>
      </c>
      <c r="B185" s="5" t="s">
        <v>65</v>
      </c>
      <c r="C185" s="6">
        <v>4.0</v>
      </c>
      <c r="D185" s="6">
        <v>10.0</v>
      </c>
      <c r="E185" s="6">
        <v>4.7</v>
      </c>
      <c r="F185" s="6">
        <f t="shared" si="1"/>
        <v>4</v>
      </c>
      <c r="G185" s="6">
        <v>4.0</v>
      </c>
      <c r="H185" s="6">
        <v>46.0</v>
      </c>
      <c r="I185" s="6">
        <v>22.0</v>
      </c>
      <c r="J185" s="6">
        <v>20.0</v>
      </c>
      <c r="K185" s="6">
        <v>5.0</v>
      </c>
      <c r="L185" s="9">
        <v>44990.0</v>
      </c>
      <c r="M185" s="6">
        <v>2.0</v>
      </c>
      <c r="O185" s="10" t="str">
        <f t="shared" si="2"/>
        <v>Yes</v>
      </c>
      <c r="P185" s="10" t="s">
        <v>113</v>
      </c>
      <c r="Q185" s="10">
        <f t="shared" si="3"/>
        <v>1</v>
      </c>
      <c r="R185" s="10">
        <v>1.0</v>
      </c>
    </row>
    <row r="186" ht="22.5" customHeight="1">
      <c r="A186" s="5" t="s">
        <v>1043</v>
      </c>
      <c r="B186" s="5" t="s">
        <v>84</v>
      </c>
      <c r="C186" s="6">
        <v>9.0</v>
      </c>
      <c r="D186" s="6">
        <v>23.0</v>
      </c>
      <c r="E186" s="6">
        <v>6.1</v>
      </c>
      <c r="F186" s="6">
        <f t="shared" si="1"/>
        <v>6</v>
      </c>
      <c r="G186" s="6">
        <v>6.0</v>
      </c>
      <c r="H186" s="6">
        <v>36.0</v>
      </c>
      <c r="I186" s="6">
        <v>20.0</v>
      </c>
      <c r="J186" s="6">
        <v>9.0</v>
      </c>
      <c r="K186" s="6">
        <v>5.0</v>
      </c>
      <c r="L186" s="9">
        <v>45271.0</v>
      </c>
      <c r="M186" s="6">
        <v>2.0</v>
      </c>
      <c r="N186" s="5" t="s">
        <v>113</v>
      </c>
      <c r="O186" s="5" t="str">
        <f t="shared" si="2"/>
        <v>No</v>
      </c>
      <c r="P186" s="5" t="s">
        <v>62</v>
      </c>
      <c r="Q186" s="5">
        <f t="shared" si="3"/>
        <v>0</v>
      </c>
      <c r="R186" s="5">
        <v>0.0</v>
      </c>
    </row>
    <row r="187" ht="22.5" customHeight="1">
      <c r="A187" s="5" t="s">
        <v>1047</v>
      </c>
      <c r="B187" s="5" t="s">
        <v>84</v>
      </c>
      <c r="C187" s="6">
        <v>7.0</v>
      </c>
      <c r="D187" s="6">
        <v>25.0</v>
      </c>
      <c r="E187" s="6">
        <v>2.7</v>
      </c>
      <c r="F187" s="6">
        <f t="shared" si="1"/>
        <v>2</v>
      </c>
      <c r="G187" s="6">
        <v>2.0</v>
      </c>
      <c r="H187" s="6">
        <v>31.0</v>
      </c>
      <c r="I187" s="6">
        <v>16.0</v>
      </c>
      <c r="J187" s="6">
        <v>12.0</v>
      </c>
      <c r="K187" s="6">
        <v>1.0</v>
      </c>
      <c r="L187" s="9">
        <v>44790.0</v>
      </c>
      <c r="M187" s="6">
        <v>2.0</v>
      </c>
      <c r="N187" s="5" t="s">
        <v>113</v>
      </c>
      <c r="O187" s="5" t="str">
        <f t="shared" si="2"/>
        <v>Yes</v>
      </c>
      <c r="P187" s="5" t="s">
        <v>113</v>
      </c>
      <c r="Q187" s="5">
        <f t="shared" si="3"/>
        <v>1</v>
      </c>
      <c r="R187" s="5">
        <v>1.0</v>
      </c>
    </row>
    <row r="188" ht="22.5" customHeight="1">
      <c r="A188" s="5" t="s">
        <v>1051</v>
      </c>
      <c r="B188" s="5" t="s">
        <v>22</v>
      </c>
      <c r="C188" s="6">
        <v>9.0</v>
      </c>
      <c r="D188" s="6">
        <v>24.0</v>
      </c>
      <c r="E188" s="6">
        <v>4.7</v>
      </c>
      <c r="F188" s="6">
        <f t="shared" si="1"/>
        <v>4</v>
      </c>
      <c r="G188" s="6">
        <v>4.0</v>
      </c>
      <c r="H188" s="6">
        <v>15.0</v>
      </c>
      <c r="I188" s="6">
        <v>32.0</v>
      </c>
      <c r="J188" s="6">
        <v>5.0</v>
      </c>
      <c r="K188" s="6">
        <v>5.0</v>
      </c>
      <c r="L188" s="9">
        <v>45378.0</v>
      </c>
      <c r="M188" s="6">
        <v>3.0</v>
      </c>
      <c r="N188" s="5" t="s">
        <v>113</v>
      </c>
      <c r="O188" s="5" t="str">
        <f t="shared" si="2"/>
        <v>No</v>
      </c>
      <c r="P188" s="5" t="s">
        <v>62</v>
      </c>
      <c r="Q188" s="5">
        <f t="shared" si="3"/>
        <v>0</v>
      </c>
      <c r="R188" s="5">
        <v>0.0</v>
      </c>
    </row>
    <row r="189" ht="22.5" customHeight="1">
      <c r="A189" s="5" t="s">
        <v>1054</v>
      </c>
      <c r="B189" s="5" t="s">
        <v>170</v>
      </c>
      <c r="C189" s="6">
        <v>4.0</v>
      </c>
      <c r="D189" s="6">
        <v>8.0</v>
      </c>
      <c r="E189" s="6">
        <v>8.6</v>
      </c>
      <c r="F189" s="6">
        <f t="shared" si="1"/>
        <v>8</v>
      </c>
      <c r="G189" s="6">
        <v>8.0</v>
      </c>
      <c r="H189" s="6">
        <v>58.0</v>
      </c>
      <c r="I189" s="6">
        <v>42.0</v>
      </c>
      <c r="J189" s="6">
        <v>14.0</v>
      </c>
      <c r="K189" s="6">
        <v>4.0</v>
      </c>
      <c r="L189" s="9">
        <v>45752.0</v>
      </c>
      <c r="M189" s="6">
        <v>6.0</v>
      </c>
      <c r="N189" s="5" t="s">
        <v>62</v>
      </c>
      <c r="O189" s="5" t="str">
        <f t="shared" si="2"/>
        <v>No</v>
      </c>
      <c r="P189" s="5" t="s">
        <v>62</v>
      </c>
      <c r="Q189" s="5">
        <f t="shared" si="3"/>
        <v>0</v>
      </c>
      <c r="R189" s="5">
        <v>0.0</v>
      </c>
    </row>
    <row r="190" ht="22.5" customHeight="1">
      <c r="A190" s="5" t="s">
        <v>1056</v>
      </c>
      <c r="B190" s="5" t="s">
        <v>44</v>
      </c>
      <c r="C190" s="6">
        <v>4.0</v>
      </c>
      <c r="D190" s="6">
        <v>9.0</v>
      </c>
      <c r="E190" s="6">
        <v>8.5</v>
      </c>
      <c r="F190" s="6">
        <f t="shared" si="1"/>
        <v>8</v>
      </c>
      <c r="G190" s="6">
        <v>8.0</v>
      </c>
      <c r="H190" s="6">
        <v>50.0</v>
      </c>
      <c r="I190" s="6">
        <v>22.0</v>
      </c>
      <c r="J190" s="6">
        <v>10.0</v>
      </c>
      <c r="K190" s="6">
        <v>3.0</v>
      </c>
      <c r="L190" s="9">
        <v>45587.0</v>
      </c>
      <c r="M190" s="6">
        <v>10.0</v>
      </c>
      <c r="N190" s="5" t="s">
        <v>62</v>
      </c>
      <c r="O190" s="5" t="str">
        <f t="shared" si="2"/>
        <v>No</v>
      </c>
      <c r="P190" s="5" t="s">
        <v>62</v>
      </c>
      <c r="Q190" s="5">
        <f t="shared" si="3"/>
        <v>0</v>
      </c>
      <c r="R190" s="5">
        <v>0.0</v>
      </c>
    </row>
    <row r="191" ht="22.5" customHeight="1">
      <c r="A191" s="5" t="s">
        <v>1059</v>
      </c>
      <c r="B191" s="5" t="s">
        <v>44</v>
      </c>
      <c r="C191" s="6">
        <v>6.0</v>
      </c>
      <c r="D191" s="6">
        <v>13.0</v>
      </c>
      <c r="E191" s="6">
        <v>7.8</v>
      </c>
      <c r="F191" s="6">
        <f t="shared" si="1"/>
        <v>7</v>
      </c>
      <c r="G191" s="6">
        <v>7.0</v>
      </c>
      <c r="H191" s="6">
        <v>23.0</v>
      </c>
      <c r="I191" s="6">
        <v>20.0</v>
      </c>
      <c r="J191" s="6">
        <v>16.0</v>
      </c>
      <c r="K191" s="6">
        <v>3.0</v>
      </c>
      <c r="L191" s="9">
        <v>45825.0</v>
      </c>
      <c r="M191" s="6">
        <v>6.0</v>
      </c>
      <c r="O191" s="10" t="str">
        <f t="shared" si="2"/>
        <v>No</v>
      </c>
      <c r="P191" s="10" t="s">
        <v>62</v>
      </c>
      <c r="Q191" s="10">
        <f t="shared" si="3"/>
        <v>0</v>
      </c>
      <c r="R191" s="10">
        <v>0.0</v>
      </c>
    </row>
    <row r="192" ht="22.5" customHeight="1">
      <c r="A192" s="5" t="s">
        <v>1063</v>
      </c>
      <c r="B192" s="5" t="s">
        <v>65</v>
      </c>
      <c r="C192" s="6">
        <v>12.0</v>
      </c>
      <c r="D192" s="6">
        <v>71.0</v>
      </c>
      <c r="E192" s="6">
        <v>14.1</v>
      </c>
      <c r="F192" s="6">
        <f t="shared" si="1"/>
        <v>14</v>
      </c>
      <c r="G192" s="6">
        <v>14.0</v>
      </c>
      <c r="H192" s="6">
        <v>39.0</v>
      </c>
      <c r="I192" s="6">
        <v>19.0</v>
      </c>
      <c r="J192" s="6">
        <v>2.0</v>
      </c>
      <c r="K192" s="6">
        <v>1.0</v>
      </c>
      <c r="L192" s="9">
        <v>45092.0</v>
      </c>
      <c r="M192" s="6">
        <v>3.0</v>
      </c>
      <c r="N192" s="5" t="s">
        <v>113</v>
      </c>
      <c r="O192" s="5" t="str">
        <f t="shared" si="2"/>
        <v>Yes</v>
      </c>
      <c r="P192" s="5" t="s">
        <v>113</v>
      </c>
      <c r="Q192" s="5">
        <f t="shared" si="3"/>
        <v>1</v>
      </c>
      <c r="R192" s="5">
        <v>1.0</v>
      </c>
    </row>
    <row r="193" ht="22.5" customHeight="1">
      <c r="A193" s="5" t="s">
        <v>1066</v>
      </c>
      <c r="B193" s="5" t="s">
        <v>22</v>
      </c>
      <c r="C193" s="6">
        <v>8.0</v>
      </c>
      <c r="D193" s="6">
        <v>39.0</v>
      </c>
      <c r="E193" s="6">
        <v>8.8</v>
      </c>
      <c r="F193" s="6">
        <f t="shared" si="1"/>
        <v>8</v>
      </c>
      <c r="G193" s="6">
        <v>8.0</v>
      </c>
      <c r="H193" s="6">
        <v>10.0</v>
      </c>
      <c r="I193" s="6">
        <v>20.0</v>
      </c>
      <c r="J193" s="6">
        <v>10.0</v>
      </c>
      <c r="K193" s="6">
        <v>4.0</v>
      </c>
      <c r="L193" s="9">
        <v>46113.0</v>
      </c>
      <c r="M193" s="6">
        <v>7.0</v>
      </c>
      <c r="N193" s="5" t="s">
        <v>62</v>
      </c>
      <c r="O193" s="5" t="str">
        <f t="shared" si="2"/>
        <v>No</v>
      </c>
      <c r="P193" s="5" t="s">
        <v>62</v>
      </c>
      <c r="Q193" s="5">
        <f t="shared" si="3"/>
        <v>0</v>
      </c>
      <c r="R193" s="5">
        <v>0.0</v>
      </c>
    </row>
    <row r="194" ht="22.5" customHeight="1">
      <c r="A194" s="5" t="s">
        <v>1068</v>
      </c>
      <c r="B194" s="5" t="s">
        <v>22</v>
      </c>
      <c r="C194" s="6">
        <v>5.0</v>
      </c>
      <c r="D194" s="6">
        <v>29.0</v>
      </c>
      <c r="E194" s="6">
        <v>13.8</v>
      </c>
      <c r="F194" s="6">
        <f t="shared" si="1"/>
        <v>13</v>
      </c>
      <c r="G194" s="6">
        <v>13.0</v>
      </c>
      <c r="H194" s="6">
        <v>49.0</v>
      </c>
      <c r="I194" s="6">
        <v>38.0</v>
      </c>
      <c r="J194" s="6">
        <v>3.0</v>
      </c>
      <c r="K194" s="6">
        <v>4.0</v>
      </c>
      <c r="L194" s="9">
        <v>45234.0</v>
      </c>
      <c r="M194" s="6">
        <v>3.0</v>
      </c>
      <c r="N194" s="5" t="s">
        <v>113</v>
      </c>
      <c r="O194" s="5" t="str">
        <f t="shared" si="2"/>
        <v>No</v>
      </c>
      <c r="P194" s="5" t="s">
        <v>62</v>
      </c>
      <c r="Q194" s="5">
        <f t="shared" si="3"/>
        <v>0</v>
      </c>
      <c r="R194" s="5">
        <v>0.0</v>
      </c>
    </row>
    <row r="195" ht="22.5" customHeight="1">
      <c r="A195" s="5" t="s">
        <v>1072</v>
      </c>
      <c r="B195" s="5" t="s">
        <v>65</v>
      </c>
      <c r="C195" s="6">
        <v>4.0</v>
      </c>
      <c r="D195" s="6">
        <v>14.0</v>
      </c>
      <c r="E195" s="6">
        <v>20.9</v>
      </c>
      <c r="F195" s="6">
        <f t="shared" si="1"/>
        <v>20</v>
      </c>
      <c r="G195" s="6">
        <v>20.0</v>
      </c>
      <c r="H195" s="6">
        <v>41.0</v>
      </c>
      <c r="I195" s="6">
        <v>19.0</v>
      </c>
      <c r="J195" s="6">
        <v>18.0</v>
      </c>
      <c r="K195" s="6">
        <v>3.0</v>
      </c>
      <c r="L195" s="9">
        <v>46137.0</v>
      </c>
      <c r="M195" s="6">
        <v>8.0</v>
      </c>
      <c r="N195" s="5" t="s">
        <v>62</v>
      </c>
      <c r="O195" s="5" t="str">
        <f t="shared" si="2"/>
        <v>No</v>
      </c>
      <c r="P195" s="5" t="s">
        <v>62</v>
      </c>
      <c r="Q195" s="5">
        <f t="shared" si="3"/>
        <v>0</v>
      </c>
      <c r="R195" s="5">
        <v>0.0</v>
      </c>
    </row>
    <row r="196" ht="22.5" customHeight="1">
      <c r="A196" s="5" t="s">
        <v>1076</v>
      </c>
      <c r="B196" s="5" t="s">
        <v>44</v>
      </c>
      <c r="C196" s="6">
        <v>9.0</v>
      </c>
      <c r="D196" s="6">
        <v>25.0</v>
      </c>
      <c r="E196" s="6">
        <v>11.0</v>
      </c>
      <c r="F196" s="6">
        <f t="shared" si="1"/>
        <v>11</v>
      </c>
      <c r="G196" s="6">
        <v>11.0</v>
      </c>
      <c r="H196" s="6">
        <v>17.0</v>
      </c>
      <c r="I196" s="6">
        <v>20.0</v>
      </c>
      <c r="J196" s="6">
        <v>8.0</v>
      </c>
      <c r="K196" s="6">
        <v>3.0</v>
      </c>
      <c r="L196" s="11"/>
      <c r="M196" s="6">
        <v>8.0</v>
      </c>
      <c r="N196" s="5" t="s">
        <v>62</v>
      </c>
      <c r="O196" s="5" t="str">
        <f t="shared" si="2"/>
        <v>Yes</v>
      </c>
      <c r="P196" s="5" t="s">
        <v>113</v>
      </c>
      <c r="Q196" s="5">
        <f t="shared" si="3"/>
        <v>1</v>
      </c>
      <c r="R196" s="5">
        <v>1.0</v>
      </c>
    </row>
    <row r="197" ht="22.5" customHeight="1">
      <c r="A197" s="5" t="s">
        <v>1080</v>
      </c>
      <c r="B197" s="5" t="s">
        <v>44</v>
      </c>
      <c r="C197" s="6">
        <v>9.0</v>
      </c>
      <c r="D197" s="6">
        <v>46.0</v>
      </c>
      <c r="E197" s="6">
        <v>2.7</v>
      </c>
      <c r="F197" s="6">
        <f t="shared" si="1"/>
        <v>2</v>
      </c>
      <c r="G197" s="6">
        <v>2.0</v>
      </c>
      <c r="H197" s="6">
        <v>56.0</v>
      </c>
      <c r="I197" s="6">
        <v>15.0</v>
      </c>
      <c r="J197" s="6">
        <v>18.0</v>
      </c>
      <c r="K197" s="6">
        <v>5.0</v>
      </c>
      <c r="L197" s="9">
        <v>45667.0</v>
      </c>
      <c r="M197" s="6">
        <v>5.0</v>
      </c>
      <c r="N197" s="5" t="s">
        <v>62</v>
      </c>
      <c r="O197" s="5" t="str">
        <f t="shared" si="2"/>
        <v>No</v>
      </c>
      <c r="P197" s="5" t="s">
        <v>62</v>
      </c>
      <c r="Q197" s="5">
        <f t="shared" si="3"/>
        <v>0</v>
      </c>
      <c r="R197" s="5">
        <v>0.0</v>
      </c>
    </row>
    <row r="198" ht="22.5" customHeight="1">
      <c r="A198" s="5" t="s">
        <v>1084</v>
      </c>
      <c r="B198" s="5" t="s">
        <v>65</v>
      </c>
      <c r="C198" s="6">
        <v>4.0</v>
      </c>
      <c r="D198" s="6">
        <v>12.0</v>
      </c>
      <c r="E198" s="6">
        <v>7.9</v>
      </c>
      <c r="F198" s="6">
        <f t="shared" si="1"/>
        <v>7</v>
      </c>
      <c r="G198" s="6">
        <v>7.0</v>
      </c>
      <c r="H198" s="6">
        <v>41.0</v>
      </c>
      <c r="I198" s="6">
        <v>27.0</v>
      </c>
      <c r="J198" s="6">
        <v>8.0</v>
      </c>
      <c r="K198" s="6">
        <v>5.0</v>
      </c>
      <c r="L198" s="9">
        <v>46101.0</v>
      </c>
      <c r="M198" s="6">
        <v>4.0</v>
      </c>
      <c r="N198" s="5" t="s">
        <v>62</v>
      </c>
      <c r="O198" s="5" t="str">
        <f t="shared" si="2"/>
        <v>No</v>
      </c>
      <c r="P198" s="5" t="s">
        <v>62</v>
      </c>
      <c r="Q198" s="5">
        <f t="shared" si="3"/>
        <v>0</v>
      </c>
      <c r="R198" s="5">
        <v>0.0</v>
      </c>
    </row>
    <row r="199" ht="22.5" customHeight="1">
      <c r="A199" s="5" t="s">
        <v>1087</v>
      </c>
      <c r="B199" s="5" t="s">
        <v>65</v>
      </c>
      <c r="C199" s="6">
        <v>4.0</v>
      </c>
      <c r="D199" s="6">
        <v>11.0</v>
      </c>
      <c r="E199" s="6">
        <v>7.3</v>
      </c>
      <c r="F199" s="6">
        <f t="shared" si="1"/>
        <v>7</v>
      </c>
      <c r="G199" s="6">
        <v>7.0</v>
      </c>
      <c r="H199" s="6">
        <v>27.0</v>
      </c>
      <c r="I199" s="6">
        <v>24.0</v>
      </c>
      <c r="J199" s="6">
        <v>14.0</v>
      </c>
      <c r="K199" s="6">
        <v>1.0</v>
      </c>
      <c r="L199" s="9">
        <v>45004.0</v>
      </c>
      <c r="M199" s="6">
        <v>2.0</v>
      </c>
      <c r="O199" s="10" t="str">
        <f t="shared" si="2"/>
        <v>Yes</v>
      </c>
      <c r="P199" s="10" t="s">
        <v>113</v>
      </c>
      <c r="Q199" s="10">
        <f t="shared" si="3"/>
        <v>1</v>
      </c>
      <c r="R199" s="10">
        <v>1.0</v>
      </c>
    </row>
    <row r="200" ht="22.5" customHeight="1">
      <c r="A200" s="5" t="s">
        <v>1090</v>
      </c>
      <c r="B200" s="5" t="s">
        <v>170</v>
      </c>
      <c r="C200" s="6">
        <v>7.0</v>
      </c>
      <c r="D200" s="6">
        <v>18.0</v>
      </c>
      <c r="E200" s="6">
        <v>15.5</v>
      </c>
      <c r="F200" s="6">
        <f t="shared" si="1"/>
        <v>15</v>
      </c>
      <c r="G200" s="6">
        <v>15.0</v>
      </c>
      <c r="H200" s="6">
        <v>8.0</v>
      </c>
      <c r="I200" s="6">
        <v>16.0</v>
      </c>
      <c r="J200" s="6">
        <v>13.0</v>
      </c>
      <c r="K200" s="6">
        <v>1.0</v>
      </c>
      <c r="L200" s="9">
        <v>46158.0</v>
      </c>
      <c r="M200" s="6">
        <v>8.0</v>
      </c>
      <c r="O200" s="10" t="str">
        <f t="shared" si="2"/>
        <v>No</v>
      </c>
      <c r="P200" s="10" t="s">
        <v>62</v>
      </c>
      <c r="Q200" s="10">
        <f t="shared" si="3"/>
        <v>0</v>
      </c>
      <c r="R200" s="10">
        <v>0.0</v>
      </c>
    </row>
    <row r="201" ht="22.5" customHeight="1">
      <c r="A201" s="5" t="s">
        <v>1095</v>
      </c>
      <c r="B201" s="5" t="s">
        <v>22</v>
      </c>
      <c r="C201" s="6">
        <v>3.0</v>
      </c>
      <c r="D201" s="6">
        <v>6.0</v>
      </c>
      <c r="E201" s="6">
        <v>6.2</v>
      </c>
      <c r="F201" s="6">
        <f t="shared" si="1"/>
        <v>6</v>
      </c>
      <c r="G201" s="6">
        <v>6.0</v>
      </c>
      <c r="H201" s="6">
        <v>41.0</v>
      </c>
      <c r="I201" s="6">
        <v>18.0</v>
      </c>
      <c r="J201" s="6">
        <v>12.0</v>
      </c>
      <c r="K201" s="6">
        <v>5.0</v>
      </c>
      <c r="L201" s="9">
        <v>44681.0</v>
      </c>
      <c r="M201" s="6">
        <v>3.0</v>
      </c>
      <c r="O201" s="10" t="str">
        <f t="shared" si="2"/>
        <v>Yes</v>
      </c>
      <c r="P201" s="10" t="s">
        <v>113</v>
      </c>
      <c r="Q201" s="10">
        <f t="shared" si="3"/>
        <v>1</v>
      </c>
      <c r="R201" s="10">
        <v>1.0</v>
      </c>
    </row>
    <row r="202" ht="22.5" customHeight="1">
      <c r="A202" s="5" t="s">
        <v>1099</v>
      </c>
      <c r="B202" s="5" t="s">
        <v>44</v>
      </c>
      <c r="C202" s="6">
        <v>8.0</v>
      </c>
      <c r="D202" s="6">
        <v>21.0</v>
      </c>
      <c r="E202" s="6">
        <v>3.9</v>
      </c>
      <c r="F202" s="6">
        <f t="shared" si="1"/>
        <v>3</v>
      </c>
      <c r="G202" s="6">
        <v>3.0</v>
      </c>
      <c r="H202" s="6">
        <v>23.0</v>
      </c>
      <c r="I202" s="6">
        <v>37.0</v>
      </c>
      <c r="J202" s="6">
        <v>5.0</v>
      </c>
      <c r="K202" s="6">
        <v>1.0</v>
      </c>
      <c r="L202" s="9">
        <v>46231.0</v>
      </c>
      <c r="M202" s="6">
        <v>9.0</v>
      </c>
      <c r="N202" s="5" t="s">
        <v>62</v>
      </c>
      <c r="O202" s="5" t="str">
        <f t="shared" si="2"/>
        <v>No</v>
      </c>
      <c r="P202" s="5" t="s">
        <v>62</v>
      </c>
      <c r="Q202" s="5">
        <f t="shared" si="3"/>
        <v>0</v>
      </c>
      <c r="R202" s="5">
        <v>0.0</v>
      </c>
    </row>
    <row r="203" ht="22.5" customHeight="1">
      <c r="A203" s="5" t="s">
        <v>1102</v>
      </c>
      <c r="B203" s="5" t="s">
        <v>84</v>
      </c>
      <c r="C203" s="6">
        <v>6.0</v>
      </c>
      <c r="D203" s="6">
        <v>19.0</v>
      </c>
      <c r="E203" s="6">
        <v>4.9</v>
      </c>
      <c r="F203" s="6">
        <f t="shared" si="1"/>
        <v>4</v>
      </c>
      <c r="G203" s="6">
        <v>4.0</v>
      </c>
      <c r="H203" s="6">
        <v>18.0</v>
      </c>
      <c r="I203" s="6">
        <v>25.0</v>
      </c>
      <c r="J203" s="6">
        <v>7.0</v>
      </c>
      <c r="K203" s="6">
        <v>1.0</v>
      </c>
      <c r="L203" s="11"/>
      <c r="M203" s="6">
        <v>4.0</v>
      </c>
      <c r="N203" s="5" t="s">
        <v>113</v>
      </c>
      <c r="O203" s="5" t="str">
        <f t="shared" si="2"/>
        <v>Yes</v>
      </c>
      <c r="P203" s="5" t="s">
        <v>113</v>
      </c>
      <c r="Q203" s="5">
        <f t="shared" si="3"/>
        <v>1</v>
      </c>
      <c r="R203" s="5">
        <v>1.0</v>
      </c>
    </row>
    <row r="204" ht="22.5" customHeight="1">
      <c r="A204" s="5" t="s">
        <v>1104</v>
      </c>
      <c r="B204" s="5" t="s">
        <v>170</v>
      </c>
      <c r="C204" s="6">
        <v>6.0</v>
      </c>
      <c r="D204" s="6">
        <v>27.0</v>
      </c>
      <c r="E204" s="6">
        <v>2.7</v>
      </c>
      <c r="F204" s="6">
        <f t="shared" si="1"/>
        <v>2</v>
      </c>
      <c r="G204" s="6">
        <v>2.0</v>
      </c>
      <c r="H204" s="6">
        <v>37.0</v>
      </c>
      <c r="I204" s="6">
        <v>26.0</v>
      </c>
      <c r="J204" s="6">
        <v>15.0</v>
      </c>
      <c r="K204" s="6">
        <v>1.0</v>
      </c>
      <c r="L204" s="9">
        <v>45688.0</v>
      </c>
      <c r="M204" s="6">
        <v>8.0</v>
      </c>
      <c r="N204" s="5" t="s">
        <v>62</v>
      </c>
      <c r="O204" s="5" t="str">
        <f t="shared" si="2"/>
        <v>No</v>
      </c>
      <c r="P204" s="5" t="s">
        <v>62</v>
      </c>
      <c r="Q204" s="5">
        <f t="shared" si="3"/>
        <v>0</v>
      </c>
      <c r="R204" s="5">
        <v>0.0</v>
      </c>
    </row>
    <row r="205" ht="22.5" customHeight="1">
      <c r="A205" s="5" t="s">
        <v>1108</v>
      </c>
      <c r="B205" s="5" t="s">
        <v>22</v>
      </c>
      <c r="C205" s="6">
        <v>7.0</v>
      </c>
      <c r="D205" s="6">
        <v>12.0</v>
      </c>
      <c r="E205" s="6">
        <v>1.0</v>
      </c>
      <c r="F205" s="6">
        <f t="shared" si="1"/>
        <v>1</v>
      </c>
      <c r="G205" s="6">
        <v>1.0</v>
      </c>
      <c r="H205" s="6">
        <v>35.0</v>
      </c>
      <c r="I205" s="6">
        <v>26.0</v>
      </c>
      <c r="J205" s="6">
        <v>18.0</v>
      </c>
      <c r="K205" s="6">
        <v>0.0</v>
      </c>
      <c r="L205" s="9">
        <v>45223.0</v>
      </c>
      <c r="M205" s="6">
        <v>2.0</v>
      </c>
      <c r="N205" s="5" t="s">
        <v>113</v>
      </c>
      <c r="O205" s="5" t="str">
        <f t="shared" si="2"/>
        <v>No</v>
      </c>
      <c r="P205" s="5" t="s">
        <v>62</v>
      </c>
      <c r="Q205" s="5">
        <f t="shared" si="3"/>
        <v>0</v>
      </c>
      <c r="R205" s="5">
        <v>0.0</v>
      </c>
    </row>
    <row r="206" ht="22.5" customHeight="1">
      <c r="A206" s="5" t="s">
        <v>1111</v>
      </c>
      <c r="B206" s="5" t="s">
        <v>65</v>
      </c>
      <c r="C206" s="6">
        <v>2.0</v>
      </c>
      <c r="D206" s="6">
        <v>5.0</v>
      </c>
      <c r="E206" s="6">
        <v>19.1</v>
      </c>
      <c r="F206" s="6">
        <f t="shared" si="1"/>
        <v>19</v>
      </c>
      <c r="G206" s="6">
        <v>19.0</v>
      </c>
      <c r="H206" s="6">
        <v>8.0</v>
      </c>
      <c r="I206" s="6">
        <v>36.0</v>
      </c>
      <c r="J206" s="6">
        <v>10.0</v>
      </c>
      <c r="K206" s="6">
        <v>2.0</v>
      </c>
      <c r="L206" s="9">
        <v>45673.0</v>
      </c>
      <c r="M206" s="6">
        <v>7.0</v>
      </c>
      <c r="N206" s="5" t="s">
        <v>62</v>
      </c>
      <c r="O206" s="5" t="str">
        <f t="shared" si="2"/>
        <v>No</v>
      </c>
      <c r="P206" s="5" t="s">
        <v>62</v>
      </c>
      <c r="Q206" s="5">
        <f t="shared" si="3"/>
        <v>0</v>
      </c>
      <c r="R206" s="5">
        <v>0.0</v>
      </c>
    </row>
    <row r="207" ht="22.5" customHeight="1">
      <c r="A207" s="5" t="s">
        <v>1114</v>
      </c>
      <c r="B207" s="5" t="s">
        <v>170</v>
      </c>
      <c r="C207" s="6">
        <v>11.0</v>
      </c>
      <c r="D207" s="6">
        <v>57.0</v>
      </c>
      <c r="E207" s="6">
        <v>6.7</v>
      </c>
      <c r="F207" s="6">
        <f t="shared" si="1"/>
        <v>6</v>
      </c>
      <c r="G207" s="6">
        <v>6.0</v>
      </c>
      <c r="H207" s="6">
        <v>21.0</v>
      </c>
      <c r="I207" s="6">
        <v>17.0</v>
      </c>
      <c r="J207" s="6">
        <v>9.0</v>
      </c>
      <c r="K207" s="6">
        <v>2.0</v>
      </c>
      <c r="L207" s="9">
        <v>46022.0</v>
      </c>
      <c r="M207" s="6">
        <v>6.0</v>
      </c>
      <c r="N207" s="5" t="s">
        <v>62</v>
      </c>
      <c r="O207" s="5" t="str">
        <f t="shared" si="2"/>
        <v>No</v>
      </c>
      <c r="P207" s="5" t="s">
        <v>62</v>
      </c>
      <c r="Q207" s="5">
        <f t="shared" si="3"/>
        <v>0</v>
      </c>
      <c r="R207" s="5">
        <v>0.0</v>
      </c>
    </row>
    <row r="208" ht="22.5" customHeight="1">
      <c r="A208" s="5" t="s">
        <v>1118</v>
      </c>
      <c r="B208" s="5" t="s">
        <v>22</v>
      </c>
      <c r="C208" s="6">
        <v>3.0</v>
      </c>
      <c r="D208" s="6">
        <v>6.0</v>
      </c>
      <c r="E208" s="6">
        <v>2.9</v>
      </c>
      <c r="F208" s="6">
        <f t="shared" si="1"/>
        <v>2</v>
      </c>
      <c r="G208" s="6">
        <v>2.0</v>
      </c>
      <c r="H208" s="6">
        <v>20.0</v>
      </c>
      <c r="I208" s="6">
        <v>22.0</v>
      </c>
      <c r="J208" s="6">
        <v>1.0</v>
      </c>
      <c r="K208" s="6">
        <v>1.0</v>
      </c>
      <c r="L208" s="9">
        <v>45711.0</v>
      </c>
      <c r="M208" s="6">
        <v>10.0</v>
      </c>
      <c r="N208" s="5" t="s">
        <v>62</v>
      </c>
      <c r="O208" s="5" t="str">
        <f t="shared" si="2"/>
        <v>No</v>
      </c>
      <c r="P208" s="5" t="s">
        <v>62</v>
      </c>
      <c r="Q208" s="5">
        <f t="shared" si="3"/>
        <v>0</v>
      </c>
      <c r="R208" s="5">
        <v>0.0</v>
      </c>
    </row>
    <row r="209" ht="22.5" customHeight="1">
      <c r="A209" s="5" t="s">
        <v>1121</v>
      </c>
      <c r="B209" s="5" t="s">
        <v>84</v>
      </c>
      <c r="C209" s="6">
        <v>6.0</v>
      </c>
      <c r="D209" s="6">
        <v>18.0</v>
      </c>
      <c r="E209" s="6">
        <v>16.3</v>
      </c>
      <c r="F209" s="6">
        <f t="shared" si="1"/>
        <v>16</v>
      </c>
      <c r="G209" s="6">
        <v>16.0</v>
      </c>
      <c r="H209" s="6">
        <v>8.0</v>
      </c>
      <c r="I209" s="6">
        <v>24.0</v>
      </c>
      <c r="J209" s="6">
        <v>11.0</v>
      </c>
      <c r="K209" s="6">
        <v>2.0</v>
      </c>
      <c r="L209" s="9">
        <v>45426.0</v>
      </c>
      <c r="M209" s="6">
        <v>2.0</v>
      </c>
      <c r="N209" s="5" t="s">
        <v>113</v>
      </c>
      <c r="O209" s="5" t="str">
        <f t="shared" si="2"/>
        <v>No</v>
      </c>
      <c r="P209" s="5" t="s">
        <v>62</v>
      </c>
      <c r="Q209" s="5">
        <f t="shared" si="3"/>
        <v>0</v>
      </c>
      <c r="R209" s="5">
        <v>0.0</v>
      </c>
    </row>
    <row r="210" ht="22.5" customHeight="1">
      <c r="A210" s="5" t="s">
        <v>1123</v>
      </c>
      <c r="B210" s="5" t="s">
        <v>65</v>
      </c>
      <c r="C210" s="6">
        <v>5.0</v>
      </c>
      <c r="D210" s="6">
        <v>27.0</v>
      </c>
      <c r="E210" s="6">
        <v>17.8</v>
      </c>
      <c r="F210" s="6">
        <f t="shared" si="1"/>
        <v>17</v>
      </c>
      <c r="G210" s="6">
        <v>17.0</v>
      </c>
      <c r="H210" s="6">
        <v>60.0</v>
      </c>
      <c r="I210" s="6">
        <v>11.0</v>
      </c>
      <c r="J210" s="6">
        <v>15.0</v>
      </c>
      <c r="K210" s="6">
        <v>4.0</v>
      </c>
      <c r="L210" s="9">
        <v>46029.0</v>
      </c>
      <c r="M210" s="6">
        <v>9.0</v>
      </c>
      <c r="N210" s="5" t="s">
        <v>62</v>
      </c>
      <c r="O210" s="5" t="str">
        <f t="shared" si="2"/>
        <v>No</v>
      </c>
      <c r="P210" s="5" t="s">
        <v>62</v>
      </c>
      <c r="Q210" s="5">
        <f t="shared" si="3"/>
        <v>0</v>
      </c>
      <c r="R210" s="5">
        <v>0.0</v>
      </c>
    </row>
    <row r="211" ht="22.5" customHeight="1">
      <c r="A211" s="5" t="s">
        <v>1127</v>
      </c>
      <c r="B211" s="5" t="s">
        <v>65</v>
      </c>
      <c r="C211" s="6">
        <v>6.0</v>
      </c>
      <c r="D211" s="6">
        <v>13.0</v>
      </c>
      <c r="E211" s="6">
        <v>7.4</v>
      </c>
      <c r="F211" s="6">
        <f t="shared" si="1"/>
        <v>7</v>
      </c>
      <c r="G211" s="6">
        <v>7.0</v>
      </c>
      <c r="H211" s="6">
        <v>56.0</v>
      </c>
      <c r="I211" s="6">
        <v>18.0</v>
      </c>
      <c r="J211" s="6">
        <v>13.0</v>
      </c>
      <c r="K211" s="6">
        <v>2.0</v>
      </c>
      <c r="L211" s="9">
        <v>45690.0</v>
      </c>
      <c r="M211" s="6">
        <v>7.0</v>
      </c>
      <c r="O211" s="10" t="str">
        <f t="shared" si="2"/>
        <v>No</v>
      </c>
      <c r="P211" s="10" t="s">
        <v>62</v>
      </c>
      <c r="Q211" s="10">
        <f t="shared" si="3"/>
        <v>0</v>
      </c>
      <c r="R211" s="10">
        <v>0.0</v>
      </c>
    </row>
    <row r="212" ht="22.5" customHeight="1">
      <c r="A212" s="5" t="s">
        <v>1129</v>
      </c>
      <c r="B212" s="5" t="s">
        <v>22</v>
      </c>
      <c r="C212" s="6">
        <v>5.0</v>
      </c>
      <c r="D212" s="6">
        <v>9.0</v>
      </c>
      <c r="E212" s="6">
        <v>2.6</v>
      </c>
      <c r="F212" s="6">
        <f t="shared" si="1"/>
        <v>2</v>
      </c>
      <c r="G212" s="6">
        <v>2.0</v>
      </c>
      <c r="H212" s="6">
        <v>42.0</v>
      </c>
      <c r="I212" s="6">
        <v>33.0</v>
      </c>
      <c r="J212" s="6">
        <v>10.0</v>
      </c>
      <c r="K212" s="6">
        <v>4.0</v>
      </c>
      <c r="L212" s="9">
        <v>44780.0</v>
      </c>
      <c r="M212" s="6">
        <v>5.0</v>
      </c>
      <c r="N212" s="5" t="s">
        <v>113</v>
      </c>
      <c r="O212" s="5" t="str">
        <f t="shared" si="2"/>
        <v>Yes</v>
      </c>
      <c r="P212" s="5" t="s">
        <v>113</v>
      </c>
      <c r="Q212" s="5">
        <f t="shared" si="3"/>
        <v>1</v>
      </c>
      <c r="R212" s="5">
        <v>1.0</v>
      </c>
    </row>
    <row r="213" ht="22.5" customHeight="1">
      <c r="A213" s="5" t="s">
        <v>1132</v>
      </c>
      <c r="B213" s="5" t="s">
        <v>65</v>
      </c>
      <c r="C213" s="6">
        <v>6.0</v>
      </c>
      <c r="D213" s="6">
        <v>22.0</v>
      </c>
      <c r="E213" s="6">
        <v>5.0</v>
      </c>
      <c r="F213" s="6">
        <f t="shared" si="1"/>
        <v>5</v>
      </c>
      <c r="G213" s="6">
        <v>5.0</v>
      </c>
      <c r="H213" s="6">
        <v>22.0</v>
      </c>
      <c r="I213" s="6">
        <v>31.0</v>
      </c>
      <c r="J213" s="6">
        <v>4.0</v>
      </c>
      <c r="K213" s="6">
        <v>5.0</v>
      </c>
      <c r="L213" s="9">
        <v>46126.0</v>
      </c>
      <c r="M213" s="6">
        <v>6.0</v>
      </c>
      <c r="N213" s="5" t="s">
        <v>62</v>
      </c>
      <c r="O213" s="5" t="str">
        <f t="shared" si="2"/>
        <v>No</v>
      </c>
      <c r="P213" s="5" t="s">
        <v>62</v>
      </c>
      <c r="Q213" s="5">
        <f t="shared" si="3"/>
        <v>0</v>
      </c>
      <c r="R213" s="5">
        <v>0.0</v>
      </c>
    </row>
    <row r="214" ht="22.5" customHeight="1">
      <c r="A214" s="5" t="s">
        <v>1135</v>
      </c>
      <c r="B214" s="5" t="s">
        <v>22</v>
      </c>
      <c r="C214" s="6">
        <v>7.0</v>
      </c>
      <c r="D214" s="6">
        <v>20.0</v>
      </c>
      <c r="E214" s="6">
        <v>5.8</v>
      </c>
      <c r="F214" s="6">
        <f t="shared" si="1"/>
        <v>5</v>
      </c>
      <c r="G214" s="6">
        <v>5.0</v>
      </c>
      <c r="H214" s="6">
        <v>10.0</v>
      </c>
      <c r="I214" s="6">
        <v>32.0</v>
      </c>
      <c r="J214" s="6">
        <v>10.0</v>
      </c>
      <c r="K214" s="6">
        <v>0.0</v>
      </c>
      <c r="L214" s="9">
        <v>46147.0</v>
      </c>
      <c r="M214" s="6">
        <v>7.0</v>
      </c>
      <c r="N214" s="5" t="s">
        <v>62</v>
      </c>
      <c r="O214" s="5" t="str">
        <f t="shared" si="2"/>
        <v>No</v>
      </c>
      <c r="P214" s="5" t="s">
        <v>62</v>
      </c>
      <c r="Q214" s="5">
        <f t="shared" si="3"/>
        <v>0</v>
      </c>
      <c r="R214" s="5">
        <v>0.0</v>
      </c>
    </row>
    <row r="215" ht="22.5" customHeight="1">
      <c r="A215" s="5" t="s">
        <v>1138</v>
      </c>
      <c r="B215" s="5" t="s">
        <v>22</v>
      </c>
      <c r="C215" s="6">
        <v>2.0</v>
      </c>
      <c r="D215" s="6">
        <v>8.0</v>
      </c>
      <c r="E215" s="6">
        <v>6.9</v>
      </c>
      <c r="F215" s="6">
        <f t="shared" si="1"/>
        <v>6</v>
      </c>
      <c r="G215" s="6">
        <v>6.0</v>
      </c>
      <c r="H215" s="6">
        <v>29.0</v>
      </c>
      <c r="I215" s="6">
        <v>20.0</v>
      </c>
      <c r="J215" s="6">
        <v>20.0</v>
      </c>
      <c r="K215" s="6">
        <v>1.0</v>
      </c>
      <c r="L215" s="9">
        <v>46132.0</v>
      </c>
      <c r="M215" s="6">
        <v>7.0</v>
      </c>
      <c r="N215" s="5" t="s">
        <v>62</v>
      </c>
      <c r="O215" s="5" t="str">
        <f t="shared" si="2"/>
        <v>No</v>
      </c>
      <c r="P215" s="5" t="s">
        <v>62</v>
      </c>
      <c r="Q215" s="5">
        <f t="shared" si="3"/>
        <v>0</v>
      </c>
      <c r="R215" s="5">
        <v>0.0</v>
      </c>
    </row>
    <row r="216" ht="22.5" customHeight="1">
      <c r="A216" s="5" t="s">
        <v>1142</v>
      </c>
      <c r="B216" s="5" t="s">
        <v>65</v>
      </c>
      <c r="C216" s="6">
        <v>4.0</v>
      </c>
      <c r="D216" s="6">
        <v>20.0</v>
      </c>
      <c r="E216" s="6">
        <v>3.2</v>
      </c>
      <c r="F216" s="6">
        <f t="shared" si="1"/>
        <v>3</v>
      </c>
      <c r="G216" s="6">
        <v>3.0</v>
      </c>
      <c r="H216" s="6">
        <v>50.0</v>
      </c>
      <c r="I216" s="6">
        <v>21.0</v>
      </c>
      <c r="J216" s="6">
        <v>17.0</v>
      </c>
      <c r="K216" s="6">
        <v>5.0</v>
      </c>
      <c r="L216" s="9">
        <v>45520.0</v>
      </c>
      <c r="M216" s="6">
        <v>2.0</v>
      </c>
      <c r="N216" s="5" t="s">
        <v>113</v>
      </c>
      <c r="O216" s="5" t="str">
        <f t="shared" si="2"/>
        <v>No</v>
      </c>
      <c r="P216" s="5" t="s">
        <v>62</v>
      </c>
      <c r="Q216" s="5">
        <f t="shared" si="3"/>
        <v>0</v>
      </c>
      <c r="R216" s="5">
        <v>0.0</v>
      </c>
    </row>
    <row r="217" ht="22.5" customHeight="1">
      <c r="A217" s="5" t="s">
        <v>1145</v>
      </c>
      <c r="B217" s="5" t="s">
        <v>65</v>
      </c>
      <c r="C217" s="6">
        <v>3.0</v>
      </c>
      <c r="D217" s="6">
        <v>6.0</v>
      </c>
      <c r="E217" s="6">
        <v>11.5</v>
      </c>
      <c r="F217" s="6">
        <f t="shared" si="1"/>
        <v>11</v>
      </c>
      <c r="G217" s="6">
        <v>11.0</v>
      </c>
      <c r="H217" s="6">
        <v>54.0</v>
      </c>
      <c r="I217" s="6">
        <v>11.0</v>
      </c>
      <c r="J217" s="6">
        <v>17.0</v>
      </c>
      <c r="K217" s="6">
        <v>5.0</v>
      </c>
      <c r="L217" s="9">
        <v>45989.0</v>
      </c>
      <c r="M217" s="6">
        <v>7.0</v>
      </c>
      <c r="N217" s="5" t="s">
        <v>62</v>
      </c>
      <c r="O217" s="5" t="str">
        <f t="shared" si="2"/>
        <v>No</v>
      </c>
      <c r="P217" s="5" t="s">
        <v>62</v>
      </c>
      <c r="Q217" s="5">
        <f t="shared" si="3"/>
        <v>0</v>
      </c>
      <c r="R217" s="5">
        <v>0.0</v>
      </c>
    </row>
    <row r="218" ht="22.5" customHeight="1">
      <c r="A218" s="5" t="s">
        <v>1148</v>
      </c>
      <c r="B218" s="5" t="s">
        <v>65</v>
      </c>
      <c r="C218" s="6">
        <v>6.0</v>
      </c>
      <c r="D218" s="6">
        <v>25.0</v>
      </c>
      <c r="E218" s="6">
        <v>1.2</v>
      </c>
      <c r="F218" s="6">
        <f t="shared" si="1"/>
        <v>1</v>
      </c>
      <c r="G218" s="6">
        <v>1.0</v>
      </c>
      <c r="H218" s="6">
        <v>11.0</v>
      </c>
      <c r="I218" s="6">
        <v>32.0</v>
      </c>
      <c r="J218" s="6">
        <v>10.0</v>
      </c>
      <c r="K218" s="6">
        <v>4.0</v>
      </c>
      <c r="L218" s="9">
        <v>44740.0</v>
      </c>
      <c r="M218" s="6">
        <v>4.0</v>
      </c>
      <c r="N218" s="5" t="s">
        <v>113</v>
      </c>
      <c r="O218" s="5" t="str">
        <f t="shared" si="2"/>
        <v>Yes</v>
      </c>
      <c r="P218" s="5" t="s">
        <v>113</v>
      </c>
      <c r="Q218" s="5">
        <f t="shared" si="3"/>
        <v>1</v>
      </c>
      <c r="R218" s="5">
        <v>1.0</v>
      </c>
    </row>
    <row r="219" ht="22.5" customHeight="1">
      <c r="A219" s="5" t="s">
        <v>1152</v>
      </c>
      <c r="B219" s="5" t="s">
        <v>65</v>
      </c>
      <c r="C219" s="6">
        <v>5.0</v>
      </c>
      <c r="D219" s="6">
        <v>19.0</v>
      </c>
      <c r="E219" s="6">
        <v>12.6</v>
      </c>
      <c r="F219" s="6">
        <f t="shared" si="1"/>
        <v>12</v>
      </c>
      <c r="G219" s="6">
        <v>12.0</v>
      </c>
      <c r="H219" s="6">
        <v>25.0</v>
      </c>
      <c r="I219" s="6">
        <v>34.0</v>
      </c>
      <c r="J219" s="6">
        <v>3.0</v>
      </c>
      <c r="K219" s="6">
        <v>0.0</v>
      </c>
      <c r="L219" s="9">
        <v>45492.0</v>
      </c>
      <c r="M219" s="6">
        <v>4.0</v>
      </c>
      <c r="N219" s="5" t="s">
        <v>113</v>
      </c>
      <c r="O219" s="5" t="str">
        <f t="shared" si="2"/>
        <v>No</v>
      </c>
      <c r="P219" s="5" t="s">
        <v>62</v>
      </c>
      <c r="Q219" s="5">
        <f t="shared" si="3"/>
        <v>0</v>
      </c>
      <c r="R219" s="5">
        <v>0.0</v>
      </c>
    </row>
    <row r="220" ht="22.5" customHeight="1">
      <c r="A220" s="5" t="s">
        <v>1155</v>
      </c>
      <c r="B220" s="5" t="s">
        <v>84</v>
      </c>
      <c r="C220" s="6">
        <v>8.0</v>
      </c>
      <c r="D220" s="6">
        <v>17.0</v>
      </c>
      <c r="E220" s="6">
        <v>14.1</v>
      </c>
      <c r="F220" s="6">
        <f t="shared" si="1"/>
        <v>14</v>
      </c>
      <c r="G220" s="6">
        <v>14.0</v>
      </c>
      <c r="H220" s="6">
        <v>53.0</v>
      </c>
      <c r="I220" s="6">
        <v>34.0</v>
      </c>
      <c r="J220" s="6">
        <v>14.0</v>
      </c>
      <c r="K220" s="6">
        <v>1.0</v>
      </c>
      <c r="L220" s="9">
        <v>44501.0</v>
      </c>
      <c r="M220" s="6">
        <v>3.0</v>
      </c>
      <c r="N220" s="5" t="s">
        <v>113</v>
      </c>
      <c r="O220" s="5" t="str">
        <f t="shared" si="2"/>
        <v>Yes</v>
      </c>
      <c r="P220" s="5" t="s">
        <v>113</v>
      </c>
      <c r="Q220" s="5">
        <f t="shared" si="3"/>
        <v>1</v>
      </c>
      <c r="R220" s="5">
        <v>1.0</v>
      </c>
    </row>
    <row r="221" ht="22.5" customHeight="1">
      <c r="A221" s="5" t="s">
        <v>1158</v>
      </c>
      <c r="B221" s="5" t="s">
        <v>170</v>
      </c>
      <c r="C221" s="6">
        <v>8.0</v>
      </c>
      <c r="D221" s="6">
        <v>34.0</v>
      </c>
      <c r="E221" s="6">
        <v>5.3</v>
      </c>
      <c r="F221" s="6">
        <f t="shared" si="1"/>
        <v>5</v>
      </c>
      <c r="G221" s="6">
        <v>5.0</v>
      </c>
      <c r="H221" s="6">
        <v>12.0</v>
      </c>
      <c r="I221" s="6">
        <v>38.0</v>
      </c>
      <c r="J221" s="6">
        <v>19.0</v>
      </c>
      <c r="K221" s="6">
        <v>2.0</v>
      </c>
      <c r="L221" s="9">
        <v>45621.0</v>
      </c>
      <c r="M221" s="6">
        <v>7.0</v>
      </c>
      <c r="N221" s="5" t="s">
        <v>62</v>
      </c>
      <c r="O221" s="5" t="str">
        <f t="shared" si="2"/>
        <v>No</v>
      </c>
      <c r="P221" s="5" t="s">
        <v>62</v>
      </c>
      <c r="Q221" s="5">
        <f t="shared" si="3"/>
        <v>0</v>
      </c>
      <c r="R221" s="5">
        <v>0.0</v>
      </c>
    </row>
    <row r="222" ht="22.5" customHeight="1">
      <c r="A222" s="5" t="s">
        <v>1163</v>
      </c>
      <c r="B222" s="5" t="s">
        <v>22</v>
      </c>
      <c r="C222" s="6">
        <v>7.0</v>
      </c>
      <c r="D222" s="6">
        <v>26.0</v>
      </c>
      <c r="E222" s="6">
        <v>15.1</v>
      </c>
      <c r="F222" s="6">
        <f t="shared" si="1"/>
        <v>15</v>
      </c>
      <c r="G222" s="6">
        <v>15.0</v>
      </c>
      <c r="H222" s="6">
        <v>33.0</v>
      </c>
      <c r="I222" s="6">
        <v>37.0</v>
      </c>
      <c r="J222" s="6">
        <v>20.0</v>
      </c>
      <c r="K222" s="6">
        <v>3.0</v>
      </c>
      <c r="L222" s="9">
        <v>45279.0</v>
      </c>
      <c r="M222" s="6">
        <v>5.0</v>
      </c>
      <c r="N222" s="5" t="s">
        <v>113</v>
      </c>
      <c r="O222" s="5" t="str">
        <f t="shared" si="2"/>
        <v>No</v>
      </c>
      <c r="P222" s="5" t="s">
        <v>62</v>
      </c>
      <c r="Q222" s="5">
        <f t="shared" si="3"/>
        <v>0</v>
      </c>
      <c r="R222" s="5">
        <v>0.0</v>
      </c>
    </row>
    <row r="223" ht="22.5" customHeight="1">
      <c r="A223" s="5" t="s">
        <v>1165</v>
      </c>
      <c r="B223" s="5" t="s">
        <v>22</v>
      </c>
      <c r="C223" s="6">
        <v>8.0</v>
      </c>
      <c r="D223" s="6">
        <v>15.0</v>
      </c>
      <c r="E223" s="6">
        <v>9.8</v>
      </c>
      <c r="F223" s="6">
        <f t="shared" si="1"/>
        <v>9</v>
      </c>
      <c r="G223" s="6">
        <v>9.0</v>
      </c>
      <c r="H223" s="6">
        <v>38.0</v>
      </c>
      <c r="I223" s="6">
        <v>23.0</v>
      </c>
      <c r="J223" s="6">
        <v>12.0</v>
      </c>
      <c r="K223" s="6">
        <v>5.0</v>
      </c>
      <c r="L223" s="9">
        <v>45909.0</v>
      </c>
      <c r="M223" s="6">
        <v>6.0</v>
      </c>
      <c r="N223" s="5" t="s">
        <v>62</v>
      </c>
      <c r="O223" s="5" t="str">
        <f t="shared" si="2"/>
        <v>No</v>
      </c>
      <c r="P223" s="5" t="s">
        <v>62</v>
      </c>
      <c r="Q223" s="5">
        <f t="shared" si="3"/>
        <v>0</v>
      </c>
      <c r="R223" s="5">
        <v>0.0</v>
      </c>
    </row>
    <row r="224" ht="22.5" customHeight="1">
      <c r="A224" s="5" t="s">
        <v>1169</v>
      </c>
      <c r="B224" s="5" t="s">
        <v>44</v>
      </c>
      <c r="C224" s="6">
        <v>3.0</v>
      </c>
      <c r="D224" s="6">
        <v>11.0</v>
      </c>
      <c r="E224" s="6">
        <v>5.4</v>
      </c>
      <c r="F224" s="6">
        <f t="shared" si="1"/>
        <v>5</v>
      </c>
      <c r="G224" s="6">
        <v>5.0</v>
      </c>
      <c r="H224" s="6">
        <v>19.0</v>
      </c>
      <c r="I224" s="6">
        <v>11.0</v>
      </c>
      <c r="J224" s="6">
        <v>19.0</v>
      </c>
      <c r="K224" s="6">
        <v>4.0</v>
      </c>
      <c r="L224" s="9">
        <v>45048.0</v>
      </c>
      <c r="M224" s="6">
        <v>3.0</v>
      </c>
      <c r="N224" s="5" t="s">
        <v>113</v>
      </c>
      <c r="O224" s="5" t="str">
        <f t="shared" si="2"/>
        <v>Yes</v>
      </c>
      <c r="P224" s="5" t="s">
        <v>113</v>
      </c>
      <c r="Q224" s="5">
        <f t="shared" si="3"/>
        <v>1</v>
      </c>
      <c r="R224" s="5">
        <v>1.0</v>
      </c>
    </row>
    <row r="225" ht="22.5" customHeight="1">
      <c r="A225" s="5" t="s">
        <v>1173</v>
      </c>
      <c r="B225" s="5" t="s">
        <v>22</v>
      </c>
      <c r="C225" s="6">
        <v>8.0</v>
      </c>
      <c r="D225" s="6">
        <v>23.0</v>
      </c>
      <c r="E225" s="6">
        <v>5.8</v>
      </c>
      <c r="F225" s="6">
        <f t="shared" si="1"/>
        <v>5</v>
      </c>
      <c r="G225" s="6">
        <v>5.0</v>
      </c>
      <c r="H225" s="6">
        <v>9.0</v>
      </c>
      <c r="I225" s="6">
        <v>32.0</v>
      </c>
      <c r="J225" s="6">
        <v>3.0</v>
      </c>
      <c r="K225" s="6">
        <v>3.0</v>
      </c>
      <c r="L225" s="9">
        <v>45348.0</v>
      </c>
      <c r="M225" s="6">
        <v>3.0</v>
      </c>
      <c r="N225" s="5" t="s">
        <v>113</v>
      </c>
      <c r="O225" s="5" t="str">
        <f t="shared" si="2"/>
        <v>No</v>
      </c>
      <c r="P225" s="5" t="s">
        <v>62</v>
      </c>
      <c r="Q225" s="5">
        <f t="shared" si="3"/>
        <v>0</v>
      </c>
      <c r="R225" s="5">
        <v>0.0</v>
      </c>
    </row>
    <row r="226" ht="22.5" customHeight="1">
      <c r="A226" s="5" t="s">
        <v>1175</v>
      </c>
      <c r="B226" s="5" t="s">
        <v>44</v>
      </c>
      <c r="C226" s="6">
        <v>6.0</v>
      </c>
      <c r="D226" s="6">
        <v>31.0</v>
      </c>
      <c r="E226" s="6">
        <v>9.0</v>
      </c>
      <c r="F226" s="6">
        <f t="shared" si="1"/>
        <v>9</v>
      </c>
      <c r="G226" s="6">
        <v>9.0</v>
      </c>
      <c r="H226" s="6">
        <v>28.0</v>
      </c>
      <c r="I226" s="6">
        <v>11.0</v>
      </c>
      <c r="J226" s="6">
        <v>15.0</v>
      </c>
      <c r="K226" s="6">
        <v>1.0</v>
      </c>
      <c r="L226" s="9">
        <v>44962.0</v>
      </c>
      <c r="M226" s="6">
        <v>3.0</v>
      </c>
      <c r="N226" s="5" t="s">
        <v>113</v>
      </c>
      <c r="O226" s="5" t="str">
        <f t="shared" si="2"/>
        <v>Yes</v>
      </c>
      <c r="P226" s="5" t="s">
        <v>113</v>
      </c>
      <c r="Q226" s="5">
        <f t="shared" si="3"/>
        <v>1</v>
      </c>
      <c r="R226" s="5">
        <v>1.0</v>
      </c>
    </row>
    <row r="227" ht="22.5" customHeight="1">
      <c r="A227" s="5" t="s">
        <v>1179</v>
      </c>
      <c r="B227" s="5" t="s">
        <v>65</v>
      </c>
      <c r="C227" s="6">
        <v>8.0</v>
      </c>
      <c r="D227" s="6">
        <v>14.0</v>
      </c>
      <c r="E227" s="6">
        <v>18.1</v>
      </c>
      <c r="F227" s="6">
        <f t="shared" si="1"/>
        <v>18</v>
      </c>
      <c r="G227" s="6">
        <v>18.0</v>
      </c>
      <c r="H227" s="6">
        <v>36.0</v>
      </c>
      <c r="I227" s="6">
        <v>26.0</v>
      </c>
      <c r="J227" s="6">
        <v>2.0</v>
      </c>
      <c r="K227" s="6">
        <v>3.0</v>
      </c>
      <c r="L227" s="9">
        <v>45873.0</v>
      </c>
      <c r="M227" s="6">
        <v>8.0</v>
      </c>
      <c r="N227" s="5" t="s">
        <v>62</v>
      </c>
      <c r="O227" s="5" t="str">
        <f t="shared" si="2"/>
        <v>No</v>
      </c>
      <c r="P227" s="5" t="s">
        <v>62</v>
      </c>
      <c r="Q227" s="5">
        <f t="shared" si="3"/>
        <v>0</v>
      </c>
      <c r="R227" s="5">
        <v>0.0</v>
      </c>
    </row>
    <row r="228" ht="22.5" customHeight="1">
      <c r="A228" s="5" t="s">
        <v>1182</v>
      </c>
      <c r="B228" s="5" t="s">
        <v>65</v>
      </c>
      <c r="C228" s="6">
        <v>7.0</v>
      </c>
      <c r="D228" s="6">
        <v>24.0</v>
      </c>
      <c r="E228" s="6">
        <v>5.9</v>
      </c>
      <c r="F228" s="6">
        <f t="shared" si="1"/>
        <v>5</v>
      </c>
      <c r="G228" s="6">
        <v>5.0</v>
      </c>
      <c r="H228" s="6">
        <v>46.0</v>
      </c>
      <c r="I228" s="6">
        <v>33.0</v>
      </c>
      <c r="J228" s="6">
        <v>19.0</v>
      </c>
      <c r="K228" s="6">
        <v>2.0</v>
      </c>
      <c r="L228" s="9">
        <v>44632.0</v>
      </c>
      <c r="M228" s="6">
        <v>2.0</v>
      </c>
      <c r="N228" s="5" t="s">
        <v>113</v>
      </c>
      <c r="O228" s="5" t="str">
        <f t="shared" si="2"/>
        <v>Yes</v>
      </c>
      <c r="P228" s="5" t="s">
        <v>113</v>
      </c>
      <c r="Q228" s="5">
        <f t="shared" si="3"/>
        <v>1</v>
      </c>
      <c r="R228" s="5">
        <v>1.0</v>
      </c>
    </row>
    <row r="229" ht="22.5" customHeight="1">
      <c r="A229" s="5" t="s">
        <v>1185</v>
      </c>
      <c r="B229" s="5" t="s">
        <v>84</v>
      </c>
      <c r="C229" s="6">
        <v>6.0</v>
      </c>
      <c r="D229" s="6">
        <v>21.0</v>
      </c>
      <c r="E229" s="6">
        <v>5.3</v>
      </c>
      <c r="F229" s="6">
        <f t="shared" si="1"/>
        <v>5</v>
      </c>
      <c r="G229" s="6">
        <v>5.0</v>
      </c>
      <c r="H229" s="6">
        <v>45.0</v>
      </c>
      <c r="I229" s="6">
        <v>28.0</v>
      </c>
      <c r="J229" s="6">
        <v>13.0</v>
      </c>
      <c r="K229" s="6">
        <v>1.0</v>
      </c>
      <c r="L229" s="9">
        <v>45607.0</v>
      </c>
      <c r="M229" s="6">
        <v>8.0</v>
      </c>
      <c r="N229" s="5" t="s">
        <v>62</v>
      </c>
      <c r="O229" s="5" t="str">
        <f t="shared" si="2"/>
        <v>No</v>
      </c>
      <c r="P229" s="5" t="s">
        <v>62</v>
      </c>
      <c r="Q229" s="5">
        <f t="shared" si="3"/>
        <v>0</v>
      </c>
      <c r="R229" s="5">
        <v>0.0</v>
      </c>
    </row>
    <row r="230" ht="22.5" customHeight="1">
      <c r="A230" s="5" t="s">
        <v>1191</v>
      </c>
      <c r="B230" s="5" t="s">
        <v>84</v>
      </c>
      <c r="C230" s="6">
        <v>7.0</v>
      </c>
      <c r="D230" s="6">
        <v>33.0</v>
      </c>
      <c r="E230" s="6">
        <v>6.9</v>
      </c>
      <c r="F230" s="6">
        <f t="shared" si="1"/>
        <v>6</v>
      </c>
      <c r="G230" s="6">
        <v>6.0</v>
      </c>
      <c r="H230" s="6">
        <v>41.0</v>
      </c>
      <c r="I230" s="6">
        <v>43.0</v>
      </c>
      <c r="J230" s="6">
        <v>9.0</v>
      </c>
      <c r="K230" s="6">
        <v>3.0</v>
      </c>
      <c r="L230" s="9">
        <v>44711.0</v>
      </c>
      <c r="M230" s="6">
        <v>3.0</v>
      </c>
      <c r="N230" s="5" t="s">
        <v>113</v>
      </c>
      <c r="O230" s="5" t="str">
        <f t="shared" si="2"/>
        <v>Yes</v>
      </c>
      <c r="P230" s="5" t="s">
        <v>113</v>
      </c>
      <c r="Q230" s="5">
        <f t="shared" si="3"/>
        <v>1</v>
      </c>
      <c r="R230" s="5">
        <v>1.0</v>
      </c>
    </row>
    <row r="231" ht="22.5" customHeight="1">
      <c r="A231" s="5" t="s">
        <v>1193</v>
      </c>
      <c r="B231" s="5" t="s">
        <v>84</v>
      </c>
      <c r="C231" s="6">
        <v>6.0</v>
      </c>
      <c r="D231" s="6">
        <v>25.0</v>
      </c>
      <c r="E231" s="6">
        <v>6.9</v>
      </c>
      <c r="F231" s="6">
        <f t="shared" si="1"/>
        <v>6</v>
      </c>
      <c r="G231" s="6">
        <v>6.0</v>
      </c>
      <c r="H231" s="6">
        <v>27.0</v>
      </c>
      <c r="I231" s="6">
        <v>10.0</v>
      </c>
      <c r="J231" s="6">
        <v>14.0</v>
      </c>
      <c r="K231" s="6">
        <v>1.0</v>
      </c>
      <c r="L231" s="9">
        <v>46168.0</v>
      </c>
      <c r="M231" s="6">
        <v>8.0</v>
      </c>
      <c r="O231" s="10" t="str">
        <f t="shared" si="2"/>
        <v>No</v>
      </c>
      <c r="P231" s="10" t="s">
        <v>62</v>
      </c>
      <c r="Q231" s="10">
        <f t="shared" si="3"/>
        <v>0</v>
      </c>
      <c r="R231" s="10">
        <v>0.0</v>
      </c>
    </row>
    <row r="232" ht="22.5" customHeight="1">
      <c r="A232" s="5" t="s">
        <v>1196</v>
      </c>
      <c r="B232" s="5" t="s">
        <v>22</v>
      </c>
      <c r="C232" s="6">
        <v>5.0</v>
      </c>
      <c r="D232" s="6">
        <v>23.0</v>
      </c>
      <c r="E232" s="6">
        <v>8.1</v>
      </c>
      <c r="F232" s="6">
        <f t="shared" si="1"/>
        <v>8</v>
      </c>
      <c r="G232" s="6">
        <v>8.0</v>
      </c>
      <c r="H232" s="6">
        <v>36.0</v>
      </c>
      <c r="I232" s="6">
        <v>24.0</v>
      </c>
      <c r="J232" s="6">
        <v>3.0</v>
      </c>
      <c r="K232" s="6">
        <v>1.0</v>
      </c>
      <c r="L232" s="9">
        <v>45781.0</v>
      </c>
      <c r="M232" s="6">
        <v>7.0</v>
      </c>
      <c r="N232" s="5" t="s">
        <v>62</v>
      </c>
      <c r="O232" s="5" t="str">
        <f t="shared" si="2"/>
        <v>No</v>
      </c>
      <c r="P232" s="5" t="s">
        <v>62</v>
      </c>
      <c r="Q232" s="5">
        <f t="shared" si="3"/>
        <v>0</v>
      </c>
      <c r="R232" s="5">
        <v>0.0</v>
      </c>
    </row>
    <row r="233" ht="22.5" customHeight="1">
      <c r="A233" s="5" t="s">
        <v>1198</v>
      </c>
      <c r="B233" s="5" t="s">
        <v>65</v>
      </c>
      <c r="C233" s="6">
        <v>8.0</v>
      </c>
      <c r="D233" s="6">
        <v>40.0</v>
      </c>
      <c r="E233" s="6">
        <v>6.4</v>
      </c>
      <c r="F233" s="6">
        <f t="shared" si="1"/>
        <v>6</v>
      </c>
      <c r="G233" s="6">
        <v>6.0</v>
      </c>
      <c r="H233" s="6">
        <v>34.0</v>
      </c>
      <c r="I233" s="6">
        <v>25.0</v>
      </c>
      <c r="J233" s="6">
        <v>14.0</v>
      </c>
      <c r="K233" s="6">
        <v>2.0</v>
      </c>
      <c r="L233" s="9">
        <v>45081.0</v>
      </c>
      <c r="M233" s="6">
        <v>2.0</v>
      </c>
      <c r="N233" s="5" t="s">
        <v>113</v>
      </c>
      <c r="O233" s="5" t="str">
        <f t="shared" si="2"/>
        <v>Yes</v>
      </c>
      <c r="P233" s="5" t="s">
        <v>113</v>
      </c>
      <c r="Q233" s="5">
        <f t="shared" si="3"/>
        <v>1</v>
      </c>
      <c r="R233" s="5">
        <v>1.0</v>
      </c>
    </row>
    <row r="234" ht="22.5" customHeight="1">
      <c r="A234" s="5" t="s">
        <v>1201</v>
      </c>
      <c r="B234" s="5" t="s">
        <v>22</v>
      </c>
      <c r="C234" s="6">
        <v>2.0</v>
      </c>
      <c r="D234" s="6">
        <v>11.0</v>
      </c>
      <c r="E234" s="6">
        <v>13.0</v>
      </c>
      <c r="F234" s="6">
        <f t="shared" si="1"/>
        <v>13</v>
      </c>
      <c r="G234" s="6">
        <v>13.0</v>
      </c>
      <c r="H234" s="6">
        <v>53.0</v>
      </c>
      <c r="I234" s="6">
        <v>14.0</v>
      </c>
      <c r="J234" s="6">
        <v>17.0</v>
      </c>
      <c r="K234" s="6">
        <v>4.0</v>
      </c>
      <c r="L234" s="9">
        <v>45925.0</v>
      </c>
      <c r="M234" s="6">
        <v>5.0</v>
      </c>
      <c r="N234" s="5" t="s">
        <v>62</v>
      </c>
      <c r="O234" s="5" t="str">
        <f t="shared" si="2"/>
        <v>No</v>
      </c>
      <c r="P234" s="5" t="s">
        <v>62</v>
      </c>
      <c r="Q234" s="5">
        <f t="shared" si="3"/>
        <v>0</v>
      </c>
      <c r="R234" s="5">
        <v>0.0</v>
      </c>
    </row>
    <row r="235" ht="22.5" customHeight="1">
      <c r="A235" s="5" t="s">
        <v>1204</v>
      </c>
      <c r="B235" s="5" t="s">
        <v>170</v>
      </c>
      <c r="C235" s="6">
        <v>9.0</v>
      </c>
      <c r="D235" s="6">
        <v>26.0</v>
      </c>
      <c r="E235" s="6">
        <v>3.7</v>
      </c>
      <c r="F235" s="6">
        <f t="shared" si="1"/>
        <v>3</v>
      </c>
      <c r="G235" s="6">
        <v>3.0</v>
      </c>
      <c r="H235" s="6">
        <v>54.0</v>
      </c>
      <c r="I235" s="6">
        <v>16.0</v>
      </c>
      <c r="J235" s="6">
        <v>5.0</v>
      </c>
      <c r="K235" s="6">
        <v>3.0</v>
      </c>
      <c r="L235" s="9">
        <v>45560.0</v>
      </c>
      <c r="M235" s="6">
        <v>4.0</v>
      </c>
      <c r="N235" s="5" t="s">
        <v>62</v>
      </c>
      <c r="O235" s="5" t="str">
        <f t="shared" si="2"/>
        <v>No</v>
      </c>
      <c r="P235" s="5" t="s">
        <v>62</v>
      </c>
      <c r="Q235" s="5">
        <f t="shared" si="3"/>
        <v>0</v>
      </c>
      <c r="R235" s="5">
        <v>0.0</v>
      </c>
    </row>
    <row r="236" ht="22.5" customHeight="1">
      <c r="A236" s="5" t="s">
        <v>1206</v>
      </c>
      <c r="B236" s="5" t="s">
        <v>65</v>
      </c>
      <c r="C236" s="6">
        <v>5.0</v>
      </c>
      <c r="D236" s="6">
        <v>20.0</v>
      </c>
      <c r="E236" s="6">
        <v>8.6</v>
      </c>
      <c r="F236" s="6">
        <f t="shared" si="1"/>
        <v>8</v>
      </c>
      <c r="G236" s="6">
        <v>8.0</v>
      </c>
      <c r="H236" s="6">
        <v>27.0</v>
      </c>
      <c r="I236" s="6">
        <v>18.0</v>
      </c>
      <c r="J236" s="6">
        <v>5.0</v>
      </c>
      <c r="K236" s="6">
        <v>0.0</v>
      </c>
      <c r="L236" s="9">
        <v>45277.0</v>
      </c>
      <c r="M236" s="6">
        <v>2.0</v>
      </c>
      <c r="N236" s="5" t="s">
        <v>113</v>
      </c>
      <c r="O236" s="5" t="str">
        <f t="shared" si="2"/>
        <v>No</v>
      </c>
      <c r="P236" s="5" t="s">
        <v>62</v>
      </c>
      <c r="Q236" s="5">
        <f t="shared" si="3"/>
        <v>0</v>
      </c>
      <c r="R236" s="5">
        <v>0.0</v>
      </c>
    </row>
    <row r="237" ht="22.5" customHeight="1">
      <c r="A237" s="5" t="s">
        <v>1210</v>
      </c>
      <c r="B237" s="5" t="s">
        <v>22</v>
      </c>
      <c r="C237" s="6">
        <v>6.0</v>
      </c>
      <c r="D237" s="6">
        <v>32.0</v>
      </c>
      <c r="E237" s="6">
        <v>8.8</v>
      </c>
      <c r="F237" s="6">
        <f t="shared" si="1"/>
        <v>8</v>
      </c>
      <c r="G237" s="6">
        <v>8.0</v>
      </c>
      <c r="H237" s="6">
        <v>21.0</v>
      </c>
      <c r="I237" s="6">
        <v>16.0</v>
      </c>
      <c r="J237" s="6">
        <v>20.0</v>
      </c>
      <c r="K237" s="6">
        <v>3.0</v>
      </c>
      <c r="L237" s="9">
        <v>45317.0</v>
      </c>
      <c r="M237" s="6">
        <v>1.0</v>
      </c>
      <c r="N237" s="5" t="s">
        <v>113</v>
      </c>
      <c r="O237" s="5" t="str">
        <f t="shared" si="2"/>
        <v>No</v>
      </c>
      <c r="P237" s="5" t="s">
        <v>62</v>
      </c>
      <c r="Q237" s="5">
        <f t="shared" si="3"/>
        <v>0</v>
      </c>
      <c r="R237" s="5">
        <v>0.0</v>
      </c>
    </row>
    <row r="238" ht="22.5" customHeight="1">
      <c r="A238" s="5" t="s">
        <v>1213</v>
      </c>
      <c r="B238" s="5" t="s">
        <v>44</v>
      </c>
      <c r="C238" s="6">
        <v>4.0</v>
      </c>
      <c r="D238" s="6">
        <v>24.0</v>
      </c>
      <c r="E238" s="6">
        <v>3.9</v>
      </c>
      <c r="F238" s="6">
        <f t="shared" si="1"/>
        <v>3</v>
      </c>
      <c r="G238" s="6">
        <v>3.0</v>
      </c>
      <c r="H238" s="6">
        <v>26.0</v>
      </c>
      <c r="I238" s="6">
        <v>24.0</v>
      </c>
      <c r="J238" s="6">
        <v>10.0</v>
      </c>
      <c r="K238" s="6">
        <v>2.0</v>
      </c>
      <c r="L238" s="9">
        <v>45543.0</v>
      </c>
      <c r="M238" s="6">
        <v>9.0</v>
      </c>
      <c r="O238" s="10" t="str">
        <f t="shared" si="2"/>
        <v>No</v>
      </c>
      <c r="P238" s="10" t="s">
        <v>62</v>
      </c>
      <c r="Q238" s="10">
        <f t="shared" si="3"/>
        <v>0</v>
      </c>
      <c r="R238" s="10">
        <v>0.0</v>
      </c>
    </row>
    <row r="239" ht="22.5" customHeight="1">
      <c r="A239" s="5" t="s">
        <v>1215</v>
      </c>
      <c r="B239" s="5" t="s">
        <v>44</v>
      </c>
      <c r="C239" s="6">
        <v>8.0</v>
      </c>
      <c r="D239" s="6">
        <v>44.0</v>
      </c>
      <c r="E239" s="6">
        <v>8.6</v>
      </c>
      <c r="F239" s="6">
        <f t="shared" si="1"/>
        <v>8</v>
      </c>
      <c r="G239" s="6">
        <v>8.0</v>
      </c>
      <c r="H239" s="6">
        <v>48.0</v>
      </c>
      <c r="I239" s="6">
        <v>20.0</v>
      </c>
      <c r="J239" s="6">
        <v>18.0</v>
      </c>
      <c r="K239" s="6">
        <v>0.0</v>
      </c>
      <c r="L239" s="9">
        <v>45817.0</v>
      </c>
      <c r="M239" s="6">
        <v>6.0</v>
      </c>
      <c r="N239" s="5" t="s">
        <v>62</v>
      </c>
      <c r="O239" s="5" t="str">
        <f t="shared" si="2"/>
        <v>No</v>
      </c>
      <c r="P239" s="5" t="s">
        <v>62</v>
      </c>
      <c r="Q239" s="5">
        <f t="shared" si="3"/>
        <v>0</v>
      </c>
      <c r="R239" s="5">
        <v>0.0</v>
      </c>
    </row>
    <row r="240" ht="22.5" customHeight="1">
      <c r="A240" s="5" t="s">
        <v>1218</v>
      </c>
      <c r="B240" s="5" t="s">
        <v>44</v>
      </c>
      <c r="C240" s="6">
        <v>3.0</v>
      </c>
      <c r="D240" s="6">
        <v>10.0</v>
      </c>
      <c r="E240" s="6">
        <v>8.9</v>
      </c>
      <c r="F240" s="6">
        <f t="shared" si="1"/>
        <v>8</v>
      </c>
      <c r="G240" s="6">
        <v>8.0</v>
      </c>
      <c r="H240" s="6">
        <v>48.0</v>
      </c>
      <c r="I240" s="6">
        <v>28.0</v>
      </c>
      <c r="J240" s="6">
        <v>2.0</v>
      </c>
      <c r="K240" s="6">
        <v>3.0</v>
      </c>
      <c r="L240" s="9">
        <v>44893.0</v>
      </c>
      <c r="M240" s="6">
        <v>2.0</v>
      </c>
      <c r="O240" s="10" t="str">
        <f t="shared" si="2"/>
        <v>Yes</v>
      </c>
      <c r="P240" s="10" t="s">
        <v>113</v>
      </c>
      <c r="Q240" s="10">
        <f t="shared" si="3"/>
        <v>1</v>
      </c>
      <c r="R240" s="10">
        <v>1.0</v>
      </c>
    </row>
    <row r="241" ht="22.5" customHeight="1">
      <c r="A241" s="5" t="s">
        <v>1221</v>
      </c>
      <c r="B241" s="5" t="s">
        <v>22</v>
      </c>
      <c r="C241" s="6">
        <v>6.0</v>
      </c>
      <c r="D241" s="6">
        <v>14.0</v>
      </c>
      <c r="E241" s="6">
        <v>1.0</v>
      </c>
      <c r="F241" s="6">
        <f t="shared" si="1"/>
        <v>1</v>
      </c>
      <c r="G241" s="6">
        <v>1.0</v>
      </c>
      <c r="H241" s="6">
        <v>32.0</v>
      </c>
      <c r="I241" s="6">
        <v>30.0</v>
      </c>
      <c r="J241" s="6">
        <v>8.0</v>
      </c>
      <c r="K241" s="6">
        <v>4.0</v>
      </c>
      <c r="L241" s="9">
        <v>45343.0</v>
      </c>
      <c r="M241" s="6">
        <v>4.0</v>
      </c>
      <c r="N241" s="5" t="s">
        <v>113</v>
      </c>
      <c r="O241" s="5" t="str">
        <f t="shared" si="2"/>
        <v>No</v>
      </c>
      <c r="P241" s="5" t="s">
        <v>62</v>
      </c>
      <c r="Q241" s="5">
        <f t="shared" si="3"/>
        <v>0</v>
      </c>
      <c r="R241" s="5">
        <v>0.0</v>
      </c>
    </row>
    <row r="242" ht="22.5" customHeight="1">
      <c r="A242" s="5" t="s">
        <v>1224</v>
      </c>
      <c r="B242" s="5" t="s">
        <v>170</v>
      </c>
      <c r="C242" s="6">
        <v>11.0</v>
      </c>
      <c r="D242" s="6">
        <v>41.0</v>
      </c>
      <c r="E242" s="6">
        <v>3.5</v>
      </c>
      <c r="F242" s="6">
        <f t="shared" si="1"/>
        <v>3</v>
      </c>
      <c r="G242" s="6">
        <v>3.0</v>
      </c>
      <c r="H242" s="6">
        <v>47.0</v>
      </c>
      <c r="I242" s="6">
        <v>30.0</v>
      </c>
      <c r="J242" s="6">
        <v>18.0</v>
      </c>
      <c r="K242" s="6">
        <v>3.0</v>
      </c>
      <c r="L242" s="9">
        <v>44810.0</v>
      </c>
      <c r="M242" s="6">
        <v>3.0</v>
      </c>
      <c r="N242" s="5" t="s">
        <v>113</v>
      </c>
      <c r="O242" s="5" t="str">
        <f t="shared" si="2"/>
        <v>Yes</v>
      </c>
      <c r="P242" s="5" t="s">
        <v>113</v>
      </c>
      <c r="Q242" s="5">
        <f t="shared" si="3"/>
        <v>1</v>
      </c>
      <c r="R242" s="5">
        <v>1.0</v>
      </c>
    </row>
    <row r="243" ht="22.5" customHeight="1">
      <c r="A243" s="5" t="s">
        <v>1227</v>
      </c>
      <c r="B243" s="5" t="s">
        <v>44</v>
      </c>
      <c r="C243" s="6">
        <v>8.0</v>
      </c>
      <c r="D243" s="6">
        <v>39.0</v>
      </c>
      <c r="E243" s="6">
        <v>15.8</v>
      </c>
      <c r="F243" s="6">
        <f t="shared" si="1"/>
        <v>15</v>
      </c>
      <c r="G243" s="6">
        <v>15.0</v>
      </c>
      <c r="H243" s="6">
        <v>6.0</v>
      </c>
      <c r="I243" s="6">
        <v>22.0</v>
      </c>
      <c r="J243" s="6">
        <v>8.0</v>
      </c>
      <c r="K243" s="6">
        <v>0.0</v>
      </c>
      <c r="L243" s="9">
        <v>45852.0</v>
      </c>
      <c r="M243" s="6">
        <v>4.0</v>
      </c>
      <c r="N243" s="5" t="s">
        <v>62</v>
      </c>
      <c r="O243" s="5" t="str">
        <f t="shared" si="2"/>
        <v>No</v>
      </c>
      <c r="P243" s="5" t="s">
        <v>62</v>
      </c>
      <c r="Q243" s="5">
        <f t="shared" si="3"/>
        <v>0</v>
      </c>
      <c r="R243" s="5">
        <v>0.0</v>
      </c>
    </row>
    <row r="244" ht="22.5" customHeight="1">
      <c r="A244" s="5" t="s">
        <v>1229</v>
      </c>
      <c r="B244" s="5" t="s">
        <v>84</v>
      </c>
      <c r="C244" s="6">
        <v>8.0</v>
      </c>
      <c r="D244" s="6">
        <v>30.0</v>
      </c>
      <c r="E244" s="6">
        <v>4.6</v>
      </c>
      <c r="F244" s="6">
        <f t="shared" si="1"/>
        <v>4</v>
      </c>
      <c r="G244" s="6">
        <v>4.0</v>
      </c>
      <c r="H244" s="6">
        <v>37.0</v>
      </c>
      <c r="I244" s="6">
        <v>27.0</v>
      </c>
      <c r="J244" s="6">
        <v>7.0</v>
      </c>
      <c r="K244" s="6">
        <v>2.0</v>
      </c>
      <c r="L244" s="9">
        <v>45322.0</v>
      </c>
      <c r="M244" s="6">
        <v>3.0</v>
      </c>
      <c r="N244" s="5" t="s">
        <v>113</v>
      </c>
      <c r="O244" s="5" t="str">
        <f t="shared" si="2"/>
        <v>No</v>
      </c>
      <c r="P244" s="5" t="s">
        <v>62</v>
      </c>
      <c r="Q244" s="5">
        <f t="shared" si="3"/>
        <v>0</v>
      </c>
      <c r="R244" s="5">
        <v>0.0</v>
      </c>
    </row>
    <row r="245" ht="22.5" customHeight="1">
      <c r="A245" s="5" t="s">
        <v>1230</v>
      </c>
      <c r="B245" s="5" t="s">
        <v>44</v>
      </c>
      <c r="C245" s="6">
        <v>11.0</v>
      </c>
      <c r="D245" s="6">
        <v>40.0</v>
      </c>
      <c r="E245" s="6">
        <v>2.9</v>
      </c>
      <c r="F245" s="6">
        <f t="shared" si="1"/>
        <v>2</v>
      </c>
      <c r="G245" s="6">
        <v>2.0</v>
      </c>
      <c r="H245" s="6">
        <v>14.0</v>
      </c>
      <c r="I245" s="6">
        <v>33.0</v>
      </c>
      <c r="J245" s="6">
        <v>17.0</v>
      </c>
      <c r="K245" s="6">
        <v>4.0</v>
      </c>
      <c r="L245" s="9">
        <v>45712.0</v>
      </c>
      <c r="M245" s="6">
        <v>7.0</v>
      </c>
      <c r="N245" s="5" t="s">
        <v>62</v>
      </c>
      <c r="O245" s="5" t="str">
        <f t="shared" si="2"/>
        <v>No</v>
      </c>
      <c r="P245" s="5" t="s">
        <v>62</v>
      </c>
      <c r="Q245" s="5">
        <f t="shared" si="3"/>
        <v>0</v>
      </c>
      <c r="R245" s="5">
        <v>0.0</v>
      </c>
    </row>
    <row r="246" ht="22.5" customHeight="1">
      <c r="A246" s="5" t="s">
        <v>1234</v>
      </c>
      <c r="B246" s="5" t="s">
        <v>44</v>
      </c>
      <c r="C246" s="6">
        <v>2.0</v>
      </c>
      <c r="D246" s="6">
        <v>11.0</v>
      </c>
      <c r="E246" s="6">
        <v>1.6</v>
      </c>
      <c r="F246" s="6">
        <f t="shared" si="1"/>
        <v>1</v>
      </c>
      <c r="G246" s="6">
        <v>1.0</v>
      </c>
      <c r="H246" s="6">
        <v>29.0</v>
      </c>
      <c r="I246" s="6">
        <v>29.0</v>
      </c>
      <c r="J246" s="6">
        <v>1.0</v>
      </c>
      <c r="K246" s="6">
        <v>0.0</v>
      </c>
      <c r="L246" s="9">
        <v>45680.0</v>
      </c>
      <c r="M246" s="6">
        <v>7.0</v>
      </c>
      <c r="N246" s="5" t="s">
        <v>62</v>
      </c>
      <c r="O246" s="5" t="str">
        <f t="shared" si="2"/>
        <v>No</v>
      </c>
      <c r="P246" s="5" t="s">
        <v>62</v>
      </c>
      <c r="Q246" s="5">
        <f t="shared" si="3"/>
        <v>0</v>
      </c>
      <c r="R246" s="5">
        <v>0.0</v>
      </c>
    </row>
    <row r="247" ht="22.5" customHeight="1">
      <c r="A247" s="5" t="s">
        <v>1236</v>
      </c>
      <c r="B247" s="5" t="s">
        <v>44</v>
      </c>
      <c r="C247" s="6">
        <v>6.0</v>
      </c>
      <c r="D247" s="6">
        <v>19.0</v>
      </c>
      <c r="E247" s="6">
        <v>3.2</v>
      </c>
      <c r="F247" s="6">
        <f t="shared" si="1"/>
        <v>3</v>
      </c>
      <c r="G247" s="6">
        <v>3.0</v>
      </c>
      <c r="H247" s="6">
        <v>35.0</v>
      </c>
      <c r="I247" s="6">
        <v>40.0</v>
      </c>
      <c r="J247" s="6">
        <v>16.0</v>
      </c>
      <c r="K247" s="6">
        <v>2.0</v>
      </c>
      <c r="L247" s="9">
        <v>46226.0</v>
      </c>
      <c r="M247" s="6">
        <v>9.0</v>
      </c>
      <c r="N247" s="5" t="s">
        <v>62</v>
      </c>
      <c r="O247" s="5" t="str">
        <f t="shared" si="2"/>
        <v>No</v>
      </c>
      <c r="P247" s="5" t="s">
        <v>62</v>
      </c>
      <c r="Q247" s="5">
        <f t="shared" si="3"/>
        <v>0</v>
      </c>
      <c r="R247" s="5">
        <v>0.0</v>
      </c>
    </row>
    <row r="248" ht="22.5" customHeight="1">
      <c r="A248" s="5" t="s">
        <v>1241</v>
      </c>
      <c r="B248" s="5" t="s">
        <v>22</v>
      </c>
      <c r="C248" s="6">
        <v>4.0</v>
      </c>
      <c r="D248" s="6">
        <v>21.0</v>
      </c>
      <c r="E248" s="6">
        <v>6.3</v>
      </c>
      <c r="F248" s="6">
        <f t="shared" si="1"/>
        <v>6</v>
      </c>
      <c r="G248" s="6">
        <v>6.0</v>
      </c>
      <c r="H248" s="6">
        <v>9.0</v>
      </c>
      <c r="I248" s="6">
        <v>33.0</v>
      </c>
      <c r="J248" s="6">
        <v>13.0</v>
      </c>
      <c r="K248" s="6">
        <v>0.0</v>
      </c>
      <c r="L248" s="9">
        <v>46056.0</v>
      </c>
      <c r="M248" s="6">
        <v>7.0</v>
      </c>
      <c r="N248" s="5" t="s">
        <v>62</v>
      </c>
      <c r="O248" s="5" t="str">
        <f t="shared" si="2"/>
        <v>No</v>
      </c>
      <c r="P248" s="5" t="s">
        <v>62</v>
      </c>
      <c r="Q248" s="5">
        <f t="shared" si="3"/>
        <v>0</v>
      </c>
      <c r="R248" s="5">
        <v>0.0</v>
      </c>
    </row>
    <row r="249" ht="22.5" customHeight="1">
      <c r="A249" s="5" t="s">
        <v>1245</v>
      </c>
      <c r="B249" s="5" t="s">
        <v>22</v>
      </c>
      <c r="C249" s="6">
        <v>9.0</v>
      </c>
      <c r="D249" s="6">
        <v>30.0</v>
      </c>
      <c r="E249" s="6">
        <v>2.8</v>
      </c>
      <c r="F249" s="6">
        <f t="shared" si="1"/>
        <v>2</v>
      </c>
      <c r="G249" s="6">
        <v>2.0</v>
      </c>
      <c r="H249" s="6">
        <v>48.0</v>
      </c>
      <c r="I249" s="6">
        <v>39.0</v>
      </c>
      <c r="J249" s="6">
        <v>7.0</v>
      </c>
      <c r="K249" s="6">
        <v>2.0</v>
      </c>
      <c r="L249" s="9">
        <v>44439.0</v>
      </c>
      <c r="M249" s="6">
        <v>3.0</v>
      </c>
      <c r="N249" s="5" t="s">
        <v>113</v>
      </c>
      <c r="O249" s="5" t="str">
        <f t="shared" si="2"/>
        <v>Yes</v>
      </c>
      <c r="P249" s="5" t="s">
        <v>113</v>
      </c>
      <c r="Q249" s="5">
        <f t="shared" si="3"/>
        <v>1</v>
      </c>
      <c r="R249" s="5">
        <v>1.0</v>
      </c>
    </row>
    <row r="250" ht="22.5" customHeight="1">
      <c r="A250" s="5" t="s">
        <v>1248</v>
      </c>
      <c r="B250" s="5" t="s">
        <v>44</v>
      </c>
      <c r="C250" s="6">
        <v>8.0</v>
      </c>
      <c r="D250" s="6">
        <v>24.0</v>
      </c>
      <c r="E250" s="6">
        <v>9.8</v>
      </c>
      <c r="F250" s="6">
        <f t="shared" si="1"/>
        <v>9</v>
      </c>
      <c r="G250" s="6">
        <v>9.0</v>
      </c>
      <c r="H250" s="6">
        <v>32.0</v>
      </c>
      <c r="I250" s="6">
        <v>10.0</v>
      </c>
      <c r="J250" s="6">
        <v>10.0</v>
      </c>
      <c r="K250" s="6">
        <v>4.0</v>
      </c>
      <c r="L250" s="9">
        <v>45358.0</v>
      </c>
      <c r="M250" s="6">
        <v>2.0</v>
      </c>
      <c r="N250" s="5" t="s">
        <v>113</v>
      </c>
      <c r="O250" s="5" t="str">
        <f t="shared" si="2"/>
        <v>No</v>
      </c>
      <c r="P250" s="5" t="s">
        <v>62</v>
      </c>
      <c r="Q250" s="5">
        <f t="shared" si="3"/>
        <v>0</v>
      </c>
      <c r="R250" s="5">
        <v>0.0</v>
      </c>
    </row>
    <row r="251" ht="22.5" customHeight="1">
      <c r="A251" s="5" t="s">
        <v>1251</v>
      </c>
      <c r="B251" s="5" t="s">
        <v>22</v>
      </c>
      <c r="C251" s="6">
        <v>4.0</v>
      </c>
      <c r="D251" s="6">
        <v>14.0</v>
      </c>
      <c r="E251" s="6">
        <v>3.9</v>
      </c>
      <c r="F251" s="6">
        <f t="shared" si="1"/>
        <v>3</v>
      </c>
      <c r="G251" s="6">
        <v>3.0</v>
      </c>
      <c r="H251" s="6">
        <v>43.0</v>
      </c>
      <c r="I251" s="6">
        <v>26.0</v>
      </c>
      <c r="J251" s="6">
        <v>8.0</v>
      </c>
      <c r="K251" s="6">
        <v>3.0</v>
      </c>
      <c r="L251" s="9">
        <v>45768.0</v>
      </c>
      <c r="M251" s="6">
        <v>8.0</v>
      </c>
      <c r="O251" s="10" t="str">
        <f t="shared" si="2"/>
        <v>No</v>
      </c>
      <c r="P251" s="10" t="s">
        <v>62</v>
      </c>
      <c r="Q251" s="10">
        <f t="shared" si="3"/>
        <v>0</v>
      </c>
      <c r="R251" s="10">
        <v>0.0</v>
      </c>
    </row>
    <row r="252" ht="22.5" customHeight="1">
      <c r="A252" s="5" t="s">
        <v>1255</v>
      </c>
      <c r="B252" s="5" t="s">
        <v>22</v>
      </c>
      <c r="C252" s="6">
        <v>2.0</v>
      </c>
      <c r="D252" s="6">
        <v>10.0</v>
      </c>
      <c r="E252" s="6">
        <v>8.1</v>
      </c>
      <c r="F252" s="6">
        <f t="shared" si="1"/>
        <v>8</v>
      </c>
      <c r="G252" s="6">
        <v>8.0</v>
      </c>
      <c r="H252" s="6">
        <v>35.0</v>
      </c>
      <c r="I252" s="6">
        <v>22.0</v>
      </c>
      <c r="J252" s="6">
        <v>8.0</v>
      </c>
      <c r="K252" s="6">
        <v>2.0</v>
      </c>
      <c r="L252" s="9">
        <v>44587.0</v>
      </c>
      <c r="M252" s="6">
        <v>2.0</v>
      </c>
      <c r="N252" s="5" t="s">
        <v>113</v>
      </c>
      <c r="O252" s="5" t="str">
        <f t="shared" si="2"/>
        <v>Yes</v>
      </c>
      <c r="P252" s="5" t="s">
        <v>113</v>
      </c>
      <c r="Q252" s="5">
        <f t="shared" si="3"/>
        <v>1</v>
      </c>
      <c r="R252" s="5">
        <v>1.0</v>
      </c>
    </row>
    <row r="253" ht="22.5" customHeight="1">
      <c r="A253" s="5" t="s">
        <v>1258</v>
      </c>
      <c r="B253" s="5" t="s">
        <v>84</v>
      </c>
      <c r="C253" s="6">
        <v>6.0</v>
      </c>
      <c r="D253" s="6">
        <v>12.0</v>
      </c>
      <c r="E253" s="6">
        <v>14.5</v>
      </c>
      <c r="F253" s="6">
        <f t="shared" si="1"/>
        <v>14</v>
      </c>
      <c r="G253" s="6">
        <v>14.0</v>
      </c>
      <c r="H253" s="6">
        <v>47.0</v>
      </c>
      <c r="I253" s="6">
        <v>24.0</v>
      </c>
      <c r="J253" s="6">
        <v>13.0</v>
      </c>
      <c r="K253" s="6">
        <v>0.0</v>
      </c>
      <c r="L253" s="9">
        <v>46131.0</v>
      </c>
      <c r="M253" s="6">
        <v>7.0</v>
      </c>
      <c r="N253" s="5" t="s">
        <v>62</v>
      </c>
      <c r="O253" s="5" t="str">
        <f t="shared" si="2"/>
        <v>No</v>
      </c>
      <c r="P253" s="5" t="s">
        <v>62</v>
      </c>
      <c r="Q253" s="5">
        <f t="shared" si="3"/>
        <v>0</v>
      </c>
      <c r="R253" s="5">
        <v>0.0</v>
      </c>
    </row>
    <row r="254" ht="22.5" customHeight="1">
      <c r="A254" s="5" t="s">
        <v>1261</v>
      </c>
      <c r="B254" s="5" t="s">
        <v>44</v>
      </c>
      <c r="C254" s="6">
        <v>4.0</v>
      </c>
      <c r="D254" s="6">
        <v>10.0</v>
      </c>
      <c r="E254" s="6">
        <v>14.0</v>
      </c>
      <c r="F254" s="6">
        <f t="shared" si="1"/>
        <v>14</v>
      </c>
      <c r="G254" s="6">
        <v>14.0</v>
      </c>
      <c r="H254" s="6">
        <v>47.0</v>
      </c>
      <c r="I254" s="6">
        <v>19.0</v>
      </c>
      <c r="J254" s="6">
        <v>5.0</v>
      </c>
      <c r="K254" s="6">
        <v>3.0</v>
      </c>
      <c r="L254" s="9">
        <v>45854.0</v>
      </c>
      <c r="M254" s="6">
        <v>6.0</v>
      </c>
      <c r="N254" s="5" t="s">
        <v>62</v>
      </c>
      <c r="O254" s="5" t="str">
        <f t="shared" si="2"/>
        <v>No</v>
      </c>
      <c r="P254" s="5" t="s">
        <v>62</v>
      </c>
      <c r="Q254" s="5">
        <f t="shared" si="3"/>
        <v>0</v>
      </c>
      <c r="R254" s="5">
        <v>0.0</v>
      </c>
    </row>
    <row r="255" ht="22.5" customHeight="1">
      <c r="A255" s="5" t="s">
        <v>1263</v>
      </c>
      <c r="B255" s="5" t="s">
        <v>65</v>
      </c>
      <c r="C255" s="6">
        <v>7.0</v>
      </c>
      <c r="D255" s="6">
        <v>40.0</v>
      </c>
      <c r="E255" s="6">
        <v>8.0</v>
      </c>
      <c r="F255" s="6">
        <f t="shared" si="1"/>
        <v>8</v>
      </c>
      <c r="G255" s="6">
        <v>8.0</v>
      </c>
      <c r="H255" s="6">
        <v>12.0</v>
      </c>
      <c r="I255" s="6">
        <v>28.0</v>
      </c>
      <c r="J255" s="6">
        <v>13.0</v>
      </c>
      <c r="K255" s="6">
        <v>0.0</v>
      </c>
      <c r="L255" s="9">
        <v>45694.0</v>
      </c>
      <c r="M255" s="6">
        <v>8.0</v>
      </c>
      <c r="N255" s="5" t="s">
        <v>62</v>
      </c>
      <c r="O255" s="5" t="str">
        <f t="shared" si="2"/>
        <v>No</v>
      </c>
      <c r="P255" s="5" t="s">
        <v>62</v>
      </c>
      <c r="Q255" s="5">
        <f t="shared" si="3"/>
        <v>0</v>
      </c>
      <c r="R255" s="5">
        <v>0.0</v>
      </c>
    </row>
    <row r="256" ht="22.5" customHeight="1">
      <c r="A256" s="5" t="s">
        <v>1266</v>
      </c>
      <c r="B256" s="5" t="s">
        <v>84</v>
      </c>
      <c r="C256" s="6">
        <v>4.0</v>
      </c>
      <c r="D256" s="6">
        <v>9.0</v>
      </c>
      <c r="E256" s="6">
        <v>3.1</v>
      </c>
      <c r="F256" s="6">
        <f t="shared" si="1"/>
        <v>3</v>
      </c>
      <c r="G256" s="6">
        <v>3.0</v>
      </c>
      <c r="H256" s="6">
        <v>10.0</v>
      </c>
      <c r="I256" s="6">
        <v>11.0</v>
      </c>
      <c r="J256" s="6">
        <v>16.0</v>
      </c>
      <c r="K256" s="6">
        <v>1.0</v>
      </c>
      <c r="L256" s="9">
        <v>44703.0</v>
      </c>
      <c r="M256" s="6">
        <v>6.0</v>
      </c>
      <c r="N256" s="5" t="s">
        <v>113</v>
      </c>
      <c r="O256" s="5" t="str">
        <f t="shared" si="2"/>
        <v>Yes</v>
      </c>
      <c r="P256" s="5" t="s">
        <v>113</v>
      </c>
      <c r="Q256" s="5">
        <f t="shared" si="3"/>
        <v>1</v>
      </c>
      <c r="R256" s="5">
        <v>1.0</v>
      </c>
    </row>
    <row r="257" ht="22.5" customHeight="1">
      <c r="A257" s="5" t="s">
        <v>1271</v>
      </c>
      <c r="B257" s="5" t="s">
        <v>170</v>
      </c>
      <c r="C257" s="6">
        <v>5.0</v>
      </c>
      <c r="D257" s="6">
        <v>20.0</v>
      </c>
      <c r="E257" s="6">
        <v>6.5</v>
      </c>
      <c r="F257" s="6">
        <f t="shared" si="1"/>
        <v>6</v>
      </c>
      <c r="G257" s="6">
        <v>6.0</v>
      </c>
      <c r="H257" s="6">
        <v>13.0</v>
      </c>
      <c r="I257" s="6">
        <v>28.0</v>
      </c>
      <c r="J257" s="6">
        <v>18.0</v>
      </c>
      <c r="K257" s="6">
        <v>1.0</v>
      </c>
      <c r="L257" s="9">
        <v>44957.0</v>
      </c>
      <c r="M257" s="6">
        <v>5.0</v>
      </c>
      <c r="N257" s="5" t="s">
        <v>113</v>
      </c>
      <c r="O257" s="5" t="str">
        <f t="shared" si="2"/>
        <v>Yes</v>
      </c>
      <c r="P257" s="5" t="s">
        <v>113</v>
      </c>
      <c r="Q257" s="5">
        <f t="shared" si="3"/>
        <v>1</v>
      </c>
      <c r="R257" s="5">
        <v>1.0</v>
      </c>
    </row>
    <row r="258" ht="22.5" customHeight="1">
      <c r="A258" s="5" t="s">
        <v>1274</v>
      </c>
      <c r="B258" s="5" t="s">
        <v>84</v>
      </c>
      <c r="C258" s="6">
        <v>6.0</v>
      </c>
      <c r="D258" s="6">
        <v>25.0</v>
      </c>
      <c r="E258" s="6">
        <v>8.2</v>
      </c>
      <c r="F258" s="6">
        <f t="shared" si="1"/>
        <v>8</v>
      </c>
      <c r="G258" s="6">
        <v>8.0</v>
      </c>
      <c r="H258" s="6">
        <v>39.0</v>
      </c>
      <c r="I258" s="6">
        <v>19.0</v>
      </c>
      <c r="J258" s="6">
        <v>16.0</v>
      </c>
      <c r="K258" s="6">
        <v>1.0</v>
      </c>
      <c r="L258" s="11"/>
      <c r="M258" s="6">
        <v>5.0</v>
      </c>
      <c r="N258" s="5" t="s">
        <v>113</v>
      </c>
      <c r="O258" s="5" t="str">
        <f t="shared" si="2"/>
        <v>Yes</v>
      </c>
      <c r="P258" s="5" t="s">
        <v>113</v>
      </c>
      <c r="Q258" s="5">
        <f t="shared" si="3"/>
        <v>1</v>
      </c>
      <c r="R258" s="5">
        <v>1.0</v>
      </c>
    </row>
    <row r="259" ht="22.5" customHeight="1">
      <c r="A259" s="5" t="s">
        <v>1279</v>
      </c>
      <c r="B259" s="5" t="s">
        <v>44</v>
      </c>
      <c r="C259" s="6">
        <v>9.0</v>
      </c>
      <c r="D259" s="6">
        <v>33.0</v>
      </c>
      <c r="E259" s="6">
        <v>23.1</v>
      </c>
      <c r="F259" s="6">
        <f t="shared" si="1"/>
        <v>23</v>
      </c>
      <c r="G259" s="6">
        <v>23.0</v>
      </c>
      <c r="H259" s="6">
        <v>28.0</v>
      </c>
      <c r="I259" s="6">
        <v>21.0</v>
      </c>
      <c r="J259" s="8"/>
      <c r="K259" s="6">
        <v>4.0</v>
      </c>
      <c r="L259" s="9">
        <v>45342.0</v>
      </c>
      <c r="M259" s="6">
        <v>3.0</v>
      </c>
      <c r="N259" s="5" t="s">
        <v>113</v>
      </c>
      <c r="O259" s="5" t="str">
        <f t="shared" si="2"/>
        <v>No</v>
      </c>
      <c r="P259" s="5" t="s">
        <v>62</v>
      </c>
      <c r="Q259" s="5">
        <f t="shared" si="3"/>
        <v>0</v>
      </c>
      <c r="R259" s="5">
        <v>0.0</v>
      </c>
    </row>
    <row r="260" ht="22.5" customHeight="1">
      <c r="A260" s="5" t="s">
        <v>1282</v>
      </c>
      <c r="B260" s="5" t="s">
        <v>22</v>
      </c>
      <c r="C260" s="6">
        <v>8.0</v>
      </c>
      <c r="D260" s="6">
        <v>35.0</v>
      </c>
      <c r="E260" s="6">
        <v>1.6</v>
      </c>
      <c r="F260" s="6">
        <f t="shared" si="1"/>
        <v>1</v>
      </c>
      <c r="G260" s="6">
        <v>1.0</v>
      </c>
      <c r="H260" s="6">
        <v>60.0</v>
      </c>
      <c r="I260" s="6">
        <v>29.0</v>
      </c>
      <c r="J260" s="6">
        <v>12.0</v>
      </c>
      <c r="K260" s="6">
        <v>1.0</v>
      </c>
      <c r="L260" s="9">
        <v>45009.0</v>
      </c>
      <c r="M260" s="6">
        <v>4.0</v>
      </c>
      <c r="N260" s="5" t="s">
        <v>113</v>
      </c>
      <c r="O260" s="5" t="str">
        <f t="shared" si="2"/>
        <v>Yes</v>
      </c>
      <c r="P260" s="5" t="s">
        <v>113</v>
      </c>
      <c r="Q260" s="5">
        <f t="shared" si="3"/>
        <v>1</v>
      </c>
      <c r="R260" s="5">
        <v>1.0</v>
      </c>
    </row>
    <row r="261" ht="22.5" customHeight="1">
      <c r="A261" s="5" t="s">
        <v>1286</v>
      </c>
      <c r="B261" s="5" t="s">
        <v>84</v>
      </c>
      <c r="C261" s="6">
        <v>6.0</v>
      </c>
      <c r="D261" s="6">
        <v>15.0</v>
      </c>
      <c r="E261" s="6">
        <v>6.5</v>
      </c>
      <c r="F261" s="6">
        <f t="shared" si="1"/>
        <v>6</v>
      </c>
      <c r="G261" s="6">
        <v>6.0</v>
      </c>
      <c r="H261" s="6">
        <v>52.0</v>
      </c>
      <c r="I261" s="6">
        <v>26.0</v>
      </c>
      <c r="J261" s="6">
        <v>17.0</v>
      </c>
      <c r="K261" s="6">
        <v>3.0</v>
      </c>
      <c r="L261" s="9">
        <v>46001.0</v>
      </c>
      <c r="M261" s="6">
        <v>7.0</v>
      </c>
      <c r="N261" s="5" t="s">
        <v>62</v>
      </c>
      <c r="O261" s="5" t="str">
        <f t="shared" si="2"/>
        <v>No</v>
      </c>
      <c r="P261" s="5" t="s">
        <v>62</v>
      </c>
      <c r="Q261" s="5">
        <f t="shared" si="3"/>
        <v>0</v>
      </c>
      <c r="R261" s="5">
        <v>0.0</v>
      </c>
    </row>
    <row r="262" ht="22.5" customHeight="1">
      <c r="A262" s="5" t="s">
        <v>1289</v>
      </c>
      <c r="B262" s="5" t="s">
        <v>44</v>
      </c>
      <c r="C262" s="6">
        <v>5.0</v>
      </c>
      <c r="D262" s="6">
        <v>20.0</v>
      </c>
      <c r="E262" s="6">
        <v>9.6</v>
      </c>
      <c r="F262" s="6">
        <f t="shared" si="1"/>
        <v>9</v>
      </c>
      <c r="G262" s="6">
        <v>9.0</v>
      </c>
      <c r="H262" s="6">
        <v>33.0</v>
      </c>
      <c r="I262" s="6">
        <v>33.0</v>
      </c>
      <c r="J262" s="6">
        <v>11.0</v>
      </c>
      <c r="K262" s="6">
        <v>4.0</v>
      </c>
      <c r="L262" s="9">
        <v>45932.0</v>
      </c>
      <c r="M262" s="6">
        <v>7.0</v>
      </c>
      <c r="N262" s="5" t="s">
        <v>62</v>
      </c>
      <c r="O262" s="5" t="str">
        <f t="shared" si="2"/>
        <v>No</v>
      </c>
      <c r="P262" s="5" t="s">
        <v>62</v>
      </c>
      <c r="Q262" s="5">
        <f t="shared" si="3"/>
        <v>0</v>
      </c>
      <c r="R262" s="5">
        <v>0.0</v>
      </c>
    </row>
    <row r="263" ht="22.5" customHeight="1">
      <c r="A263" s="5" t="s">
        <v>1293</v>
      </c>
      <c r="B263" s="5" t="s">
        <v>65</v>
      </c>
      <c r="C263" s="6">
        <v>7.0</v>
      </c>
      <c r="D263" s="6">
        <v>22.0</v>
      </c>
      <c r="E263" s="6">
        <v>7.2</v>
      </c>
      <c r="F263" s="6">
        <f t="shared" si="1"/>
        <v>7</v>
      </c>
      <c r="G263" s="6">
        <v>7.0</v>
      </c>
      <c r="H263" s="6">
        <v>52.0</v>
      </c>
      <c r="I263" s="6">
        <v>17.0</v>
      </c>
      <c r="J263" s="8"/>
      <c r="K263" s="6">
        <v>4.0</v>
      </c>
      <c r="L263" s="9">
        <v>45180.0</v>
      </c>
      <c r="M263" s="6">
        <v>1.0</v>
      </c>
      <c r="N263" s="5" t="s">
        <v>113</v>
      </c>
      <c r="O263" s="5" t="str">
        <f t="shared" si="2"/>
        <v>No</v>
      </c>
      <c r="P263" s="5" t="s">
        <v>62</v>
      </c>
      <c r="Q263" s="5">
        <f t="shared" si="3"/>
        <v>0</v>
      </c>
      <c r="R263" s="5">
        <v>0.0</v>
      </c>
    </row>
    <row r="264" ht="22.5" customHeight="1">
      <c r="A264" s="5" t="s">
        <v>1296</v>
      </c>
      <c r="B264" s="5" t="s">
        <v>65</v>
      </c>
      <c r="C264" s="6">
        <v>9.0</v>
      </c>
      <c r="D264" s="6">
        <v>40.0</v>
      </c>
      <c r="E264" s="6">
        <v>7.7</v>
      </c>
      <c r="F264" s="6">
        <f t="shared" si="1"/>
        <v>7</v>
      </c>
      <c r="G264" s="6">
        <v>7.0</v>
      </c>
      <c r="H264" s="6">
        <v>60.0</v>
      </c>
      <c r="I264" s="6">
        <v>24.0</v>
      </c>
      <c r="J264" s="6">
        <v>19.0</v>
      </c>
      <c r="K264" s="6">
        <v>0.0</v>
      </c>
      <c r="L264" s="9">
        <v>45796.0</v>
      </c>
      <c r="M264" s="6">
        <v>6.0</v>
      </c>
      <c r="N264" s="5" t="s">
        <v>62</v>
      </c>
      <c r="O264" s="5" t="str">
        <f t="shared" si="2"/>
        <v>No</v>
      </c>
      <c r="P264" s="5" t="s">
        <v>62</v>
      </c>
      <c r="Q264" s="5">
        <f t="shared" si="3"/>
        <v>0</v>
      </c>
      <c r="R264" s="5">
        <v>0.0</v>
      </c>
    </row>
    <row r="265" ht="22.5" customHeight="1">
      <c r="A265" s="5" t="s">
        <v>1299</v>
      </c>
      <c r="B265" s="5" t="s">
        <v>65</v>
      </c>
      <c r="C265" s="6">
        <v>5.0</v>
      </c>
      <c r="D265" s="6">
        <v>11.0</v>
      </c>
      <c r="E265" s="6">
        <v>4.0</v>
      </c>
      <c r="F265" s="6">
        <f t="shared" si="1"/>
        <v>4</v>
      </c>
      <c r="G265" s="6">
        <v>4.0</v>
      </c>
      <c r="H265" s="6">
        <v>17.0</v>
      </c>
      <c r="I265" s="6">
        <v>32.0</v>
      </c>
      <c r="J265" s="8"/>
      <c r="K265" s="6">
        <v>2.0</v>
      </c>
      <c r="L265" s="9">
        <v>44540.0</v>
      </c>
      <c r="M265" s="6">
        <v>3.0</v>
      </c>
      <c r="N265" s="5" t="s">
        <v>113</v>
      </c>
      <c r="O265" s="5" t="str">
        <f t="shared" si="2"/>
        <v>Yes</v>
      </c>
      <c r="P265" s="5" t="s">
        <v>113</v>
      </c>
      <c r="Q265" s="5">
        <f t="shared" si="3"/>
        <v>1</v>
      </c>
      <c r="R265" s="5">
        <v>1.0</v>
      </c>
    </row>
    <row r="266" ht="22.5" customHeight="1">
      <c r="A266" s="5" t="s">
        <v>1302</v>
      </c>
      <c r="B266" s="5" t="s">
        <v>22</v>
      </c>
      <c r="C266" s="6">
        <v>4.0</v>
      </c>
      <c r="D266" s="6">
        <v>16.0</v>
      </c>
      <c r="E266" s="6">
        <v>11.4</v>
      </c>
      <c r="F266" s="6">
        <f t="shared" si="1"/>
        <v>11</v>
      </c>
      <c r="G266" s="6">
        <v>11.0</v>
      </c>
      <c r="H266" s="6">
        <v>8.0</v>
      </c>
      <c r="I266" s="6">
        <v>28.0</v>
      </c>
      <c r="J266" s="6">
        <v>18.0</v>
      </c>
      <c r="K266" s="6">
        <v>0.0</v>
      </c>
      <c r="L266" s="9">
        <v>45359.0</v>
      </c>
      <c r="M266" s="6">
        <v>4.0</v>
      </c>
      <c r="O266" s="10" t="str">
        <f t="shared" si="2"/>
        <v>No</v>
      </c>
      <c r="P266" s="10" t="s">
        <v>62</v>
      </c>
      <c r="Q266" s="10">
        <f t="shared" si="3"/>
        <v>0</v>
      </c>
      <c r="R266" s="10">
        <v>0.0</v>
      </c>
    </row>
    <row r="267" ht="22.5" customHeight="1">
      <c r="A267" s="5" t="s">
        <v>1305</v>
      </c>
      <c r="B267" s="5" t="s">
        <v>22</v>
      </c>
      <c r="C267" s="6">
        <v>3.0</v>
      </c>
      <c r="D267" s="6">
        <v>7.0</v>
      </c>
      <c r="E267" s="6">
        <v>6.9</v>
      </c>
      <c r="F267" s="6">
        <f t="shared" si="1"/>
        <v>6</v>
      </c>
      <c r="G267" s="6">
        <v>6.0</v>
      </c>
      <c r="H267" s="6">
        <v>12.0</v>
      </c>
      <c r="I267" s="6">
        <v>28.0</v>
      </c>
      <c r="J267" s="6">
        <v>12.0</v>
      </c>
      <c r="K267" s="6">
        <v>4.0</v>
      </c>
      <c r="L267" s="9">
        <v>45029.0</v>
      </c>
      <c r="M267" s="6">
        <v>1.0</v>
      </c>
      <c r="O267" s="10" t="str">
        <f t="shared" si="2"/>
        <v>Yes</v>
      </c>
      <c r="P267" s="10" t="s">
        <v>113</v>
      </c>
      <c r="Q267" s="10">
        <f t="shared" si="3"/>
        <v>1</v>
      </c>
      <c r="R267" s="10">
        <v>1.0</v>
      </c>
    </row>
    <row r="268" ht="22.5" customHeight="1">
      <c r="A268" s="5" t="s">
        <v>1309</v>
      </c>
      <c r="B268" s="5" t="s">
        <v>65</v>
      </c>
      <c r="C268" s="6">
        <v>4.0</v>
      </c>
      <c r="D268" s="6">
        <v>11.0</v>
      </c>
      <c r="E268" s="6">
        <v>7.6</v>
      </c>
      <c r="F268" s="6">
        <f t="shared" si="1"/>
        <v>7</v>
      </c>
      <c r="G268" s="6">
        <v>7.0</v>
      </c>
      <c r="H268" s="6">
        <v>28.0</v>
      </c>
      <c r="I268" s="6">
        <v>34.0</v>
      </c>
      <c r="J268" s="6">
        <v>20.0</v>
      </c>
      <c r="K268" s="6">
        <v>0.0</v>
      </c>
      <c r="L268" s="9">
        <v>44769.0</v>
      </c>
      <c r="M268" s="6">
        <v>3.0</v>
      </c>
      <c r="N268" s="5" t="s">
        <v>113</v>
      </c>
      <c r="O268" s="5" t="str">
        <f t="shared" si="2"/>
        <v>Yes</v>
      </c>
      <c r="P268" s="5" t="s">
        <v>113</v>
      </c>
      <c r="Q268" s="5">
        <f t="shared" si="3"/>
        <v>1</v>
      </c>
      <c r="R268" s="5">
        <v>1.0</v>
      </c>
    </row>
    <row r="269" ht="22.5" customHeight="1">
      <c r="A269" s="5" t="s">
        <v>1311</v>
      </c>
      <c r="B269" s="5" t="s">
        <v>65</v>
      </c>
      <c r="C269" s="6">
        <v>10.0</v>
      </c>
      <c r="D269" s="6">
        <v>25.0</v>
      </c>
      <c r="E269" s="6">
        <v>12.1</v>
      </c>
      <c r="F269" s="6">
        <f t="shared" si="1"/>
        <v>12</v>
      </c>
      <c r="G269" s="6">
        <v>12.0</v>
      </c>
      <c r="H269" s="6">
        <v>21.0</v>
      </c>
      <c r="I269" s="6">
        <v>22.0</v>
      </c>
      <c r="J269" s="6">
        <v>10.0</v>
      </c>
      <c r="K269" s="6">
        <v>1.0</v>
      </c>
      <c r="L269" s="9">
        <v>46245.0</v>
      </c>
      <c r="M269" s="6">
        <v>4.0</v>
      </c>
      <c r="N269" s="5" t="s">
        <v>62</v>
      </c>
      <c r="O269" s="5" t="str">
        <f t="shared" si="2"/>
        <v>No</v>
      </c>
      <c r="P269" s="5" t="s">
        <v>62</v>
      </c>
      <c r="Q269" s="5">
        <f t="shared" si="3"/>
        <v>0</v>
      </c>
      <c r="R269" s="5">
        <v>0.0</v>
      </c>
    </row>
    <row r="270" ht="22.5" customHeight="1">
      <c r="A270" s="5" t="s">
        <v>1314</v>
      </c>
      <c r="B270" s="5" t="s">
        <v>44</v>
      </c>
      <c r="C270" s="6">
        <v>6.0</v>
      </c>
      <c r="D270" s="6">
        <v>14.0</v>
      </c>
      <c r="E270" s="6">
        <v>5.5</v>
      </c>
      <c r="F270" s="6">
        <f t="shared" si="1"/>
        <v>5</v>
      </c>
      <c r="G270" s="6">
        <v>5.0</v>
      </c>
      <c r="H270" s="6">
        <v>48.0</v>
      </c>
      <c r="I270" s="6">
        <v>20.0</v>
      </c>
      <c r="J270" s="6">
        <v>9.0</v>
      </c>
      <c r="K270" s="6">
        <v>2.0</v>
      </c>
      <c r="L270" s="9">
        <v>45919.0</v>
      </c>
      <c r="M270" s="6">
        <v>5.0</v>
      </c>
      <c r="N270" s="5" t="s">
        <v>62</v>
      </c>
      <c r="O270" s="5" t="str">
        <f t="shared" si="2"/>
        <v>No</v>
      </c>
      <c r="P270" s="5" t="s">
        <v>62</v>
      </c>
      <c r="Q270" s="5">
        <f t="shared" si="3"/>
        <v>0</v>
      </c>
      <c r="R270" s="5">
        <v>0.0</v>
      </c>
    </row>
    <row r="271" ht="22.5" customHeight="1">
      <c r="A271" s="5" t="s">
        <v>1317</v>
      </c>
      <c r="B271" s="5" t="s">
        <v>44</v>
      </c>
      <c r="C271" s="6">
        <v>5.0</v>
      </c>
      <c r="D271" s="6">
        <v>26.0</v>
      </c>
      <c r="E271" s="6">
        <v>13.6</v>
      </c>
      <c r="F271" s="6">
        <f t="shared" si="1"/>
        <v>13</v>
      </c>
      <c r="G271" s="6">
        <v>13.0</v>
      </c>
      <c r="H271" s="6">
        <v>41.0</v>
      </c>
      <c r="I271" s="6">
        <v>30.0</v>
      </c>
      <c r="J271" s="6">
        <v>10.0</v>
      </c>
      <c r="K271" s="6">
        <v>0.0</v>
      </c>
      <c r="L271" s="9">
        <v>44657.0</v>
      </c>
      <c r="M271" s="6">
        <v>2.0</v>
      </c>
      <c r="N271" s="5" t="s">
        <v>113</v>
      </c>
      <c r="O271" s="5" t="str">
        <f t="shared" si="2"/>
        <v>Yes</v>
      </c>
      <c r="P271" s="5" t="s">
        <v>113</v>
      </c>
      <c r="Q271" s="5">
        <f t="shared" si="3"/>
        <v>1</v>
      </c>
      <c r="R271" s="5">
        <v>1.0</v>
      </c>
    </row>
    <row r="272" ht="22.5" customHeight="1">
      <c r="A272" s="5" t="s">
        <v>1321</v>
      </c>
      <c r="B272" s="5" t="s">
        <v>84</v>
      </c>
      <c r="C272" s="6">
        <v>8.0</v>
      </c>
      <c r="D272" s="6">
        <v>22.0</v>
      </c>
      <c r="E272" s="6">
        <v>2.7</v>
      </c>
      <c r="F272" s="6">
        <f t="shared" si="1"/>
        <v>2</v>
      </c>
      <c r="G272" s="6">
        <v>2.0</v>
      </c>
      <c r="H272" s="6">
        <v>48.0</v>
      </c>
      <c r="I272" s="6">
        <v>24.0</v>
      </c>
      <c r="J272" s="6">
        <v>6.0</v>
      </c>
      <c r="K272" s="6">
        <v>2.0</v>
      </c>
      <c r="L272" s="9">
        <v>44483.0</v>
      </c>
      <c r="M272" s="6">
        <v>2.0</v>
      </c>
      <c r="N272" s="5" t="s">
        <v>113</v>
      </c>
      <c r="O272" s="5" t="str">
        <f t="shared" si="2"/>
        <v>Yes</v>
      </c>
      <c r="P272" s="5" t="s">
        <v>113</v>
      </c>
      <c r="Q272" s="5">
        <f t="shared" si="3"/>
        <v>1</v>
      </c>
      <c r="R272" s="5">
        <v>1.0</v>
      </c>
    </row>
    <row r="273" ht="22.5" customHeight="1">
      <c r="A273" s="5" t="s">
        <v>1324</v>
      </c>
      <c r="B273" s="5" t="s">
        <v>84</v>
      </c>
      <c r="C273" s="6">
        <v>9.0</v>
      </c>
      <c r="D273" s="6">
        <v>51.0</v>
      </c>
      <c r="E273" s="6">
        <v>7.9</v>
      </c>
      <c r="F273" s="6">
        <f t="shared" si="1"/>
        <v>7</v>
      </c>
      <c r="G273" s="6">
        <v>7.0</v>
      </c>
      <c r="H273" s="6">
        <v>44.0</v>
      </c>
      <c r="I273" s="6">
        <v>34.0</v>
      </c>
      <c r="J273" s="6">
        <v>1.0</v>
      </c>
      <c r="K273" s="6">
        <v>0.0</v>
      </c>
      <c r="L273" s="9">
        <v>45539.0</v>
      </c>
      <c r="M273" s="6">
        <v>10.0</v>
      </c>
      <c r="N273" s="5" t="s">
        <v>62</v>
      </c>
      <c r="O273" s="5" t="str">
        <f t="shared" si="2"/>
        <v>No</v>
      </c>
      <c r="P273" s="5" t="s">
        <v>62</v>
      </c>
      <c r="Q273" s="5">
        <f t="shared" si="3"/>
        <v>0</v>
      </c>
      <c r="R273" s="5">
        <v>0.0</v>
      </c>
    </row>
    <row r="274" ht="22.5" customHeight="1">
      <c r="A274" s="5" t="s">
        <v>1328</v>
      </c>
      <c r="B274" s="5" t="s">
        <v>65</v>
      </c>
      <c r="C274" s="6">
        <v>5.0</v>
      </c>
      <c r="D274" s="6">
        <v>29.0</v>
      </c>
      <c r="E274" s="6">
        <v>3.9</v>
      </c>
      <c r="F274" s="6">
        <f t="shared" si="1"/>
        <v>3</v>
      </c>
      <c r="G274" s="6">
        <v>3.0</v>
      </c>
      <c r="H274" s="6">
        <v>47.0</v>
      </c>
      <c r="I274" s="6">
        <v>28.0</v>
      </c>
      <c r="J274" s="6">
        <v>14.0</v>
      </c>
      <c r="K274" s="6">
        <v>5.0</v>
      </c>
      <c r="L274" s="9">
        <v>45759.0</v>
      </c>
      <c r="M274" s="6">
        <v>5.0</v>
      </c>
      <c r="N274" s="5" t="s">
        <v>62</v>
      </c>
      <c r="O274" s="5" t="str">
        <f t="shared" si="2"/>
        <v>No</v>
      </c>
      <c r="P274" s="5" t="s">
        <v>62</v>
      </c>
      <c r="Q274" s="5">
        <f t="shared" si="3"/>
        <v>0</v>
      </c>
      <c r="R274" s="5">
        <v>0.0</v>
      </c>
    </row>
    <row r="275" ht="22.5" customHeight="1">
      <c r="A275" s="5" t="s">
        <v>1332</v>
      </c>
      <c r="B275" s="5" t="s">
        <v>65</v>
      </c>
      <c r="C275" s="6">
        <v>5.0</v>
      </c>
      <c r="D275" s="6">
        <v>20.0</v>
      </c>
      <c r="E275" s="6">
        <v>3.2</v>
      </c>
      <c r="F275" s="6">
        <f t="shared" si="1"/>
        <v>3</v>
      </c>
      <c r="G275" s="6">
        <v>3.0</v>
      </c>
      <c r="H275" s="6">
        <v>13.0</v>
      </c>
      <c r="I275" s="6">
        <v>20.0</v>
      </c>
      <c r="J275" s="6">
        <v>10.0</v>
      </c>
      <c r="K275" s="6">
        <v>5.0</v>
      </c>
      <c r="L275" s="9">
        <v>45036.0</v>
      </c>
      <c r="M275" s="6">
        <v>1.0</v>
      </c>
      <c r="N275" s="5" t="s">
        <v>113</v>
      </c>
      <c r="O275" s="5" t="str">
        <f t="shared" si="2"/>
        <v>Yes</v>
      </c>
      <c r="P275" s="5" t="s">
        <v>113</v>
      </c>
      <c r="Q275" s="5">
        <f t="shared" si="3"/>
        <v>1</v>
      </c>
      <c r="R275" s="5">
        <v>1.0</v>
      </c>
    </row>
    <row r="276" ht="22.5" customHeight="1">
      <c r="A276" s="5" t="s">
        <v>1336</v>
      </c>
      <c r="B276" s="5" t="s">
        <v>65</v>
      </c>
      <c r="C276" s="6">
        <v>9.0</v>
      </c>
      <c r="D276" s="6">
        <v>19.0</v>
      </c>
      <c r="E276" s="6">
        <v>18.0</v>
      </c>
      <c r="F276" s="6">
        <f t="shared" si="1"/>
        <v>18</v>
      </c>
      <c r="G276" s="6">
        <v>18.0</v>
      </c>
      <c r="H276" s="6">
        <v>44.0</v>
      </c>
      <c r="I276" s="6">
        <v>28.0</v>
      </c>
      <c r="J276" s="6">
        <v>13.0</v>
      </c>
      <c r="K276" s="6">
        <v>4.0</v>
      </c>
      <c r="L276" s="9">
        <v>44531.0</v>
      </c>
      <c r="M276" s="6">
        <v>1.0</v>
      </c>
      <c r="N276" s="5" t="s">
        <v>113</v>
      </c>
      <c r="O276" s="5" t="str">
        <f t="shared" si="2"/>
        <v>Yes</v>
      </c>
      <c r="P276" s="5" t="s">
        <v>113</v>
      </c>
      <c r="Q276" s="5">
        <f t="shared" si="3"/>
        <v>1</v>
      </c>
      <c r="R276" s="5">
        <v>1.0</v>
      </c>
    </row>
    <row r="277" ht="22.5" customHeight="1">
      <c r="A277" s="5" t="s">
        <v>1339</v>
      </c>
      <c r="B277" s="5" t="s">
        <v>65</v>
      </c>
      <c r="C277" s="6">
        <v>6.0</v>
      </c>
      <c r="D277" s="6">
        <v>19.0</v>
      </c>
      <c r="E277" s="6">
        <v>2.8</v>
      </c>
      <c r="F277" s="6">
        <f t="shared" si="1"/>
        <v>2</v>
      </c>
      <c r="G277" s="6">
        <v>2.0</v>
      </c>
      <c r="H277" s="6">
        <v>44.0</v>
      </c>
      <c r="I277" s="6">
        <v>18.0</v>
      </c>
      <c r="J277" s="6">
        <v>9.0</v>
      </c>
      <c r="K277" s="6">
        <v>2.0</v>
      </c>
      <c r="L277" s="9">
        <v>45504.0</v>
      </c>
      <c r="M277" s="6">
        <v>4.0</v>
      </c>
      <c r="N277" s="5" t="s">
        <v>113</v>
      </c>
      <c r="O277" s="5" t="str">
        <f t="shared" si="2"/>
        <v>No</v>
      </c>
      <c r="P277" s="5" t="s">
        <v>62</v>
      </c>
      <c r="Q277" s="5">
        <f t="shared" si="3"/>
        <v>0</v>
      </c>
      <c r="R277" s="5">
        <v>0.0</v>
      </c>
    </row>
    <row r="278" ht="22.5" customHeight="1">
      <c r="A278" s="5" t="s">
        <v>1341</v>
      </c>
      <c r="B278" s="5" t="s">
        <v>44</v>
      </c>
      <c r="C278" s="6">
        <v>6.0</v>
      </c>
      <c r="D278" s="6">
        <v>31.0</v>
      </c>
      <c r="E278" s="6">
        <v>7.0</v>
      </c>
      <c r="F278" s="6">
        <f t="shared" si="1"/>
        <v>7</v>
      </c>
      <c r="G278" s="6">
        <v>7.0</v>
      </c>
      <c r="H278" s="6">
        <v>32.0</v>
      </c>
      <c r="I278" s="6">
        <v>33.0</v>
      </c>
      <c r="J278" s="6">
        <v>14.0</v>
      </c>
      <c r="K278" s="6">
        <v>5.0</v>
      </c>
      <c r="L278" s="9">
        <v>44504.0</v>
      </c>
      <c r="M278" s="6">
        <v>1.0</v>
      </c>
      <c r="N278" s="5" t="s">
        <v>113</v>
      </c>
      <c r="O278" s="5" t="str">
        <f t="shared" si="2"/>
        <v>Yes</v>
      </c>
      <c r="P278" s="5" t="s">
        <v>113</v>
      </c>
      <c r="Q278" s="5">
        <f t="shared" si="3"/>
        <v>1</v>
      </c>
      <c r="R278" s="5">
        <v>1.0</v>
      </c>
    </row>
    <row r="279" ht="22.5" customHeight="1">
      <c r="A279" s="5" t="s">
        <v>1345</v>
      </c>
      <c r="B279" s="5" t="s">
        <v>22</v>
      </c>
      <c r="C279" s="6">
        <v>7.0</v>
      </c>
      <c r="D279" s="6">
        <v>22.0</v>
      </c>
      <c r="E279" s="6">
        <v>2.7</v>
      </c>
      <c r="F279" s="6">
        <f t="shared" si="1"/>
        <v>2</v>
      </c>
      <c r="G279" s="6">
        <v>2.0</v>
      </c>
      <c r="H279" s="6">
        <v>59.0</v>
      </c>
      <c r="I279" s="6">
        <v>14.0</v>
      </c>
      <c r="J279" s="6">
        <v>7.0</v>
      </c>
      <c r="K279" s="6">
        <v>0.0</v>
      </c>
      <c r="L279" s="9">
        <v>46076.0</v>
      </c>
      <c r="M279" s="6">
        <v>8.0</v>
      </c>
      <c r="N279" s="5" t="s">
        <v>62</v>
      </c>
      <c r="O279" s="5" t="str">
        <f t="shared" si="2"/>
        <v>No</v>
      </c>
      <c r="P279" s="5" t="s">
        <v>62</v>
      </c>
      <c r="Q279" s="5">
        <f t="shared" si="3"/>
        <v>0</v>
      </c>
      <c r="R279" s="5">
        <v>0.0</v>
      </c>
    </row>
    <row r="280" ht="22.5" customHeight="1">
      <c r="A280" s="5" t="s">
        <v>1350</v>
      </c>
      <c r="B280" s="5" t="s">
        <v>22</v>
      </c>
      <c r="C280" s="6">
        <v>8.0</v>
      </c>
      <c r="D280" s="6">
        <v>15.0</v>
      </c>
      <c r="E280" s="6">
        <v>13.1</v>
      </c>
      <c r="F280" s="6">
        <f t="shared" si="1"/>
        <v>13</v>
      </c>
      <c r="G280" s="6">
        <v>13.0</v>
      </c>
      <c r="H280" s="6">
        <v>53.0</v>
      </c>
      <c r="I280" s="6">
        <v>35.0</v>
      </c>
      <c r="J280" s="6">
        <v>3.0</v>
      </c>
      <c r="K280" s="6">
        <v>0.0</v>
      </c>
      <c r="L280" s="9">
        <v>44500.0</v>
      </c>
      <c r="M280" s="6">
        <v>4.0</v>
      </c>
      <c r="N280" s="5" t="s">
        <v>113</v>
      </c>
      <c r="O280" s="5" t="str">
        <f t="shared" si="2"/>
        <v>Yes</v>
      </c>
      <c r="P280" s="5" t="s">
        <v>113</v>
      </c>
      <c r="Q280" s="5">
        <f t="shared" si="3"/>
        <v>1</v>
      </c>
      <c r="R280" s="5">
        <v>1.0</v>
      </c>
    </row>
    <row r="281" ht="22.5" customHeight="1">
      <c r="A281" s="5" t="s">
        <v>1352</v>
      </c>
      <c r="B281" s="5" t="s">
        <v>170</v>
      </c>
      <c r="C281" s="6">
        <v>3.0</v>
      </c>
      <c r="D281" s="6">
        <v>12.0</v>
      </c>
      <c r="E281" s="6">
        <v>5.2</v>
      </c>
      <c r="F281" s="6">
        <f t="shared" si="1"/>
        <v>5</v>
      </c>
      <c r="G281" s="6">
        <v>5.0</v>
      </c>
      <c r="H281" s="6">
        <v>5.0</v>
      </c>
      <c r="I281" s="6">
        <v>28.0</v>
      </c>
      <c r="J281" s="6">
        <v>10.0</v>
      </c>
      <c r="K281" s="6">
        <v>5.0</v>
      </c>
      <c r="L281" s="9">
        <v>46144.0</v>
      </c>
      <c r="M281" s="6">
        <v>8.0</v>
      </c>
      <c r="N281" s="5" t="s">
        <v>62</v>
      </c>
      <c r="O281" s="5" t="str">
        <f t="shared" si="2"/>
        <v>No</v>
      </c>
      <c r="P281" s="5" t="s">
        <v>62</v>
      </c>
      <c r="Q281" s="5">
        <f t="shared" si="3"/>
        <v>0</v>
      </c>
      <c r="R281" s="5">
        <v>0.0</v>
      </c>
    </row>
    <row r="282" ht="22.5" customHeight="1">
      <c r="A282" s="5" t="s">
        <v>1353</v>
      </c>
      <c r="B282" s="5" t="s">
        <v>84</v>
      </c>
      <c r="C282" s="6">
        <v>2.0</v>
      </c>
      <c r="D282" s="6">
        <v>11.0</v>
      </c>
      <c r="E282" s="6">
        <v>12.0</v>
      </c>
      <c r="F282" s="6">
        <f t="shared" si="1"/>
        <v>12</v>
      </c>
      <c r="G282" s="6">
        <v>12.0</v>
      </c>
      <c r="H282" s="6">
        <v>6.0</v>
      </c>
      <c r="I282" s="6">
        <v>24.0</v>
      </c>
      <c r="J282" s="6">
        <v>9.0</v>
      </c>
      <c r="K282" s="6">
        <v>2.0</v>
      </c>
      <c r="L282" s="9">
        <v>44870.0</v>
      </c>
      <c r="M282" s="6">
        <v>4.0</v>
      </c>
      <c r="N282" s="5" t="s">
        <v>113</v>
      </c>
      <c r="O282" s="5" t="str">
        <f t="shared" si="2"/>
        <v>Yes</v>
      </c>
      <c r="P282" s="5" t="s">
        <v>113</v>
      </c>
      <c r="Q282" s="5">
        <f t="shared" si="3"/>
        <v>1</v>
      </c>
      <c r="R282" s="5">
        <v>1.0</v>
      </c>
    </row>
    <row r="283" ht="22.5" customHeight="1">
      <c r="A283" s="5" t="s">
        <v>1356</v>
      </c>
      <c r="B283" s="5" t="s">
        <v>170</v>
      </c>
      <c r="C283" s="6">
        <v>8.0</v>
      </c>
      <c r="D283" s="6">
        <v>41.0</v>
      </c>
      <c r="E283" s="6">
        <v>9.4</v>
      </c>
      <c r="F283" s="6">
        <f t="shared" si="1"/>
        <v>9</v>
      </c>
      <c r="G283" s="6">
        <v>9.0</v>
      </c>
      <c r="H283" s="6">
        <v>53.0</v>
      </c>
      <c r="I283" s="6">
        <v>31.0</v>
      </c>
      <c r="J283" s="6">
        <v>11.0</v>
      </c>
      <c r="K283" s="6">
        <v>0.0</v>
      </c>
      <c r="L283" s="11"/>
      <c r="M283" s="6">
        <v>7.0</v>
      </c>
      <c r="N283" s="5" t="s">
        <v>62</v>
      </c>
      <c r="O283" s="5" t="str">
        <f t="shared" si="2"/>
        <v>Yes</v>
      </c>
      <c r="P283" s="5" t="s">
        <v>113</v>
      </c>
      <c r="Q283" s="5">
        <f t="shared" si="3"/>
        <v>1</v>
      </c>
      <c r="R283" s="5">
        <v>1.0</v>
      </c>
    </row>
    <row r="284" ht="22.5" customHeight="1">
      <c r="A284" s="5" t="s">
        <v>1357</v>
      </c>
      <c r="B284" s="5" t="s">
        <v>84</v>
      </c>
      <c r="C284" s="6">
        <v>6.0</v>
      </c>
      <c r="D284" s="6">
        <v>14.0</v>
      </c>
      <c r="E284" s="6">
        <v>21.2</v>
      </c>
      <c r="F284" s="6">
        <f t="shared" si="1"/>
        <v>21</v>
      </c>
      <c r="G284" s="6">
        <v>21.0</v>
      </c>
      <c r="H284" s="6">
        <v>48.0</v>
      </c>
      <c r="I284" s="6">
        <v>29.0</v>
      </c>
      <c r="J284" s="6">
        <v>20.0</v>
      </c>
      <c r="K284" s="6">
        <v>0.0</v>
      </c>
      <c r="L284" s="9">
        <v>45023.0</v>
      </c>
      <c r="M284" s="6">
        <v>3.0</v>
      </c>
      <c r="N284" s="5" t="s">
        <v>113</v>
      </c>
      <c r="O284" s="5" t="str">
        <f t="shared" si="2"/>
        <v>Yes</v>
      </c>
      <c r="P284" s="5" t="s">
        <v>113</v>
      </c>
      <c r="Q284" s="5">
        <f t="shared" si="3"/>
        <v>1</v>
      </c>
      <c r="R284" s="5">
        <v>1.0</v>
      </c>
    </row>
    <row r="285" ht="22.5" customHeight="1">
      <c r="A285" s="5" t="s">
        <v>1358</v>
      </c>
      <c r="B285" s="5" t="s">
        <v>84</v>
      </c>
      <c r="C285" s="6">
        <v>5.0</v>
      </c>
      <c r="D285" s="6">
        <v>23.0</v>
      </c>
      <c r="E285" s="6">
        <v>2.3</v>
      </c>
      <c r="F285" s="6">
        <f t="shared" si="1"/>
        <v>2</v>
      </c>
      <c r="G285" s="6">
        <v>2.0</v>
      </c>
      <c r="H285" s="6">
        <v>19.0</v>
      </c>
      <c r="I285" s="6">
        <v>36.0</v>
      </c>
      <c r="J285" s="6">
        <v>16.0</v>
      </c>
      <c r="K285" s="6">
        <v>2.0</v>
      </c>
      <c r="L285" s="9">
        <v>45772.0</v>
      </c>
      <c r="M285" s="6">
        <v>6.0</v>
      </c>
      <c r="N285" s="5" t="s">
        <v>62</v>
      </c>
      <c r="O285" s="5" t="str">
        <f t="shared" si="2"/>
        <v>No</v>
      </c>
      <c r="P285" s="5" t="s">
        <v>62</v>
      </c>
      <c r="Q285" s="5">
        <f t="shared" si="3"/>
        <v>0</v>
      </c>
      <c r="R285" s="5">
        <v>0.0</v>
      </c>
    </row>
    <row r="286" ht="22.5" customHeight="1">
      <c r="A286" s="5" t="s">
        <v>1360</v>
      </c>
      <c r="B286" s="5" t="s">
        <v>22</v>
      </c>
      <c r="C286" s="6">
        <v>5.0</v>
      </c>
      <c r="D286" s="6">
        <v>12.0</v>
      </c>
      <c r="E286" s="6">
        <v>3.4</v>
      </c>
      <c r="F286" s="6">
        <f t="shared" si="1"/>
        <v>3</v>
      </c>
      <c r="G286" s="6">
        <v>3.0</v>
      </c>
      <c r="H286" s="6">
        <v>43.0</v>
      </c>
      <c r="I286" s="6">
        <v>36.0</v>
      </c>
      <c r="J286" s="6">
        <v>17.0</v>
      </c>
      <c r="K286" s="6">
        <v>3.0</v>
      </c>
      <c r="L286" s="9">
        <v>46139.0</v>
      </c>
      <c r="M286" s="6">
        <v>7.0</v>
      </c>
      <c r="O286" s="10" t="str">
        <f t="shared" si="2"/>
        <v>No</v>
      </c>
      <c r="P286" s="10" t="s">
        <v>62</v>
      </c>
      <c r="Q286" s="10">
        <f t="shared" si="3"/>
        <v>0</v>
      </c>
      <c r="R286" s="10">
        <v>0.0</v>
      </c>
    </row>
    <row r="287" ht="22.5" customHeight="1">
      <c r="A287" s="5" t="s">
        <v>1364</v>
      </c>
      <c r="B287" s="5" t="s">
        <v>84</v>
      </c>
      <c r="C287" s="6">
        <v>4.0</v>
      </c>
      <c r="D287" s="6">
        <v>10.0</v>
      </c>
      <c r="E287" s="6">
        <v>11.7</v>
      </c>
      <c r="F287" s="6">
        <f t="shared" si="1"/>
        <v>11</v>
      </c>
      <c r="G287" s="6">
        <v>11.0</v>
      </c>
      <c r="H287" s="6">
        <v>17.0</v>
      </c>
      <c r="I287" s="6">
        <v>28.0</v>
      </c>
      <c r="J287" s="6">
        <v>3.0</v>
      </c>
      <c r="K287" s="6">
        <v>5.0</v>
      </c>
      <c r="L287" s="9">
        <v>45791.0</v>
      </c>
      <c r="M287" s="6">
        <v>10.0</v>
      </c>
      <c r="N287" s="5" t="s">
        <v>62</v>
      </c>
      <c r="O287" s="5" t="str">
        <f t="shared" si="2"/>
        <v>No</v>
      </c>
      <c r="P287" s="5" t="s">
        <v>62</v>
      </c>
      <c r="Q287" s="5">
        <f t="shared" si="3"/>
        <v>0</v>
      </c>
      <c r="R287" s="5">
        <v>0.0</v>
      </c>
    </row>
    <row r="288" ht="22.5" customHeight="1">
      <c r="A288" s="5" t="s">
        <v>1367</v>
      </c>
      <c r="B288" s="5" t="s">
        <v>170</v>
      </c>
      <c r="C288" s="6">
        <v>9.0</v>
      </c>
      <c r="D288" s="6">
        <v>49.0</v>
      </c>
      <c r="E288" s="6">
        <v>8.1</v>
      </c>
      <c r="F288" s="6">
        <f t="shared" si="1"/>
        <v>8</v>
      </c>
      <c r="G288" s="6">
        <v>8.0</v>
      </c>
      <c r="H288" s="6">
        <v>50.0</v>
      </c>
      <c r="I288" s="6">
        <v>18.0</v>
      </c>
      <c r="J288" s="6">
        <v>18.0</v>
      </c>
      <c r="K288" s="6">
        <v>3.0</v>
      </c>
      <c r="L288" s="9">
        <v>45396.0</v>
      </c>
      <c r="M288" s="6">
        <v>4.0</v>
      </c>
      <c r="N288" s="5" t="s">
        <v>113</v>
      </c>
      <c r="O288" s="5" t="str">
        <f t="shared" si="2"/>
        <v>No</v>
      </c>
      <c r="P288" s="5" t="s">
        <v>62</v>
      </c>
      <c r="Q288" s="5">
        <f t="shared" si="3"/>
        <v>0</v>
      </c>
      <c r="R288" s="5">
        <v>0.0</v>
      </c>
    </row>
    <row r="289" ht="22.5" customHeight="1">
      <c r="A289" s="5" t="s">
        <v>1369</v>
      </c>
      <c r="B289" s="5" t="s">
        <v>170</v>
      </c>
      <c r="C289" s="6">
        <v>8.0</v>
      </c>
      <c r="D289" s="6">
        <v>21.0</v>
      </c>
      <c r="E289" s="6">
        <v>5.8</v>
      </c>
      <c r="F289" s="6">
        <f t="shared" si="1"/>
        <v>5</v>
      </c>
      <c r="G289" s="6">
        <v>5.0</v>
      </c>
      <c r="H289" s="6">
        <v>36.0</v>
      </c>
      <c r="I289" s="6">
        <v>21.0</v>
      </c>
      <c r="J289" s="6">
        <v>1.0</v>
      </c>
      <c r="K289" s="6">
        <v>0.0</v>
      </c>
      <c r="L289" s="9">
        <v>46228.0</v>
      </c>
      <c r="M289" s="6">
        <v>10.0</v>
      </c>
      <c r="N289" s="5" t="s">
        <v>62</v>
      </c>
      <c r="O289" s="5" t="str">
        <f t="shared" si="2"/>
        <v>No</v>
      </c>
      <c r="P289" s="5" t="s">
        <v>62</v>
      </c>
      <c r="Q289" s="5">
        <f t="shared" si="3"/>
        <v>0</v>
      </c>
      <c r="R289" s="5">
        <v>0.0</v>
      </c>
    </row>
    <row r="290" ht="22.5" customHeight="1">
      <c r="A290" s="5" t="s">
        <v>1372</v>
      </c>
      <c r="B290" s="5" t="s">
        <v>65</v>
      </c>
      <c r="C290" s="6">
        <v>2.0</v>
      </c>
      <c r="D290" s="6">
        <v>5.0</v>
      </c>
      <c r="E290" s="6">
        <v>19.0</v>
      </c>
      <c r="F290" s="6">
        <f t="shared" si="1"/>
        <v>19</v>
      </c>
      <c r="G290" s="6">
        <v>19.0</v>
      </c>
      <c r="H290" s="6">
        <v>27.0</v>
      </c>
      <c r="I290" s="6">
        <v>24.0</v>
      </c>
      <c r="J290" s="6">
        <v>14.0</v>
      </c>
      <c r="K290" s="6">
        <v>4.0</v>
      </c>
      <c r="L290" s="9">
        <v>45339.0</v>
      </c>
      <c r="M290" s="6">
        <v>3.0</v>
      </c>
      <c r="O290" s="10" t="str">
        <f t="shared" si="2"/>
        <v>No</v>
      </c>
      <c r="P290" s="10" t="s">
        <v>62</v>
      </c>
      <c r="Q290" s="10">
        <f t="shared" si="3"/>
        <v>0</v>
      </c>
      <c r="R290" s="10">
        <v>0.0</v>
      </c>
    </row>
    <row r="291" ht="22.5" customHeight="1">
      <c r="A291" s="5" t="s">
        <v>1374</v>
      </c>
      <c r="B291" s="5" t="s">
        <v>22</v>
      </c>
      <c r="C291" s="6">
        <v>3.0</v>
      </c>
      <c r="D291" s="6">
        <v>5.0</v>
      </c>
      <c r="E291" s="6">
        <v>6.7</v>
      </c>
      <c r="F291" s="6">
        <f t="shared" si="1"/>
        <v>6</v>
      </c>
      <c r="G291" s="6">
        <v>6.0</v>
      </c>
      <c r="H291" s="6">
        <v>16.0</v>
      </c>
      <c r="I291" s="6">
        <v>34.0</v>
      </c>
      <c r="J291" s="6">
        <v>14.0</v>
      </c>
      <c r="K291" s="6">
        <v>3.0</v>
      </c>
      <c r="L291" s="9">
        <v>45660.0</v>
      </c>
      <c r="M291" s="6">
        <v>5.0</v>
      </c>
      <c r="N291" s="5" t="s">
        <v>62</v>
      </c>
      <c r="O291" s="5" t="str">
        <f t="shared" si="2"/>
        <v>No</v>
      </c>
      <c r="P291" s="5" t="s">
        <v>62</v>
      </c>
      <c r="Q291" s="5">
        <f t="shared" si="3"/>
        <v>0</v>
      </c>
      <c r="R291" s="5">
        <v>0.0</v>
      </c>
    </row>
    <row r="292" ht="22.5" customHeight="1">
      <c r="A292" s="5" t="s">
        <v>1377</v>
      </c>
      <c r="B292" s="5" t="s">
        <v>22</v>
      </c>
      <c r="C292" s="6">
        <v>5.0</v>
      </c>
      <c r="D292" s="6">
        <v>27.0</v>
      </c>
      <c r="E292" s="6">
        <v>4.0</v>
      </c>
      <c r="F292" s="6">
        <f t="shared" si="1"/>
        <v>4</v>
      </c>
      <c r="G292" s="6">
        <v>4.0</v>
      </c>
      <c r="H292" s="6">
        <v>51.0</v>
      </c>
      <c r="I292" s="6">
        <v>21.0</v>
      </c>
      <c r="J292" s="6">
        <v>2.0</v>
      </c>
      <c r="K292" s="6">
        <v>2.0</v>
      </c>
      <c r="L292" s="9">
        <v>45917.0</v>
      </c>
      <c r="M292" s="6">
        <v>7.0</v>
      </c>
      <c r="N292" s="5" t="s">
        <v>62</v>
      </c>
      <c r="O292" s="5" t="str">
        <f t="shared" si="2"/>
        <v>No</v>
      </c>
      <c r="P292" s="5" t="s">
        <v>62</v>
      </c>
      <c r="Q292" s="5">
        <f t="shared" si="3"/>
        <v>0</v>
      </c>
      <c r="R292" s="5">
        <v>0.0</v>
      </c>
    </row>
    <row r="293" ht="22.5" customHeight="1">
      <c r="A293" s="5" t="s">
        <v>1380</v>
      </c>
      <c r="B293" s="5" t="s">
        <v>84</v>
      </c>
      <c r="C293" s="6">
        <v>7.0</v>
      </c>
      <c r="D293" s="6">
        <v>35.0</v>
      </c>
      <c r="E293" s="6">
        <v>12.1</v>
      </c>
      <c r="F293" s="6">
        <f t="shared" si="1"/>
        <v>12</v>
      </c>
      <c r="G293" s="6">
        <v>12.0</v>
      </c>
      <c r="H293" s="6">
        <v>15.0</v>
      </c>
      <c r="I293" s="6">
        <v>22.0</v>
      </c>
      <c r="J293" s="6">
        <v>7.0</v>
      </c>
      <c r="K293" s="6">
        <v>1.0</v>
      </c>
      <c r="L293" s="9">
        <v>45754.0</v>
      </c>
      <c r="M293" s="6">
        <v>8.0</v>
      </c>
      <c r="N293" s="5" t="s">
        <v>62</v>
      </c>
      <c r="O293" s="5" t="str">
        <f t="shared" si="2"/>
        <v>No</v>
      </c>
      <c r="P293" s="5" t="s">
        <v>62</v>
      </c>
      <c r="Q293" s="5">
        <f t="shared" si="3"/>
        <v>0</v>
      </c>
      <c r="R293" s="5">
        <v>0.0</v>
      </c>
    </row>
    <row r="294" ht="22.5" customHeight="1">
      <c r="A294" s="5" t="s">
        <v>1384</v>
      </c>
      <c r="B294" s="5" t="s">
        <v>65</v>
      </c>
      <c r="C294" s="6">
        <v>5.0</v>
      </c>
      <c r="D294" s="6">
        <v>22.0</v>
      </c>
      <c r="E294" s="6">
        <v>6.8</v>
      </c>
      <c r="F294" s="6">
        <f t="shared" si="1"/>
        <v>6</v>
      </c>
      <c r="G294" s="6">
        <v>6.0</v>
      </c>
      <c r="H294" s="6">
        <v>24.0</v>
      </c>
      <c r="I294" s="6">
        <v>40.0</v>
      </c>
      <c r="J294" s="6">
        <v>2.0</v>
      </c>
      <c r="K294" s="6">
        <v>4.0</v>
      </c>
      <c r="L294" s="9">
        <v>45385.0</v>
      </c>
      <c r="M294" s="6">
        <v>4.0</v>
      </c>
      <c r="N294" s="5" t="s">
        <v>113</v>
      </c>
      <c r="O294" s="5" t="str">
        <f t="shared" si="2"/>
        <v>No</v>
      </c>
      <c r="P294" s="5" t="s">
        <v>62</v>
      </c>
      <c r="Q294" s="5">
        <f t="shared" si="3"/>
        <v>0</v>
      </c>
      <c r="R294" s="5">
        <v>0.0</v>
      </c>
    </row>
    <row r="295" ht="22.5" customHeight="1">
      <c r="A295" s="5" t="s">
        <v>1387</v>
      </c>
      <c r="B295" s="5" t="s">
        <v>22</v>
      </c>
      <c r="C295" s="6">
        <v>7.0</v>
      </c>
      <c r="D295" s="6">
        <v>34.0</v>
      </c>
      <c r="E295" s="6">
        <v>7.1</v>
      </c>
      <c r="F295" s="6">
        <f t="shared" si="1"/>
        <v>7</v>
      </c>
      <c r="G295" s="6">
        <v>7.0</v>
      </c>
      <c r="H295" s="6">
        <v>60.0</v>
      </c>
      <c r="I295" s="6">
        <v>24.0</v>
      </c>
      <c r="J295" s="6">
        <v>20.0</v>
      </c>
      <c r="K295" s="6">
        <v>2.0</v>
      </c>
      <c r="L295" s="11"/>
      <c r="M295" s="6">
        <v>5.0</v>
      </c>
      <c r="N295" s="5" t="s">
        <v>113</v>
      </c>
      <c r="O295" s="5" t="str">
        <f t="shared" si="2"/>
        <v>Yes</v>
      </c>
      <c r="P295" s="5" t="s">
        <v>113</v>
      </c>
      <c r="Q295" s="5">
        <f t="shared" si="3"/>
        <v>1</v>
      </c>
      <c r="R295" s="5">
        <v>1.0</v>
      </c>
    </row>
    <row r="296" ht="22.5" customHeight="1">
      <c r="A296" s="5" t="s">
        <v>1389</v>
      </c>
      <c r="B296" s="5" t="s">
        <v>65</v>
      </c>
      <c r="C296" s="6">
        <v>9.0</v>
      </c>
      <c r="D296" s="6">
        <v>20.0</v>
      </c>
      <c r="E296" s="6">
        <v>9.9</v>
      </c>
      <c r="F296" s="6">
        <f t="shared" si="1"/>
        <v>9</v>
      </c>
      <c r="G296" s="6">
        <v>9.0</v>
      </c>
      <c r="H296" s="6">
        <v>41.0</v>
      </c>
      <c r="I296" s="6">
        <v>20.0</v>
      </c>
      <c r="J296" s="6">
        <v>16.0</v>
      </c>
      <c r="K296" s="6">
        <v>0.0</v>
      </c>
      <c r="L296" s="9">
        <v>46093.0</v>
      </c>
      <c r="M296" s="6">
        <v>10.0</v>
      </c>
      <c r="N296" s="5" t="s">
        <v>62</v>
      </c>
      <c r="O296" s="5" t="str">
        <f t="shared" si="2"/>
        <v>No</v>
      </c>
      <c r="P296" s="5" t="s">
        <v>62</v>
      </c>
      <c r="Q296" s="5">
        <f t="shared" si="3"/>
        <v>0</v>
      </c>
      <c r="R296" s="5">
        <v>0.0</v>
      </c>
    </row>
    <row r="297" ht="22.5" customHeight="1">
      <c r="A297" s="5" t="s">
        <v>1394</v>
      </c>
      <c r="B297" s="5" t="s">
        <v>170</v>
      </c>
      <c r="C297" s="6">
        <v>8.0</v>
      </c>
      <c r="D297" s="6">
        <v>28.0</v>
      </c>
      <c r="E297" s="6">
        <v>10.1</v>
      </c>
      <c r="F297" s="6">
        <f t="shared" si="1"/>
        <v>10</v>
      </c>
      <c r="G297" s="6">
        <v>10.0</v>
      </c>
      <c r="H297" s="6">
        <v>7.0</v>
      </c>
      <c r="I297" s="6">
        <v>31.0</v>
      </c>
      <c r="J297" s="6">
        <v>15.0</v>
      </c>
      <c r="K297" s="6">
        <v>1.0</v>
      </c>
      <c r="L297" s="9">
        <v>44693.0</v>
      </c>
      <c r="M297" s="6">
        <v>3.0</v>
      </c>
      <c r="N297" s="5" t="s">
        <v>113</v>
      </c>
      <c r="O297" s="5" t="str">
        <f t="shared" si="2"/>
        <v>Yes</v>
      </c>
      <c r="P297" s="5" t="s">
        <v>113</v>
      </c>
      <c r="Q297" s="5">
        <f t="shared" si="3"/>
        <v>1</v>
      </c>
      <c r="R297" s="5">
        <v>1.0</v>
      </c>
    </row>
    <row r="298" ht="22.5" customHeight="1">
      <c r="A298" s="5" t="s">
        <v>1397</v>
      </c>
      <c r="B298" s="5" t="s">
        <v>170</v>
      </c>
      <c r="C298" s="6">
        <v>6.0</v>
      </c>
      <c r="D298" s="6">
        <v>18.0</v>
      </c>
      <c r="E298" s="6">
        <v>3.4</v>
      </c>
      <c r="F298" s="6">
        <f t="shared" si="1"/>
        <v>3</v>
      </c>
      <c r="G298" s="6">
        <v>3.0</v>
      </c>
      <c r="H298" s="6">
        <v>49.0</v>
      </c>
      <c r="I298" s="6">
        <v>25.0</v>
      </c>
      <c r="J298" s="6">
        <v>14.0</v>
      </c>
      <c r="K298" s="6">
        <v>3.0</v>
      </c>
      <c r="L298" s="9">
        <v>46057.0</v>
      </c>
      <c r="M298" s="6">
        <v>7.0</v>
      </c>
      <c r="N298" s="5" t="s">
        <v>62</v>
      </c>
      <c r="O298" s="5" t="str">
        <f t="shared" si="2"/>
        <v>No</v>
      </c>
      <c r="P298" s="5" t="s">
        <v>62</v>
      </c>
      <c r="Q298" s="5">
        <f t="shared" si="3"/>
        <v>0</v>
      </c>
      <c r="R298" s="5">
        <v>0.0</v>
      </c>
    </row>
    <row r="299" ht="22.5" customHeight="1">
      <c r="A299" s="5" t="s">
        <v>1400</v>
      </c>
      <c r="B299" s="5" t="s">
        <v>84</v>
      </c>
      <c r="C299" s="6">
        <v>3.0</v>
      </c>
      <c r="D299" s="6">
        <v>6.0</v>
      </c>
      <c r="E299" s="6">
        <v>5.6</v>
      </c>
      <c r="F299" s="6">
        <f t="shared" si="1"/>
        <v>5</v>
      </c>
      <c r="G299" s="6">
        <v>5.0</v>
      </c>
      <c r="H299" s="6">
        <v>38.0</v>
      </c>
      <c r="I299" s="6">
        <v>14.0</v>
      </c>
      <c r="J299" s="6">
        <v>14.0</v>
      </c>
      <c r="K299" s="6">
        <v>5.0</v>
      </c>
      <c r="L299" s="9">
        <v>44566.0</v>
      </c>
      <c r="M299" s="6">
        <v>3.0</v>
      </c>
      <c r="N299" s="5" t="s">
        <v>113</v>
      </c>
      <c r="O299" s="5" t="str">
        <f t="shared" si="2"/>
        <v>Yes</v>
      </c>
      <c r="P299" s="5" t="s">
        <v>113</v>
      </c>
      <c r="Q299" s="5">
        <f t="shared" si="3"/>
        <v>1</v>
      </c>
      <c r="R299" s="5">
        <v>1.0</v>
      </c>
    </row>
    <row r="300" ht="22.5" customHeight="1">
      <c r="A300" s="5" t="s">
        <v>1404</v>
      </c>
      <c r="B300" s="5" t="s">
        <v>65</v>
      </c>
      <c r="C300" s="6">
        <v>8.0</v>
      </c>
      <c r="D300" s="6">
        <v>45.0</v>
      </c>
      <c r="E300" s="6">
        <v>8.2</v>
      </c>
      <c r="F300" s="6">
        <f t="shared" si="1"/>
        <v>8</v>
      </c>
      <c r="G300" s="6">
        <v>8.0</v>
      </c>
      <c r="H300" s="6">
        <v>15.0</v>
      </c>
      <c r="I300" s="6">
        <v>19.0</v>
      </c>
      <c r="J300" s="6">
        <v>7.0</v>
      </c>
      <c r="K300" s="6">
        <v>3.0</v>
      </c>
      <c r="L300" s="9">
        <v>45517.0</v>
      </c>
      <c r="M300" s="6">
        <v>2.0</v>
      </c>
      <c r="N300" s="5" t="s">
        <v>113</v>
      </c>
      <c r="O300" s="5" t="str">
        <f t="shared" si="2"/>
        <v>No</v>
      </c>
      <c r="P300" s="5" t="s">
        <v>62</v>
      </c>
      <c r="Q300" s="5">
        <f t="shared" si="3"/>
        <v>0</v>
      </c>
      <c r="R300" s="5">
        <v>0.0</v>
      </c>
    </row>
    <row r="301" ht="22.5" customHeight="1">
      <c r="A301" s="5" t="s">
        <v>1406</v>
      </c>
      <c r="B301" s="5" t="s">
        <v>65</v>
      </c>
      <c r="C301" s="6">
        <v>5.0</v>
      </c>
      <c r="D301" s="6">
        <v>8.0</v>
      </c>
      <c r="E301" s="6">
        <v>17.8</v>
      </c>
      <c r="F301" s="6">
        <f t="shared" si="1"/>
        <v>17</v>
      </c>
      <c r="G301" s="6">
        <v>17.0</v>
      </c>
      <c r="H301" s="6">
        <v>30.0</v>
      </c>
      <c r="I301" s="6">
        <v>25.0</v>
      </c>
      <c r="J301" s="6">
        <v>18.0</v>
      </c>
      <c r="K301" s="6">
        <v>5.0</v>
      </c>
      <c r="L301" s="9">
        <v>45544.0</v>
      </c>
      <c r="M301" s="6">
        <v>7.0</v>
      </c>
      <c r="N301" s="5" t="s">
        <v>62</v>
      </c>
      <c r="O301" s="5" t="str">
        <f t="shared" si="2"/>
        <v>No</v>
      </c>
      <c r="P301" s="5" t="s">
        <v>62</v>
      </c>
      <c r="Q301" s="5">
        <f t="shared" si="3"/>
        <v>0</v>
      </c>
      <c r="R301" s="5">
        <v>0.0</v>
      </c>
    </row>
    <row r="302" ht="22.5" customHeight="1">
      <c r="A302" s="5" t="s">
        <v>1408</v>
      </c>
      <c r="B302" s="5" t="s">
        <v>44</v>
      </c>
      <c r="C302" s="6">
        <v>2.0</v>
      </c>
      <c r="D302" s="6">
        <v>6.0</v>
      </c>
      <c r="E302" s="6">
        <v>3.5</v>
      </c>
      <c r="F302" s="6">
        <f t="shared" si="1"/>
        <v>3</v>
      </c>
      <c r="G302" s="6">
        <v>3.0</v>
      </c>
      <c r="H302" s="6">
        <v>30.0</v>
      </c>
      <c r="I302" s="6">
        <v>24.0</v>
      </c>
      <c r="J302" s="6">
        <v>20.0</v>
      </c>
      <c r="K302" s="6">
        <v>2.0</v>
      </c>
      <c r="L302" s="9">
        <v>44551.0</v>
      </c>
      <c r="M302" s="6">
        <v>2.0</v>
      </c>
      <c r="O302" s="10" t="str">
        <f t="shared" si="2"/>
        <v>Yes</v>
      </c>
      <c r="P302" s="10" t="s">
        <v>113</v>
      </c>
      <c r="Q302" s="10">
        <f t="shared" si="3"/>
        <v>1</v>
      </c>
      <c r="R302" s="10">
        <v>1.0</v>
      </c>
    </row>
    <row r="303" ht="22.5" customHeight="1">
      <c r="A303" s="5" t="s">
        <v>1411</v>
      </c>
      <c r="B303" s="5" t="s">
        <v>84</v>
      </c>
      <c r="C303" s="6">
        <v>7.0</v>
      </c>
      <c r="D303" s="6">
        <v>17.0</v>
      </c>
      <c r="E303" s="6">
        <v>2.1</v>
      </c>
      <c r="F303" s="6">
        <f t="shared" si="1"/>
        <v>2</v>
      </c>
      <c r="G303" s="6">
        <v>2.0</v>
      </c>
      <c r="H303" s="6">
        <v>57.0</v>
      </c>
      <c r="I303" s="6">
        <v>27.0</v>
      </c>
      <c r="J303" s="6">
        <v>15.0</v>
      </c>
      <c r="K303" s="6">
        <v>0.0</v>
      </c>
      <c r="L303" s="9">
        <v>45475.0</v>
      </c>
      <c r="M303" s="6">
        <v>2.0</v>
      </c>
      <c r="N303" s="5" t="s">
        <v>113</v>
      </c>
      <c r="O303" s="5" t="str">
        <f t="shared" si="2"/>
        <v>No</v>
      </c>
      <c r="P303" s="5" t="s">
        <v>62</v>
      </c>
      <c r="Q303" s="5">
        <f t="shared" si="3"/>
        <v>0</v>
      </c>
      <c r="R303" s="5">
        <v>0.0</v>
      </c>
    </row>
    <row r="304" ht="22.5" customHeight="1">
      <c r="A304" s="5" t="s">
        <v>1414</v>
      </c>
      <c r="B304" s="5" t="s">
        <v>22</v>
      </c>
      <c r="C304" s="6">
        <v>6.0</v>
      </c>
      <c r="D304" s="6">
        <v>15.0</v>
      </c>
      <c r="E304" s="6">
        <v>4.4</v>
      </c>
      <c r="F304" s="6">
        <f t="shared" si="1"/>
        <v>4</v>
      </c>
      <c r="G304" s="6">
        <v>4.0</v>
      </c>
      <c r="H304" s="6">
        <v>31.0</v>
      </c>
      <c r="I304" s="6">
        <v>10.0</v>
      </c>
      <c r="J304" s="6">
        <v>17.0</v>
      </c>
      <c r="K304" s="6">
        <v>2.0</v>
      </c>
      <c r="L304" s="9">
        <v>45017.0</v>
      </c>
      <c r="M304" s="6">
        <v>3.0</v>
      </c>
      <c r="N304" s="5" t="s">
        <v>113</v>
      </c>
      <c r="O304" s="5" t="str">
        <f t="shared" si="2"/>
        <v>Yes</v>
      </c>
      <c r="P304" s="5" t="s">
        <v>113</v>
      </c>
      <c r="Q304" s="5">
        <f t="shared" si="3"/>
        <v>1</v>
      </c>
      <c r="R304" s="5">
        <v>1.0</v>
      </c>
    </row>
    <row r="305" ht="22.5" customHeight="1">
      <c r="A305" s="5" t="s">
        <v>1418</v>
      </c>
      <c r="B305" s="5" t="s">
        <v>65</v>
      </c>
      <c r="C305" s="6">
        <v>9.0</v>
      </c>
      <c r="D305" s="6">
        <v>50.0</v>
      </c>
      <c r="E305" s="6">
        <v>5.7</v>
      </c>
      <c r="F305" s="6">
        <f t="shared" si="1"/>
        <v>5</v>
      </c>
      <c r="G305" s="6">
        <v>5.0</v>
      </c>
      <c r="H305" s="6">
        <v>39.0</v>
      </c>
      <c r="I305" s="6">
        <v>22.0</v>
      </c>
      <c r="J305" s="6">
        <v>15.0</v>
      </c>
      <c r="K305" s="6">
        <v>4.0</v>
      </c>
      <c r="L305" s="9">
        <v>44536.0</v>
      </c>
      <c r="M305" s="6">
        <v>4.0</v>
      </c>
      <c r="N305" s="5" t="s">
        <v>113</v>
      </c>
      <c r="O305" s="5" t="str">
        <f t="shared" si="2"/>
        <v>Yes</v>
      </c>
      <c r="P305" s="5" t="s">
        <v>113</v>
      </c>
      <c r="Q305" s="5">
        <f t="shared" si="3"/>
        <v>1</v>
      </c>
      <c r="R305" s="5">
        <v>1.0</v>
      </c>
    </row>
    <row r="306" ht="22.5" customHeight="1">
      <c r="A306" s="5" t="s">
        <v>1421</v>
      </c>
      <c r="B306" s="5" t="s">
        <v>22</v>
      </c>
      <c r="C306" s="6">
        <v>6.0</v>
      </c>
      <c r="D306" s="6">
        <v>22.0</v>
      </c>
      <c r="E306" s="6">
        <v>10.2</v>
      </c>
      <c r="F306" s="6">
        <f t="shared" si="1"/>
        <v>10</v>
      </c>
      <c r="G306" s="6">
        <v>10.0</v>
      </c>
      <c r="H306" s="6">
        <v>14.0</v>
      </c>
      <c r="I306" s="6">
        <v>34.0</v>
      </c>
      <c r="J306" s="6">
        <v>14.0</v>
      </c>
      <c r="K306" s="6">
        <v>4.0</v>
      </c>
      <c r="L306" s="9">
        <v>45594.0</v>
      </c>
      <c r="M306" s="6">
        <v>10.0</v>
      </c>
      <c r="N306" s="5" t="s">
        <v>62</v>
      </c>
      <c r="O306" s="5" t="str">
        <f t="shared" si="2"/>
        <v>No</v>
      </c>
      <c r="P306" s="5" t="s">
        <v>62</v>
      </c>
      <c r="Q306" s="5">
        <f t="shared" si="3"/>
        <v>0</v>
      </c>
      <c r="R306" s="5">
        <v>0.0</v>
      </c>
    </row>
    <row r="307" ht="22.5" customHeight="1">
      <c r="A307" s="5" t="s">
        <v>1425</v>
      </c>
      <c r="B307" s="5" t="s">
        <v>84</v>
      </c>
      <c r="C307" s="6">
        <v>5.0</v>
      </c>
      <c r="D307" s="6">
        <v>18.0</v>
      </c>
      <c r="E307" s="6">
        <v>5.4</v>
      </c>
      <c r="F307" s="6">
        <f t="shared" si="1"/>
        <v>5</v>
      </c>
      <c r="G307" s="6">
        <v>5.0</v>
      </c>
      <c r="H307" s="6">
        <v>22.0</v>
      </c>
      <c r="I307" s="6">
        <v>35.0</v>
      </c>
      <c r="J307" s="6">
        <v>11.0</v>
      </c>
      <c r="K307" s="6">
        <v>0.0</v>
      </c>
      <c r="L307" s="9">
        <v>45909.0</v>
      </c>
      <c r="M307" s="6">
        <v>8.0</v>
      </c>
      <c r="N307" s="5" t="s">
        <v>62</v>
      </c>
      <c r="O307" s="5" t="str">
        <f t="shared" si="2"/>
        <v>No</v>
      </c>
      <c r="P307" s="5" t="s">
        <v>62</v>
      </c>
      <c r="Q307" s="5">
        <f t="shared" si="3"/>
        <v>0</v>
      </c>
      <c r="R307" s="5">
        <v>0.0</v>
      </c>
    </row>
    <row r="308" ht="22.5" customHeight="1">
      <c r="A308" s="5" t="s">
        <v>1427</v>
      </c>
      <c r="B308" s="5" t="s">
        <v>170</v>
      </c>
      <c r="C308" s="6">
        <v>11.0</v>
      </c>
      <c r="D308" s="6">
        <v>54.0</v>
      </c>
      <c r="E308" s="6">
        <v>8.3</v>
      </c>
      <c r="F308" s="6">
        <f t="shared" si="1"/>
        <v>8</v>
      </c>
      <c r="G308" s="6">
        <v>8.0</v>
      </c>
      <c r="H308" s="6">
        <v>60.0</v>
      </c>
      <c r="I308" s="6">
        <v>17.0</v>
      </c>
      <c r="J308" s="6">
        <v>6.0</v>
      </c>
      <c r="K308" s="6">
        <v>5.0</v>
      </c>
      <c r="L308" s="9">
        <v>44937.0</v>
      </c>
      <c r="M308" s="6">
        <v>4.0</v>
      </c>
      <c r="N308" s="5" t="s">
        <v>113</v>
      </c>
      <c r="O308" s="5" t="str">
        <f t="shared" si="2"/>
        <v>Yes</v>
      </c>
      <c r="P308" s="5" t="s">
        <v>113</v>
      </c>
      <c r="Q308" s="5">
        <f t="shared" si="3"/>
        <v>1</v>
      </c>
      <c r="R308" s="5">
        <v>1.0</v>
      </c>
    </row>
    <row r="309" ht="22.5" customHeight="1">
      <c r="A309" s="5" t="s">
        <v>1430</v>
      </c>
      <c r="B309" s="5" t="s">
        <v>170</v>
      </c>
      <c r="C309" s="6">
        <v>8.0</v>
      </c>
      <c r="D309" s="6">
        <v>18.0</v>
      </c>
      <c r="E309" s="6">
        <v>4.8</v>
      </c>
      <c r="F309" s="6">
        <f t="shared" si="1"/>
        <v>4</v>
      </c>
      <c r="G309" s="6">
        <v>4.0</v>
      </c>
      <c r="H309" s="6">
        <v>31.0</v>
      </c>
      <c r="I309" s="6">
        <v>32.0</v>
      </c>
      <c r="J309" s="6">
        <v>3.0</v>
      </c>
      <c r="K309" s="6">
        <v>2.0</v>
      </c>
      <c r="L309" s="9">
        <v>46024.0</v>
      </c>
      <c r="M309" s="6">
        <v>10.0</v>
      </c>
      <c r="N309" s="5" t="s">
        <v>62</v>
      </c>
      <c r="O309" s="5" t="str">
        <f t="shared" si="2"/>
        <v>No</v>
      </c>
      <c r="P309" s="5" t="s">
        <v>62</v>
      </c>
      <c r="Q309" s="5">
        <f t="shared" si="3"/>
        <v>0</v>
      </c>
      <c r="R309" s="5">
        <v>0.0</v>
      </c>
    </row>
    <row r="310" ht="22.5" customHeight="1">
      <c r="A310" s="5" t="s">
        <v>1432</v>
      </c>
      <c r="B310" s="5" t="s">
        <v>44</v>
      </c>
      <c r="C310" s="6">
        <v>5.0</v>
      </c>
      <c r="D310" s="6">
        <v>18.0</v>
      </c>
      <c r="E310" s="6">
        <v>5.9</v>
      </c>
      <c r="F310" s="6">
        <f t="shared" si="1"/>
        <v>5</v>
      </c>
      <c r="G310" s="6">
        <v>5.0</v>
      </c>
      <c r="H310" s="6">
        <v>55.0</v>
      </c>
      <c r="I310" s="6">
        <v>19.0</v>
      </c>
      <c r="J310" s="6">
        <v>11.0</v>
      </c>
      <c r="K310" s="6">
        <v>4.0</v>
      </c>
      <c r="L310" s="9">
        <v>45900.0</v>
      </c>
      <c r="M310" s="6">
        <v>8.0</v>
      </c>
      <c r="N310" s="5" t="s">
        <v>62</v>
      </c>
      <c r="O310" s="5" t="str">
        <f t="shared" si="2"/>
        <v>No</v>
      </c>
      <c r="P310" s="5" t="s">
        <v>62</v>
      </c>
      <c r="Q310" s="5">
        <f t="shared" si="3"/>
        <v>0</v>
      </c>
      <c r="R310" s="5">
        <v>0.0</v>
      </c>
    </row>
    <row r="311" ht="22.5" customHeight="1">
      <c r="A311" s="5" t="s">
        <v>1435</v>
      </c>
      <c r="B311" s="5" t="s">
        <v>65</v>
      </c>
      <c r="C311" s="6">
        <v>9.0</v>
      </c>
      <c r="D311" s="6">
        <v>31.0</v>
      </c>
      <c r="E311" s="6">
        <v>3.9</v>
      </c>
      <c r="F311" s="6">
        <f t="shared" si="1"/>
        <v>3</v>
      </c>
      <c r="G311" s="6">
        <v>3.0</v>
      </c>
      <c r="H311" s="6">
        <v>16.0</v>
      </c>
      <c r="I311" s="6">
        <v>22.0</v>
      </c>
      <c r="J311" s="6">
        <v>20.0</v>
      </c>
      <c r="K311" s="6">
        <v>1.0</v>
      </c>
      <c r="L311" s="9">
        <v>45361.0</v>
      </c>
      <c r="M311" s="6">
        <v>5.0</v>
      </c>
      <c r="O311" s="10" t="str">
        <f t="shared" si="2"/>
        <v>No</v>
      </c>
      <c r="P311" s="10" t="s">
        <v>62</v>
      </c>
      <c r="Q311" s="10">
        <f t="shared" si="3"/>
        <v>0</v>
      </c>
      <c r="R311" s="10">
        <v>0.0</v>
      </c>
    </row>
    <row r="312" ht="22.5" customHeight="1">
      <c r="A312" s="5" t="s">
        <v>1438</v>
      </c>
      <c r="B312" s="5" t="s">
        <v>65</v>
      </c>
      <c r="C312" s="6">
        <v>6.0</v>
      </c>
      <c r="D312" s="6">
        <v>25.0</v>
      </c>
      <c r="E312" s="6">
        <v>3.1</v>
      </c>
      <c r="F312" s="6">
        <f t="shared" si="1"/>
        <v>3</v>
      </c>
      <c r="G312" s="6">
        <v>3.0</v>
      </c>
      <c r="H312" s="6">
        <v>58.0</v>
      </c>
      <c r="I312" s="6">
        <v>22.0</v>
      </c>
      <c r="J312" s="6">
        <v>14.0</v>
      </c>
      <c r="K312" s="6">
        <v>4.0</v>
      </c>
      <c r="L312" s="11"/>
      <c r="M312" s="6">
        <v>8.0</v>
      </c>
      <c r="O312" s="10" t="str">
        <f t="shared" si="2"/>
        <v>Yes</v>
      </c>
      <c r="P312" s="10" t="s">
        <v>113</v>
      </c>
      <c r="Q312" s="10">
        <f t="shared" si="3"/>
        <v>1</v>
      </c>
      <c r="R312" s="10">
        <v>1.0</v>
      </c>
    </row>
    <row r="313" ht="22.5" customHeight="1">
      <c r="A313" s="5" t="s">
        <v>1441</v>
      </c>
      <c r="B313" s="5" t="s">
        <v>22</v>
      </c>
      <c r="C313" s="6">
        <v>6.0</v>
      </c>
      <c r="D313" s="6">
        <v>36.0</v>
      </c>
      <c r="E313" s="6">
        <v>10.4</v>
      </c>
      <c r="F313" s="6">
        <f t="shared" si="1"/>
        <v>10</v>
      </c>
      <c r="G313" s="6">
        <v>10.0</v>
      </c>
      <c r="H313" s="6">
        <v>7.0</v>
      </c>
      <c r="I313" s="6">
        <v>26.0</v>
      </c>
      <c r="J313" s="6">
        <v>6.0</v>
      </c>
      <c r="K313" s="6">
        <v>1.0</v>
      </c>
      <c r="L313" s="9">
        <v>45430.0</v>
      </c>
      <c r="M313" s="6">
        <v>3.0</v>
      </c>
      <c r="O313" s="10" t="str">
        <f t="shared" si="2"/>
        <v>No</v>
      </c>
      <c r="P313" s="10" t="s">
        <v>62</v>
      </c>
      <c r="Q313" s="10">
        <f t="shared" si="3"/>
        <v>0</v>
      </c>
      <c r="R313" s="10">
        <v>0.0</v>
      </c>
    </row>
    <row r="314" ht="22.5" customHeight="1">
      <c r="A314" s="5" t="s">
        <v>1444</v>
      </c>
      <c r="B314" s="5" t="s">
        <v>22</v>
      </c>
      <c r="C314" s="6">
        <v>6.0</v>
      </c>
      <c r="D314" s="6">
        <v>30.0</v>
      </c>
      <c r="E314" s="6">
        <v>5.1</v>
      </c>
      <c r="F314" s="6">
        <f t="shared" si="1"/>
        <v>5</v>
      </c>
      <c r="G314" s="6">
        <v>5.0</v>
      </c>
      <c r="H314" s="6">
        <v>12.0</v>
      </c>
      <c r="I314" s="6">
        <v>33.0</v>
      </c>
      <c r="J314" s="6">
        <v>11.0</v>
      </c>
      <c r="K314" s="6">
        <v>4.0</v>
      </c>
      <c r="L314" s="9">
        <v>44478.0</v>
      </c>
      <c r="M314" s="6">
        <v>1.0</v>
      </c>
      <c r="N314" s="5" t="s">
        <v>113</v>
      </c>
      <c r="O314" s="5" t="str">
        <f t="shared" si="2"/>
        <v>Yes</v>
      </c>
      <c r="P314" s="5" t="s">
        <v>113</v>
      </c>
      <c r="Q314" s="5">
        <f t="shared" si="3"/>
        <v>1</v>
      </c>
      <c r="R314" s="5">
        <v>1.0</v>
      </c>
    </row>
    <row r="315" ht="22.5" customHeight="1">
      <c r="A315" s="5" t="s">
        <v>1447</v>
      </c>
      <c r="B315" s="5" t="s">
        <v>22</v>
      </c>
      <c r="C315" s="6">
        <v>3.0</v>
      </c>
      <c r="D315" s="6">
        <v>10.0</v>
      </c>
      <c r="E315" s="6">
        <v>8.7</v>
      </c>
      <c r="F315" s="6">
        <f t="shared" si="1"/>
        <v>8</v>
      </c>
      <c r="G315" s="6">
        <v>8.0</v>
      </c>
      <c r="H315" s="6">
        <v>59.0</v>
      </c>
      <c r="I315" s="6">
        <v>27.0</v>
      </c>
      <c r="J315" s="6">
        <v>4.0</v>
      </c>
      <c r="K315" s="6">
        <v>3.0</v>
      </c>
      <c r="L315" s="9">
        <v>45724.0</v>
      </c>
      <c r="M315" s="6">
        <v>6.0</v>
      </c>
      <c r="N315" s="5" t="s">
        <v>62</v>
      </c>
      <c r="O315" s="5" t="str">
        <f t="shared" si="2"/>
        <v>No</v>
      </c>
      <c r="P315" s="5" t="s">
        <v>62</v>
      </c>
      <c r="Q315" s="5">
        <f t="shared" si="3"/>
        <v>0</v>
      </c>
      <c r="R315" s="5">
        <v>0.0</v>
      </c>
    </row>
    <row r="316" ht="22.5" customHeight="1">
      <c r="A316" s="5" t="s">
        <v>1450</v>
      </c>
      <c r="B316" s="5" t="s">
        <v>22</v>
      </c>
      <c r="C316" s="6">
        <v>4.0</v>
      </c>
      <c r="D316" s="6">
        <v>21.0</v>
      </c>
      <c r="E316" s="6">
        <v>3.8</v>
      </c>
      <c r="F316" s="6">
        <f t="shared" si="1"/>
        <v>3</v>
      </c>
      <c r="G316" s="6">
        <v>3.0</v>
      </c>
      <c r="H316" s="6">
        <v>18.0</v>
      </c>
      <c r="I316" s="6">
        <v>24.0</v>
      </c>
      <c r="J316" s="6">
        <v>12.0</v>
      </c>
      <c r="K316" s="6">
        <v>3.0</v>
      </c>
      <c r="L316" s="9">
        <v>45718.0</v>
      </c>
      <c r="M316" s="6">
        <v>8.0</v>
      </c>
      <c r="N316" s="5" t="s">
        <v>62</v>
      </c>
      <c r="O316" s="5" t="str">
        <f t="shared" si="2"/>
        <v>No</v>
      </c>
      <c r="P316" s="5" t="s">
        <v>62</v>
      </c>
      <c r="Q316" s="5">
        <f t="shared" si="3"/>
        <v>0</v>
      </c>
      <c r="R316" s="5">
        <v>0.0</v>
      </c>
    </row>
    <row r="317" ht="22.5" customHeight="1">
      <c r="A317" s="5" t="s">
        <v>1454</v>
      </c>
      <c r="B317" s="5" t="s">
        <v>84</v>
      </c>
      <c r="C317" s="6">
        <v>5.0</v>
      </c>
      <c r="D317" s="6">
        <v>11.0</v>
      </c>
      <c r="E317" s="6">
        <v>6.7</v>
      </c>
      <c r="F317" s="6">
        <f t="shared" si="1"/>
        <v>6</v>
      </c>
      <c r="G317" s="6">
        <v>6.0</v>
      </c>
      <c r="H317" s="6">
        <v>5.0</v>
      </c>
      <c r="I317" s="6">
        <v>33.0</v>
      </c>
      <c r="J317" s="6">
        <v>2.0</v>
      </c>
      <c r="K317" s="6">
        <v>2.0</v>
      </c>
      <c r="L317" s="9">
        <v>45882.0</v>
      </c>
      <c r="M317" s="6">
        <v>9.0</v>
      </c>
      <c r="N317" s="5" t="s">
        <v>62</v>
      </c>
      <c r="O317" s="5" t="str">
        <f t="shared" si="2"/>
        <v>No</v>
      </c>
      <c r="P317" s="5" t="s">
        <v>62</v>
      </c>
      <c r="Q317" s="5">
        <f t="shared" si="3"/>
        <v>0</v>
      </c>
      <c r="R317" s="5">
        <v>0.0</v>
      </c>
    </row>
    <row r="318" ht="22.5" customHeight="1">
      <c r="A318" s="5" t="s">
        <v>1458</v>
      </c>
      <c r="B318" s="5" t="s">
        <v>65</v>
      </c>
      <c r="C318" s="6">
        <v>10.0</v>
      </c>
      <c r="D318" s="6">
        <v>16.0</v>
      </c>
      <c r="E318" s="6">
        <v>1.3</v>
      </c>
      <c r="F318" s="6">
        <f t="shared" si="1"/>
        <v>1</v>
      </c>
      <c r="G318" s="6">
        <v>1.0</v>
      </c>
      <c r="H318" s="6">
        <v>26.0</v>
      </c>
      <c r="I318" s="6">
        <v>19.0</v>
      </c>
      <c r="J318" s="6">
        <v>9.0</v>
      </c>
      <c r="K318" s="6">
        <v>0.0</v>
      </c>
      <c r="L318" s="9">
        <v>44839.0</v>
      </c>
      <c r="M318" s="6">
        <v>4.0</v>
      </c>
      <c r="N318" s="5" t="s">
        <v>113</v>
      </c>
      <c r="O318" s="5" t="str">
        <f t="shared" si="2"/>
        <v>Yes</v>
      </c>
      <c r="P318" s="5" t="s">
        <v>113</v>
      </c>
      <c r="Q318" s="5">
        <f t="shared" si="3"/>
        <v>1</v>
      </c>
      <c r="R318" s="5">
        <v>1.0</v>
      </c>
    </row>
    <row r="319" ht="22.5" customHeight="1">
      <c r="A319" s="5" t="s">
        <v>1463</v>
      </c>
      <c r="B319" s="5" t="s">
        <v>65</v>
      </c>
      <c r="C319" s="6">
        <v>1.0</v>
      </c>
      <c r="D319" s="6">
        <v>2.0</v>
      </c>
      <c r="E319" s="6">
        <v>5.3</v>
      </c>
      <c r="F319" s="6">
        <f t="shared" si="1"/>
        <v>5</v>
      </c>
      <c r="G319" s="6">
        <v>5.0</v>
      </c>
      <c r="H319" s="6">
        <v>36.0</v>
      </c>
      <c r="I319" s="6">
        <v>24.0</v>
      </c>
      <c r="J319" s="6">
        <v>18.0</v>
      </c>
      <c r="K319" s="6">
        <v>0.0</v>
      </c>
      <c r="L319" s="11"/>
      <c r="M319" s="6">
        <v>4.0</v>
      </c>
      <c r="N319" s="5" t="s">
        <v>62</v>
      </c>
      <c r="O319" s="5" t="str">
        <f t="shared" si="2"/>
        <v>Yes</v>
      </c>
      <c r="P319" s="5" t="s">
        <v>113</v>
      </c>
      <c r="Q319" s="5">
        <f t="shared" si="3"/>
        <v>1</v>
      </c>
      <c r="R319" s="5">
        <v>1.0</v>
      </c>
    </row>
    <row r="320" ht="22.5" customHeight="1">
      <c r="A320" s="5" t="s">
        <v>1465</v>
      </c>
      <c r="B320" s="5" t="s">
        <v>22</v>
      </c>
      <c r="C320" s="6">
        <v>6.0</v>
      </c>
      <c r="D320" s="6">
        <v>18.0</v>
      </c>
      <c r="E320" s="6">
        <v>4.1</v>
      </c>
      <c r="F320" s="6">
        <f t="shared" si="1"/>
        <v>4</v>
      </c>
      <c r="G320" s="6">
        <v>4.0</v>
      </c>
      <c r="H320" s="6">
        <v>12.0</v>
      </c>
      <c r="I320" s="6">
        <v>33.0</v>
      </c>
      <c r="J320" s="6">
        <v>2.0</v>
      </c>
      <c r="K320" s="6">
        <v>4.0</v>
      </c>
      <c r="L320" s="9">
        <v>45968.0</v>
      </c>
      <c r="M320" s="6">
        <v>6.0</v>
      </c>
      <c r="O320" s="10" t="str">
        <f t="shared" si="2"/>
        <v>No</v>
      </c>
      <c r="P320" s="10" t="s">
        <v>62</v>
      </c>
      <c r="Q320" s="10">
        <f t="shared" si="3"/>
        <v>0</v>
      </c>
      <c r="R320" s="10">
        <v>0.0</v>
      </c>
    </row>
    <row r="321" ht="22.5" customHeight="1">
      <c r="A321" s="5" t="s">
        <v>1467</v>
      </c>
      <c r="B321" s="5" t="s">
        <v>44</v>
      </c>
      <c r="C321" s="6">
        <v>6.0</v>
      </c>
      <c r="D321" s="6">
        <v>23.0</v>
      </c>
      <c r="E321" s="6">
        <v>12.8</v>
      </c>
      <c r="F321" s="6">
        <f t="shared" si="1"/>
        <v>12</v>
      </c>
      <c r="G321" s="6">
        <v>12.0</v>
      </c>
      <c r="H321" s="6">
        <v>48.0</v>
      </c>
      <c r="I321" s="6">
        <v>29.0</v>
      </c>
      <c r="J321" s="6">
        <v>7.0</v>
      </c>
      <c r="K321" s="6">
        <v>4.0</v>
      </c>
      <c r="L321" s="9">
        <v>46123.0</v>
      </c>
      <c r="M321" s="6">
        <v>10.0</v>
      </c>
      <c r="N321" s="5" t="s">
        <v>62</v>
      </c>
      <c r="O321" s="5" t="str">
        <f t="shared" si="2"/>
        <v>No</v>
      </c>
      <c r="P321" s="5" t="s">
        <v>62</v>
      </c>
      <c r="Q321" s="5">
        <f t="shared" si="3"/>
        <v>0</v>
      </c>
      <c r="R321" s="5">
        <v>0.0</v>
      </c>
    </row>
    <row r="322" ht="22.5" customHeight="1">
      <c r="A322" s="5" t="s">
        <v>1469</v>
      </c>
      <c r="B322" s="5" t="s">
        <v>65</v>
      </c>
      <c r="C322" s="6">
        <v>6.0</v>
      </c>
      <c r="D322" s="6">
        <v>26.0</v>
      </c>
      <c r="E322" s="6">
        <v>2.7</v>
      </c>
      <c r="F322" s="6">
        <f t="shared" si="1"/>
        <v>2</v>
      </c>
      <c r="G322" s="6">
        <v>2.0</v>
      </c>
      <c r="H322" s="6">
        <v>11.0</v>
      </c>
      <c r="I322" s="6">
        <v>21.0</v>
      </c>
      <c r="J322" s="6">
        <v>20.0</v>
      </c>
      <c r="K322" s="6">
        <v>0.0</v>
      </c>
      <c r="L322" s="9">
        <v>45769.0</v>
      </c>
      <c r="M322" s="6">
        <v>7.0</v>
      </c>
      <c r="N322" s="5" t="s">
        <v>62</v>
      </c>
      <c r="O322" s="5" t="str">
        <f t="shared" si="2"/>
        <v>No</v>
      </c>
      <c r="P322" s="5" t="s">
        <v>62</v>
      </c>
      <c r="Q322" s="5">
        <f t="shared" si="3"/>
        <v>0</v>
      </c>
      <c r="R322" s="5">
        <v>0.0</v>
      </c>
    </row>
    <row r="323" ht="22.5" customHeight="1">
      <c r="A323" s="5" t="s">
        <v>1472</v>
      </c>
      <c r="B323" s="5" t="s">
        <v>84</v>
      </c>
      <c r="C323" s="6">
        <v>6.0</v>
      </c>
      <c r="D323" s="6">
        <v>34.0</v>
      </c>
      <c r="E323" s="6">
        <v>6.1</v>
      </c>
      <c r="F323" s="6">
        <f t="shared" si="1"/>
        <v>6</v>
      </c>
      <c r="G323" s="6">
        <v>6.0</v>
      </c>
      <c r="H323" s="6">
        <v>52.0</v>
      </c>
      <c r="I323" s="6">
        <v>13.0</v>
      </c>
      <c r="J323" s="6">
        <v>8.0</v>
      </c>
      <c r="K323" s="6">
        <v>0.0</v>
      </c>
      <c r="L323" s="9">
        <v>45606.0</v>
      </c>
      <c r="M323" s="6">
        <v>10.0</v>
      </c>
      <c r="N323" s="5" t="s">
        <v>62</v>
      </c>
      <c r="O323" s="5" t="str">
        <f t="shared" si="2"/>
        <v>No</v>
      </c>
      <c r="P323" s="5" t="s">
        <v>62</v>
      </c>
      <c r="Q323" s="5">
        <f t="shared" si="3"/>
        <v>0</v>
      </c>
      <c r="R323" s="5">
        <v>0.0</v>
      </c>
    </row>
    <row r="324" ht="22.5" customHeight="1">
      <c r="A324" s="5" t="s">
        <v>1474</v>
      </c>
      <c r="B324" s="5" t="s">
        <v>84</v>
      </c>
      <c r="C324" s="6">
        <v>5.0</v>
      </c>
      <c r="D324" s="6">
        <v>19.0</v>
      </c>
      <c r="E324" s="6">
        <v>8.1</v>
      </c>
      <c r="F324" s="6">
        <f t="shared" si="1"/>
        <v>8</v>
      </c>
      <c r="G324" s="6">
        <v>8.0</v>
      </c>
      <c r="H324" s="6">
        <v>43.0</v>
      </c>
      <c r="I324" s="6">
        <v>27.0</v>
      </c>
      <c r="J324" s="6">
        <v>11.0</v>
      </c>
      <c r="K324" s="6">
        <v>3.0</v>
      </c>
      <c r="L324" s="9">
        <v>46197.0</v>
      </c>
      <c r="M324" s="6">
        <v>9.0</v>
      </c>
      <c r="N324" s="5" t="s">
        <v>62</v>
      </c>
      <c r="O324" s="5" t="str">
        <f t="shared" si="2"/>
        <v>No</v>
      </c>
      <c r="P324" s="5" t="s">
        <v>62</v>
      </c>
      <c r="Q324" s="5">
        <f t="shared" si="3"/>
        <v>0</v>
      </c>
      <c r="R324" s="5">
        <v>0.0</v>
      </c>
    </row>
    <row r="325" ht="22.5" customHeight="1">
      <c r="A325" s="5" t="s">
        <v>1477</v>
      </c>
      <c r="B325" s="5" t="s">
        <v>22</v>
      </c>
      <c r="C325" s="6">
        <v>10.0</v>
      </c>
      <c r="D325" s="6">
        <v>38.0</v>
      </c>
      <c r="E325" s="6">
        <v>11.8</v>
      </c>
      <c r="F325" s="6">
        <f t="shared" si="1"/>
        <v>11</v>
      </c>
      <c r="G325" s="6">
        <v>11.0</v>
      </c>
      <c r="H325" s="6">
        <v>52.0</v>
      </c>
      <c r="I325" s="6">
        <v>12.0</v>
      </c>
      <c r="J325" s="6">
        <v>4.0</v>
      </c>
      <c r="K325" s="6">
        <v>5.0</v>
      </c>
      <c r="L325" s="9">
        <v>44570.0</v>
      </c>
      <c r="M325" s="6">
        <v>2.0</v>
      </c>
      <c r="N325" s="5" t="s">
        <v>113</v>
      </c>
      <c r="O325" s="5" t="str">
        <f t="shared" si="2"/>
        <v>Yes</v>
      </c>
      <c r="P325" s="5" t="s">
        <v>113</v>
      </c>
      <c r="Q325" s="5">
        <f t="shared" si="3"/>
        <v>1</v>
      </c>
      <c r="R325" s="5">
        <v>1.0</v>
      </c>
    </row>
    <row r="326" ht="22.5" customHeight="1">
      <c r="A326" s="5" t="s">
        <v>1480</v>
      </c>
      <c r="B326" s="5" t="s">
        <v>22</v>
      </c>
      <c r="C326" s="6">
        <v>7.0</v>
      </c>
      <c r="D326" s="6">
        <v>12.0</v>
      </c>
      <c r="E326" s="6">
        <v>10.9</v>
      </c>
      <c r="F326" s="6">
        <f t="shared" si="1"/>
        <v>10</v>
      </c>
      <c r="G326" s="6">
        <v>10.0</v>
      </c>
      <c r="H326" s="6">
        <v>39.0</v>
      </c>
      <c r="I326" s="6">
        <v>23.0</v>
      </c>
      <c r="J326" s="6">
        <v>16.0</v>
      </c>
      <c r="K326" s="6">
        <v>0.0</v>
      </c>
      <c r="L326" s="9">
        <v>44837.0</v>
      </c>
      <c r="M326" s="6">
        <v>1.0</v>
      </c>
      <c r="N326" s="5" t="s">
        <v>113</v>
      </c>
      <c r="O326" s="5" t="str">
        <f t="shared" si="2"/>
        <v>Yes</v>
      </c>
      <c r="P326" s="5" t="s">
        <v>113</v>
      </c>
      <c r="Q326" s="5">
        <f t="shared" si="3"/>
        <v>1</v>
      </c>
      <c r="R326" s="5">
        <v>1.0</v>
      </c>
    </row>
    <row r="327" ht="22.5" customHeight="1">
      <c r="A327" s="5" t="s">
        <v>1482</v>
      </c>
      <c r="B327" s="5" t="s">
        <v>22</v>
      </c>
      <c r="C327" s="6">
        <v>3.0</v>
      </c>
      <c r="D327" s="6">
        <v>5.0</v>
      </c>
      <c r="E327" s="6">
        <v>6.4</v>
      </c>
      <c r="F327" s="6">
        <f t="shared" si="1"/>
        <v>6</v>
      </c>
      <c r="G327" s="6">
        <v>6.0</v>
      </c>
      <c r="H327" s="6">
        <v>41.0</v>
      </c>
      <c r="I327" s="6">
        <v>34.0</v>
      </c>
      <c r="J327" s="6">
        <v>16.0</v>
      </c>
      <c r="K327" s="6">
        <v>2.0</v>
      </c>
      <c r="L327" s="11"/>
      <c r="M327" s="6">
        <v>4.0</v>
      </c>
      <c r="N327" s="5" t="s">
        <v>113</v>
      </c>
      <c r="O327" s="5" t="str">
        <f t="shared" si="2"/>
        <v>Yes</v>
      </c>
      <c r="P327" s="5" t="s">
        <v>113</v>
      </c>
      <c r="Q327" s="5">
        <f t="shared" si="3"/>
        <v>1</v>
      </c>
      <c r="R327" s="5">
        <v>1.0</v>
      </c>
    </row>
    <row r="328" ht="22.5" customHeight="1">
      <c r="A328" s="5" t="s">
        <v>1484</v>
      </c>
      <c r="B328" s="5" t="s">
        <v>65</v>
      </c>
      <c r="C328" s="6">
        <v>7.0</v>
      </c>
      <c r="D328" s="6">
        <v>28.0</v>
      </c>
      <c r="E328" s="6">
        <v>7.0</v>
      </c>
      <c r="F328" s="6">
        <f t="shared" si="1"/>
        <v>7</v>
      </c>
      <c r="G328" s="6">
        <v>7.0</v>
      </c>
      <c r="H328" s="6">
        <v>39.0</v>
      </c>
      <c r="I328" s="6">
        <v>30.0</v>
      </c>
      <c r="J328" s="6">
        <v>16.0</v>
      </c>
      <c r="K328" s="6">
        <v>4.0</v>
      </c>
      <c r="L328" s="9">
        <v>45791.0</v>
      </c>
      <c r="M328" s="6">
        <v>6.0</v>
      </c>
      <c r="N328" s="5" t="s">
        <v>62</v>
      </c>
      <c r="O328" s="5" t="str">
        <f t="shared" si="2"/>
        <v>No</v>
      </c>
      <c r="P328" s="5" t="s">
        <v>62</v>
      </c>
      <c r="Q328" s="5">
        <f t="shared" si="3"/>
        <v>0</v>
      </c>
      <c r="R328" s="5">
        <v>0.0</v>
      </c>
    </row>
    <row r="329" ht="22.5" customHeight="1">
      <c r="A329" s="5" t="s">
        <v>1488</v>
      </c>
      <c r="B329" s="5" t="s">
        <v>170</v>
      </c>
      <c r="C329" s="6">
        <v>7.0</v>
      </c>
      <c r="D329" s="6">
        <v>24.0</v>
      </c>
      <c r="E329" s="6">
        <v>12.8</v>
      </c>
      <c r="F329" s="6">
        <f t="shared" si="1"/>
        <v>12</v>
      </c>
      <c r="G329" s="6">
        <v>12.0</v>
      </c>
      <c r="H329" s="6">
        <v>51.0</v>
      </c>
      <c r="I329" s="6">
        <v>10.0</v>
      </c>
      <c r="J329" s="6">
        <v>19.0</v>
      </c>
      <c r="K329" s="6">
        <v>0.0</v>
      </c>
      <c r="L329" s="9">
        <v>45812.0</v>
      </c>
      <c r="M329" s="6">
        <v>6.0</v>
      </c>
      <c r="O329" s="10" t="str">
        <f t="shared" si="2"/>
        <v>No</v>
      </c>
      <c r="P329" s="10" t="s">
        <v>62</v>
      </c>
      <c r="Q329" s="10">
        <f t="shared" si="3"/>
        <v>0</v>
      </c>
      <c r="R329" s="10">
        <v>0.0</v>
      </c>
    </row>
    <row r="330" ht="22.5" customHeight="1">
      <c r="A330" s="5" t="s">
        <v>1490</v>
      </c>
      <c r="B330" s="5" t="s">
        <v>22</v>
      </c>
      <c r="C330" s="6">
        <v>7.0</v>
      </c>
      <c r="D330" s="6">
        <v>37.0</v>
      </c>
      <c r="E330" s="6">
        <v>6.3</v>
      </c>
      <c r="F330" s="6">
        <f t="shared" si="1"/>
        <v>6</v>
      </c>
      <c r="G330" s="6">
        <v>6.0</v>
      </c>
      <c r="H330" s="6">
        <v>59.0</v>
      </c>
      <c r="I330" s="6">
        <v>27.0</v>
      </c>
      <c r="J330" s="6">
        <v>16.0</v>
      </c>
      <c r="K330" s="6">
        <v>2.0</v>
      </c>
      <c r="L330" s="9">
        <v>45785.0</v>
      </c>
      <c r="M330" s="6">
        <v>8.0</v>
      </c>
      <c r="N330" s="5" t="s">
        <v>62</v>
      </c>
      <c r="O330" s="5" t="str">
        <f t="shared" si="2"/>
        <v>No</v>
      </c>
      <c r="P330" s="5" t="s">
        <v>62</v>
      </c>
      <c r="Q330" s="5">
        <f t="shared" si="3"/>
        <v>0</v>
      </c>
      <c r="R330" s="5">
        <v>0.0</v>
      </c>
    </row>
    <row r="331" ht="22.5" customHeight="1">
      <c r="A331" s="5" t="s">
        <v>1494</v>
      </c>
      <c r="B331" s="5" t="s">
        <v>170</v>
      </c>
      <c r="C331" s="6">
        <v>6.0</v>
      </c>
      <c r="D331" s="6">
        <v>13.0</v>
      </c>
      <c r="E331" s="6">
        <v>7.4</v>
      </c>
      <c r="F331" s="6">
        <f t="shared" si="1"/>
        <v>7</v>
      </c>
      <c r="G331" s="6">
        <v>7.0</v>
      </c>
      <c r="H331" s="6">
        <v>25.0</v>
      </c>
      <c r="I331" s="6">
        <v>22.0</v>
      </c>
      <c r="J331" s="6">
        <v>14.0</v>
      </c>
      <c r="K331" s="6">
        <v>4.0</v>
      </c>
      <c r="L331" s="9">
        <v>44877.0</v>
      </c>
      <c r="M331" s="6">
        <v>5.0</v>
      </c>
      <c r="N331" s="5" t="s">
        <v>113</v>
      </c>
      <c r="O331" s="5" t="str">
        <f t="shared" si="2"/>
        <v>Yes</v>
      </c>
      <c r="P331" s="5" t="s">
        <v>113</v>
      </c>
      <c r="Q331" s="5">
        <f t="shared" si="3"/>
        <v>1</v>
      </c>
      <c r="R331" s="5">
        <v>1.0</v>
      </c>
    </row>
    <row r="332" ht="22.5" customHeight="1">
      <c r="A332" s="5" t="s">
        <v>1498</v>
      </c>
      <c r="B332" s="5" t="s">
        <v>170</v>
      </c>
      <c r="C332" s="6">
        <v>3.0</v>
      </c>
      <c r="D332" s="6">
        <v>5.0</v>
      </c>
      <c r="E332" s="6">
        <v>13.0</v>
      </c>
      <c r="F332" s="6">
        <f t="shared" si="1"/>
        <v>13</v>
      </c>
      <c r="G332" s="6">
        <v>13.0</v>
      </c>
      <c r="H332" s="6">
        <v>9.0</v>
      </c>
      <c r="I332" s="6">
        <v>15.0</v>
      </c>
      <c r="J332" s="6">
        <v>3.0</v>
      </c>
      <c r="K332" s="6">
        <v>2.0</v>
      </c>
      <c r="L332" s="9">
        <v>45273.0</v>
      </c>
      <c r="M332" s="6">
        <v>2.0</v>
      </c>
      <c r="N332" s="5" t="s">
        <v>113</v>
      </c>
      <c r="O332" s="5" t="str">
        <f t="shared" si="2"/>
        <v>No</v>
      </c>
      <c r="P332" s="5" t="s">
        <v>62</v>
      </c>
      <c r="Q332" s="5">
        <f t="shared" si="3"/>
        <v>0</v>
      </c>
      <c r="R332" s="5">
        <v>0.0</v>
      </c>
    </row>
    <row r="333" ht="22.5" customHeight="1">
      <c r="A333" s="5" t="s">
        <v>1501</v>
      </c>
      <c r="B333" s="5" t="s">
        <v>44</v>
      </c>
      <c r="C333" s="6">
        <v>6.0</v>
      </c>
      <c r="D333" s="6">
        <v>21.0</v>
      </c>
      <c r="E333" s="6">
        <v>22.8</v>
      </c>
      <c r="F333" s="6">
        <f t="shared" si="1"/>
        <v>22</v>
      </c>
      <c r="G333" s="6">
        <v>22.0</v>
      </c>
      <c r="H333" s="6">
        <v>29.0</v>
      </c>
      <c r="I333" s="6">
        <v>28.0</v>
      </c>
      <c r="J333" s="6">
        <v>9.0</v>
      </c>
      <c r="K333" s="6">
        <v>2.0</v>
      </c>
      <c r="L333" s="11"/>
      <c r="M333" s="6">
        <v>7.0</v>
      </c>
      <c r="N333" s="5" t="s">
        <v>62</v>
      </c>
      <c r="O333" s="5" t="str">
        <f t="shared" si="2"/>
        <v>Yes</v>
      </c>
      <c r="P333" s="5" t="s">
        <v>113</v>
      </c>
      <c r="Q333" s="5">
        <f t="shared" si="3"/>
        <v>1</v>
      </c>
      <c r="R333" s="5">
        <v>1.0</v>
      </c>
    </row>
    <row r="334" ht="22.5" customHeight="1">
      <c r="A334" s="5" t="s">
        <v>1504</v>
      </c>
      <c r="B334" s="5" t="s">
        <v>65</v>
      </c>
      <c r="C334" s="6">
        <v>4.0</v>
      </c>
      <c r="D334" s="6">
        <v>10.0</v>
      </c>
      <c r="E334" s="6">
        <v>7.8</v>
      </c>
      <c r="F334" s="6">
        <f t="shared" si="1"/>
        <v>7</v>
      </c>
      <c r="G334" s="6">
        <v>7.0</v>
      </c>
      <c r="H334" s="6">
        <v>16.0</v>
      </c>
      <c r="I334" s="6">
        <v>21.0</v>
      </c>
      <c r="J334" s="6">
        <v>5.0</v>
      </c>
      <c r="K334" s="6">
        <v>1.0</v>
      </c>
      <c r="L334" s="9">
        <v>45962.0</v>
      </c>
      <c r="M334" s="6">
        <v>8.0</v>
      </c>
      <c r="N334" s="5" t="s">
        <v>62</v>
      </c>
      <c r="O334" s="5" t="str">
        <f t="shared" si="2"/>
        <v>No</v>
      </c>
      <c r="P334" s="5" t="s">
        <v>62</v>
      </c>
      <c r="Q334" s="5">
        <f t="shared" si="3"/>
        <v>0</v>
      </c>
      <c r="R334" s="5">
        <v>0.0</v>
      </c>
    </row>
    <row r="335" ht="22.5" customHeight="1">
      <c r="A335" s="5" t="s">
        <v>1507</v>
      </c>
      <c r="B335" s="5" t="s">
        <v>84</v>
      </c>
      <c r="C335" s="6">
        <v>4.0</v>
      </c>
      <c r="D335" s="6">
        <v>7.0</v>
      </c>
      <c r="E335" s="6">
        <v>9.1</v>
      </c>
      <c r="F335" s="6">
        <f t="shared" si="1"/>
        <v>9</v>
      </c>
      <c r="G335" s="6">
        <v>9.0</v>
      </c>
      <c r="H335" s="6">
        <v>15.0</v>
      </c>
      <c r="I335" s="6">
        <v>21.0</v>
      </c>
      <c r="J335" s="6">
        <v>19.0</v>
      </c>
      <c r="K335" s="6">
        <v>4.0</v>
      </c>
      <c r="L335" s="9">
        <v>45893.0</v>
      </c>
      <c r="M335" s="6">
        <v>9.0</v>
      </c>
      <c r="N335" s="5" t="s">
        <v>62</v>
      </c>
      <c r="O335" s="5" t="str">
        <f t="shared" si="2"/>
        <v>No</v>
      </c>
      <c r="P335" s="5" t="s">
        <v>62</v>
      </c>
      <c r="Q335" s="5">
        <f t="shared" si="3"/>
        <v>0</v>
      </c>
      <c r="R335" s="5">
        <v>0.0</v>
      </c>
    </row>
    <row r="336" ht="22.5" customHeight="1">
      <c r="A336" s="5" t="s">
        <v>1510</v>
      </c>
      <c r="B336" s="5" t="s">
        <v>170</v>
      </c>
      <c r="C336" s="6">
        <v>4.0</v>
      </c>
      <c r="D336" s="6">
        <v>19.0</v>
      </c>
      <c r="E336" s="6">
        <v>10.7</v>
      </c>
      <c r="F336" s="6">
        <f t="shared" si="1"/>
        <v>10</v>
      </c>
      <c r="G336" s="6">
        <v>10.0</v>
      </c>
      <c r="H336" s="6">
        <v>48.0</v>
      </c>
      <c r="I336" s="6">
        <v>26.0</v>
      </c>
      <c r="J336" s="6">
        <v>1.0</v>
      </c>
      <c r="K336" s="6">
        <v>0.0</v>
      </c>
      <c r="L336" s="9">
        <v>44689.0</v>
      </c>
      <c r="M336" s="6">
        <v>6.0</v>
      </c>
      <c r="N336" s="5" t="s">
        <v>113</v>
      </c>
      <c r="O336" s="5" t="str">
        <f t="shared" si="2"/>
        <v>Yes</v>
      </c>
      <c r="P336" s="5" t="s">
        <v>113</v>
      </c>
      <c r="Q336" s="5">
        <f t="shared" si="3"/>
        <v>1</v>
      </c>
      <c r="R336" s="5">
        <v>1.0</v>
      </c>
    </row>
    <row r="337" ht="22.5" customHeight="1">
      <c r="A337" s="5" t="s">
        <v>1513</v>
      </c>
      <c r="B337" s="5" t="s">
        <v>84</v>
      </c>
      <c r="C337" s="6">
        <v>7.0</v>
      </c>
      <c r="D337" s="6">
        <v>30.0</v>
      </c>
      <c r="E337" s="6">
        <v>12.0</v>
      </c>
      <c r="F337" s="6">
        <f t="shared" si="1"/>
        <v>12</v>
      </c>
      <c r="G337" s="6">
        <v>12.0</v>
      </c>
      <c r="H337" s="6">
        <v>58.0</v>
      </c>
      <c r="I337" s="6">
        <v>26.0</v>
      </c>
      <c r="J337" s="6">
        <v>20.0</v>
      </c>
      <c r="K337" s="6">
        <v>2.0</v>
      </c>
      <c r="L337" s="9">
        <v>45713.0</v>
      </c>
      <c r="M337" s="6">
        <v>6.0</v>
      </c>
      <c r="N337" s="5" t="s">
        <v>62</v>
      </c>
      <c r="O337" s="5" t="str">
        <f t="shared" si="2"/>
        <v>No</v>
      </c>
      <c r="P337" s="5" t="s">
        <v>62</v>
      </c>
      <c r="Q337" s="5">
        <f t="shared" si="3"/>
        <v>0</v>
      </c>
      <c r="R337" s="5">
        <v>0.0</v>
      </c>
    </row>
    <row r="338" ht="22.5" customHeight="1">
      <c r="A338" s="5" t="s">
        <v>1515</v>
      </c>
      <c r="B338" s="5" t="s">
        <v>22</v>
      </c>
      <c r="C338" s="6">
        <v>5.0</v>
      </c>
      <c r="D338" s="6">
        <v>14.0</v>
      </c>
      <c r="E338" s="6">
        <v>4.6</v>
      </c>
      <c r="F338" s="6">
        <f t="shared" si="1"/>
        <v>4</v>
      </c>
      <c r="G338" s="6">
        <v>4.0</v>
      </c>
      <c r="H338" s="6">
        <v>27.0</v>
      </c>
      <c r="I338" s="6">
        <v>20.0</v>
      </c>
      <c r="J338" s="6">
        <v>5.0</v>
      </c>
      <c r="K338" s="6">
        <v>0.0</v>
      </c>
      <c r="L338" s="9">
        <v>45898.0</v>
      </c>
      <c r="M338" s="6">
        <v>8.0</v>
      </c>
      <c r="N338" s="5" t="s">
        <v>62</v>
      </c>
      <c r="O338" s="5" t="str">
        <f t="shared" si="2"/>
        <v>No</v>
      </c>
      <c r="P338" s="5" t="s">
        <v>62</v>
      </c>
      <c r="Q338" s="5">
        <f t="shared" si="3"/>
        <v>0</v>
      </c>
      <c r="R338" s="5">
        <v>0.0</v>
      </c>
    </row>
    <row r="339" ht="22.5" customHeight="1">
      <c r="A339" s="5" t="s">
        <v>1516</v>
      </c>
      <c r="B339" s="5" t="s">
        <v>84</v>
      </c>
      <c r="C339" s="6">
        <v>6.0</v>
      </c>
      <c r="D339" s="6">
        <v>14.0</v>
      </c>
      <c r="E339" s="6">
        <v>8.1</v>
      </c>
      <c r="F339" s="6">
        <f t="shared" si="1"/>
        <v>8</v>
      </c>
      <c r="G339" s="6">
        <v>8.0</v>
      </c>
      <c r="H339" s="6">
        <v>36.0</v>
      </c>
      <c r="I339" s="6">
        <v>21.0</v>
      </c>
      <c r="J339" s="6">
        <v>11.0</v>
      </c>
      <c r="K339" s="6">
        <v>1.0</v>
      </c>
      <c r="L339" s="9">
        <v>45681.0</v>
      </c>
      <c r="M339" s="6">
        <v>8.0</v>
      </c>
      <c r="N339" s="5" t="s">
        <v>62</v>
      </c>
      <c r="O339" s="5" t="str">
        <f t="shared" si="2"/>
        <v>No</v>
      </c>
      <c r="P339" s="5" t="s">
        <v>62</v>
      </c>
      <c r="Q339" s="5">
        <f t="shared" si="3"/>
        <v>0</v>
      </c>
      <c r="R339" s="5">
        <v>0.0</v>
      </c>
    </row>
    <row r="340" ht="22.5" customHeight="1">
      <c r="A340" s="5" t="s">
        <v>1517</v>
      </c>
      <c r="B340" s="5" t="s">
        <v>22</v>
      </c>
      <c r="C340" s="6">
        <v>6.0</v>
      </c>
      <c r="D340" s="6">
        <v>19.0</v>
      </c>
      <c r="E340" s="6">
        <v>12.0</v>
      </c>
      <c r="F340" s="6">
        <f t="shared" si="1"/>
        <v>12</v>
      </c>
      <c r="G340" s="6">
        <v>12.0</v>
      </c>
      <c r="H340" s="6">
        <v>18.0</v>
      </c>
      <c r="I340" s="6">
        <v>33.0</v>
      </c>
      <c r="J340" s="6">
        <v>6.0</v>
      </c>
      <c r="K340" s="6">
        <v>0.0</v>
      </c>
      <c r="L340" s="9">
        <v>45775.0</v>
      </c>
      <c r="M340" s="6">
        <v>6.0</v>
      </c>
      <c r="N340" s="5" t="s">
        <v>62</v>
      </c>
      <c r="O340" s="5" t="str">
        <f t="shared" si="2"/>
        <v>No</v>
      </c>
      <c r="P340" s="5" t="s">
        <v>62</v>
      </c>
      <c r="Q340" s="5">
        <f t="shared" si="3"/>
        <v>0</v>
      </c>
      <c r="R340" s="5">
        <v>0.0</v>
      </c>
    </row>
    <row r="341" ht="22.5" customHeight="1">
      <c r="A341" s="5" t="s">
        <v>1522</v>
      </c>
      <c r="B341" s="5" t="s">
        <v>84</v>
      </c>
      <c r="C341" s="6">
        <v>8.0</v>
      </c>
      <c r="D341" s="6">
        <v>41.0</v>
      </c>
      <c r="E341" s="6">
        <v>14.5</v>
      </c>
      <c r="F341" s="6">
        <f t="shared" si="1"/>
        <v>14</v>
      </c>
      <c r="G341" s="6">
        <v>14.0</v>
      </c>
      <c r="H341" s="6">
        <v>49.0</v>
      </c>
      <c r="I341" s="6">
        <v>34.0</v>
      </c>
      <c r="J341" s="6">
        <v>11.0</v>
      </c>
      <c r="K341" s="6">
        <v>5.0</v>
      </c>
      <c r="L341" s="9">
        <v>46194.0</v>
      </c>
      <c r="M341" s="6">
        <v>10.0</v>
      </c>
      <c r="N341" s="5" t="s">
        <v>62</v>
      </c>
      <c r="O341" s="5" t="str">
        <f t="shared" si="2"/>
        <v>No</v>
      </c>
      <c r="P341" s="5" t="s">
        <v>62</v>
      </c>
      <c r="Q341" s="5">
        <f t="shared" si="3"/>
        <v>0</v>
      </c>
      <c r="R341" s="5">
        <v>0.0</v>
      </c>
    </row>
    <row r="342" ht="22.5" customHeight="1">
      <c r="A342" s="5" t="s">
        <v>1524</v>
      </c>
      <c r="B342" s="5" t="s">
        <v>65</v>
      </c>
      <c r="C342" s="6">
        <v>6.0</v>
      </c>
      <c r="D342" s="6">
        <v>20.0</v>
      </c>
      <c r="E342" s="6">
        <v>6.1</v>
      </c>
      <c r="F342" s="6">
        <f t="shared" si="1"/>
        <v>6</v>
      </c>
      <c r="G342" s="6">
        <v>6.0</v>
      </c>
      <c r="H342" s="6">
        <v>16.0</v>
      </c>
      <c r="I342" s="6">
        <v>11.0</v>
      </c>
      <c r="J342" s="6">
        <v>11.0</v>
      </c>
      <c r="K342" s="6">
        <v>1.0</v>
      </c>
      <c r="L342" s="9">
        <v>44767.0</v>
      </c>
      <c r="M342" s="6">
        <v>4.0</v>
      </c>
      <c r="N342" s="5" t="s">
        <v>113</v>
      </c>
      <c r="O342" s="5" t="str">
        <f t="shared" si="2"/>
        <v>Yes</v>
      </c>
      <c r="P342" s="5" t="s">
        <v>113</v>
      </c>
      <c r="Q342" s="5">
        <f t="shared" si="3"/>
        <v>1</v>
      </c>
      <c r="R342" s="5">
        <v>1.0</v>
      </c>
    </row>
    <row r="343" ht="22.5" customHeight="1">
      <c r="A343" s="5" t="s">
        <v>1528</v>
      </c>
      <c r="B343" s="5" t="s">
        <v>170</v>
      </c>
      <c r="C343" s="6">
        <v>4.0</v>
      </c>
      <c r="D343" s="6">
        <v>20.0</v>
      </c>
      <c r="E343" s="6">
        <v>8.0</v>
      </c>
      <c r="F343" s="6">
        <f t="shared" si="1"/>
        <v>8</v>
      </c>
      <c r="G343" s="6">
        <v>8.0</v>
      </c>
      <c r="H343" s="6">
        <v>49.0</v>
      </c>
      <c r="I343" s="6">
        <v>31.0</v>
      </c>
      <c r="J343" s="6">
        <v>6.0</v>
      </c>
      <c r="K343" s="6">
        <v>5.0</v>
      </c>
      <c r="L343" s="9">
        <v>45872.0</v>
      </c>
      <c r="M343" s="6">
        <v>7.0</v>
      </c>
      <c r="N343" s="5" t="s">
        <v>62</v>
      </c>
      <c r="O343" s="5" t="str">
        <f t="shared" si="2"/>
        <v>No</v>
      </c>
      <c r="P343" s="5" t="s">
        <v>62</v>
      </c>
      <c r="Q343" s="5">
        <f t="shared" si="3"/>
        <v>0</v>
      </c>
      <c r="R343" s="5">
        <v>0.0</v>
      </c>
    </row>
    <row r="344" ht="22.5" customHeight="1">
      <c r="A344" s="5" t="s">
        <v>1530</v>
      </c>
      <c r="B344" s="5" t="s">
        <v>22</v>
      </c>
      <c r="C344" s="6">
        <v>5.0</v>
      </c>
      <c r="D344" s="6">
        <v>10.0</v>
      </c>
      <c r="E344" s="6">
        <v>8.6</v>
      </c>
      <c r="F344" s="6">
        <f t="shared" si="1"/>
        <v>8</v>
      </c>
      <c r="G344" s="6">
        <v>8.0</v>
      </c>
      <c r="H344" s="6">
        <v>10.0</v>
      </c>
      <c r="I344" s="6">
        <v>36.0</v>
      </c>
      <c r="J344" s="6">
        <v>11.0</v>
      </c>
      <c r="K344" s="6">
        <v>5.0</v>
      </c>
      <c r="L344" s="9">
        <v>44879.0</v>
      </c>
      <c r="M344" s="6">
        <v>3.0</v>
      </c>
      <c r="N344" s="5" t="s">
        <v>113</v>
      </c>
      <c r="O344" s="5" t="str">
        <f t="shared" si="2"/>
        <v>Yes</v>
      </c>
      <c r="P344" s="5" t="s">
        <v>113</v>
      </c>
      <c r="Q344" s="5">
        <f t="shared" si="3"/>
        <v>1</v>
      </c>
      <c r="R344" s="5">
        <v>1.0</v>
      </c>
    </row>
    <row r="345" ht="22.5" customHeight="1">
      <c r="A345" s="5" t="s">
        <v>1534</v>
      </c>
      <c r="B345" s="5" t="s">
        <v>65</v>
      </c>
      <c r="C345" s="6">
        <v>8.0</v>
      </c>
      <c r="D345" s="6">
        <v>40.0</v>
      </c>
      <c r="E345" s="6">
        <v>6.8</v>
      </c>
      <c r="F345" s="6">
        <f t="shared" si="1"/>
        <v>6</v>
      </c>
      <c r="G345" s="6">
        <v>6.0</v>
      </c>
      <c r="H345" s="6">
        <v>17.0</v>
      </c>
      <c r="I345" s="6">
        <v>37.0</v>
      </c>
      <c r="J345" s="6">
        <v>9.0</v>
      </c>
      <c r="K345" s="6">
        <v>3.0</v>
      </c>
      <c r="L345" s="9">
        <v>45828.0</v>
      </c>
      <c r="M345" s="6">
        <v>4.0</v>
      </c>
      <c r="N345" s="5" t="s">
        <v>62</v>
      </c>
      <c r="O345" s="5" t="str">
        <f t="shared" si="2"/>
        <v>No</v>
      </c>
      <c r="P345" s="5" t="s">
        <v>62</v>
      </c>
      <c r="Q345" s="5">
        <f t="shared" si="3"/>
        <v>0</v>
      </c>
      <c r="R345" s="5">
        <v>0.0</v>
      </c>
    </row>
    <row r="346" ht="22.5" customHeight="1">
      <c r="A346" s="5" t="s">
        <v>1536</v>
      </c>
      <c r="B346" s="5" t="s">
        <v>84</v>
      </c>
      <c r="C346" s="6">
        <v>6.0</v>
      </c>
      <c r="D346" s="6">
        <v>15.0</v>
      </c>
      <c r="E346" s="6">
        <v>7.9</v>
      </c>
      <c r="F346" s="6">
        <f t="shared" si="1"/>
        <v>7</v>
      </c>
      <c r="G346" s="6">
        <v>7.0</v>
      </c>
      <c r="H346" s="6">
        <v>12.0</v>
      </c>
      <c r="I346" s="6">
        <v>29.0</v>
      </c>
      <c r="J346" s="6">
        <v>7.0</v>
      </c>
      <c r="K346" s="6">
        <v>2.0</v>
      </c>
      <c r="L346" s="9">
        <v>44698.0</v>
      </c>
      <c r="M346" s="6">
        <v>1.0</v>
      </c>
      <c r="N346" s="5" t="s">
        <v>113</v>
      </c>
      <c r="O346" s="5" t="str">
        <f t="shared" si="2"/>
        <v>Yes</v>
      </c>
      <c r="P346" s="5" t="s">
        <v>113</v>
      </c>
      <c r="Q346" s="5">
        <f t="shared" si="3"/>
        <v>1</v>
      </c>
      <c r="R346" s="5">
        <v>1.0</v>
      </c>
    </row>
    <row r="347" ht="22.5" customHeight="1">
      <c r="A347" s="5" t="s">
        <v>1539</v>
      </c>
      <c r="B347" s="5" t="s">
        <v>44</v>
      </c>
      <c r="C347" s="6">
        <v>8.0</v>
      </c>
      <c r="D347" s="6">
        <v>36.0</v>
      </c>
      <c r="E347" s="6">
        <v>1.2</v>
      </c>
      <c r="F347" s="6">
        <f t="shared" si="1"/>
        <v>1</v>
      </c>
      <c r="G347" s="6">
        <v>1.0</v>
      </c>
      <c r="H347" s="6">
        <v>52.0</v>
      </c>
      <c r="I347" s="6">
        <v>17.0</v>
      </c>
      <c r="J347" s="6">
        <v>17.0</v>
      </c>
      <c r="K347" s="6">
        <v>0.0</v>
      </c>
      <c r="L347" s="9">
        <v>45271.0</v>
      </c>
      <c r="M347" s="6">
        <v>3.0</v>
      </c>
      <c r="N347" s="5" t="s">
        <v>113</v>
      </c>
      <c r="O347" s="5" t="str">
        <f t="shared" si="2"/>
        <v>No</v>
      </c>
      <c r="P347" s="5" t="s">
        <v>62</v>
      </c>
      <c r="Q347" s="5">
        <f t="shared" si="3"/>
        <v>0</v>
      </c>
      <c r="R347" s="5">
        <v>0.0</v>
      </c>
    </row>
    <row r="348" ht="22.5" customHeight="1">
      <c r="A348" s="5" t="s">
        <v>1542</v>
      </c>
      <c r="B348" s="5" t="s">
        <v>65</v>
      </c>
      <c r="C348" s="6">
        <v>9.0</v>
      </c>
      <c r="D348" s="6">
        <v>36.0</v>
      </c>
      <c r="E348" s="6">
        <v>30.6</v>
      </c>
      <c r="F348" s="6">
        <f t="shared" si="1"/>
        <v>30</v>
      </c>
      <c r="G348" s="6">
        <v>30.0</v>
      </c>
      <c r="H348" s="6">
        <v>11.0</v>
      </c>
      <c r="I348" s="6">
        <v>30.0</v>
      </c>
      <c r="J348" s="6">
        <v>12.0</v>
      </c>
      <c r="K348" s="6">
        <v>4.0</v>
      </c>
      <c r="L348" s="9">
        <v>45419.0</v>
      </c>
      <c r="M348" s="6">
        <v>5.0</v>
      </c>
      <c r="N348" s="5" t="s">
        <v>113</v>
      </c>
      <c r="O348" s="5" t="str">
        <f t="shared" si="2"/>
        <v>No</v>
      </c>
      <c r="P348" s="5" t="s">
        <v>62</v>
      </c>
      <c r="Q348" s="5">
        <f t="shared" si="3"/>
        <v>0</v>
      </c>
      <c r="R348" s="5">
        <v>0.0</v>
      </c>
    </row>
    <row r="349" ht="22.5" customHeight="1">
      <c r="A349" s="5" t="s">
        <v>1544</v>
      </c>
      <c r="B349" s="5" t="s">
        <v>22</v>
      </c>
      <c r="C349" s="6">
        <v>8.0</v>
      </c>
      <c r="D349" s="6">
        <v>45.0</v>
      </c>
      <c r="E349" s="6">
        <v>6.0</v>
      </c>
      <c r="F349" s="6">
        <f t="shared" si="1"/>
        <v>6</v>
      </c>
      <c r="G349" s="6">
        <v>6.0</v>
      </c>
      <c r="H349" s="6">
        <v>39.0</v>
      </c>
      <c r="I349" s="6">
        <v>18.0</v>
      </c>
      <c r="J349" s="6">
        <v>2.0</v>
      </c>
      <c r="K349" s="6">
        <v>5.0</v>
      </c>
      <c r="L349" s="9">
        <v>45468.0</v>
      </c>
      <c r="M349" s="6">
        <v>1.0</v>
      </c>
      <c r="N349" s="5" t="s">
        <v>113</v>
      </c>
      <c r="O349" s="5" t="str">
        <f t="shared" si="2"/>
        <v>No</v>
      </c>
      <c r="P349" s="5" t="s">
        <v>62</v>
      </c>
      <c r="Q349" s="5">
        <f t="shared" si="3"/>
        <v>0</v>
      </c>
      <c r="R349" s="5">
        <v>0.0</v>
      </c>
    </row>
    <row r="350" ht="22.5" customHeight="1">
      <c r="A350" s="5" t="s">
        <v>1548</v>
      </c>
      <c r="B350" s="5" t="s">
        <v>170</v>
      </c>
      <c r="C350" s="6">
        <v>6.0</v>
      </c>
      <c r="D350" s="6">
        <v>19.0</v>
      </c>
      <c r="E350" s="6">
        <v>6.2</v>
      </c>
      <c r="F350" s="6">
        <f t="shared" si="1"/>
        <v>6</v>
      </c>
      <c r="G350" s="6">
        <v>6.0</v>
      </c>
      <c r="H350" s="6">
        <v>16.0</v>
      </c>
      <c r="I350" s="6">
        <v>22.0</v>
      </c>
      <c r="J350" s="8"/>
      <c r="K350" s="6">
        <v>0.0</v>
      </c>
      <c r="L350" s="9">
        <v>44718.0</v>
      </c>
      <c r="M350" s="6">
        <v>3.0</v>
      </c>
      <c r="N350" s="5" t="s">
        <v>113</v>
      </c>
      <c r="O350" s="5" t="str">
        <f t="shared" si="2"/>
        <v>Yes</v>
      </c>
      <c r="P350" s="5" t="s">
        <v>113</v>
      </c>
      <c r="Q350" s="5">
        <f t="shared" si="3"/>
        <v>1</v>
      </c>
      <c r="R350" s="5">
        <v>1.0</v>
      </c>
    </row>
    <row r="351" ht="22.5" customHeight="1">
      <c r="A351" s="5" t="s">
        <v>1550</v>
      </c>
      <c r="B351" s="5" t="s">
        <v>65</v>
      </c>
      <c r="C351" s="6">
        <v>9.0</v>
      </c>
      <c r="D351" s="6">
        <v>16.0</v>
      </c>
      <c r="E351" s="6">
        <v>2.0</v>
      </c>
      <c r="F351" s="6">
        <f t="shared" si="1"/>
        <v>2</v>
      </c>
      <c r="G351" s="6">
        <v>2.0</v>
      </c>
      <c r="H351" s="6">
        <v>8.0</v>
      </c>
      <c r="I351" s="6">
        <v>28.0</v>
      </c>
      <c r="J351" s="8"/>
      <c r="K351" s="6">
        <v>0.0</v>
      </c>
      <c r="L351" s="9">
        <v>45623.0</v>
      </c>
      <c r="M351" s="6">
        <v>4.0</v>
      </c>
      <c r="N351" s="5" t="s">
        <v>62</v>
      </c>
      <c r="O351" s="5" t="str">
        <f t="shared" si="2"/>
        <v>No</v>
      </c>
      <c r="P351" s="5" t="s">
        <v>62</v>
      </c>
      <c r="Q351" s="5">
        <f t="shared" si="3"/>
        <v>0</v>
      </c>
      <c r="R351" s="5">
        <v>0.0</v>
      </c>
    </row>
    <row r="352" ht="22.5" customHeight="1">
      <c r="A352" s="5" t="s">
        <v>1553</v>
      </c>
      <c r="B352" s="5" t="s">
        <v>170</v>
      </c>
      <c r="C352" s="6">
        <v>5.0</v>
      </c>
      <c r="D352" s="6">
        <v>8.0</v>
      </c>
      <c r="E352" s="6">
        <v>1.7</v>
      </c>
      <c r="F352" s="6">
        <f t="shared" si="1"/>
        <v>1</v>
      </c>
      <c r="G352" s="6">
        <v>1.0</v>
      </c>
      <c r="H352" s="6">
        <v>25.0</v>
      </c>
      <c r="I352" s="6">
        <v>19.0</v>
      </c>
      <c r="J352" s="6">
        <v>13.0</v>
      </c>
      <c r="K352" s="6">
        <v>4.0</v>
      </c>
      <c r="L352" s="11"/>
      <c r="M352" s="6">
        <v>7.0</v>
      </c>
      <c r="N352" s="5" t="s">
        <v>62</v>
      </c>
      <c r="O352" s="5" t="str">
        <f t="shared" si="2"/>
        <v>Yes</v>
      </c>
      <c r="P352" s="5" t="s">
        <v>113</v>
      </c>
      <c r="Q352" s="5">
        <f t="shared" si="3"/>
        <v>1</v>
      </c>
      <c r="R352" s="5">
        <v>1.0</v>
      </c>
    </row>
    <row r="353" ht="22.5" customHeight="1">
      <c r="A353" s="5" t="s">
        <v>1556</v>
      </c>
      <c r="B353" s="5" t="s">
        <v>84</v>
      </c>
      <c r="C353" s="6">
        <v>7.0</v>
      </c>
      <c r="D353" s="6">
        <v>37.0</v>
      </c>
      <c r="E353" s="6">
        <v>8.9</v>
      </c>
      <c r="F353" s="6">
        <f t="shared" si="1"/>
        <v>8</v>
      </c>
      <c r="G353" s="6">
        <v>8.0</v>
      </c>
      <c r="H353" s="6">
        <v>15.0</v>
      </c>
      <c r="I353" s="6">
        <v>16.0</v>
      </c>
      <c r="J353" s="6">
        <v>19.0</v>
      </c>
      <c r="K353" s="6">
        <v>2.0</v>
      </c>
      <c r="L353" s="9">
        <v>44793.0</v>
      </c>
      <c r="M353" s="6">
        <v>2.0</v>
      </c>
      <c r="N353" s="5" t="s">
        <v>113</v>
      </c>
      <c r="O353" s="5" t="str">
        <f t="shared" si="2"/>
        <v>Yes</v>
      </c>
      <c r="P353" s="5" t="s">
        <v>113</v>
      </c>
      <c r="Q353" s="5">
        <f t="shared" si="3"/>
        <v>1</v>
      </c>
      <c r="R353" s="5">
        <v>1.0</v>
      </c>
    </row>
    <row r="354" ht="22.5" customHeight="1">
      <c r="A354" s="5" t="s">
        <v>1558</v>
      </c>
      <c r="B354" s="5" t="s">
        <v>44</v>
      </c>
      <c r="C354" s="6">
        <v>9.0</v>
      </c>
      <c r="D354" s="6">
        <v>35.0</v>
      </c>
      <c r="E354" s="6">
        <v>12.1</v>
      </c>
      <c r="F354" s="6">
        <f t="shared" si="1"/>
        <v>12</v>
      </c>
      <c r="G354" s="6">
        <v>12.0</v>
      </c>
      <c r="H354" s="6">
        <v>14.0</v>
      </c>
      <c r="I354" s="6">
        <v>29.0</v>
      </c>
      <c r="J354" s="6">
        <v>10.0</v>
      </c>
      <c r="K354" s="6">
        <v>1.0</v>
      </c>
      <c r="L354" s="9">
        <v>45808.0</v>
      </c>
      <c r="M354" s="6">
        <v>7.0</v>
      </c>
      <c r="N354" s="5" t="s">
        <v>62</v>
      </c>
      <c r="O354" s="5" t="str">
        <f t="shared" si="2"/>
        <v>No</v>
      </c>
      <c r="P354" s="5" t="s">
        <v>62</v>
      </c>
      <c r="Q354" s="5">
        <f t="shared" si="3"/>
        <v>0</v>
      </c>
      <c r="R354" s="5">
        <v>0.0</v>
      </c>
    </row>
    <row r="355" ht="22.5" customHeight="1">
      <c r="A355" s="5" t="s">
        <v>1561</v>
      </c>
      <c r="B355" s="5" t="s">
        <v>84</v>
      </c>
      <c r="C355" s="6">
        <v>7.0</v>
      </c>
      <c r="D355" s="6">
        <v>35.0</v>
      </c>
      <c r="E355" s="6">
        <v>10.8</v>
      </c>
      <c r="F355" s="6">
        <f t="shared" si="1"/>
        <v>10</v>
      </c>
      <c r="G355" s="6">
        <v>10.0</v>
      </c>
      <c r="H355" s="6">
        <v>59.0</v>
      </c>
      <c r="I355" s="6">
        <v>40.0</v>
      </c>
      <c r="J355" s="6">
        <v>15.0</v>
      </c>
      <c r="K355" s="6">
        <v>1.0</v>
      </c>
      <c r="L355" s="9">
        <v>44697.0</v>
      </c>
      <c r="M355" s="6">
        <v>2.0</v>
      </c>
      <c r="N355" s="5" t="s">
        <v>113</v>
      </c>
      <c r="O355" s="5" t="str">
        <f t="shared" si="2"/>
        <v>Yes</v>
      </c>
      <c r="P355" s="5" t="s">
        <v>113</v>
      </c>
      <c r="Q355" s="5">
        <f t="shared" si="3"/>
        <v>1</v>
      </c>
      <c r="R355" s="5">
        <v>1.0</v>
      </c>
    </row>
    <row r="356" ht="22.5" customHeight="1">
      <c r="A356" s="5" t="s">
        <v>1564</v>
      </c>
      <c r="B356" s="5" t="s">
        <v>22</v>
      </c>
      <c r="C356" s="6">
        <v>4.0</v>
      </c>
      <c r="D356" s="6">
        <v>10.0</v>
      </c>
      <c r="E356" s="6">
        <v>3.8</v>
      </c>
      <c r="F356" s="6">
        <f t="shared" si="1"/>
        <v>3</v>
      </c>
      <c r="G356" s="6">
        <v>3.0</v>
      </c>
      <c r="H356" s="6">
        <v>10.0</v>
      </c>
      <c r="I356" s="6">
        <v>35.0</v>
      </c>
      <c r="J356" s="6">
        <v>10.0</v>
      </c>
      <c r="K356" s="6">
        <v>0.0</v>
      </c>
      <c r="L356" s="11"/>
      <c r="M356" s="6">
        <v>8.0</v>
      </c>
      <c r="N356" s="5" t="s">
        <v>62</v>
      </c>
      <c r="O356" s="5" t="str">
        <f t="shared" si="2"/>
        <v>Yes</v>
      </c>
      <c r="P356" s="5" t="s">
        <v>113</v>
      </c>
      <c r="Q356" s="5">
        <f t="shared" si="3"/>
        <v>1</v>
      </c>
      <c r="R356" s="5">
        <v>1.0</v>
      </c>
    </row>
    <row r="357" ht="22.5" customHeight="1">
      <c r="A357" s="5" t="s">
        <v>1567</v>
      </c>
      <c r="B357" s="5" t="s">
        <v>65</v>
      </c>
      <c r="C357" s="6">
        <v>9.0</v>
      </c>
      <c r="D357" s="6">
        <v>27.0</v>
      </c>
      <c r="E357" s="6">
        <v>10.5</v>
      </c>
      <c r="F357" s="6">
        <f t="shared" si="1"/>
        <v>10</v>
      </c>
      <c r="G357" s="6">
        <v>10.0</v>
      </c>
      <c r="H357" s="6">
        <v>57.0</v>
      </c>
      <c r="I357" s="6">
        <v>31.0</v>
      </c>
      <c r="J357" s="6">
        <v>12.0</v>
      </c>
      <c r="K357" s="6">
        <v>4.0</v>
      </c>
      <c r="L357" s="9">
        <v>45349.0</v>
      </c>
      <c r="M357" s="6">
        <v>3.0</v>
      </c>
      <c r="N357" s="5" t="s">
        <v>113</v>
      </c>
      <c r="O357" s="5" t="str">
        <f t="shared" si="2"/>
        <v>No</v>
      </c>
      <c r="P357" s="5" t="s">
        <v>62</v>
      </c>
      <c r="Q357" s="5">
        <f t="shared" si="3"/>
        <v>0</v>
      </c>
      <c r="R357" s="5">
        <v>0.0</v>
      </c>
    </row>
    <row r="358" ht="22.5" customHeight="1">
      <c r="A358" s="5" t="s">
        <v>1571</v>
      </c>
      <c r="B358" s="5" t="s">
        <v>84</v>
      </c>
      <c r="C358" s="6">
        <v>5.0</v>
      </c>
      <c r="D358" s="6">
        <v>8.0</v>
      </c>
      <c r="E358" s="6">
        <v>6.2</v>
      </c>
      <c r="F358" s="6">
        <f t="shared" si="1"/>
        <v>6</v>
      </c>
      <c r="G358" s="6">
        <v>6.0</v>
      </c>
      <c r="H358" s="6">
        <v>25.0</v>
      </c>
      <c r="I358" s="6">
        <v>33.0</v>
      </c>
      <c r="J358" s="6">
        <v>16.0</v>
      </c>
      <c r="K358" s="6">
        <v>3.0</v>
      </c>
      <c r="L358" s="11"/>
      <c r="M358" s="6">
        <v>3.0</v>
      </c>
      <c r="N358" s="5" t="s">
        <v>113</v>
      </c>
      <c r="O358" s="5" t="str">
        <f t="shared" si="2"/>
        <v>Yes</v>
      </c>
      <c r="P358" s="5" t="s">
        <v>113</v>
      </c>
      <c r="Q358" s="5">
        <f t="shared" si="3"/>
        <v>1</v>
      </c>
      <c r="R358" s="5">
        <v>1.0</v>
      </c>
    </row>
    <row r="359" ht="22.5" customHeight="1">
      <c r="A359" s="5" t="s">
        <v>1574</v>
      </c>
      <c r="B359" s="5" t="s">
        <v>84</v>
      </c>
      <c r="C359" s="6">
        <v>8.0</v>
      </c>
      <c r="D359" s="6">
        <v>47.0</v>
      </c>
      <c r="E359" s="6">
        <v>5.3</v>
      </c>
      <c r="F359" s="6">
        <f t="shared" si="1"/>
        <v>5</v>
      </c>
      <c r="G359" s="6">
        <v>5.0</v>
      </c>
      <c r="H359" s="6">
        <v>48.0</v>
      </c>
      <c r="I359" s="6">
        <v>30.0</v>
      </c>
      <c r="J359" s="6">
        <v>10.0</v>
      </c>
      <c r="K359" s="6">
        <v>5.0</v>
      </c>
      <c r="L359" s="9">
        <v>46231.0</v>
      </c>
      <c r="M359" s="6">
        <v>8.0</v>
      </c>
      <c r="N359" s="5" t="s">
        <v>62</v>
      </c>
      <c r="O359" s="5" t="str">
        <f t="shared" si="2"/>
        <v>No</v>
      </c>
      <c r="P359" s="5" t="s">
        <v>62</v>
      </c>
      <c r="Q359" s="5">
        <f t="shared" si="3"/>
        <v>0</v>
      </c>
      <c r="R359" s="5">
        <v>0.0</v>
      </c>
    </row>
    <row r="360" ht="22.5" customHeight="1">
      <c r="A360" s="5" t="s">
        <v>1577</v>
      </c>
      <c r="B360" s="5" t="s">
        <v>44</v>
      </c>
      <c r="C360" s="6">
        <v>3.0</v>
      </c>
      <c r="D360" s="6">
        <v>14.0</v>
      </c>
      <c r="E360" s="6">
        <v>2.5</v>
      </c>
      <c r="F360" s="6">
        <f t="shared" si="1"/>
        <v>2</v>
      </c>
      <c r="G360" s="6">
        <v>2.0</v>
      </c>
      <c r="H360" s="6">
        <v>19.0</v>
      </c>
      <c r="I360" s="6">
        <v>29.0</v>
      </c>
      <c r="J360" s="6">
        <v>13.0</v>
      </c>
      <c r="K360" s="6">
        <v>1.0</v>
      </c>
      <c r="L360" s="9">
        <v>45663.0</v>
      </c>
      <c r="M360" s="6">
        <v>8.0</v>
      </c>
      <c r="N360" s="5" t="s">
        <v>62</v>
      </c>
      <c r="O360" s="5" t="str">
        <f t="shared" si="2"/>
        <v>No</v>
      </c>
      <c r="P360" s="5" t="s">
        <v>62</v>
      </c>
      <c r="Q360" s="5">
        <f t="shared" si="3"/>
        <v>0</v>
      </c>
      <c r="R360" s="5">
        <v>0.0</v>
      </c>
    </row>
    <row r="361" ht="22.5" customHeight="1">
      <c r="A361" s="5" t="s">
        <v>1579</v>
      </c>
      <c r="B361" s="5" t="s">
        <v>22</v>
      </c>
      <c r="C361" s="6">
        <v>11.0</v>
      </c>
      <c r="D361" s="6">
        <v>63.0</v>
      </c>
      <c r="E361" s="6">
        <v>4.2</v>
      </c>
      <c r="F361" s="6">
        <f t="shared" si="1"/>
        <v>4</v>
      </c>
      <c r="G361" s="6">
        <v>4.0</v>
      </c>
      <c r="H361" s="6">
        <v>20.0</v>
      </c>
      <c r="I361" s="6">
        <v>32.0</v>
      </c>
      <c r="J361" s="6">
        <v>13.0</v>
      </c>
      <c r="K361" s="6">
        <v>1.0</v>
      </c>
      <c r="L361" s="9">
        <v>44971.0</v>
      </c>
      <c r="M361" s="6">
        <v>2.0</v>
      </c>
      <c r="N361" s="5" t="s">
        <v>113</v>
      </c>
      <c r="O361" s="5" t="str">
        <f t="shared" si="2"/>
        <v>Yes</v>
      </c>
      <c r="P361" s="5" t="s">
        <v>113</v>
      </c>
      <c r="Q361" s="5">
        <f t="shared" si="3"/>
        <v>1</v>
      </c>
      <c r="R361" s="5">
        <v>1.0</v>
      </c>
    </row>
    <row r="362" ht="22.5" customHeight="1">
      <c r="A362" s="5" t="s">
        <v>1582</v>
      </c>
      <c r="B362" s="5" t="s">
        <v>44</v>
      </c>
      <c r="C362" s="6">
        <v>7.0</v>
      </c>
      <c r="D362" s="6">
        <v>19.0</v>
      </c>
      <c r="E362" s="6">
        <v>9.0</v>
      </c>
      <c r="F362" s="6">
        <f t="shared" si="1"/>
        <v>9</v>
      </c>
      <c r="G362" s="6">
        <v>9.0</v>
      </c>
      <c r="H362" s="6">
        <v>25.0</v>
      </c>
      <c r="I362" s="6">
        <v>14.0</v>
      </c>
      <c r="J362" s="6">
        <v>20.0</v>
      </c>
      <c r="K362" s="6">
        <v>0.0</v>
      </c>
      <c r="L362" s="9">
        <v>45768.0</v>
      </c>
      <c r="M362" s="6">
        <v>8.0</v>
      </c>
      <c r="N362" s="5" t="s">
        <v>62</v>
      </c>
      <c r="O362" s="5" t="str">
        <f t="shared" si="2"/>
        <v>No</v>
      </c>
      <c r="P362" s="5" t="s">
        <v>62</v>
      </c>
      <c r="Q362" s="5">
        <f t="shared" si="3"/>
        <v>0</v>
      </c>
      <c r="R362" s="5">
        <v>0.0</v>
      </c>
    </row>
    <row r="363" ht="22.5" customHeight="1">
      <c r="A363" s="5" t="s">
        <v>1585</v>
      </c>
      <c r="B363" s="5" t="s">
        <v>44</v>
      </c>
      <c r="C363" s="6">
        <v>5.0</v>
      </c>
      <c r="D363" s="6">
        <v>21.0</v>
      </c>
      <c r="E363" s="6">
        <v>8.1</v>
      </c>
      <c r="F363" s="6">
        <f t="shared" si="1"/>
        <v>8</v>
      </c>
      <c r="G363" s="6">
        <v>8.0</v>
      </c>
      <c r="H363" s="6">
        <v>11.0</v>
      </c>
      <c r="I363" s="6">
        <v>27.0</v>
      </c>
      <c r="J363" s="6">
        <v>5.0</v>
      </c>
      <c r="K363" s="6">
        <v>3.0</v>
      </c>
      <c r="L363" s="9">
        <v>45787.0</v>
      </c>
      <c r="M363" s="6">
        <v>6.0</v>
      </c>
      <c r="N363" s="5" t="s">
        <v>62</v>
      </c>
      <c r="O363" s="5" t="str">
        <f t="shared" si="2"/>
        <v>No</v>
      </c>
      <c r="P363" s="5" t="s">
        <v>62</v>
      </c>
      <c r="Q363" s="5">
        <f t="shared" si="3"/>
        <v>0</v>
      </c>
      <c r="R363" s="5">
        <v>0.0</v>
      </c>
    </row>
    <row r="364" ht="22.5" customHeight="1">
      <c r="A364" s="5" t="s">
        <v>1588</v>
      </c>
      <c r="B364" s="5" t="s">
        <v>22</v>
      </c>
      <c r="C364" s="6">
        <v>6.0</v>
      </c>
      <c r="D364" s="6">
        <v>27.0</v>
      </c>
      <c r="E364" s="6">
        <v>7.4</v>
      </c>
      <c r="F364" s="6">
        <f t="shared" si="1"/>
        <v>7</v>
      </c>
      <c r="G364" s="6">
        <v>7.0</v>
      </c>
      <c r="H364" s="6">
        <v>52.0</v>
      </c>
      <c r="I364" s="6">
        <v>24.0</v>
      </c>
      <c r="J364" s="6">
        <v>4.0</v>
      </c>
      <c r="K364" s="6">
        <v>2.0</v>
      </c>
      <c r="L364" s="9">
        <v>46241.0</v>
      </c>
      <c r="M364" s="6">
        <v>8.0</v>
      </c>
      <c r="N364" s="5" t="s">
        <v>62</v>
      </c>
      <c r="O364" s="5" t="str">
        <f t="shared" si="2"/>
        <v>No</v>
      </c>
      <c r="P364" s="5" t="s">
        <v>62</v>
      </c>
      <c r="Q364" s="5">
        <f t="shared" si="3"/>
        <v>0</v>
      </c>
      <c r="R364" s="5">
        <v>0.0</v>
      </c>
    </row>
    <row r="365" ht="22.5" customHeight="1">
      <c r="A365" s="5" t="s">
        <v>1591</v>
      </c>
      <c r="B365" s="5" t="s">
        <v>170</v>
      </c>
      <c r="C365" s="6">
        <v>7.0</v>
      </c>
      <c r="D365" s="6">
        <v>21.0</v>
      </c>
      <c r="E365" s="6">
        <v>1.1</v>
      </c>
      <c r="F365" s="6">
        <f t="shared" si="1"/>
        <v>1</v>
      </c>
      <c r="G365" s="6">
        <v>1.0</v>
      </c>
      <c r="H365" s="6">
        <v>12.0</v>
      </c>
      <c r="I365" s="6">
        <v>26.0</v>
      </c>
      <c r="J365" s="6">
        <v>10.0</v>
      </c>
      <c r="K365" s="6">
        <v>0.0</v>
      </c>
      <c r="L365" s="9">
        <v>45489.0</v>
      </c>
      <c r="M365" s="6">
        <v>3.0</v>
      </c>
      <c r="N365" s="5" t="s">
        <v>113</v>
      </c>
      <c r="O365" s="5" t="str">
        <f t="shared" si="2"/>
        <v>No</v>
      </c>
      <c r="P365" s="5" t="s">
        <v>62</v>
      </c>
      <c r="Q365" s="5">
        <f t="shared" si="3"/>
        <v>0</v>
      </c>
      <c r="R365" s="5">
        <v>0.0</v>
      </c>
    </row>
    <row r="366" ht="22.5" customHeight="1">
      <c r="A366" s="5" t="s">
        <v>1594</v>
      </c>
      <c r="B366" s="5" t="s">
        <v>22</v>
      </c>
      <c r="C366" s="6">
        <v>5.0</v>
      </c>
      <c r="D366" s="6">
        <v>27.0</v>
      </c>
      <c r="E366" s="6">
        <v>7.4</v>
      </c>
      <c r="F366" s="6">
        <f t="shared" si="1"/>
        <v>7</v>
      </c>
      <c r="G366" s="6">
        <v>7.0</v>
      </c>
      <c r="H366" s="6">
        <v>52.0</v>
      </c>
      <c r="I366" s="6">
        <v>21.0</v>
      </c>
      <c r="J366" s="6">
        <v>3.0</v>
      </c>
      <c r="K366" s="6">
        <v>0.0</v>
      </c>
      <c r="L366" s="9">
        <v>45851.0</v>
      </c>
      <c r="M366" s="6">
        <v>10.0</v>
      </c>
      <c r="N366" s="5" t="s">
        <v>62</v>
      </c>
      <c r="O366" s="5" t="str">
        <f t="shared" si="2"/>
        <v>No</v>
      </c>
      <c r="P366" s="5" t="s">
        <v>62</v>
      </c>
      <c r="Q366" s="5">
        <f t="shared" si="3"/>
        <v>0</v>
      </c>
      <c r="R366" s="5">
        <v>0.0</v>
      </c>
    </row>
    <row r="367" ht="22.5" customHeight="1">
      <c r="A367" s="5" t="s">
        <v>1597</v>
      </c>
      <c r="B367" s="5" t="s">
        <v>170</v>
      </c>
      <c r="C367" s="6">
        <v>6.0</v>
      </c>
      <c r="D367" s="6">
        <v>35.0</v>
      </c>
      <c r="E367" s="6">
        <v>4.5</v>
      </c>
      <c r="F367" s="6">
        <f t="shared" si="1"/>
        <v>4</v>
      </c>
      <c r="G367" s="6">
        <v>4.0</v>
      </c>
      <c r="H367" s="6">
        <v>32.0</v>
      </c>
      <c r="I367" s="6">
        <v>29.0</v>
      </c>
      <c r="J367" s="6">
        <v>2.0</v>
      </c>
      <c r="K367" s="6">
        <v>4.0</v>
      </c>
      <c r="L367" s="9">
        <v>44960.0</v>
      </c>
      <c r="M367" s="6">
        <v>4.0</v>
      </c>
      <c r="N367" s="5" t="s">
        <v>113</v>
      </c>
      <c r="O367" s="5" t="str">
        <f t="shared" si="2"/>
        <v>Yes</v>
      </c>
      <c r="P367" s="5" t="s">
        <v>113</v>
      </c>
      <c r="Q367" s="5">
        <f t="shared" si="3"/>
        <v>1</v>
      </c>
      <c r="R367" s="5">
        <v>1.0</v>
      </c>
    </row>
    <row r="368" ht="22.5" customHeight="1">
      <c r="A368" s="5" t="s">
        <v>1600</v>
      </c>
      <c r="B368" s="5" t="s">
        <v>170</v>
      </c>
      <c r="C368" s="6">
        <v>7.0</v>
      </c>
      <c r="D368" s="6">
        <v>38.0</v>
      </c>
      <c r="E368" s="6">
        <v>8.1</v>
      </c>
      <c r="F368" s="6">
        <f t="shared" si="1"/>
        <v>8</v>
      </c>
      <c r="G368" s="6">
        <v>8.0</v>
      </c>
      <c r="H368" s="6">
        <v>5.0</v>
      </c>
      <c r="I368" s="6">
        <v>18.0</v>
      </c>
      <c r="J368" s="6">
        <v>18.0</v>
      </c>
      <c r="K368" s="6">
        <v>4.0</v>
      </c>
      <c r="L368" s="9">
        <v>45704.0</v>
      </c>
      <c r="M368" s="6">
        <v>10.0</v>
      </c>
      <c r="N368" s="5" t="s">
        <v>62</v>
      </c>
      <c r="O368" s="5" t="str">
        <f t="shared" si="2"/>
        <v>No</v>
      </c>
      <c r="P368" s="5" t="s">
        <v>62</v>
      </c>
      <c r="Q368" s="5">
        <f t="shared" si="3"/>
        <v>0</v>
      </c>
      <c r="R368" s="5">
        <v>0.0</v>
      </c>
    </row>
    <row r="369" ht="22.5" customHeight="1">
      <c r="A369" s="5" t="s">
        <v>1603</v>
      </c>
      <c r="B369" s="5" t="s">
        <v>65</v>
      </c>
      <c r="C369" s="6">
        <v>4.0</v>
      </c>
      <c r="D369" s="6">
        <v>19.0</v>
      </c>
      <c r="E369" s="6">
        <v>13.2</v>
      </c>
      <c r="F369" s="6">
        <f t="shared" si="1"/>
        <v>13</v>
      </c>
      <c r="G369" s="6">
        <v>13.0</v>
      </c>
      <c r="H369" s="6">
        <v>5.0</v>
      </c>
      <c r="I369" s="6">
        <v>21.0</v>
      </c>
      <c r="J369" s="6">
        <v>13.0</v>
      </c>
      <c r="K369" s="6">
        <v>1.0</v>
      </c>
      <c r="L369" s="9">
        <v>44851.0</v>
      </c>
      <c r="M369" s="6">
        <v>3.0</v>
      </c>
      <c r="O369" s="10" t="str">
        <f t="shared" si="2"/>
        <v>Yes</v>
      </c>
      <c r="P369" s="10" t="s">
        <v>113</v>
      </c>
      <c r="Q369" s="10">
        <f t="shared" si="3"/>
        <v>1</v>
      </c>
      <c r="R369" s="10">
        <v>1.0</v>
      </c>
    </row>
    <row r="370" ht="22.5" customHeight="1">
      <c r="A370" s="5" t="s">
        <v>1606</v>
      </c>
      <c r="B370" s="5" t="s">
        <v>170</v>
      </c>
      <c r="C370" s="6">
        <v>8.0</v>
      </c>
      <c r="D370" s="6">
        <v>22.0</v>
      </c>
      <c r="E370" s="6">
        <v>5.0</v>
      </c>
      <c r="F370" s="6">
        <f t="shared" si="1"/>
        <v>5</v>
      </c>
      <c r="G370" s="6">
        <v>5.0</v>
      </c>
      <c r="H370" s="6">
        <v>58.0</v>
      </c>
      <c r="I370" s="6">
        <v>20.0</v>
      </c>
      <c r="J370" s="6">
        <v>10.0</v>
      </c>
      <c r="K370" s="6">
        <v>0.0</v>
      </c>
      <c r="L370" s="9">
        <v>45871.0</v>
      </c>
      <c r="M370" s="6">
        <v>8.0</v>
      </c>
      <c r="N370" s="5" t="s">
        <v>62</v>
      </c>
      <c r="O370" s="5" t="str">
        <f t="shared" si="2"/>
        <v>No</v>
      </c>
      <c r="P370" s="5" t="s">
        <v>62</v>
      </c>
      <c r="Q370" s="5">
        <f t="shared" si="3"/>
        <v>0</v>
      </c>
      <c r="R370" s="5">
        <v>0.0</v>
      </c>
    </row>
    <row r="371" ht="22.5" customHeight="1">
      <c r="A371" s="5" t="s">
        <v>1608</v>
      </c>
      <c r="B371" s="5" t="s">
        <v>22</v>
      </c>
      <c r="C371" s="6">
        <v>8.0</v>
      </c>
      <c r="D371" s="6">
        <v>22.0</v>
      </c>
      <c r="E371" s="6">
        <v>7.1</v>
      </c>
      <c r="F371" s="6">
        <f t="shared" si="1"/>
        <v>7</v>
      </c>
      <c r="G371" s="6">
        <v>7.0</v>
      </c>
      <c r="H371" s="6">
        <v>48.0</v>
      </c>
      <c r="I371" s="6">
        <v>32.0</v>
      </c>
      <c r="J371" s="6">
        <v>15.0</v>
      </c>
      <c r="K371" s="6">
        <v>2.0</v>
      </c>
      <c r="L371" s="9">
        <v>46103.0</v>
      </c>
      <c r="M371" s="6">
        <v>8.0</v>
      </c>
      <c r="N371" s="5" t="s">
        <v>62</v>
      </c>
      <c r="O371" s="5" t="str">
        <f t="shared" si="2"/>
        <v>No</v>
      </c>
      <c r="P371" s="5" t="s">
        <v>62</v>
      </c>
      <c r="Q371" s="5">
        <f t="shared" si="3"/>
        <v>0</v>
      </c>
      <c r="R371" s="5">
        <v>0.0</v>
      </c>
    </row>
    <row r="372" ht="22.5" customHeight="1">
      <c r="A372" s="5" t="s">
        <v>1611</v>
      </c>
      <c r="B372" s="5" t="s">
        <v>65</v>
      </c>
      <c r="C372" s="6">
        <v>9.0</v>
      </c>
      <c r="D372" s="6">
        <v>53.0</v>
      </c>
      <c r="E372" s="6">
        <v>19.0</v>
      </c>
      <c r="F372" s="6">
        <f t="shared" si="1"/>
        <v>19</v>
      </c>
      <c r="G372" s="6">
        <v>19.0</v>
      </c>
      <c r="H372" s="6">
        <v>41.0</v>
      </c>
      <c r="I372" s="6">
        <v>25.0</v>
      </c>
      <c r="J372" s="6">
        <v>6.0</v>
      </c>
      <c r="K372" s="6">
        <v>1.0</v>
      </c>
      <c r="L372" s="9">
        <v>45979.0</v>
      </c>
      <c r="M372" s="6">
        <v>8.0</v>
      </c>
      <c r="N372" s="5" t="s">
        <v>62</v>
      </c>
      <c r="O372" s="5" t="str">
        <f t="shared" si="2"/>
        <v>No</v>
      </c>
      <c r="P372" s="5" t="s">
        <v>62</v>
      </c>
      <c r="Q372" s="5">
        <f t="shared" si="3"/>
        <v>0</v>
      </c>
      <c r="R372" s="5">
        <v>0.0</v>
      </c>
    </row>
    <row r="373" ht="22.5" customHeight="1">
      <c r="A373" s="5" t="s">
        <v>1614</v>
      </c>
      <c r="B373" s="5" t="s">
        <v>170</v>
      </c>
      <c r="C373" s="6">
        <v>5.0</v>
      </c>
      <c r="D373" s="6">
        <v>8.0</v>
      </c>
      <c r="E373" s="6">
        <v>7.9</v>
      </c>
      <c r="F373" s="6">
        <f t="shared" si="1"/>
        <v>7</v>
      </c>
      <c r="G373" s="6">
        <v>7.0</v>
      </c>
      <c r="H373" s="6">
        <v>54.0</v>
      </c>
      <c r="I373" s="6">
        <v>21.0</v>
      </c>
      <c r="J373" s="6">
        <v>17.0</v>
      </c>
      <c r="K373" s="6">
        <v>1.0</v>
      </c>
      <c r="L373" s="9">
        <v>45788.0</v>
      </c>
      <c r="M373" s="6">
        <v>7.0</v>
      </c>
      <c r="N373" s="5" t="s">
        <v>62</v>
      </c>
      <c r="O373" s="5" t="str">
        <f t="shared" si="2"/>
        <v>No</v>
      </c>
      <c r="P373" s="5" t="s">
        <v>62</v>
      </c>
      <c r="Q373" s="5">
        <f t="shared" si="3"/>
        <v>0</v>
      </c>
      <c r="R373" s="5">
        <v>0.0</v>
      </c>
    </row>
    <row r="374" ht="22.5" customHeight="1">
      <c r="A374" s="5" t="s">
        <v>1616</v>
      </c>
      <c r="B374" s="5" t="s">
        <v>65</v>
      </c>
      <c r="C374" s="6">
        <v>8.0</v>
      </c>
      <c r="D374" s="6">
        <v>38.0</v>
      </c>
      <c r="E374" s="6">
        <v>6.6</v>
      </c>
      <c r="F374" s="6">
        <f t="shared" si="1"/>
        <v>6</v>
      </c>
      <c r="G374" s="6">
        <v>6.0</v>
      </c>
      <c r="H374" s="6">
        <v>26.0</v>
      </c>
      <c r="I374" s="6">
        <v>22.0</v>
      </c>
      <c r="J374" s="6">
        <v>3.0</v>
      </c>
      <c r="K374" s="6">
        <v>3.0</v>
      </c>
      <c r="L374" s="9">
        <v>45494.0</v>
      </c>
      <c r="M374" s="6">
        <v>2.0</v>
      </c>
      <c r="N374" s="5" t="s">
        <v>113</v>
      </c>
      <c r="O374" s="5" t="str">
        <f t="shared" si="2"/>
        <v>No</v>
      </c>
      <c r="P374" s="5" t="s">
        <v>62</v>
      </c>
      <c r="Q374" s="5">
        <f t="shared" si="3"/>
        <v>0</v>
      </c>
      <c r="R374" s="5">
        <v>0.0</v>
      </c>
    </row>
    <row r="375" ht="22.5" customHeight="1">
      <c r="A375" s="5" t="s">
        <v>1619</v>
      </c>
      <c r="B375" s="5" t="s">
        <v>22</v>
      </c>
      <c r="C375" s="6">
        <v>4.0</v>
      </c>
      <c r="D375" s="6">
        <v>19.0</v>
      </c>
      <c r="E375" s="6">
        <v>3.9</v>
      </c>
      <c r="F375" s="6">
        <f t="shared" si="1"/>
        <v>3</v>
      </c>
      <c r="G375" s="6">
        <v>3.0</v>
      </c>
      <c r="H375" s="6">
        <v>58.0</v>
      </c>
      <c r="I375" s="6">
        <v>25.0</v>
      </c>
      <c r="J375" s="6">
        <v>19.0</v>
      </c>
      <c r="K375" s="6">
        <v>2.0</v>
      </c>
      <c r="L375" s="9">
        <v>45560.0</v>
      </c>
      <c r="M375" s="6">
        <v>6.0</v>
      </c>
      <c r="N375" s="5" t="s">
        <v>62</v>
      </c>
      <c r="O375" s="5" t="str">
        <f t="shared" si="2"/>
        <v>No</v>
      </c>
      <c r="P375" s="5" t="s">
        <v>62</v>
      </c>
      <c r="Q375" s="5">
        <f t="shared" si="3"/>
        <v>0</v>
      </c>
      <c r="R375" s="5">
        <v>0.0</v>
      </c>
    </row>
    <row r="376" ht="22.5" customHeight="1">
      <c r="A376" s="5" t="s">
        <v>1623</v>
      </c>
      <c r="B376" s="5" t="s">
        <v>22</v>
      </c>
      <c r="C376" s="6">
        <v>5.0</v>
      </c>
      <c r="D376" s="6">
        <v>22.0</v>
      </c>
      <c r="E376" s="6">
        <v>10.6</v>
      </c>
      <c r="F376" s="6">
        <f t="shared" si="1"/>
        <v>10</v>
      </c>
      <c r="G376" s="6">
        <v>10.0</v>
      </c>
      <c r="H376" s="6">
        <v>48.0</v>
      </c>
      <c r="I376" s="6">
        <v>38.0</v>
      </c>
      <c r="J376" s="6">
        <v>8.0</v>
      </c>
      <c r="K376" s="6">
        <v>2.0</v>
      </c>
      <c r="L376" s="9">
        <v>45098.0</v>
      </c>
      <c r="M376" s="6">
        <v>4.0</v>
      </c>
      <c r="N376" s="5" t="s">
        <v>113</v>
      </c>
      <c r="O376" s="5" t="str">
        <f t="shared" si="2"/>
        <v>Yes</v>
      </c>
      <c r="P376" s="5" t="s">
        <v>113</v>
      </c>
      <c r="Q376" s="5">
        <f t="shared" si="3"/>
        <v>1</v>
      </c>
      <c r="R376" s="5">
        <v>1.0</v>
      </c>
    </row>
    <row r="377" ht="22.5" customHeight="1">
      <c r="A377" s="5" t="s">
        <v>1625</v>
      </c>
      <c r="B377" s="5" t="s">
        <v>65</v>
      </c>
      <c r="C377" s="6">
        <v>5.0</v>
      </c>
      <c r="D377" s="6">
        <v>30.0</v>
      </c>
      <c r="E377" s="6">
        <v>3.4</v>
      </c>
      <c r="F377" s="6">
        <f t="shared" si="1"/>
        <v>3</v>
      </c>
      <c r="G377" s="6">
        <v>3.0</v>
      </c>
      <c r="H377" s="6">
        <v>13.0</v>
      </c>
      <c r="I377" s="6">
        <v>15.0</v>
      </c>
      <c r="J377" s="6">
        <v>1.0</v>
      </c>
      <c r="K377" s="6">
        <v>5.0</v>
      </c>
      <c r="L377" s="9">
        <v>44890.0</v>
      </c>
      <c r="M377" s="6">
        <v>2.0</v>
      </c>
      <c r="N377" s="5" t="s">
        <v>113</v>
      </c>
      <c r="O377" s="5" t="str">
        <f t="shared" si="2"/>
        <v>Yes</v>
      </c>
      <c r="P377" s="5" t="s">
        <v>113</v>
      </c>
      <c r="Q377" s="5">
        <f t="shared" si="3"/>
        <v>1</v>
      </c>
      <c r="R377" s="5">
        <v>1.0</v>
      </c>
    </row>
    <row r="378" ht="22.5" customHeight="1">
      <c r="A378" s="5" t="s">
        <v>1628</v>
      </c>
      <c r="B378" s="5" t="s">
        <v>65</v>
      </c>
      <c r="C378" s="6">
        <v>1.0</v>
      </c>
      <c r="D378" s="6">
        <v>3.0</v>
      </c>
      <c r="E378" s="6">
        <v>13.5</v>
      </c>
      <c r="F378" s="6">
        <f t="shared" si="1"/>
        <v>13</v>
      </c>
      <c r="G378" s="6">
        <v>13.0</v>
      </c>
      <c r="H378" s="6">
        <v>21.0</v>
      </c>
      <c r="I378" s="6">
        <v>30.0</v>
      </c>
      <c r="J378" s="6">
        <v>15.0</v>
      </c>
      <c r="K378" s="6">
        <v>4.0</v>
      </c>
      <c r="L378" s="9">
        <v>45754.0</v>
      </c>
      <c r="M378" s="6">
        <v>6.0</v>
      </c>
      <c r="N378" s="5" t="s">
        <v>62</v>
      </c>
      <c r="O378" s="5" t="str">
        <f t="shared" si="2"/>
        <v>No</v>
      </c>
      <c r="P378" s="5" t="s">
        <v>62</v>
      </c>
      <c r="Q378" s="5">
        <f t="shared" si="3"/>
        <v>0</v>
      </c>
      <c r="R378" s="5">
        <v>0.0</v>
      </c>
    </row>
    <row r="379" ht="22.5" customHeight="1">
      <c r="A379" s="5" t="s">
        <v>1631</v>
      </c>
      <c r="B379" s="5" t="s">
        <v>44</v>
      </c>
      <c r="C379" s="6">
        <v>2.0</v>
      </c>
      <c r="D379" s="6">
        <v>6.0</v>
      </c>
      <c r="E379" s="6">
        <v>9.8</v>
      </c>
      <c r="F379" s="6">
        <f t="shared" si="1"/>
        <v>9</v>
      </c>
      <c r="G379" s="6">
        <v>9.0</v>
      </c>
      <c r="H379" s="6">
        <v>30.0</v>
      </c>
      <c r="I379" s="6">
        <v>29.0</v>
      </c>
      <c r="J379" s="6">
        <v>3.0</v>
      </c>
      <c r="K379" s="6">
        <v>2.0</v>
      </c>
      <c r="L379" s="9">
        <v>46152.0</v>
      </c>
      <c r="M379" s="6">
        <v>6.0</v>
      </c>
      <c r="N379" s="5" t="s">
        <v>62</v>
      </c>
      <c r="O379" s="5" t="str">
        <f t="shared" si="2"/>
        <v>No</v>
      </c>
      <c r="P379" s="5" t="s">
        <v>62</v>
      </c>
      <c r="Q379" s="5">
        <f t="shared" si="3"/>
        <v>0</v>
      </c>
      <c r="R379" s="5">
        <v>0.0</v>
      </c>
    </row>
    <row r="380" ht="22.5" customHeight="1">
      <c r="A380" s="5" t="s">
        <v>1633</v>
      </c>
      <c r="B380" s="5" t="s">
        <v>65</v>
      </c>
      <c r="C380" s="6">
        <v>2.0</v>
      </c>
      <c r="D380" s="6">
        <v>4.0</v>
      </c>
      <c r="E380" s="6">
        <v>4.7</v>
      </c>
      <c r="F380" s="6">
        <f t="shared" si="1"/>
        <v>4</v>
      </c>
      <c r="G380" s="6">
        <v>4.0</v>
      </c>
      <c r="H380" s="6">
        <v>55.0</v>
      </c>
      <c r="I380" s="6">
        <v>18.0</v>
      </c>
      <c r="J380" s="8"/>
      <c r="K380" s="6">
        <v>3.0</v>
      </c>
      <c r="L380" s="9">
        <v>44779.0</v>
      </c>
      <c r="M380" s="6">
        <v>4.0</v>
      </c>
      <c r="N380" s="5" t="s">
        <v>113</v>
      </c>
      <c r="O380" s="5" t="str">
        <f t="shared" si="2"/>
        <v>Yes</v>
      </c>
      <c r="P380" s="5" t="s">
        <v>113</v>
      </c>
      <c r="Q380" s="5">
        <f t="shared" si="3"/>
        <v>1</v>
      </c>
      <c r="R380" s="5">
        <v>1.0</v>
      </c>
    </row>
    <row r="381" ht="22.5" customHeight="1">
      <c r="A381" s="5" t="s">
        <v>1636</v>
      </c>
      <c r="B381" s="5" t="s">
        <v>65</v>
      </c>
      <c r="C381" s="6">
        <v>8.0</v>
      </c>
      <c r="D381" s="6">
        <v>28.0</v>
      </c>
      <c r="E381" s="6">
        <v>4.0</v>
      </c>
      <c r="F381" s="6">
        <f t="shared" si="1"/>
        <v>4</v>
      </c>
      <c r="G381" s="6">
        <v>4.0</v>
      </c>
      <c r="H381" s="6">
        <v>32.0</v>
      </c>
      <c r="I381" s="6">
        <v>37.0</v>
      </c>
      <c r="J381" s="6">
        <v>7.0</v>
      </c>
      <c r="K381" s="6">
        <v>3.0</v>
      </c>
      <c r="L381" s="9">
        <v>46036.0</v>
      </c>
      <c r="M381" s="6">
        <v>5.0</v>
      </c>
      <c r="N381" s="5" t="s">
        <v>62</v>
      </c>
      <c r="O381" s="5" t="str">
        <f t="shared" si="2"/>
        <v>No</v>
      </c>
      <c r="P381" s="5" t="s">
        <v>62</v>
      </c>
      <c r="Q381" s="5">
        <f t="shared" si="3"/>
        <v>0</v>
      </c>
      <c r="R381" s="5">
        <v>0.0</v>
      </c>
    </row>
    <row r="382" ht="22.5" customHeight="1">
      <c r="A382" s="5" t="s">
        <v>1639</v>
      </c>
      <c r="B382" s="5" t="s">
        <v>22</v>
      </c>
      <c r="C382" s="6">
        <v>6.0</v>
      </c>
      <c r="D382" s="6">
        <v>16.0</v>
      </c>
      <c r="E382" s="6">
        <v>4.0</v>
      </c>
      <c r="F382" s="6">
        <f t="shared" si="1"/>
        <v>4</v>
      </c>
      <c r="G382" s="6">
        <v>4.0</v>
      </c>
      <c r="H382" s="6">
        <v>24.0</v>
      </c>
      <c r="I382" s="6">
        <v>29.0</v>
      </c>
      <c r="J382" s="6">
        <v>1.0</v>
      </c>
      <c r="K382" s="6">
        <v>0.0</v>
      </c>
      <c r="L382" s="9">
        <v>45636.0</v>
      </c>
      <c r="M382" s="6">
        <v>6.0</v>
      </c>
      <c r="N382" s="5" t="s">
        <v>62</v>
      </c>
      <c r="O382" s="5" t="str">
        <f t="shared" si="2"/>
        <v>No</v>
      </c>
      <c r="P382" s="5" t="s">
        <v>62</v>
      </c>
      <c r="Q382" s="5">
        <f t="shared" si="3"/>
        <v>0</v>
      </c>
      <c r="R382" s="5">
        <v>0.0</v>
      </c>
    </row>
    <row r="383" ht="22.5" customHeight="1">
      <c r="A383" s="5" t="s">
        <v>1642</v>
      </c>
      <c r="B383" s="5" t="s">
        <v>22</v>
      </c>
      <c r="C383" s="6">
        <v>6.0</v>
      </c>
      <c r="D383" s="6">
        <v>18.0</v>
      </c>
      <c r="E383" s="6">
        <v>1.7</v>
      </c>
      <c r="F383" s="6">
        <f t="shared" si="1"/>
        <v>1</v>
      </c>
      <c r="G383" s="6">
        <v>1.0</v>
      </c>
      <c r="H383" s="6">
        <v>6.0</v>
      </c>
      <c r="I383" s="6">
        <v>21.0</v>
      </c>
      <c r="J383" s="6">
        <v>6.0</v>
      </c>
      <c r="K383" s="6">
        <v>5.0</v>
      </c>
      <c r="L383" s="9">
        <v>45763.0</v>
      </c>
      <c r="M383" s="6">
        <v>7.0</v>
      </c>
      <c r="O383" s="10" t="str">
        <f t="shared" si="2"/>
        <v>No</v>
      </c>
      <c r="P383" s="10" t="s">
        <v>62</v>
      </c>
      <c r="Q383" s="10">
        <f t="shared" si="3"/>
        <v>0</v>
      </c>
      <c r="R383" s="10">
        <v>0.0</v>
      </c>
    </row>
    <row r="384" ht="22.5" customHeight="1">
      <c r="A384" s="5" t="s">
        <v>1644</v>
      </c>
      <c r="B384" s="5" t="s">
        <v>65</v>
      </c>
      <c r="C384" s="6">
        <v>9.0</v>
      </c>
      <c r="D384" s="6">
        <v>47.0</v>
      </c>
      <c r="E384" s="6">
        <v>8.8</v>
      </c>
      <c r="F384" s="6">
        <f t="shared" si="1"/>
        <v>8</v>
      </c>
      <c r="G384" s="6">
        <v>8.0</v>
      </c>
      <c r="H384" s="6">
        <v>6.0</v>
      </c>
      <c r="I384" s="6">
        <v>10.0</v>
      </c>
      <c r="J384" s="6">
        <v>16.0</v>
      </c>
      <c r="K384" s="6">
        <v>2.0</v>
      </c>
      <c r="L384" s="9">
        <v>44946.0</v>
      </c>
      <c r="M384" s="6">
        <v>4.0</v>
      </c>
      <c r="N384" s="5" t="s">
        <v>113</v>
      </c>
      <c r="O384" s="5" t="str">
        <f t="shared" si="2"/>
        <v>Yes</v>
      </c>
      <c r="P384" s="5" t="s">
        <v>113</v>
      </c>
      <c r="Q384" s="5">
        <f t="shared" si="3"/>
        <v>1</v>
      </c>
      <c r="R384" s="5">
        <v>1.0</v>
      </c>
    </row>
    <row r="385" ht="22.5" customHeight="1">
      <c r="A385" s="5" t="s">
        <v>1647</v>
      </c>
      <c r="B385" s="5" t="s">
        <v>65</v>
      </c>
      <c r="C385" s="6">
        <v>4.0</v>
      </c>
      <c r="D385" s="6">
        <v>23.0</v>
      </c>
      <c r="E385" s="6">
        <v>1.3</v>
      </c>
      <c r="F385" s="6">
        <f t="shared" si="1"/>
        <v>1</v>
      </c>
      <c r="G385" s="6">
        <v>1.0</v>
      </c>
      <c r="H385" s="6">
        <v>5.0</v>
      </c>
      <c r="I385" s="6">
        <v>27.0</v>
      </c>
      <c r="J385" s="6">
        <v>14.0</v>
      </c>
      <c r="K385" s="6">
        <v>1.0</v>
      </c>
      <c r="L385" s="9">
        <v>46222.0</v>
      </c>
      <c r="M385" s="6">
        <v>9.0</v>
      </c>
      <c r="N385" s="5" t="s">
        <v>62</v>
      </c>
      <c r="O385" s="5" t="str">
        <f t="shared" si="2"/>
        <v>No</v>
      </c>
      <c r="P385" s="5" t="s">
        <v>62</v>
      </c>
      <c r="Q385" s="5">
        <f t="shared" si="3"/>
        <v>0</v>
      </c>
      <c r="R385" s="5">
        <v>0.0</v>
      </c>
    </row>
    <row r="386" ht="22.5" customHeight="1">
      <c r="A386" s="5" t="s">
        <v>1649</v>
      </c>
      <c r="B386" s="5" t="s">
        <v>44</v>
      </c>
      <c r="C386" s="6">
        <v>6.0</v>
      </c>
      <c r="D386" s="6">
        <v>14.0</v>
      </c>
      <c r="E386" s="6">
        <v>6.3</v>
      </c>
      <c r="F386" s="6">
        <f t="shared" si="1"/>
        <v>6</v>
      </c>
      <c r="G386" s="6">
        <v>6.0</v>
      </c>
      <c r="H386" s="6">
        <v>21.0</v>
      </c>
      <c r="I386" s="6">
        <v>25.0</v>
      </c>
      <c r="J386" s="6">
        <v>8.0</v>
      </c>
      <c r="K386" s="6">
        <v>4.0</v>
      </c>
      <c r="L386" s="9">
        <v>45745.0</v>
      </c>
      <c r="M386" s="6">
        <v>9.0</v>
      </c>
      <c r="N386" s="5" t="s">
        <v>62</v>
      </c>
      <c r="O386" s="5" t="str">
        <f t="shared" si="2"/>
        <v>No</v>
      </c>
      <c r="P386" s="5" t="s">
        <v>62</v>
      </c>
      <c r="Q386" s="5">
        <f t="shared" si="3"/>
        <v>0</v>
      </c>
      <c r="R386" s="5">
        <v>0.0</v>
      </c>
    </row>
    <row r="387" ht="22.5" customHeight="1">
      <c r="A387" s="5" t="s">
        <v>1652</v>
      </c>
      <c r="B387" s="5" t="s">
        <v>22</v>
      </c>
      <c r="C387" s="6">
        <v>4.0</v>
      </c>
      <c r="D387" s="6">
        <v>13.0</v>
      </c>
      <c r="E387" s="6">
        <v>6.1</v>
      </c>
      <c r="F387" s="6">
        <f t="shared" si="1"/>
        <v>6</v>
      </c>
      <c r="G387" s="6">
        <v>6.0</v>
      </c>
      <c r="H387" s="6">
        <v>44.0</v>
      </c>
      <c r="I387" s="6">
        <v>17.0</v>
      </c>
      <c r="J387" s="6">
        <v>13.0</v>
      </c>
      <c r="K387" s="6">
        <v>4.0</v>
      </c>
      <c r="L387" s="9">
        <v>46174.0</v>
      </c>
      <c r="M387" s="6">
        <v>7.0</v>
      </c>
      <c r="N387" s="5" t="s">
        <v>62</v>
      </c>
      <c r="O387" s="5" t="str">
        <f t="shared" si="2"/>
        <v>No</v>
      </c>
      <c r="P387" s="5" t="s">
        <v>62</v>
      </c>
      <c r="Q387" s="5">
        <f t="shared" si="3"/>
        <v>0</v>
      </c>
      <c r="R387" s="5">
        <v>0.0</v>
      </c>
    </row>
    <row r="388" ht="22.5" customHeight="1">
      <c r="A388" s="5" t="s">
        <v>1655</v>
      </c>
      <c r="B388" s="5" t="s">
        <v>65</v>
      </c>
      <c r="C388" s="6">
        <v>2.0</v>
      </c>
      <c r="D388" s="6">
        <v>4.0</v>
      </c>
      <c r="E388" s="6">
        <v>8.7</v>
      </c>
      <c r="F388" s="6">
        <f t="shared" si="1"/>
        <v>8</v>
      </c>
      <c r="G388" s="6">
        <v>8.0</v>
      </c>
      <c r="H388" s="6">
        <v>27.0</v>
      </c>
      <c r="I388" s="6">
        <v>32.0</v>
      </c>
      <c r="J388" s="6">
        <v>1.0</v>
      </c>
      <c r="K388" s="6">
        <v>5.0</v>
      </c>
      <c r="L388" s="9">
        <v>45935.0</v>
      </c>
      <c r="M388" s="6">
        <v>6.0</v>
      </c>
      <c r="N388" s="5" t="s">
        <v>62</v>
      </c>
      <c r="O388" s="5" t="str">
        <f t="shared" si="2"/>
        <v>No</v>
      </c>
      <c r="P388" s="5" t="s">
        <v>62</v>
      </c>
      <c r="Q388" s="5">
        <f t="shared" si="3"/>
        <v>0</v>
      </c>
      <c r="R388" s="5">
        <v>0.0</v>
      </c>
    </row>
    <row r="389" ht="22.5" customHeight="1">
      <c r="A389" s="5" t="s">
        <v>1659</v>
      </c>
      <c r="B389" s="5" t="s">
        <v>44</v>
      </c>
      <c r="C389" s="6">
        <v>3.0</v>
      </c>
      <c r="D389" s="6">
        <v>7.0</v>
      </c>
      <c r="E389" s="6">
        <v>7.4</v>
      </c>
      <c r="F389" s="6">
        <f t="shared" si="1"/>
        <v>7</v>
      </c>
      <c r="G389" s="6">
        <v>7.0</v>
      </c>
      <c r="H389" s="6">
        <v>51.0</v>
      </c>
      <c r="I389" s="6">
        <v>28.0</v>
      </c>
      <c r="J389" s="6">
        <v>5.0</v>
      </c>
      <c r="K389" s="6">
        <v>1.0</v>
      </c>
      <c r="L389" s="9">
        <v>46082.0</v>
      </c>
      <c r="M389" s="6">
        <v>7.0</v>
      </c>
      <c r="N389" s="5" t="s">
        <v>62</v>
      </c>
      <c r="O389" s="5" t="str">
        <f t="shared" si="2"/>
        <v>No</v>
      </c>
      <c r="P389" s="5" t="s">
        <v>62</v>
      </c>
      <c r="Q389" s="5">
        <f t="shared" si="3"/>
        <v>0</v>
      </c>
      <c r="R389" s="5">
        <v>0.0</v>
      </c>
    </row>
    <row r="390" ht="22.5" customHeight="1">
      <c r="A390" s="5" t="s">
        <v>1661</v>
      </c>
      <c r="B390" s="5" t="s">
        <v>44</v>
      </c>
      <c r="C390" s="6">
        <v>5.0</v>
      </c>
      <c r="D390" s="6">
        <v>21.0</v>
      </c>
      <c r="E390" s="6">
        <v>13.5</v>
      </c>
      <c r="F390" s="6">
        <f t="shared" si="1"/>
        <v>13</v>
      </c>
      <c r="G390" s="6">
        <v>13.0</v>
      </c>
      <c r="H390" s="6">
        <v>57.0</v>
      </c>
      <c r="I390" s="6">
        <v>24.0</v>
      </c>
      <c r="J390" s="6">
        <v>19.0</v>
      </c>
      <c r="K390" s="6">
        <v>4.0</v>
      </c>
      <c r="L390" s="11"/>
      <c r="M390" s="6">
        <v>8.0</v>
      </c>
      <c r="N390" s="5" t="s">
        <v>62</v>
      </c>
      <c r="O390" s="5" t="str">
        <f t="shared" si="2"/>
        <v>Yes</v>
      </c>
      <c r="P390" s="5" t="s">
        <v>113</v>
      </c>
      <c r="Q390" s="5">
        <f t="shared" si="3"/>
        <v>1</v>
      </c>
      <c r="R390" s="5">
        <v>1.0</v>
      </c>
    </row>
    <row r="391" ht="22.5" customHeight="1">
      <c r="A391" s="5" t="s">
        <v>1664</v>
      </c>
      <c r="B391" s="5" t="s">
        <v>84</v>
      </c>
      <c r="C391" s="6">
        <v>7.0</v>
      </c>
      <c r="D391" s="6">
        <v>15.0</v>
      </c>
      <c r="E391" s="6">
        <v>9.4</v>
      </c>
      <c r="F391" s="6">
        <f t="shared" si="1"/>
        <v>9</v>
      </c>
      <c r="G391" s="6">
        <v>9.0</v>
      </c>
      <c r="H391" s="6">
        <v>5.0</v>
      </c>
      <c r="I391" s="6">
        <v>29.0</v>
      </c>
      <c r="J391" s="6">
        <v>15.0</v>
      </c>
      <c r="K391" s="6">
        <v>3.0</v>
      </c>
      <c r="L391" s="9">
        <v>45767.0</v>
      </c>
      <c r="M391" s="6">
        <v>8.0</v>
      </c>
      <c r="N391" s="5" t="s">
        <v>62</v>
      </c>
      <c r="O391" s="5" t="str">
        <f t="shared" si="2"/>
        <v>No</v>
      </c>
      <c r="P391" s="5" t="s">
        <v>62</v>
      </c>
      <c r="Q391" s="5">
        <f t="shared" si="3"/>
        <v>0</v>
      </c>
      <c r="R391" s="5">
        <v>0.0</v>
      </c>
    </row>
    <row r="392" ht="22.5" customHeight="1">
      <c r="A392" s="5" t="s">
        <v>1668</v>
      </c>
      <c r="B392" s="5" t="s">
        <v>65</v>
      </c>
      <c r="C392" s="6">
        <v>8.0</v>
      </c>
      <c r="D392" s="6">
        <v>47.0</v>
      </c>
      <c r="E392" s="6">
        <v>5.1</v>
      </c>
      <c r="F392" s="6">
        <f t="shared" si="1"/>
        <v>5</v>
      </c>
      <c r="G392" s="6">
        <v>5.0</v>
      </c>
      <c r="H392" s="6">
        <v>10.0</v>
      </c>
      <c r="I392" s="6">
        <v>23.0</v>
      </c>
      <c r="J392" s="6">
        <v>20.0</v>
      </c>
      <c r="K392" s="6">
        <v>1.0</v>
      </c>
      <c r="L392" s="9">
        <v>44979.0</v>
      </c>
      <c r="M392" s="6">
        <v>3.0</v>
      </c>
      <c r="N392" s="5" t="s">
        <v>113</v>
      </c>
      <c r="O392" s="5" t="str">
        <f t="shared" si="2"/>
        <v>Yes</v>
      </c>
      <c r="P392" s="5" t="s">
        <v>113</v>
      </c>
      <c r="Q392" s="5">
        <f t="shared" si="3"/>
        <v>1</v>
      </c>
      <c r="R392" s="5">
        <v>1.0</v>
      </c>
    </row>
    <row r="393" ht="22.5" customHeight="1">
      <c r="A393" s="5" t="s">
        <v>1670</v>
      </c>
      <c r="B393" s="5" t="s">
        <v>65</v>
      </c>
      <c r="C393" s="6">
        <v>10.0</v>
      </c>
      <c r="D393" s="6">
        <v>35.0</v>
      </c>
      <c r="E393" s="6">
        <v>6.7</v>
      </c>
      <c r="F393" s="6">
        <f t="shared" si="1"/>
        <v>6</v>
      </c>
      <c r="G393" s="6">
        <v>6.0</v>
      </c>
      <c r="H393" s="6">
        <v>22.0</v>
      </c>
      <c r="I393" s="6">
        <v>27.0</v>
      </c>
      <c r="J393" s="6">
        <v>20.0</v>
      </c>
      <c r="K393" s="6">
        <v>4.0</v>
      </c>
      <c r="L393" s="9">
        <v>45727.0</v>
      </c>
      <c r="M393" s="6">
        <v>9.0</v>
      </c>
      <c r="N393" s="5" t="s">
        <v>62</v>
      </c>
      <c r="O393" s="5" t="str">
        <f t="shared" si="2"/>
        <v>No</v>
      </c>
      <c r="P393" s="5" t="s">
        <v>62</v>
      </c>
      <c r="Q393" s="5">
        <f t="shared" si="3"/>
        <v>0</v>
      </c>
      <c r="R393" s="5">
        <v>0.0</v>
      </c>
    </row>
    <row r="394" ht="22.5" customHeight="1">
      <c r="A394" s="5" t="s">
        <v>1673</v>
      </c>
      <c r="B394" s="5" t="s">
        <v>22</v>
      </c>
      <c r="C394" s="6">
        <v>5.0</v>
      </c>
      <c r="D394" s="6">
        <v>19.0</v>
      </c>
      <c r="E394" s="6">
        <v>5.4</v>
      </c>
      <c r="F394" s="6">
        <f t="shared" si="1"/>
        <v>5</v>
      </c>
      <c r="G394" s="6">
        <v>5.0</v>
      </c>
      <c r="H394" s="6">
        <v>49.0</v>
      </c>
      <c r="I394" s="6">
        <v>19.0</v>
      </c>
      <c r="J394" s="6">
        <v>11.0</v>
      </c>
      <c r="K394" s="6">
        <v>3.0</v>
      </c>
      <c r="L394" s="9">
        <v>46242.0</v>
      </c>
      <c r="M394" s="6">
        <v>6.0</v>
      </c>
      <c r="O394" s="10" t="str">
        <f t="shared" si="2"/>
        <v>No</v>
      </c>
      <c r="P394" s="10" t="s">
        <v>62</v>
      </c>
      <c r="Q394" s="10">
        <f t="shared" si="3"/>
        <v>0</v>
      </c>
      <c r="R394" s="10">
        <v>0.0</v>
      </c>
    </row>
    <row r="395" ht="22.5" customHeight="1">
      <c r="A395" s="5" t="s">
        <v>1675</v>
      </c>
      <c r="B395" s="5" t="s">
        <v>44</v>
      </c>
      <c r="C395" s="6">
        <v>2.0</v>
      </c>
      <c r="D395" s="6">
        <v>5.0</v>
      </c>
      <c r="E395" s="6">
        <v>6.0</v>
      </c>
      <c r="F395" s="6">
        <f t="shared" si="1"/>
        <v>6</v>
      </c>
      <c r="G395" s="6">
        <v>6.0</v>
      </c>
      <c r="H395" s="6">
        <v>45.0</v>
      </c>
      <c r="I395" s="6">
        <v>25.0</v>
      </c>
      <c r="J395" s="6">
        <v>11.0</v>
      </c>
      <c r="K395" s="6">
        <v>3.0</v>
      </c>
      <c r="L395" s="9">
        <v>45272.0</v>
      </c>
      <c r="M395" s="6">
        <v>3.0</v>
      </c>
      <c r="N395" s="5" t="s">
        <v>113</v>
      </c>
      <c r="O395" s="5" t="str">
        <f t="shared" si="2"/>
        <v>No</v>
      </c>
      <c r="P395" s="5" t="s">
        <v>62</v>
      </c>
      <c r="Q395" s="5">
        <f t="shared" si="3"/>
        <v>0</v>
      </c>
      <c r="R395" s="5">
        <v>0.0</v>
      </c>
    </row>
    <row r="396" ht="22.5" customHeight="1">
      <c r="A396" s="5" t="s">
        <v>1679</v>
      </c>
      <c r="B396" s="5" t="s">
        <v>84</v>
      </c>
      <c r="C396" s="6">
        <v>5.0</v>
      </c>
      <c r="D396" s="6">
        <v>18.0</v>
      </c>
      <c r="E396" s="6">
        <v>7.6</v>
      </c>
      <c r="F396" s="6">
        <f t="shared" si="1"/>
        <v>7</v>
      </c>
      <c r="G396" s="6">
        <v>7.0</v>
      </c>
      <c r="H396" s="6">
        <v>28.0</v>
      </c>
      <c r="I396" s="6">
        <v>29.0</v>
      </c>
      <c r="J396" s="6">
        <v>17.0</v>
      </c>
      <c r="K396" s="6">
        <v>0.0</v>
      </c>
      <c r="L396" s="9">
        <v>45127.0</v>
      </c>
      <c r="M396" s="6">
        <v>4.0</v>
      </c>
      <c r="N396" s="5" t="s">
        <v>113</v>
      </c>
      <c r="O396" s="5" t="str">
        <f t="shared" si="2"/>
        <v>Yes</v>
      </c>
      <c r="P396" s="5" t="s">
        <v>113</v>
      </c>
      <c r="Q396" s="5">
        <f t="shared" si="3"/>
        <v>1</v>
      </c>
      <c r="R396" s="5">
        <v>1.0</v>
      </c>
    </row>
    <row r="397" ht="22.5" customHeight="1">
      <c r="A397" s="5" t="s">
        <v>1682</v>
      </c>
      <c r="B397" s="5" t="s">
        <v>65</v>
      </c>
      <c r="C397" s="6">
        <v>7.0</v>
      </c>
      <c r="D397" s="6">
        <v>31.0</v>
      </c>
      <c r="E397" s="6">
        <v>2.5</v>
      </c>
      <c r="F397" s="6">
        <f t="shared" si="1"/>
        <v>2</v>
      </c>
      <c r="G397" s="6">
        <v>2.0</v>
      </c>
      <c r="H397" s="6">
        <v>33.0</v>
      </c>
      <c r="I397" s="6">
        <v>26.0</v>
      </c>
      <c r="J397" s="6">
        <v>10.0</v>
      </c>
      <c r="K397" s="6">
        <v>1.0</v>
      </c>
      <c r="L397" s="9">
        <v>44736.0</v>
      </c>
      <c r="M397" s="6">
        <v>4.0</v>
      </c>
      <c r="N397" s="5" t="s">
        <v>113</v>
      </c>
      <c r="O397" s="5" t="str">
        <f t="shared" si="2"/>
        <v>Yes</v>
      </c>
      <c r="P397" s="5" t="s">
        <v>113</v>
      </c>
      <c r="Q397" s="5">
        <f t="shared" si="3"/>
        <v>1</v>
      </c>
      <c r="R397" s="5">
        <v>1.0</v>
      </c>
    </row>
    <row r="398" ht="22.5" customHeight="1">
      <c r="A398" s="5" t="s">
        <v>1685</v>
      </c>
      <c r="B398" s="5" t="s">
        <v>22</v>
      </c>
      <c r="C398" s="6">
        <v>4.0</v>
      </c>
      <c r="D398" s="6">
        <v>20.0</v>
      </c>
      <c r="E398" s="6">
        <v>2.0</v>
      </c>
      <c r="F398" s="6">
        <f t="shared" si="1"/>
        <v>2</v>
      </c>
      <c r="G398" s="6">
        <v>2.0</v>
      </c>
      <c r="H398" s="6">
        <v>55.0</v>
      </c>
      <c r="I398" s="6">
        <v>28.0</v>
      </c>
      <c r="J398" s="8"/>
      <c r="K398" s="6">
        <v>0.0</v>
      </c>
      <c r="L398" s="9">
        <v>45776.0</v>
      </c>
      <c r="M398" s="6">
        <v>6.0</v>
      </c>
      <c r="N398" s="5" t="s">
        <v>62</v>
      </c>
      <c r="O398" s="5" t="str">
        <f t="shared" si="2"/>
        <v>No</v>
      </c>
      <c r="P398" s="5" t="s">
        <v>62</v>
      </c>
      <c r="Q398" s="5">
        <f t="shared" si="3"/>
        <v>0</v>
      </c>
      <c r="R398" s="5">
        <v>0.0</v>
      </c>
    </row>
    <row r="399" ht="22.5" customHeight="1">
      <c r="A399" s="5" t="s">
        <v>1688</v>
      </c>
      <c r="B399" s="5" t="s">
        <v>44</v>
      </c>
      <c r="C399" s="6">
        <v>5.0</v>
      </c>
      <c r="D399" s="6">
        <v>24.0</v>
      </c>
      <c r="E399" s="6">
        <v>3.6</v>
      </c>
      <c r="F399" s="6">
        <f t="shared" si="1"/>
        <v>3</v>
      </c>
      <c r="G399" s="6">
        <v>3.0</v>
      </c>
      <c r="H399" s="6">
        <v>42.0</v>
      </c>
      <c r="I399" s="6">
        <v>18.0</v>
      </c>
      <c r="J399" s="6">
        <v>20.0</v>
      </c>
      <c r="K399" s="6">
        <v>4.0</v>
      </c>
      <c r="L399" s="9">
        <v>46157.0</v>
      </c>
      <c r="M399" s="6">
        <v>3.0</v>
      </c>
      <c r="N399" s="5" t="s">
        <v>62</v>
      </c>
      <c r="O399" s="5" t="str">
        <f t="shared" si="2"/>
        <v>No</v>
      </c>
      <c r="P399" s="5" t="s">
        <v>62</v>
      </c>
      <c r="Q399" s="5">
        <f t="shared" si="3"/>
        <v>0</v>
      </c>
      <c r="R399" s="5">
        <v>0.0</v>
      </c>
    </row>
    <row r="400" ht="22.5" customHeight="1">
      <c r="A400" s="5" t="s">
        <v>1691</v>
      </c>
      <c r="B400" s="5" t="s">
        <v>22</v>
      </c>
      <c r="C400" s="6">
        <v>3.0</v>
      </c>
      <c r="D400" s="6">
        <v>12.0</v>
      </c>
      <c r="E400" s="6">
        <v>9.0</v>
      </c>
      <c r="F400" s="6">
        <f t="shared" si="1"/>
        <v>9</v>
      </c>
      <c r="G400" s="6">
        <v>9.0</v>
      </c>
      <c r="H400" s="6">
        <v>43.0</v>
      </c>
      <c r="I400" s="6">
        <v>20.0</v>
      </c>
      <c r="J400" s="6">
        <v>8.0</v>
      </c>
      <c r="K400" s="6">
        <v>1.0</v>
      </c>
      <c r="L400" s="9">
        <v>46101.0</v>
      </c>
      <c r="M400" s="6">
        <v>6.0</v>
      </c>
      <c r="N400" s="5" t="s">
        <v>62</v>
      </c>
      <c r="O400" s="5" t="str">
        <f t="shared" si="2"/>
        <v>No</v>
      </c>
      <c r="P400" s="5" t="s">
        <v>62</v>
      </c>
      <c r="Q400" s="5">
        <f t="shared" si="3"/>
        <v>0</v>
      </c>
      <c r="R400" s="5">
        <v>0.0</v>
      </c>
    </row>
    <row r="401" ht="22.5" customHeight="1">
      <c r="A401" s="5" t="s">
        <v>1694</v>
      </c>
      <c r="B401" s="5" t="s">
        <v>170</v>
      </c>
      <c r="C401" s="6">
        <v>7.0</v>
      </c>
      <c r="D401" s="6">
        <v>39.0</v>
      </c>
      <c r="E401" s="6">
        <v>9.7</v>
      </c>
      <c r="F401" s="6">
        <f t="shared" si="1"/>
        <v>9</v>
      </c>
      <c r="G401" s="6">
        <v>9.0</v>
      </c>
      <c r="H401" s="6">
        <v>42.0</v>
      </c>
      <c r="I401" s="6">
        <v>20.0</v>
      </c>
      <c r="J401" s="6">
        <v>19.0</v>
      </c>
      <c r="K401" s="6">
        <v>5.0</v>
      </c>
      <c r="L401" s="9">
        <v>45595.0</v>
      </c>
      <c r="M401" s="6">
        <v>5.0</v>
      </c>
      <c r="N401" s="5" t="s">
        <v>62</v>
      </c>
      <c r="O401" s="5" t="str">
        <f t="shared" si="2"/>
        <v>No</v>
      </c>
      <c r="P401" s="5" t="s">
        <v>62</v>
      </c>
      <c r="Q401" s="5">
        <f t="shared" si="3"/>
        <v>0</v>
      </c>
      <c r="R401" s="5">
        <v>0.0</v>
      </c>
    </row>
    <row r="402" ht="22.5" customHeight="1">
      <c r="A402" s="5" t="s">
        <v>1697</v>
      </c>
      <c r="B402" s="5" t="s">
        <v>44</v>
      </c>
      <c r="C402" s="6">
        <v>9.0</v>
      </c>
      <c r="D402" s="6">
        <v>47.0</v>
      </c>
      <c r="E402" s="6">
        <v>10.6</v>
      </c>
      <c r="F402" s="6">
        <f t="shared" si="1"/>
        <v>10</v>
      </c>
      <c r="G402" s="6">
        <v>10.0</v>
      </c>
      <c r="H402" s="6">
        <v>51.0</v>
      </c>
      <c r="I402" s="6">
        <v>23.0</v>
      </c>
      <c r="J402" s="8"/>
      <c r="K402" s="6">
        <v>3.0</v>
      </c>
      <c r="L402" s="9">
        <v>44583.0</v>
      </c>
      <c r="M402" s="6">
        <v>3.0</v>
      </c>
      <c r="N402" s="5" t="s">
        <v>113</v>
      </c>
      <c r="O402" s="5" t="str">
        <f t="shared" si="2"/>
        <v>Yes</v>
      </c>
      <c r="P402" s="5" t="s">
        <v>113</v>
      </c>
      <c r="Q402" s="5">
        <f t="shared" si="3"/>
        <v>1</v>
      </c>
      <c r="R402" s="5">
        <v>1.0</v>
      </c>
    </row>
    <row r="403" ht="22.5" customHeight="1">
      <c r="A403" s="5" t="s">
        <v>1699</v>
      </c>
      <c r="B403" s="5" t="s">
        <v>170</v>
      </c>
      <c r="C403" s="6">
        <v>8.0</v>
      </c>
      <c r="D403" s="6">
        <v>39.0</v>
      </c>
      <c r="E403" s="6">
        <v>3.7</v>
      </c>
      <c r="F403" s="6">
        <f t="shared" si="1"/>
        <v>3</v>
      </c>
      <c r="G403" s="6">
        <v>3.0</v>
      </c>
      <c r="H403" s="6">
        <v>39.0</v>
      </c>
      <c r="I403" s="6">
        <v>36.0</v>
      </c>
      <c r="J403" s="6">
        <v>2.0</v>
      </c>
      <c r="K403" s="6">
        <v>4.0</v>
      </c>
      <c r="L403" s="11"/>
      <c r="M403" s="6">
        <v>4.0</v>
      </c>
      <c r="N403" s="5" t="s">
        <v>113</v>
      </c>
      <c r="O403" s="5" t="str">
        <f t="shared" si="2"/>
        <v>Yes</v>
      </c>
      <c r="P403" s="5" t="s">
        <v>113</v>
      </c>
      <c r="Q403" s="5">
        <f t="shared" si="3"/>
        <v>1</v>
      </c>
      <c r="R403" s="5">
        <v>1.0</v>
      </c>
    </row>
    <row r="404" ht="22.5" customHeight="1">
      <c r="A404" s="5" t="s">
        <v>1703</v>
      </c>
      <c r="B404" s="5" t="s">
        <v>22</v>
      </c>
      <c r="C404" s="6">
        <v>3.0</v>
      </c>
      <c r="D404" s="6">
        <v>5.0</v>
      </c>
      <c r="E404" s="6">
        <v>7.1</v>
      </c>
      <c r="F404" s="6">
        <f t="shared" si="1"/>
        <v>7</v>
      </c>
      <c r="G404" s="6">
        <v>7.0</v>
      </c>
      <c r="H404" s="6">
        <v>45.0</v>
      </c>
      <c r="I404" s="6">
        <v>22.0</v>
      </c>
      <c r="J404" s="6">
        <v>5.0</v>
      </c>
      <c r="K404" s="6">
        <v>4.0</v>
      </c>
      <c r="L404" s="9">
        <v>44471.0</v>
      </c>
      <c r="M404" s="6">
        <v>6.0</v>
      </c>
      <c r="N404" s="5" t="s">
        <v>113</v>
      </c>
      <c r="O404" s="5" t="str">
        <f t="shared" si="2"/>
        <v>Yes</v>
      </c>
      <c r="P404" s="5" t="s">
        <v>113</v>
      </c>
      <c r="Q404" s="5">
        <f t="shared" si="3"/>
        <v>1</v>
      </c>
      <c r="R404" s="5">
        <v>1.0</v>
      </c>
    </row>
    <row r="405" ht="22.5" customHeight="1">
      <c r="A405" s="5" t="s">
        <v>1706</v>
      </c>
      <c r="B405" s="5" t="s">
        <v>44</v>
      </c>
      <c r="C405" s="6">
        <v>7.0</v>
      </c>
      <c r="D405" s="6">
        <v>11.0</v>
      </c>
      <c r="E405" s="6">
        <v>5.2</v>
      </c>
      <c r="F405" s="6">
        <f t="shared" si="1"/>
        <v>5</v>
      </c>
      <c r="G405" s="6">
        <v>5.0</v>
      </c>
      <c r="H405" s="6">
        <v>10.0</v>
      </c>
      <c r="I405" s="6">
        <v>16.0</v>
      </c>
      <c r="J405" s="6">
        <v>19.0</v>
      </c>
      <c r="K405" s="6">
        <v>4.0</v>
      </c>
      <c r="L405" s="9">
        <v>45642.0</v>
      </c>
      <c r="M405" s="6">
        <v>8.0</v>
      </c>
      <c r="N405" s="5" t="s">
        <v>62</v>
      </c>
      <c r="O405" s="5" t="str">
        <f t="shared" si="2"/>
        <v>No</v>
      </c>
      <c r="P405" s="5" t="s">
        <v>62</v>
      </c>
      <c r="Q405" s="5">
        <f t="shared" si="3"/>
        <v>0</v>
      </c>
      <c r="R405" s="5">
        <v>0.0</v>
      </c>
    </row>
    <row r="406" ht="22.5" customHeight="1">
      <c r="A406" s="5" t="s">
        <v>1709</v>
      </c>
      <c r="B406" s="5" t="s">
        <v>44</v>
      </c>
      <c r="C406" s="6">
        <v>10.0</v>
      </c>
      <c r="D406" s="6">
        <v>25.0</v>
      </c>
      <c r="E406" s="6">
        <v>6.2</v>
      </c>
      <c r="F406" s="6">
        <f t="shared" si="1"/>
        <v>6</v>
      </c>
      <c r="G406" s="6">
        <v>6.0</v>
      </c>
      <c r="H406" s="6">
        <v>41.0</v>
      </c>
      <c r="I406" s="6">
        <v>29.0</v>
      </c>
      <c r="J406" s="6">
        <v>6.0</v>
      </c>
      <c r="K406" s="6">
        <v>2.0</v>
      </c>
      <c r="L406" s="11"/>
      <c r="M406" s="6">
        <v>4.0</v>
      </c>
      <c r="O406" s="10" t="str">
        <f t="shared" si="2"/>
        <v>Yes</v>
      </c>
      <c r="P406" s="10" t="s">
        <v>113</v>
      </c>
      <c r="Q406" s="10">
        <f t="shared" si="3"/>
        <v>1</v>
      </c>
      <c r="R406" s="10">
        <v>1.0</v>
      </c>
    </row>
    <row r="407" ht="22.5" customHeight="1">
      <c r="A407" s="5" t="s">
        <v>1712</v>
      </c>
      <c r="B407" s="5" t="s">
        <v>84</v>
      </c>
      <c r="C407" s="6">
        <v>4.0</v>
      </c>
      <c r="D407" s="6">
        <v>18.0</v>
      </c>
      <c r="E407" s="6">
        <v>5.2</v>
      </c>
      <c r="F407" s="6">
        <f t="shared" si="1"/>
        <v>5</v>
      </c>
      <c r="G407" s="6">
        <v>5.0</v>
      </c>
      <c r="H407" s="6">
        <v>21.0</v>
      </c>
      <c r="I407" s="6">
        <v>36.0</v>
      </c>
      <c r="J407" s="6">
        <v>6.0</v>
      </c>
      <c r="K407" s="6">
        <v>5.0</v>
      </c>
      <c r="L407" s="9">
        <v>46192.0</v>
      </c>
      <c r="M407" s="6">
        <v>5.0</v>
      </c>
      <c r="N407" s="5" t="s">
        <v>62</v>
      </c>
      <c r="O407" s="5" t="str">
        <f t="shared" si="2"/>
        <v>No</v>
      </c>
      <c r="P407" s="5" t="s">
        <v>62</v>
      </c>
      <c r="Q407" s="5">
        <f t="shared" si="3"/>
        <v>0</v>
      </c>
      <c r="R407" s="5">
        <v>0.0</v>
      </c>
    </row>
    <row r="408" ht="22.5" customHeight="1">
      <c r="A408" s="5" t="s">
        <v>1715</v>
      </c>
      <c r="B408" s="5" t="s">
        <v>65</v>
      </c>
      <c r="C408" s="6">
        <v>9.0</v>
      </c>
      <c r="D408" s="6">
        <v>30.0</v>
      </c>
      <c r="E408" s="6">
        <v>7.8</v>
      </c>
      <c r="F408" s="6">
        <f t="shared" si="1"/>
        <v>7</v>
      </c>
      <c r="G408" s="6">
        <v>7.0</v>
      </c>
      <c r="H408" s="6">
        <v>7.0</v>
      </c>
      <c r="I408" s="6">
        <v>15.0</v>
      </c>
      <c r="J408" s="6">
        <v>14.0</v>
      </c>
      <c r="K408" s="6">
        <v>0.0</v>
      </c>
      <c r="L408" s="9">
        <v>45587.0</v>
      </c>
      <c r="M408" s="6">
        <v>10.0</v>
      </c>
      <c r="N408" s="5" t="s">
        <v>62</v>
      </c>
      <c r="O408" s="5" t="str">
        <f t="shared" si="2"/>
        <v>No</v>
      </c>
      <c r="P408" s="5" t="s">
        <v>62</v>
      </c>
      <c r="Q408" s="5">
        <f t="shared" si="3"/>
        <v>0</v>
      </c>
      <c r="R408" s="5">
        <v>0.0</v>
      </c>
    </row>
    <row r="409" ht="22.5" customHeight="1">
      <c r="A409" s="5" t="s">
        <v>1718</v>
      </c>
      <c r="B409" s="5" t="s">
        <v>84</v>
      </c>
      <c r="C409" s="6">
        <v>8.0</v>
      </c>
      <c r="D409" s="6">
        <v>26.0</v>
      </c>
      <c r="E409" s="6">
        <v>4.3</v>
      </c>
      <c r="F409" s="6">
        <f t="shared" si="1"/>
        <v>4</v>
      </c>
      <c r="G409" s="6">
        <v>4.0</v>
      </c>
      <c r="H409" s="6">
        <v>20.0</v>
      </c>
      <c r="I409" s="6">
        <v>41.0</v>
      </c>
      <c r="J409" s="6">
        <v>3.0</v>
      </c>
      <c r="K409" s="6">
        <v>4.0</v>
      </c>
      <c r="L409" s="9">
        <v>45337.0</v>
      </c>
      <c r="M409" s="6">
        <v>1.0</v>
      </c>
      <c r="N409" s="5" t="s">
        <v>113</v>
      </c>
      <c r="O409" s="5" t="str">
        <f t="shared" si="2"/>
        <v>No</v>
      </c>
      <c r="P409" s="5" t="s">
        <v>62</v>
      </c>
      <c r="Q409" s="5">
        <f t="shared" si="3"/>
        <v>0</v>
      </c>
      <c r="R409" s="5">
        <v>0.0</v>
      </c>
    </row>
    <row r="410" ht="22.5" customHeight="1">
      <c r="A410" s="5" t="s">
        <v>1721</v>
      </c>
      <c r="B410" s="5" t="s">
        <v>22</v>
      </c>
      <c r="C410" s="6">
        <v>7.0</v>
      </c>
      <c r="D410" s="6">
        <v>38.0</v>
      </c>
      <c r="E410" s="6">
        <v>12.7</v>
      </c>
      <c r="F410" s="6">
        <f t="shared" si="1"/>
        <v>12</v>
      </c>
      <c r="G410" s="6">
        <v>12.0</v>
      </c>
      <c r="H410" s="6">
        <v>13.0</v>
      </c>
      <c r="I410" s="6">
        <v>28.0</v>
      </c>
      <c r="J410" s="6">
        <v>19.0</v>
      </c>
      <c r="K410" s="6">
        <v>0.0</v>
      </c>
      <c r="L410" s="9">
        <v>45177.0</v>
      </c>
      <c r="M410" s="6">
        <v>5.0</v>
      </c>
      <c r="N410" s="5" t="s">
        <v>113</v>
      </c>
      <c r="O410" s="5" t="str">
        <f t="shared" si="2"/>
        <v>No</v>
      </c>
      <c r="P410" s="5" t="s">
        <v>62</v>
      </c>
      <c r="Q410" s="5">
        <f t="shared" si="3"/>
        <v>0</v>
      </c>
      <c r="R410" s="5">
        <v>0.0</v>
      </c>
    </row>
    <row r="411" ht="22.5" customHeight="1">
      <c r="A411" s="5" t="s">
        <v>1723</v>
      </c>
      <c r="B411" s="5" t="s">
        <v>22</v>
      </c>
      <c r="C411" s="6">
        <v>11.0</v>
      </c>
      <c r="D411" s="6">
        <v>61.0</v>
      </c>
      <c r="E411" s="6">
        <v>12.7</v>
      </c>
      <c r="F411" s="6">
        <f t="shared" si="1"/>
        <v>12</v>
      </c>
      <c r="G411" s="6">
        <v>12.0</v>
      </c>
      <c r="H411" s="6">
        <v>29.0</v>
      </c>
      <c r="I411" s="6">
        <v>33.0</v>
      </c>
      <c r="J411" s="6">
        <v>4.0</v>
      </c>
      <c r="K411" s="6">
        <v>2.0</v>
      </c>
      <c r="L411" s="9">
        <v>44887.0</v>
      </c>
      <c r="M411" s="6">
        <v>3.0</v>
      </c>
      <c r="N411" s="5" t="s">
        <v>113</v>
      </c>
      <c r="O411" s="5" t="str">
        <f t="shared" si="2"/>
        <v>Yes</v>
      </c>
      <c r="P411" s="5" t="s">
        <v>113</v>
      </c>
      <c r="Q411" s="5">
        <f t="shared" si="3"/>
        <v>1</v>
      </c>
      <c r="R411" s="5">
        <v>1.0</v>
      </c>
    </row>
    <row r="412" ht="22.5" customHeight="1">
      <c r="A412" s="5" t="s">
        <v>1726</v>
      </c>
      <c r="B412" s="5" t="s">
        <v>65</v>
      </c>
      <c r="C412" s="6">
        <v>6.0</v>
      </c>
      <c r="D412" s="6">
        <v>34.0</v>
      </c>
      <c r="E412" s="6">
        <v>8.8</v>
      </c>
      <c r="F412" s="6">
        <f t="shared" si="1"/>
        <v>8</v>
      </c>
      <c r="G412" s="6">
        <v>8.0</v>
      </c>
      <c r="H412" s="6">
        <v>20.0</v>
      </c>
      <c r="I412" s="6">
        <v>37.0</v>
      </c>
      <c r="J412" s="6">
        <v>16.0</v>
      </c>
      <c r="K412" s="6">
        <v>5.0</v>
      </c>
      <c r="L412" s="9">
        <v>45988.0</v>
      </c>
      <c r="M412" s="6">
        <v>9.0</v>
      </c>
      <c r="N412" s="5" t="s">
        <v>62</v>
      </c>
      <c r="O412" s="5" t="str">
        <f t="shared" si="2"/>
        <v>No</v>
      </c>
      <c r="P412" s="5" t="s">
        <v>62</v>
      </c>
      <c r="Q412" s="5">
        <f t="shared" si="3"/>
        <v>0</v>
      </c>
      <c r="R412" s="5">
        <v>0.0</v>
      </c>
    </row>
    <row r="413" ht="22.5" customHeight="1">
      <c r="A413" s="5" t="s">
        <v>1730</v>
      </c>
      <c r="B413" s="5" t="s">
        <v>65</v>
      </c>
      <c r="C413" s="6">
        <v>6.0</v>
      </c>
      <c r="D413" s="6">
        <v>17.0</v>
      </c>
      <c r="E413" s="6">
        <v>11.9</v>
      </c>
      <c r="F413" s="6">
        <f t="shared" si="1"/>
        <v>11</v>
      </c>
      <c r="G413" s="6">
        <v>11.0</v>
      </c>
      <c r="H413" s="6">
        <v>49.0</v>
      </c>
      <c r="I413" s="6">
        <v>33.0</v>
      </c>
      <c r="J413" s="6">
        <v>9.0</v>
      </c>
      <c r="K413" s="6">
        <v>5.0</v>
      </c>
      <c r="L413" s="9">
        <v>44856.0</v>
      </c>
      <c r="M413" s="6">
        <v>5.0</v>
      </c>
      <c r="N413" s="5" t="s">
        <v>113</v>
      </c>
      <c r="O413" s="5" t="str">
        <f t="shared" si="2"/>
        <v>Yes</v>
      </c>
      <c r="P413" s="5" t="s">
        <v>113</v>
      </c>
      <c r="Q413" s="5">
        <f t="shared" si="3"/>
        <v>1</v>
      </c>
      <c r="R413" s="5">
        <v>1.0</v>
      </c>
    </row>
    <row r="414" ht="22.5" customHeight="1">
      <c r="A414" s="5" t="s">
        <v>1732</v>
      </c>
      <c r="B414" s="5" t="s">
        <v>65</v>
      </c>
      <c r="C414" s="6">
        <v>6.0</v>
      </c>
      <c r="D414" s="6">
        <v>28.0</v>
      </c>
      <c r="E414" s="6">
        <v>2.4</v>
      </c>
      <c r="F414" s="6">
        <f t="shared" si="1"/>
        <v>2</v>
      </c>
      <c r="G414" s="6">
        <v>2.0</v>
      </c>
      <c r="H414" s="6">
        <v>44.0</v>
      </c>
      <c r="I414" s="6">
        <v>24.0</v>
      </c>
      <c r="J414" s="6">
        <v>3.0</v>
      </c>
      <c r="K414" s="6">
        <v>3.0</v>
      </c>
      <c r="L414" s="9">
        <v>45494.0</v>
      </c>
      <c r="M414" s="6">
        <v>3.0</v>
      </c>
      <c r="N414" s="5" t="s">
        <v>113</v>
      </c>
      <c r="O414" s="5" t="str">
        <f t="shared" si="2"/>
        <v>No</v>
      </c>
      <c r="P414" s="5" t="s">
        <v>62</v>
      </c>
      <c r="Q414" s="5">
        <f t="shared" si="3"/>
        <v>0</v>
      </c>
      <c r="R414" s="5">
        <v>0.0</v>
      </c>
    </row>
    <row r="415" ht="22.5" customHeight="1">
      <c r="A415" s="5" t="s">
        <v>1735</v>
      </c>
      <c r="B415" s="5" t="s">
        <v>65</v>
      </c>
      <c r="C415" s="6">
        <v>6.0</v>
      </c>
      <c r="D415" s="6">
        <v>16.0</v>
      </c>
      <c r="E415" s="6">
        <v>13.1</v>
      </c>
      <c r="F415" s="6">
        <f t="shared" si="1"/>
        <v>13</v>
      </c>
      <c r="G415" s="6">
        <v>13.0</v>
      </c>
      <c r="H415" s="6">
        <v>31.0</v>
      </c>
      <c r="I415" s="6">
        <v>35.0</v>
      </c>
      <c r="J415" s="6">
        <v>15.0</v>
      </c>
      <c r="K415" s="6">
        <v>2.0</v>
      </c>
      <c r="L415" s="9">
        <v>45756.0</v>
      </c>
      <c r="M415" s="6">
        <v>8.0</v>
      </c>
      <c r="N415" s="5" t="s">
        <v>62</v>
      </c>
      <c r="O415" s="5" t="str">
        <f t="shared" si="2"/>
        <v>No</v>
      </c>
      <c r="P415" s="5" t="s">
        <v>62</v>
      </c>
      <c r="Q415" s="5">
        <f t="shared" si="3"/>
        <v>0</v>
      </c>
      <c r="R415" s="5">
        <v>0.0</v>
      </c>
    </row>
    <row r="416" ht="22.5" customHeight="1">
      <c r="A416" s="5" t="s">
        <v>1738</v>
      </c>
      <c r="B416" s="5" t="s">
        <v>170</v>
      </c>
      <c r="C416" s="6">
        <v>5.0</v>
      </c>
      <c r="D416" s="6">
        <v>12.0</v>
      </c>
      <c r="E416" s="6">
        <v>8.3</v>
      </c>
      <c r="F416" s="6">
        <f t="shared" si="1"/>
        <v>8</v>
      </c>
      <c r="G416" s="6">
        <v>8.0</v>
      </c>
      <c r="H416" s="6">
        <v>56.0</v>
      </c>
      <c r="I416" s="6">
        <v>27.0</v>
      </c>
      <c r="J416" s="6">
        <v>7.0</v>
      </c>
      <c r="K416" s="6">
        <v>2.0</v>
      </c>
      <c r="L416" s="9">
        <v>46176.0</v>
      </c>
      <c r="M416" s="6">
        <v>10.0</v>
      </c>
      <c r="N416" s="5" t="s">
        <v>62</v>
      </c>
      <c r="O416" s="5" t="str">
        <f t="shared" si="2"/>
        <v>No</v>
      </c>
      <c r="P416" s="5" t="s">
        <v>62</v>
      </c>
      <c r="Q416" s="5">
        <f t="shared" si="3"/>
        <v>0</v>
      </c>
      <c r="R416" s="5">
        <v>0.0</v>
      </c>
    </row>
    <row r="417" ht="22.5" customHeight="1">
      <c r="A417" s="5" t="s">
        <v>1741</v>
      </c>
      <c r="B417" s="5" t="s">
        <v>84</v>
      </c>
      <c r="C417" s="6">
        <v>11.0</v>
      </c>
      <c r="D417" s="6">
        <v>26.0</v>
      </c>
      <c r="E417" s="6">
        <v>4.5</v>
      </c>
      <c r="F417" s="6">
        <f t="shared" si="1"/>
        <v>4</v>
      </c>
      <c r="G417" s="6">
        <v>4.0</v>
      </c>
      <c r="H417" s="6">
        <v>25.0</v>
      </c>
      <c r="I417" s="6">
        <v>34.0</v>
      </c>
      <c r="J417" s="6">
        <v>3.0</v>
      </c>
      <c r="K417" s="6">
        <v>5.0</v>
      </c>
      <c r="L417" s="9">
        <v>45813.0</v>
      </c>
      <c r="M417" s="6">
        <v>8.0</v>
      </c>
      <c r="N417" s="5" t="s">
        <v>62</v>
      </c>
      <c r="O417" s="5" t="str">
        <f t="shared" si="2"/>
        <v>No</v>
      </c>
      <c r="P417" s="5" t="s">
        <v>62</v>
      </c>
      <c r="Q417" s="5">
        <f t="shared" si="3"/>
        <v>0</v>
      </c>
      <c r="R417" s="5">
        <v>0.0</v>
      </c>
    </row>
    <row r="418" ht="22.5" customHeight="1">
      <c r="A418" s="5" t="s">
        <v>1743</v>
      </c>
      <c r="B418" s="5" t="s">
        <v>170</v>
      </c>
      <c r="C418" s="6">
        <v>4.0</v>
      </c>
      <c r="D418" s="6">
        <v>12.0</v>
      </c>
      <c r="E418" s="6">
        <v>4.2</v>
      </c>
      <c r="F418" s="6">
        <f t="shared" si="1"/>
        <v>4</v>
      </c>
      <c r="G418" s="6">
        <v>4.0</v>
      </c>
      <c r="H418" s="6">
        <v>49.0</v>
      </c>
      <c r="I418" s="6">
        <v>35.0</v>
      </c>
      <c r="J418" s="6">
        <v>14.0</v>
      </c>
      <c r="K418" s="6">
        <v>5.0</v>
      </c>
      <c r="L418" s="9">
        <v>45733.0</v>
      </c>
      <c r="M418" s="6">
        <v>6.0</v>
      </c>
      <c r="N418" s="5" t="s">
        <v>62</v>
      </c>
      <c r="O418" s="5" t="str">
        <f t="shared" si="2"/>
        <v>No</v>
      </c>
      <c r="P418" s="5" t="s">
        <v>62</v>
      </c>
      <c r="Q418" s="5">
        <f t="shared" si="3"/>
        <v>0</v>
      </c>
      <c r="R418" s="5">
        <v>0.0</v>
      </c>
    </row>
    <row r="419" ht="22.5" customHeight="1">
      <c r="A419" s="5" t="s">
        <v>1746</v>
      </c>
      <c r="B419" s="5" t="s">
        <v>84</v>
      </c>
      <c r="C419" s="6">
        <v>3.0</v>
      </c>
      <c r="D419" s="6">
        <v>10.0</v>
      </c>
      <c r="E419" s="6">
        <v>15.6</v>
      </c>
      <c r="F419" s="6">
        <f t="shared" si="1"/>
        <v>15</v>
      </c>
      <c r="G419" s="6">
        <v>15.0</v>
      </c>
      <c r="H419" s="6">
        <v>54.0</v>
      </c>
      <c r="I419" s="6">
        <v>16.0</v>
      </c>
      <c r="J419" s="6">
        <v>6.0</v>
      </c>
      <c r="K419" s="6">
        <v>0.0</v>
      </c>
      <c r="L419" s="9">
        <v>45297.0</v>
      </c>
      <c r="M419" s="6">
        <v>4.0</v>
      </c>
      <c r="N419" s="5" t="s">
        <v>113</v>
      </c>
      <c r="O419" s="5" t="str">
        <f t="shared" si="2"/>
        <v>No</v>
      </c>
      <c r="P419" s="5" t="s">
        <v>62</v>
      </c>
      <c r="Q419" s="5">
        <f t="shared" si="3"/>
        <v>0</v>
      </c>
      <c r="R419" s="5">
        <v>0.0</v>
      </c>
    </row>
    <row r="420" ht="22.5" customHeight="1">
      <c r="A420" s="5" t="s">
        <v>1750</v>
      </c>
      <c r="B420" s="5" t="s">
        <v>84</v>
      </c>
      <c r="C420" s="6">
        <v>7.0</v>
      </c>
      <c r="D420" s="6">
        <v>37.0</v>
      </c>
      <c r="E420" s="6">
        <v>10.7</v>
      </c>
      <c r="F420" s="6">
        <f t="shared" si="1"/>
        <v>10</v>
      </c>
      <c r="G420" s="6">
        <v>10.0</v>
      </c>
      <c r="H420" s="6">
        <v>51.0</v>
      </c>
      <c r="I420" s="6">
        <v>31.0</v>
      </c>
      <c r="J420" s="6">
        <v>9.0</v>
      </c>
      <c r="K420" s="6">
        <v>3.0</v>
      </c>
      <c r="L420" s="9">
        <v>46166.0</v>
      </c>
      <c r="M420" s="6">
        <v>8.0</v>
      </c>
      <c r="N420" s="5" t="s">
        <v>62</v>
      </c>
      <c r="O420" s="5" t="str">
        <f t="shared" si="2"/>
        <v>No</v>
      </c>
      <c r="P420" s="5" t="s">
        <v>62</v>
      </c>
      <c r="Q420" s="5">
        <f t="shared" si="3"/>
        <v>0</v>
      </c>
      <c r="R420" s="5">
        <v>0.0</v>
      </c>
    </row>
    <row r="421" ht="22.5" customHeight="1">
      <c r="A421" s="5" t="s">
        <v>1752</v>
      </c>
      <c r="B421" s="5" t="s">
        <v>44</v>
      </c>
      <c r="C421" s="6">
        <v>5.0</v>
      </c>
      <c r="D421" s="6">
        <v>10.0</v>
      </c>
      <c r="E421" s="6">
        <v>6.1</v>
      </c>
      <c r="F421" s="6">
        <f t="shared" si="1"/>
        <v>6</v>
      </c>
      <c r="G421" s="6">
        <v>6.0</v>
      </c>
      <c r="H421" s="6">
        <v>34.0</v>
      </c>
      <c r="I421" s="6">
        <v>24.0</v>
      </c>
      <c r="J421" s="6">
        <v>14.0</v>
      </c>
      <c r="K421" s="6">
        <v>3.0</v>
      </c>
      <c r="L421" s="9">
        <v>46244.0</v>
      </c>
      <c r="M421" s="6">
        <v>6.0</v>
      </c>
      <c r="N421" s="5" t="s">
        <v>62</v>
      </c>
      <c r="O421" s="5" t="str">
        <f t="shared" si="2"/>
        <v>No</v>
      </c>
      <c r="P421" s="5" t="s">
        <v>62</v>
      </c>
      <c r="Q421" s="5">
        <f t="shared" si="3"/>
        <v>0</v>
      </c>
      <c r="R421" s="5">
        <v>0.0</v>
      </c>
    </row>
    <row r="422" ht="22.5" customHeight="1">
      <c r="A422" s="5" t="s">
        <v>1755</v>
      </c>
      <c r="B422" s="5" t="s">
        <v>22</v>
      </c>
      <c r="C422" s="6">
        <v>5.0</v>
      </c>
      <c r="D422" s="6">
        <v>24.0</v>
      </c>
      <c r="E422" s="6">
        <v>2.4</v>
      </c>
      <c r="F422" s="6">
        <f t="shared" si="1"/>
        <v>2</v>
      </c>
      <c r="G422" s="6">
        <v>2.0</v>
      </c>
      <c r="H422" s="6">
        <v>55.0</v>
      </c>
      <c r="I422" s="6">
        <v>26.0</v>
      </c>
      <c r="J422" s="6">
        <v>8.0</v>
      </c>
      <c r="K422" s="6">
        <v>5.0</v>
      </c>
      <c r="L422" s="9">
        <v>45255.0</v>
      </c>
      <c r="M422" s="6">
        <v>2.0</v>
      </c>
      <c r="N422" s="5" t="s">
        <v>113</v>
      </c>
      <c r="O422" s="5" t="str">
        <f t="shared" si="2"/>
        <v>No</v>
      </c>
      <c r="P422" s="5" t="s">
        <v>62</v>
      </c>
      <c r="Q422" s="5">
        <f t="shared" si="3"/>
        <v>0</v>
      </c>
      <c r="R422" s="5">
        <v>0.0</v>
      </c>
    </row>
    <row r="423" ht="22.5" customHeight="1">
      <c r="A423" s="5" t="s">
        <v>1757</v>
      </c>
      <c r="B423" s="5" t="s">
        <v>22</v>
      </c>
      <c r="C423" s="6">
        <v>9.0</v>
      </c>
      <c r="D423" s="6">
        <v>35.0</v>
      </c>
      <c r="E423" s="6">
        <v>13.5</v>
      </c>
      <c r="F423" s="6">
        <f t="shared" si="1"/>
        <v>13</v>
      </c>
      <c r="G423" s="6">
        <v>13.0</v>
      </c>
      <c r="H423" s="6">
        <v>46.0</v>
      </c>
      <c r="I423" s="6">
        <v>26.0</v>
      </c>
      <c r="J423" s="6">
        <v>6.0</v>
      </c>
      <c r="K423" s="6">
        <v>5.0</v>
      </c>
      <c r="L423" s="9">
        <v>45355.0</v>
      </c>
      <c r="M423" s="6">
        <v>1.0</v>
      </c>
      <c r="N423" s="5" t="s">
        <v>113</v>
      </c>
      <c r="O423" s="5" t="str">
        <f t="shared" si="2"/>
        <v>No</v>
      </c>
      <c r="P423" s="5" t="s">
        <v>62</v>
      </c>
      <c r="Q423" s="5">
        <f t="shared" si="3"/>
        <v>0</v>
      </c>
      <c r="R423" s="5">
        <v>0.0</v>
      </c>
    </row>
    <row r="424" ht="22.5" customHeight="1">
      <c r="A424" s="5" t="s">
        <v>1759</v>
      </c>
      <c r="B424" s="5" t="s">
        <v>22</v>
      </c>
      <c r="C424" s="6">
        <v>6.0</v>
      </c>
      <c r="D424" s="6">
        <v>17.0</v>
      </c>
      <c r="E424" s="6">
        <v>3.1</v>
      </c>
      <c r="F424" s="6">
        <f t="shared" si="1"/>
        <v>3</v>
      </c>
      <c r="G424" s="6">
        <v>3.0</v>
      </c>
      <c r="H424" s="6">
        <v>49.0</v>
      </c>
      <c r="I424" s="6">
        <v>26.0</v>
      </c>
      <c r="J424" s="6">
        <v>20.0</v>
      </c>
      <c r="K424" s="6">
        <v>2.0</v>
      </c>
      <c r="L424" s="9">
        <v>45938.0</v>
      </c>
      <c r="M424" s="6">
        <v>8.0</v>
      </c>
      <c r="N424" s="5" t="s">
        <v>62</v>
      </c>
      <c r="O424" s="5" t="str">
        <f t="shared" si="2"/>
        <v>No</v>
      </c>
      <c r="P424" s="5" t="s">
        <v>62</v>
      </c>
      <c r="Q424" s="5">
        <f t="shared" si="3"/>
        <v>0</v>
      </c>
      <c r="R424" s="5">
        <v>0.0</v>
      </c>
    </row>
    <row r="425" ht="22.5" customHeight="1">
      <c r="A425" s="5" t="s">
        <v>1761</v>
      </c>
      <c r="B425" s="5" t="s">
        <v>65</v>
      </c>
      <c r="C425" s="6">
        <v>5.0</v>
      </c>
      <c r="D425" s="6">
        <v>19.0</v>
      </c>
      <c r="E425" s="6">
        <v>5.3</v>
      </c>
      <c r="F425" s="6">
        <f t="shared" si="1"/>
        <v>5</v>
      </c>
      <c r="G425" s="6">
        <v>5.0</v>
      </c>
      <c r="H425" s="6">
        <v>50.0</v>
      </c>
      <c r="I425" s="6">
        <v>37.0</v>
      </c>
      <c r="J425" s="6">
        <v>10.0</v>
      </c>
      <c r="K425" s="6">
        <v>4.0</v>
      </c>
      <c r="L425" s="9">
        <v>45991.0</v>
      </c>
      <c r="M425" s="6">
        <v>7.0</v>
      </c>
      <c r="N425" s="5" t="s">
        <v>62</v>
      </c>
      <c r="O425" s="5" t="str">
        <f t="shared" si="2"/>
        <v>No</v>
      </c>
      <c r="P425" s="5" t="s">
        <v>62</v>
      </c>
      <c r="Q425" s="5">
        <f t="shared" si="3"/>
        <v>0</v>
      </c>
      <c r="R425" s="5">
        <v>0.0</v>
      </c>
    </row>
    <row r="426" ht="22.5" customHeight="1">
      <c r="A426" s="5" t="s">
        <v>1765</v>
      </c>
      <c r="B426" s="5" t="s">
        <v>84</v>
      </c>
      <c r="C426" s="6">
        <v>8.0</v>
      </c>
      <c r="D426" s="6">
        <v>23.0</v>
      </c>
      <c r="E426" s="6">
        <v>6.1</v>
      </c>
      <c r="F426" s="6">
        <f t="shared" si="1"/>
        <v>6</v>
      </c>
      <c r="G426" s="6">
        <v>6.0</v>
      </c>
      <c r="H426" s="6">
        <v>40.0</v>
      </c>
      <c r="I426" s="6">
        <v>14.0</v>
      </c>
      <c r="J426" s="6">
        <v>4.0</v>
      </c>
      <c r="K426" s="6">
        <v>2.0</v>
      </c>
      <c r="L426" s="11"/>
      <c r="M426" s="6">
        <v>2.0</v>
      </c>
      <c r="N426" s="5" t="s">
        <v>113</v>
      </c>
      <c r="O426" s="5" t="str">
        <f t="shared" si="2"/>
        <v>Yes</v>
      </c>
      <c r="P426" s="5" t="s">
        <v>113</v>
      </c>
      <c r="Q426" s="5">
        <f t="shared" si="3"/>
        <v>1</v>
      </c>
      <c r="R426" s="5">
        <v>1.0</v>
      </c>
    </row>
    <row r="427" ht="22.5" customHeight="1">
      <c r="A427" s="5" t="s">
        <v>1767</v>
      </c>
      <c r="B427" s="5" t="s">
        <v>22</v>
      </c>
      <c r="C427" s="6">
        <v>5.0</v>
      </c>
      <c r="D427" s="6">
        <v>21.0</v>
      </c>
      <c r="E427" s="6">
        <v>4.1</v>
      </c>
      <c r="F427" s="6">
        <f t="shared" si="1"/>
        <v>4</v>
      </c>
      <c r="G427" s="6">
        <v>4.0</v>
      </c>
      <c r="H427" s="6">
        <v>51.0</v>
      </c>
      <c r="I427" s="6">
        <v>11.0</v>
      </c>
      <c r="J427" s="8"/>
      <c r="K427" s="6">
        <v>3.0</v>
      </c>
      <c r="L427" s="9">
        <v>44844.0</v>
      </c>
      <c r="M427" s="6">
        <v>3.0</v>
      </c>
      <c r="N427" s="5" t="s">
        <v>113</v>
      </c>
      <c r="O427" s="5" t="str">
        <f t="shared" si="2"/>
        <v>Yes</v>
      </c>
      <c r="P427" s="5" t="s">
        <v>113</v>
      </c>
      <c r="Q427" s="5">
        <f t="shared" si="3"/>
        <v>1</v>
      </c>
      <c r="R427" s="5">
        <v>1.0</v>
      </c>
    </row>
    <row r="428" ht="22.5" customHeight="1">
      <c r="A428" s="5" t="s">
        <v>1770</v>
      </c>
      <c r="B428" s="5" t="s">
        <v>170</v>
      </c>
      <c r="C428" s="6">
        <v>3.0</v>
      </c>
      <c r="D428" s="6">
        <v>10.0</v>
      </c>
      <c r="E428" s="6">
        <v>5.9</v>
      </c>
      <c r="F428" s="6">
        <f t="shared" si="1"/>
        <v>5</v>
      </c>
      <c r="G428" s="6">
        <v>5.0</v>
      </c>
      <c r="H428" s="6">
        <v>5.0</v>
      </c>
      <c r="I428" s="6">
        <v>10.0</v>
      </c>
      <c r="J428" s="6">
        <v>3.0</v>
      </c>
      <c r="K428" s="6">
        <v>2.0</v>
      </c>
      <c r="L428" s="9">
        <v>45692.0</v>
      </c>
      <c r="M428" s="6">
        <v>8.0</v>
      </c>
      <c r="N428" s="5" t="s">
        <v>62</v>
      </c>
      <c r="O428" s="5" t="str">
        <f t="shared" si="2"/>
        <v>No</v>
      </c>
      <c r="P428" s="5" t="s">
        <v>62</v>
      </c>
      <c r="Q428" s="5">
        <f t="shared" si="3"/>
        <v>0</v>
      </c>
      <c r="R428" s="5">
        <v>0.0</v>
      </c>
    </row>
    <row r="429" ht="22.5" customHeight="1">
      <c r="A429" s="5" t="s">
        <v>1772</v>
      </c>
      <c r="B429" s="5" t="s">
        <v>65</v>
      </c>
      <c r="C429" s="6">
        <v>3.0</v>
      </c>
      <c r="D429" s="6">
        <v>7.0</v>
      </c>
      <c r="E429" s="6">
        <v>6.6</v>
      </c>
      <c r="F429" s="6">
        <f t="shared" si="1"/>
        <v>6</v>
      </c>
      <c r="G429" s="6">
        <v>6.0</v>
      </c>
      <c r="H429" s="6">
        <v>29.0</v>
      </c>
      <c r="I429" s="6">
        <v>34.0</v>
      </c>
      <c r="J429" s="6">
        <v>11.0</v>
      </c>
      <c r="K429" s="6">
        <v>0.0</v>
      </c>
      <c r="L429" s="9">
        <v>45794.0</v>
      </c>
      <c r="M429" s="6">
        <v>7.0</v>
      </c>
      <c r="N429" s="5" t="s">
        <v>62</v>
      </c>
      <c r="O429" s="5" t="str">
        <f t="shared" si="2"/>
        <v>No</v>
      </c>
      <c r="P429" s="5" t="s">
        <v>62</v>
      </c>
      <c r="Q429" s="5">
        <f t="shared" si="3"/>
        <v>0</v>
      </c>
      <c r="R429" s="5">
        <v>0.0</v>
      </c>
    </row>
    <row r="430" ht="22.5" customHeight="1">
      <c r="A430" s="5" t="s">
        <v>1774</v>
      </c>
      <c r="B430" s="5" t="s">
        <v>170</v>
      </c>
      <c r="C430" s="6">
        <v>4.0</v>
      </c>
      <c r="D430" s="6">
        <v>8.0</v>
      </c>
      <c r="E430" s="6">
        <v>5.8</v>
      </c>
      <c r="F430" s="6">
        <f t="shared" si="1"/>
        <v>5</v>
      </c>
      <c r="G430" s="6">
        <v>5.0</v>
      </c>
      <c r="H430" s="6">
        <v>41.0</v>
      </c>
      <c r="I430" s="6">
        <v>19.0</v>
      </c>
      <c r="J430" s="6">
        <v>20.0</v>
      </c>
      <c r="K430" s="6">
        <v>3.0</v>
      </c>
      <c r="L430" s="9">
        <v>45280.0</v>
      </c>
      <c r="M430" s="6">
        <v>3.0</v>
      </c>
      <c r="N430" s="5" t="s">
        <v>113</v>
      </c>
      <c r="O430" s="5" t="str">
        <f t="shared" si="2"/>
        <v>No</v>
      </c>
      <c r="P430" s="5" t="s">
        <v>62</v>
      </c>
      <c r="Q430" s="5">
        <f t="shared" si="3"/>
        <v>0</v>
      </c>
      <c r="R430" s="5">
        <v>0.0</v>
      </c>
    </row>
    <row r="431" ht="22.5" customHeight="1">
      <c r="A431" s="5" t="s">
        <v>1777</v>
      </c>
      <c r="B431" s="5" t="s">
        <v>65</v>
      </c>
      <c r="C431" s="6">
        <v>4.0</v>
      </c>
      <c r="D431" s="6">
        <v>16.0</v>
      </c>
      <c r="E431" s="6">
        <v>8.1</v>
      </c>
      <c r="F431" s="6">
        <f t="shared" si="1"/>
        <v>8</v>
      </c>
      <c r="G431" s="6">
        <v>8.0</v>
      </c>
      <c r="H431" s="6">
        <v>55.0</v>
      </c>
      <c r="I431" s="6">
        <v>26.0</v>
      </c>
      <c r="J431" s="6">
        <v>10.0</v>
      </c>
      <c r="K431" s="6">
        <v>2.0</v>
      </c>
      <c r="L431" s="9">
        <v>45884.0</v>
      </c>
      <c r="M431" s="6">
        <v>8.0</v>
      </c>
      <c r="N431" s="5" t="s">
        <v>62</v>
      </c>
      <c r="O431" s="5" t="str">
        <f t="shared" si="2"/>
        <v>No</v>
      </c>
      <c r="P431" s="5" t="s">
        <v>62</v>
      </c>
      <c r="Q431" s="5">
        <f t="shared" si="3"/>
        <v>0</v>
      </c>
      <c r="R431" s="5">
        <v>0.0</v>
      </c>
    </row>
    <row r="432" ht="22.5" customHeight="1">
      <c r="A432" s="5" t="s">
        <v>1780</v>
      </c>
      <c r="B432" s="5" t="s">
        <v>65</v>
      </c>
      <c r="C432" s="6">
        <v>9.0</v>
      </c>
      <c r="D432" s="6">
        <v>50.0</v>
      </c>
      <c r="E432" s="6">
        <v>16.0</v>
      </c>
      <c r="F432" s="6">
        <f t="shared" si="1"/>
        <v>16</v>
      </c>
      <c r="G432" s="6">
        <v>16.0</v>
      </c>
      <c r="H432" s="6">
        <v>43.0</v>
      </c>
      <c r="I432" s="6">
        <v>24.0</v>
      </c>
      <c r="J432" s="6">
        <v>10.0</v>
      </c>
      <c r="K432" s="6">
        <v>3.0</v>
      </c>
      <c r="L432" s="9">
        <v>45219.0</v>
      </c>
      <c r="M432" s="6">
        <v>4.0</v>
      </c>
      <c r="N432" s="5" t="s">
        <v>113</v>
      </c>
      <c r="O432" s="5" t="str">
        <f t="shared" si="2"/>
        <v>No</v>
      </c>
      <c r="P432" s="5" t="s">
        <v>62</v>
      </c>
      <c r="Q432" s="5">
        <f t="shared" si="3"/>
        <v>0</v>
      </c>
      <c r="R432" s="5">
        <v>0.0</v>
      </c>
    </row>
    <row r="433" ht="22.5" customHeight="1">
      <c r="A433" s="5" t="s">
        <v>1781</v>
      </c>
      <c r="B433" s="5" t="s">
        <v>170</v>
      </c>
      <c r="C433" s="6">
        <v>7.0</v>
      </c>
      <c r="D433" s="6">
        <v>21.0</v>
      </c>
      <c r="E433" s="6">
        <v>2.4</v>
      </c>
      <c r="F433" s="6">
        <f t="shared" si="1"/>
        <v>2</v>
      </c>
      <c r="G433" s="6">
        <v>2.0</v>
      </c>
      <c r="H433" s="6">
        <v>42.0</v>
      </c>
      <c r="I433" s="6">
        <v>18.0</v>
      </c>
      <c r="J433" s="6">
        <v>1.0</v>
      </c>
      <c r="K433" s="6">
        <v>0.0</v>
      </c>
      <c r="L433" s="9">
        <v>44933.0</v>
      </c>
      <c r="M433" s="6">
        <v>2.0</v>
      </c>
      <c r="N433" s="5" t="s">
        <v>113</v>
      </c>
      <c r="O433" s="5" t="str">
        <f t="shared" si="2"/>
        <v>Yes</v>
      </c>
      <c r="P433" s="5" t="s">
        <v>113</v>
      </c>
      <c r="Q433" s="5">
        <f t="shared" si="3"/>
        <v>1</v>
      </c>
      <c r="R433" s="5">
        <v>1.0</v>
      </c>
    </row>
    <row r="434" ht="22.5" customHeight="1">
      <c r="A434" s="5" t="s">
        <v>1785</v>
      </c>
      <c r="B434" s="5" t="s">
        <v>170</v>
      </c>
      <c r="C434" s="6">
        <v>1.0</v>
      </c>
      <c r="D434" s="6">
        <v>5.0</v>
      </c>
      <c r="E434" s="6">
        <v>7.3</v>
      </c>
      <c r="F434" s="6">
        <f t="shared" si="1"/>
        <v>7</v>
      </c>
      <c r="G434" s="6">
        <v>7.0</v>
      </c>
      <c r="H434" s="6">
        <v>53.0</v>
      </c>
      <c r="I434" s="6">
        <v>32.0</v>
      </c>
      <c r="J434" s="6">
        <v>8.0</v>
      </c>
      <c r="K434" s="6">
        <v>3.0</v>
      </c>
      <c r="L434" s="9">
        <v>45627.0</v>
      </c>
      <c r="M434" s="6">
        <v>4.0</v>
      </c>
      <c r="O434" s="10" t="str">
        <f t="shared" si="2"/>
        <v>No</v>
      </c>
      <c r="P434" s="10" t="s">
        <v>62</v>
      </c>
      <c r="Q434" s="10">
        <f t="shared" si="3"/>
        <v>0</v>
      </c>
      <c r="R434" s="10">
        <v>0.0</v>
      </c>
    </row>
    <row r="435" ht="22.5" customHeight="1">
      <c r="A435" s="5" t="s">
        <v>1787</v>
      </c>
      <c r="B435" s="5" t="s">
        <v>44</v>
      </c>
      <c r="C435" s="6">
        <v>9.0</v>
      </c>
      <c r="D435" s="6">
        <v>40.0</v>
      </c>
      <c r="E435" s="6">
        <v>3.1</v>
      </c>
      <c r="F435" s="6">
        <f t="shared" si="1"/>
        <v>3</v>
      </c>
      <c r="G435" s="6">
        <v>3.0</v>
      </c>
      <c r="H435" s="6">
        <v>58.0</v>
      </c>
      <c r="I435" s="6">
        <v>24.0</v>
      </c>
      <c r="J435" s="6">
        <v>1.0</v>
      </c>
      <c r="K435" s="6">
        <v>3.0</v>
      </c>
      <c r="L435" s="11"/>
      <c r="M435" s="6">
        <v>4.0</v>
      </c>
      <c r="N435" s="5" t="s">
        <v>113</v>
      </c>
      <c r="O435" s="5" t="str">
        <f t="shared" si="2"/>
        <v>Yes</v>
      </c>
      <c r="P435" s="5" t="s">
        <v>113</v>
      </c>
      <c r="Q435" s="5">
        <f t="shared" si="3"/>
        <v>1</v>
      </c>
      <c r="R435" s="5">
        <v>1.0</v>
      </c>
    </row>
    <row r="436" ht="22.5" customHeight="1">
      <c r="A436" s="5" t="s">
        <v>1791</v>
      </c>
      <c r="B436" s="5" t="s">
        <v>22</v>
      </c>
      <c r="C436" s="6">
        <v>6.0</v>
      </c>
      <c r="D436" s="6">
        <v>34.0</v>
      </c>
      <c r="E436" s="6">
        <v>2.3</v>
      </c>
      <c r="F436" s="6">
        <f t="shared" si="1"/>
        <v>2</v>
      </c>
      <c r="G436" s="6">
        <v>2.0</v>
      </c>
      <c r="H436" s="6">
        <v>31.0</v>
      </c>
      <c r="I436" s="6">
        <v>23.0</v>
      </c>
      <c r="J436" s="6">
        <v>18.0</v>
      </c>
      <c r="K436" s="6">
        <v>5.0</v>
      </c>
      <c r="L436" s="9">
        <v>45325.0</v>
      </c>
      <c r="M436" s="6">
        <v>4.0</v>
      </c>
      <c r="N436" s="5" t="s">
        <v>113</v>
      </c>
      <c r="O436" s="5" t="str">
        <f t="shared" si="2"/>
        <v>No</v>
      </c>
      <c r="P436" s="5" t="s">
        <v>62</v>
      </c>
      <c r="Q436" s="5">
        <f t="shared" si="3"/>
        <v>0</v>
      </c>
      <c r="R436" s="5">
        <v>0.0</v>
      </c>
    </row>
    <row r="437" ht="22.5" customHeight="1">
      <c r="A437" s="5" t="s">
        <v>1794</v>
      </c>
      <c r="B437" s="5" t="s">
        <v>22</v>
      </c>
      <c r="C437" s="6">
        <v>5.0</v>
      </c>
      <c r="D437" s="6">
        <v>26.0</v>
      </c>
      <c r="E437" s="6">
        <v>11.3</v>
      </c>
      <c r="F437" s="6">
        <f t="shared" si="1"/>
        <v>11</v>
      </c>
      <c r="G437" s="6">
        <v>11.0</v>
      </c>
      <c r="H437" s="6">
        <v>35.0</v>
      </c>
      <c r="I437" s="6">
        <v>27.0</v>
      </c>
      <c r="J437" s="6">
        <v>7.0</v>
      </c>
      <c r="K437" s="6">
        <v>4.0</v>
      </c>
      <c r="L437" s="9">
        <v>46123.0</v>
      </c>
      <c r="M437" s="6">
        <v>8.0</v>
      </c>
      <c r="N437" s="5" t="s">
        <v>62</v>
      </c>
      <c r="O437" s="5" t="str">
        <f t="shared" si="2"/>
        <v>No</v>
      </c>
      <c r="P437" s="5" t="s">
        <v>62</v>
      </c>
      <c r="Q437" s="5">
        <f t="shared" si="3"/>
        <v>0</v>
      </c>
      <c r="R437" s="5">
        <v>0.0</v>
      </c>
    </row>
    <row r="438" ht="22.5" customHeight="1">
      <c r="A438" s="5" t="s">
        <v>1796</v>
      </c>
      <c r="B438" s="5" t="s">
        <v>65</v>
      </c>
      <c r="C438" s="6">
        <v>6.0</v>
      </c>
      <c r="D438" s="6">
        <v>24.0</v>
      </c>
      <c r="E438" s="6">
        <v>7.7</v>
      </c>
      <c r="F438" s="6">
        <f t="shared" si="1"/>
        <v>7</v>
      </c>
      <c r="G438" s="6">
        <v>7.0</v>
      </c>
      <c r="H438" s="6">
        <v>27.0</v>
      </c>
      <c r="I438" s="6">
        <v>31.0</v>
      </c>
      <c r="J438" s="8"/>
      <c r="K438" s="6">
        <v>5.0</v>
      </c>
      <c r="L438" s="9">
        <v>44976.0</v>
      </c>
      <c r="M438" s="6">
        <v>4.0</v>
      </c>
      <c r="N438" s="5" t="s">
        <v>113</v>
      </c>
      <c r="O438" s="5" t="str">
        <f t="shared" si="2"/>
        <v>Yes</v>
      </c>
      <c r="P438" s="5" t="s">
        <v>113</v>
      </c>
      <c r="Q438" s="5">
        <f t="shared" si="3"/>
        <v>1</v>
      </c>
      <c r="R438" s="5">
        <v>1.0</v>
      </c>
    </row>
    <row r="439" ht="22.5" customHeight="1">
      <c r="A439" s="5" t="s">
        <v>1799</v>
      </c>
      <c r="B439" s="5" t="s">
        <v>44</v>
      </c>
      <c r="C439" s="6">
        <v>8.0</v>
      </c>
      <c r="D439" s="6">
        <v>36.0</v>
      </c>
      <c r="E439" s="6">
        <v>2.2</v>
      </c>
      <c r="F439" s="6">
        <f t="shared" si="1"/>
        <v>2</v>
      </c>
      <c r="G439" s="6">
        <v>2.0</v>
      </c>
      <c r="H439" s="6">
        <v>59.0</v>
      </c>
      <c r="I439" s="6">
        <v>17.0</v>
      </c>
      <c r="J439" s="6">
        <v>2.0</v>
      </c>
      <c r="K439" s="6">
        <v>3.0</v>
      </c>
      <c r="L439" s="9">
        <v>46085.0</v>
      </c>
      <c r="M439" s="6">
        <v>7.0</v>
      </c>
      <c r="O439" s="10" t="str">
        <f t="shared" si="2"/>
        <v>No</v>
      </c>
      <c r="P439" s="10" t="s">
        <v>62</v>
      </c>
      <c r="Q439" s="10">
        <f t="shared" si="3"/>
        <v>0</v>
      </c>
      <c r="R439" s="10">
        <v>0.0</v>
      </c>
    </row>
    <row r="440" ht="22.5" customHeight="1">
      <c r="A440" s="5" t="s">
        <v>1801</v>
      </c>
      <c r="B440" s="5" t="s">
        <v>44</v>
      </c>
      <c r="C440" s="6">
        <v>7.0</v>
      </c>
      <c r="D440" s="6">
        <v>39.0</v>
      </c>
      <c r="E440" s="6">
        <v>5.9</v>
      </c>
      <c r="F440" s="6">
        <f t="shared" si="1"/>
        <v>5</v>
      </c>
      <c r="G440" s="6">
        <v>5.0</v>
      </c>
      <c r="H440" s="6">
        <v>45.0</v>
      </c>
      <c r="I440" s="6">
        <v>32.0</v>
      </c>
      <c r="J440" s="6">
        <v>17.0</v>
      </c>
      <c r="K440" s="6">
        <v>5.0</v>
      </c>
      <c r="L440" s="9">
        <v>46012.0</v>
      </c>
      <c r="M440" s="6">
        <v>9.0</v>
      </c>
      <c r="O440" s="10" t="str">
        <f t="shared" si="2"/>
        <v>No</v>
      </c>
      <c r="P440" s="10" t="s">
        <v>62</v>
      </c>
      <c r="Q440" s="10">
        <f t="shared" si="3"/>
        <v>0</v>
      </c>
      <c r="R440" s="10">
        <v>0.0</v>
      </c>
    </row>
    <row r="441" ht="22.5" customHeight="1">
      <c r="A441" s="5" t="s">
        <v>1803</v>
      </c>
      <c r="B441" s="5" t="s">
        <v>65</v>
      </c>
      <c r="C441" s="6">
        <v>4.0</v>
      </c>
      <c r="D441" s="6">
        <v>13.0</v>
      </c>
      <c r="E441" s="6">
        <v>3.7</v>
      </c>
      <c r="F441" s="6">
        <f t="shared" si="1"/>
        <v>3</v>
      </c>
      <c r="G441" s="6">
        <v>3.0</v>
      </c>
      <c r="H441" s="6">
        <v>41.0</v>
      </c>
      <c r="I441" s="6">
        <v>37.0</v>
      </c>
      <c r="J441" s="6">
        <v>7.0</v>
      </c>
      <c r="K441" s="6">
        <v>1.0</v>
      </c>
      <c r="L441" s="9">
        <v>44791.0</v>
      </c>
      <c r="M441" s="6">
        <v>3.0</v>
      </c>
      <c r="N441" s="5" t="s">
        <v>113</v>
      </c>
      <c r="O441" s="5" t="str">
        <f t="shared" si="2"/>
        <v>Yes</v>
      </c>
      <c r="P441" s="5" t="s">
        <v>113</v>
      </c>
      <c r="Q441" s="5">
        <f t="shared" si="3"/>
        <v>1</v>
      </c>
      <c r="R441" s="5">
        <v>1.0</v>
      </c>
    </row>
    <row r="442" ht="22.5" customHeight="1">
      <c r="A442" s="5" t="s">
        <v>1805</v>
      </c>
      <c r="B442" s="5" t="s">
        <v>22</v>
      </c>
      <c r="C442" s="6">
        <v>5.0</v>
      </c>
      <c r="D442" s="6">
        <v>15.0</v>
      </c>
      <c r="E442" s="6">
        <v>6.0</v>
      </c>
      <c r="F442" s="6">
        <f t="shared" si="1"/>
        <v>6</v>
      </c>
      <c r="G442" s="6">
        <v>6.0</v>
      </c>
      <c r="H442" s="6">
        <v>7.0</v>
      </c>
      <c r="I442" s="6">
        <v>14.0</v>
      </c>
      <c r="J442" s="6">
        <v>4.0</v>
      </c>
      <c r="K442" s="6">
        <v>2.0</v>
      </c>
      <c r="L442" s="9">
        <v>44920.0</v>
      </c>
      <c r="M442" s="6">
        <v>3.0</v>
      </c>
      <c r="N442" s="5" t="s">
        <v>113</v>
      </c>
      <c r="O442" s="5" t="str">
        <f t="shared" si="2"/>
        <v>Yes</v>
      </c>
      <c r="P442" s="5" t="s">
        <v>113</v>
      </c>
      <c r="Q442" s="5">
        <f t="shared" si="3"/>
        <v>1</v>
      </c>
      <c r="R442" s="5">
        <v>1.0</v>
      </c>
    </row>
    <row r="443" ht="22.5" customHeight="1">
      <c r="A443" s="5" t="s">
        <v>1808</v>
      </c>
      <c r="B443" s="5" t="s">
        <v>170</v>
      </c>
      <c r="C443" s="6">
        <v>3.0</v>
      </c>
      <c r="D443" s="6">
        <v>5.0</v>
      </c>
      <c r="E443" s="6">
        <v>9.9</v>
      </c>
      <c r="F443" s="6">
        <f t="shared" si="1"/>
        <v>9</v>
      </c>
      <c r="G443" s="6">
        <v>9.0</v>
      </c>
      <c r="H443" s="6">
        <v>60.0</v>
      </c>
      <c r="I443" s="6">
        <v>27.0</v>
      </c>
      <c r="J443" s="6">
        <v>9.0</v>
      </c>
      <c r="K443" s="6">
        <v>0.0</v>
      </c>
      <c r="L443" s="9">
        <v>44576.0</v>
      </c>
      <c r="M443" s="6">
        <v>4.0</v>
      </c>
      <c r="N443" s="5" t="s">
        <v>113</v>
      </c>
      <c r="O443" s="5" t="str">
        <f t="shared" si="2"/>
        <v>Yes</v>
      </c>
      <c r="P443" s="5" t="s">
        <v>113</v>
      </c>
      <c r="Q443" s="5">
        <f t="shared" si="3"/>
        <v>1</v>
      </c>
      <c r="R443" s="5">
        <v>1.0</v>
      </c>
    </row>
    <row r="444" ht="22.5" customHeight="1">
      <c r="A444" s="5" t="s">
        <v>1812</v>
      </c>
      <c r="B444" s="5" t="s">
        <v>65</v>
      </c>
      <c r="C444" s="6">
        <v>5.0</v>
      </c>
      <c r="D444" s="6">
        <v>26.0</v>
      </c>
      <c r="E444" s="6">
        <v>9.3</v>
      </c>
      <c r="F444" s="6">
        <f t="shared" si="1"/>
        <v>9</v>
      </c>
      <c r="G444" s="6">
        <v>9.0</v>
      </c>
      <c r="H444" s="6">
        <v>23.0</v>
      </c>
      <c r="I444" s="6">
        <v>23.0</v>
      </c>
      <c r="J444" s="6">
        <v>15.0</v>
      </c>
      <c r="K444" s="6">
        <v>0.0</v>
      </c>
      <c r="L444" s="9">
        <v>45770.0</v>
      </c>
      <c r="M444" s="6">
        <v>8.0</v>
      </c>
      <c r="N444" s="5" t="s">
        <v>62</v>
      </c>
      <c r="O444" s="5" t="str">
        <f t="shared" si="2"/>
        <v>No</v>
      </c>
      <c r="P444" s="5" t="s">
        <v>62</v>
      </c>
      <c r="Q444" s="5">
        <f t="shared" si="3"/>
        <v>0</v>
      </c>
      <c r="R444" s="5">
        <v>0.0</v>
      </c>
    </row>
    <row r="445" ht="22.5" customHeight="1">
      <c r="A445" s="5" t="s">
        <v>1814</v>
      </c>
      <c r="B445" s="5" t="s">
        <v>84</v>
      </c>
      <c r="C445" s="6">
        <v>2.0</v>
      </c>
      <c r="D445" s="6">
        <v>10.0</v>
      </c>
      <c r="E445" s="6">
        <v>5.2</v>
      </c>
      <c r="F445" s="6">
        <f t="shared" si="1"/>
        <v>5</v>
      </c>
      <c r="G445" s="6">
        <v>5.0</v>
      </c>
      <c r="H445" s="6">
        <v>34.0</v>
      </c>
      <c r="I445" s="6">
        <v>31.0</v>
      </c>
      <c r="J445" s="6">
        <v>12.0</v>
      </c>
      <c r="K445" s="6">
        <v>4.0</v>
      </c>
      <c r="L445" s="9">
        <v>45670.0</v>
      </c>
      <c r="M445" s="6">
        <v>8.0</v>
      </c>
      <c r="N445" s="5" t="s">
        <v>62</v>
      </c>
      <c r="O445" s="5" t="str">
        <f t="shared" si="2"/>
        <v>No</v>
      </c>
      <c r="P445" s="5" t="s">
        <v>62</v>
      </c>
      <c r="Q445" s="5">
        <f t="shared" si="3"/>
        <v>0</v>
      </c>
      <c r="R445" s="5">
        <v>0.0</v>
      </c>
    </row>
    <row r="446" ht="22.5" customHeight="1">
      <c r="A446" s="5" t="s">
        <v>1817</v>
      </c>
      <c r="B446" s="5" t="s">
        <v>84</v>
      </c>
      <c r="C446" s="6">
        <v>10.0</v>
      </c>
      <c r="D446" s="6">
        <v>20.0</v>
      </c>
      <c r="E446" s="6">
        <v>11.6</v>
      </c>
      <c r="F446" s="6">
        <f t="shared" si="1"/>
        <v>11</v>
      </c>
      <c r="G446" s="6">
        <v>11.0</v>
      </c>
      <c r="H446" s="6">
        <v>57.0</v>
      </c>
      <c r="I446" s="6">
        <v>15.0</v>
      </c>
      <c r="J446" s="6">
        <v>3.0</v>
      </c>
      <c r="K446" s="6">
        <v>4.0</v>
      </c>
      <c r="L446" s="9">
        <v>44646.0</v>
      </c>
      <c r="M446" s="6">
        <v>2.0</v>
      </c>
      <c r="N446" s="5" t="s">
        <v>113</v>
      </c>
      <c r="O446" s="5" t="str">
        <f t="shared" si="2"/>
        <v>Yes</v>
      </c>
      <c r="P446" s="5" t="s">
        <v>113</v>
      </c>
      <c r="Q446" s="5">
        <f t="shared" si="3"/>
        <v>1</v>
      </c>
      <c r="R446" s="5">
        <v>1.0</v>
      </c>
    </row>
    <row r="447" ht="22.5" customHeight="1">
      <c r="A447" s="5" t="s">
        <v>1819</v>
      </c>
      <c r="B447" s="5" t="s">
        <v>44</v>
      </c>
      <c r="C447" s="6">
        <v>4.0</v>
      </c>
      <c r="D447" s="6">
        <v>16.0</v>
      </c>
      <c r="E447" s="6">
        <v>14.1</v>
      </c>
      <c r="F447" s="6">
        <f t="shared" si="1"/>
        <v>14</v>
      </c>
      <c r="G447" s="6">
        <v>14.0</v>
      </c>
      <c r="H447" s="6">
        <v>51.0</v>
      </c>
      <c r="I447" s="6">
        <v>38.0</v>
      </c>
      <c r="J447" s="6">
        <v>16.0</v>
      </c>
      <c r="K447" s="6">
        <v>2.0</v>
      </c>
      <c r="L447" s="9">
        <v>44814.0</v>
      </c>
      <c r="M447" s="6">
        <v>3.0</v>
      </c>
      <c r="N447" s="5" t="s">
        <v>113</v>
      </c>
      <c r="O447" s="5" t="str">
        <f t="shared" si="2"/>
        <v>Yes</v>
      </c>
      <c r="P447" s="5" t="s">
        <v>113</v>
      </c>
      <c r="Q447" s="5">
        <f t="shared" si="3"/>
        <v>1</v>
      </c>
      <c r="R447" s="5">
        <v>1.0</v>
      </c>
    </row>
    <row r="448" ht="22.5" customHeight="1">
      <c r="A448" s="5" t="s">
        <v>1822</v>
      </c>
      <c r="B448" s="5" t="s">
        <v>22</v>
      </c>
      <c r="C448" s="6">
        <v>2.0</v>
      </c>
      <c r="D448" s="6">
        <v>7.0</v>
      </c>
      <c r="E448" s="6">
        <v>10.0</v>
      </c>
      <c r="F448" s="6">
        <f t="shared" si="1"/>
        <v>10</v>
      </c>
      <c r="G448" s="6">
        <v>10.0</v>
      </c>
      <c r="H448" s="6">
        <v>22.0</v>
      </c>
      <c r="I448" s="6">
        <v>12.0</v>
      </c>
      <c r="J448" s="6">
        <v>6.0</v>
      </c>
      <c r="K448" s="6">
        <v>5.0</v>
      </c>
      <c r="L448" s="9">
        <v>45573.0</v>
      </c>
      <c r="M448" s="6">
        <v>6.0</v>
      </c>
      <c r="N448" s="5" t="s">
        <v>62</v>
      </c>
      <c r="O448" s="5" t="str">
        <f t="shared" si="2"/>
        <v>No</v>
      </c>
      <c r="P448" s="5" t="s">
        <v>62</v>
      </c>
      <c r="Q448" s="5">
        <f t="shared" si="3"/>
        <v>0</v>
      </c>
      <c r="R448" s="5">
        <v>0.0</v>
      </c>
    </row>
    <row r="449" ht="22.5" customHeight="1">
      <c r="A449" s="5" t="s">
        <v>1825</v>
      </c>
      <c r="B449" s="5" t="s">
        <v>84</v>
      </c>
      <c r="C449" s="6">
        <v>6.0</v>
      </c>
      <c r="D449" s="6">
        <v>12.0</v>
      </c>
      <c r="E449" s="6">
        <v>4.6</v>
      </c>
      <c r="F449" s="6">
        <f t="shared" si="1"/>
        <v>4</v>
      </c>
      <c r="G449" s="6">
        <v>4.0</v>
      </c>
      <c r="H449" s="6">
        <v>47.0</v>
      </c>
      <c r="I449" s="6">
        <v>23.0</v>
      </c>
      <c r="J449" s="6">
        <v>20.0</v>
      </c>
      <c r="K449" s="6">
        <v>2.0</v>
      </c>
      <c r="L449" s="9">
        <v>44988.0</v>
      </c>
      <c r="M449" s="6">
        <v>2.0</v>
      </c>
      <c r="N449" s="5" t="s">
        <v>113</v>
      </c>
      <c r="O449" s="5" t="str">
        <f t="shared" si="2"/>
        <v>Yes</v>
      </c>
      <c r="P449" s="5" t="s">
        <v>113</v>
      </c>
      <c r="Q449" s="5">
        <f t="shared" si="3"/>
        <v>1</v>
      </c>
      <c r="R449" s="5">
        <v>1.0</v>
      </c>
    </row>
    <row r="450" ht="22.5" customHeight="1">
      <c r="A450" s="5" t="s">
        <v>1828</v>
      </c>
      <c r="B450" s="5" t="s">
        <v>84</v>
      </c>
      <c r="C450" s="6">
        <v>7.0</v>
      </c>
      <c r="D450" s="6">
        <v>17.0</v>
      </c>
      <c r="E450" s="6">
        <v>15.7</v>
      </c>
      <c r="F450" s="6">
        <f t="shared" si="1"/>
        <v>15</v>
      </c>
      <c r="G450" s="6">
        <v>15.0</v>
      </c>
      <c r="H450" s="6">
        <v>20.0</v>
      </c>
      <c r="I450" s="6">
        <v>20.0</v>
      </c>
      <c r="J450" s="6">
        <v>16.0</v>
      </c>
      <c r="K450" s="6">
        <v>1.0</v>
      </c>
      <c r="L450" s="9">
        <v>46135.0</v>
      </c>
      <c r="M450" s="6">
        <v>8.0</v>
      </c>
      <c r="N450" s="5" t="s">
        <v>62</v>
      </c>
      <c r="O450" s="5" t="str">
        <f t="shared" si="2"/>
        <v>No</v>
      </c>
      <c r="P450" s="5" t="s">
        <v>62</v>
      </c>
      <c r="Q450" s="5">
        <f t="shared" si="3"/>
        <v>0</v>
      </c>
      <c r="R450" s="5">
        <v>0.0</v>
      </c>
    </row>
    <row r="451" ht="22.5" customHeight="1">
      <c r="A451" s="5" t="s">
        <v>1831</v>
      </c>
      <c r="B451" s="5" t="s">
        <v>170</v>
      </c>
      <c r="C451" s="6">
        <v>6.0</v>
      </c>
      <c r="D451" s="6">
        <v>11.0</v>
      </c>
      <c r="E451" s="6">
        <v>5.4</v>
      </c>
      <c r="F451" s="6">
        <f t="shared" si="1"/>
        <v>5</v>
      </c>
      <c r="G451" s="6">
        <v>5.0</v>
      </c>
      <c r="H451" s="6">
        <v>30.0</v>
      </c>
      <c r="I451" s="6">
        <v>18.0</v>
      </c>
      <c r="J451" s="6">
        <v>19.0</v>
      </c>
      <c r="K451" s="6">
        <v>1.0</v>
      </c>
      <c r="L451" s="9">
        <v>45281.0</v>
      </c>
      <c r="M451" s="6">
        <v>1.0</v>
      </c>
      <c r="N451" s="5" t="s">
        <v>113</v>
      </c>
      <c r="O451" s="5" t="str">
        <f t="shared" si="2"/>
        <v>No</v>
      </c>
      <c r="P451" s="5" t="s">
        <v>62</v>
      </c>
      <c r="Q451" s="5">
        <f t="shared" si="3"/>
        <v>0</v>
      </c>
      <c r="R451" s="5">
        <v>0.0</v>
      </c>
    </row>
    <row r="452" ht="22.5" customHeight="1">
      <c r="A452" s="5" t="s">
        <v>1833</v>
      </c>
      <c r="B452" s="5" t="s">
        <v>22</v>
      </c>
      <c r="C452" s="6">
        <v>9.0</v>
      </c>
      <c r="D452" s="6">
        <v>38.0</v>
      </c>
      <c r="E452" s="6">
        <v>9.4</v>
      </c>
      <c r="F452" s="6">
        <f t="shared" si="1"/>
        <v>9</v>
      </c>
      <c r="G452" s="6">
        <v>9.0</v>
      </c>
      <c r="H452" s="6">
        <v>45.0</v>
      </c>
      <c r="I452" s="6">
        <v>27.0</v>
      </c>
      <c r="J452" s="6">
        <v>18.0</v>
      </c>
      <c r="K452" s="6">
        <v>4.0</v>
      </c>
      <c r="L452" s="11"/>
      <c r="M452" s="6">
        <v>3.0</v>
      </c>
      <c r="N452" s="5" t="s">
        <v>113</v>
      </c>
      <c r="O452" s="5" t="str">
        <f t="shared" si="2"/>
        <v>Yes</v>
      </c>
      <c r="P452" s="5" t="s">
        <v>113</v>
      </c>
      <c r="Q452" s="5">
        <f t="shared" si="3"/>
        <v>1</v>
      </c>
      <c r="R452" s="5">
        <v>1.0</v>
      </c>
    </row>
    <row r="453" ht="22.5" customHeight="1">
      <c r="A453" s="5" t="s">
        <v>1834</v>
      </c>
      <c r="B453" s="5" t="s">
        <v>22</v>
      </c>
      <c r="C453" s="6">
        <v>6.0</v>
      </c>
      <c r="D453" s="6">
        <v>29.0</v>
      </c>
      <c r="E453" s="6">
        <v>4.1</v>
      </c>
      <c r="F453" s="6">
        <f t="shared" si="1"/>
        <v>4</v>
      </c>
      <c r="G453" s="6">
        <v>4.0</v>
      </c>
      <c r="H453" s="6">
        <v>25.0</v>
      </c>
      <c r="I453" s="6">
        <v>26.0</v>
      </c>
      <c r="J453" s="6">
        <v>13.0</v>
      </c>
      <c r="K453" s="6">
        <v>2.0</v>
      </c>
      <c r="L453" s="9">
        <v>45974.0</v>
      </c>
      <c r="M453" s="6">
        <v>9.0</v>
      </c>
      <c r="N453" s="5" t="s">
        <v>62</v>
      </c>
      <c r="O453" s="5" t="str">
        <f t="shared" si="2"/>
        <v>No</v>
      </c>
      <c r="P453" s="5" t="s">
        <v>62</v>
      </c>
      <c r="Q453" s="5">
        <f t="shared" si="3"/>
        <v>0</v>
      </c>
      <c r="R453" s="5">
        <v>0.0</v>
      </c>
    </row>
    <row r="454" ht="22.5" customHeight="1">
      <c r="A454" s="5" t="s">
        <v>1838</v>
      </c>
      <c r="B454" s="5" t="s">
        <v>65</v>
      </c>
      <c r="C454" s="6">
        <v>8.0</v>
      </c>
      <c r="D454" s="6">
        <v>13.0</v>
      </c>
      <c r="E454" s="6">
        <v>11.7</v>
      </c>
      <c r="F454" s="6">
        <f t="shared" si="1"/>
        <v>11</v>
      </c>
      <c r="G454" s="6">
        <v>11.0</v>
      </c>
      <c r="H454" s="6">
        <v>10.0</v>
      </c>
      <c r="I454" s="6">
        <v>25.0</v>
      </c>
      <c r="J454" s="6">
        <v>2.0</v>
      </c>
      <c r="K454" s="6">
        <v>1.0</v>
      </c>
      <c r="L454" s="9">
        <v>45676.0</v>
      </c>
      <c r="M454" s="6">
        <v>6.0</v>
      </c>
      <c r="N454" s="5" t="s">
        <v>62</v>
      </c>
      <c r="O454" s="5" t="str">
        <f t="shared" si="2"/>
        <v>No</v>
      </c>
      <c r="P454" s="5" t="s">
        <v>62</v>
      </c>
      <c r="Q454" s="5">
        <f t="shared" si="3"/>
        <v>0</v>
      </c>
      <c r="R454" s="5">
        <v>0.0</v>
      </c>
    </row>
    <row r="455" ht="22.5" customHeight="1">
      <c r="A455" s="5" t="s">
        <v>1840</v>
      </c>
      <c r="B455" s="5" t="s">
        <v>65</v>
      </c>
      <c r="C455" s="6">
        <v>5.0</v>
      </c>
      <c r="D455" s="6">
        <v>22.0</v>
      </c>
      <c r="E455" s="6">
        <v>3.8</v>
      </c>
      <c r="F455" s="6">
        <f t="shared" si="1"/>
        <v>3</v>
      </c>
      <c r="G455" s="6">
        <v>3.0</v>
      </c>
      <c r="H455" s="6">
        <v>14.0</v>
      </c>
      <c r="I455" s="6">
        <v>32.0</v>
      </c>
      <c r="J455" s="6">
        <v>15.0</v>
      </c>
      <c r="K455" s="6">
        <v>3.0</v>
      </c>
      <c r="L455" s="9">
        <v>45781.0</v>
      </c>
      <c r="M455" s="6">
        <v>7.0</v>
      </c>
      <c r="N455" s="5" t="s">
        <v>62</v>
      </c>
      <c r="O455" s="5" t="str">
        <f t="shared" si="2"/>
        <v>No</v>
      </c>
      <c r="P455" s="5" t="s">
        <v>62</v>
      </c>
      <c r="Q455" s="5">
        <f t="shared" si="3"/>
        <v>0</v>
      </c>
      <c r="R455" s="5">
        <v>0.0</v>
      </c>
    </row>
    <row r="456" ht="22.5" customHeight="1">
      <c r="A456" s="5" t="s">
        <v>1843</v>
      </c>
      <c r="B456" s="5" t="s">
        <v>84</v>
      </c>
      <c r="C456" s="6">
        <v>2.0</v>
      </c>
      <c r="D456" s="6">
        <v>8.0</v>
      </c>
      <c r="E456" s="6">
        <v>6.3</v>
      </c>
      <c r="F456" s="6">
        <f t="shared" si="1"/>
        <v>6</v>
      </c>
      <c r="G456" s="6">
        <v>6.0</v>
      </c>
      <c r="H456" s="6">
        <v>29.0</v>
      </c>
      <c r="I456" s="6">
        <v>22.0</v>
      </c>
      <c r="J456" s="6">
        <v>3.0</v>
      </c>
      <c r="K456" s="6">
        <v>5.0</v>
      </c>
      <c r="L456" s="9">
        <v>44484.0</v>
      </c>
      <c r="M456" s="6">
        <v>1.0</v>
      </c>
      <c r="N456" s="5" t="s">
        <v>113</v>
      </c>
      <c r="O456" s="5" t="str">
        <f t="shared" si="2"/>
        <v>Yes</v>
      </c>
      <c r="P456" s="5" t="s">
        <v>113</v>
      </c>
      <c r="Q456" s="5">
        <f t="shared" si="3"/>
        <v>1</v>
      </c>
      <c r="R456" s="5">
        <v>1.0</v>
      </c>
    </row>
    <row r="457" ht="22.5" customHeight="1">
      <c r="A457" s="5" t="s">
        <v>1846</v>
      </c>
      <c r="B457" s="5" t="s">
        <v>44</v>
      </c>
      <c r="C457" s="6">
        <v>6.0</v>
      </c>
      <c r="D457" s="6">
        <v>12.0</v>
      </c>
      <c r="E457" s="6">
        <v>9.2</v>
      </c>
      <c r="F457" s="6">
        <f t="shared" si="1"/>
        <v>9</v>
      </c>
      <c r="G457" s="6">
        <v>9.0</v>
      </c>
      <c r="H457" s="6">
        <v>37.0</v>
      </c>
      <c r="I457" s="6">
        <v>28.0</v>
      </c>
      <c r="J457" s="6">
        <v>13.0</v>
      </c>
      <c r="K457" s="6">
        <v>2.0</v>
      </c>
      <c r="L457" s="11"/>
      <c r="M457" s="6">
        <v>2.0</v>
      </c>
      <c r="N457" s="5" t="s">
        <v>113</v>
      </c>
      <c r="O457" s="5" t="str">
        <f t="shared" si="2"/>
        <v>Yes</v>
      </c>
      <c r="P457" s="5" t="s">
        <v>113</v>
      </c>
      <c r="Q457" s="5">
        <f t="shared" si="3"/>
        <v>1</v>
      </c>
      <c r="R457" s="5">
        <v>1.0</v>
      </c>
    </row>
    <row r="458" ht="22.5" customHeight="1">
      <c r="A458" s="5" t="s">
        <v>1848</v>
      </c>
      <c r="B458" s="5" t="s">
        <v>22</v>
      </c>
      <c r="C458" s="6">
        <v>5.0</v>
      </c>
      <c r="D458" s="6">
        <v>11.0</v>
      </c>
      <c r="E458" s="6">
        <v>17.5</v>
      </c>
      <c r="F458" s="6">
        <f t="shared" si="1"/>
        <v>17</v>
      </c>
      <c r="G458" s="6">
        <v>17.0</v>
      </c>
      <c r="H458" s="6">
        <v>29.0</v>
      </c>
      <c r="I458" s="6">
        <v>21.0</v>
      </c>
      <c r="J458" s="8"/>
      <c r="K458" s="6">
        <v>1.0</v>
      </c>
      <c r="L458" s="9">
        <v>46145.0</v>
      </c>
      <c r="M458" s="6">
        <v>7.0</v>
      </c>
      <c r="N458" s="5" t="s">
        <v>62</v>
      </c>
      <c r="O458" s="5" t="str">
        <f t="shared" si="2"/>
        <v>No</v>
      </c>
      <c r="P458" s="5" t="s">
        <v>62</v>
      </c>
      <c r="Q458" s="5">
        <f t="shared" si="3"/>
        <v>0</v>
      </c>
      <c r="R458" s="5">
        <v>0.0</v>
      </c>
    </row>
    <row r="459" ht="22.5" customHeight="1">
      <c r="A459" s="5" t="s">
        <v>1851</v>
      </c>
      <c r="B459" s="5" t="s">
        <v>22</v>
      </c>
      <c r="C459" s="6">
        <v>4.0</v>
      </c>
      <c r="D459" s="6">
        <v>16.0</v>
      </c>
      <c r="E459" s="6">
        <v>7.6</v>
      </c>
      <c r="F459" s="6">
        <f t="shared" si="1"/>
        <v>7</v>
      </c>
      <c r="G459" s="6">
        <v>7.0</v>
      </c>
      <c r="H459" s="6">
        <v>57.0</v>
      </c>
      <c r="I459" s="6">
        <v>18.0</v>
      </c>
      <c r="J459" s="6">
        <v>5.0</v>
      </c>
      <c r="K459" s="6">
        <v>1.0</v>
      </c>
      <c r="L459" s="9">
        <v>44929.0</v>
      </c>
      <c r="M459" s="6">
        <v>4.0</v>
      </c>
      <c r="N459" s="5" t="s">
        <v>113</v>
      </c>
      <c r="O459" s="5" t="str">
        <f t="shared" si="2"/>
        <v>Yes</v>
      </c>
      <c r="P459" s="5" t="s">
        <v>113</v>
      </c>
      <c r="Q459" s="5">
        <f t="shared" si="3"/>
        <v>1</v>
      </c>
      <c r="R459" s="5">
        <v>1.0</v>
      </c>
    </row>
    <row r="460" ht="22.5" customHeight="1">
      <c r="A460" s="5" t="s">
        <v>1852</v>
      </c>
      <c r="B460" s="5" t="s">
        <v>44</v>
      </c>
      <c r="C460" s="6">
        <v>3.0</v>
      </c>
      <c r="D460" s="6">
        <v>9.0</v>
      </c>
      <c r="E460" s="6">
        <v>5.7</v>
      </c>
      <c r="F460" s="6">
        <f t="shared" si="1"/>
        <v>5</v>
      </c>
      <c r="G460" s="6">
        <v>5.0</v>
      </c>
      <c r="H460" s="6">
        <v>28.0</v>
      </c>
      <c r="I460" s="6">
        <v>23.0</v>
      </c>
      <c r="J460" s="6">
        <v>9.0</v>
      </c>
      <c r="K460" s="6">
        <v>5.0</v>
      </c>
      <c r="L460" s="9">
        <v>46073.0</v>
      </c>
      <c r="M460" s="6">
        <v>6.0</v>
      </c>
      <c r="N460" s="5" t="s">
        <v>62</v>
      </c>
      <c r="O460" s="5" t="str">
        <f t="shared" si="2"/>
        <v>No</v>
      </c>
      <c r="P460" s="5" t="s">
        <v>62</v>
      </c>
      <c r="Q460" s="5">
        <f t="shared" si="3"/>
        <v>0</v>
      </c>
      <c r="R460" s="5">
        <v>0.0</v>
      </c>
    </row>
    <row r="461" ht="22.5" customHeight="1">
      <c r="A461" s="5" t="s">
        <v>1855</v>
      </c>
      <c r="B461" s="5" t="s">
        <v>22</v>
      </c>
      <c r="C461" s="6">
        <v>13.0</v>
      </c>
      <c r="D461" s="6">
        <v>74.0</v>
      </c>
      <c r="E461" s="6">
        <v>5.4</v>
      </c>
      <c r="F461" s="6">
        <f t="shared" si="1"/>
        <v>5</v>
      </c>
      <c r="G461" s="6">
        <v>5.0</v>
      </c>
      <c r="H461" s="6">
        <v>10.0</v>
      </c>
      <c r="I461" s="6">
        <v>21.0</v>
      </c>
      <c r="J461" s="6">
        <v>16.0</v>
      </c>
      <c r="K461" s="6">
        <v>4.0</v>
      </c>
      <c r="L461" s="9">
        <v>46202.0</v>
      </c>
      <c r="M461" s="6">
        <v>6.0</v>
      </c>
      <c r="O461" s="10" t="str">
        <f t="shared" si="2"/>
        <v>No</v>
      </c>
      <c r="P461" s="10" t="s">
        <v>62</v>
      </c>
      <c r="Q461" s="10">
        <f t="shared" si="3"/>
        <v>0</v>
      </c>
      <c r="R461" s="10">
        <v>0.0</v>
      </c>
    </row>
    <row r="462" ht="22.5" customHeight="1">
      <c r="A462" s="5" t="s">
        <v>1858</v>
      </c>
      <c r="B462" s="5" t="s">
        <v>44</v>
      </c>
      <c r="C462" s="6">
        <v>6.0</v>
      </c>
      <c r="D462" s="6">
        <v>31.0</v>
      </c>
      <c r="E462" s="6">
        <v>11.4</v>
      </c>
      <c r="F462" s="6">
        <f t="shared" si="1"/>
        <v>11</v>
      </c>
      <c r="G462" s="6">
        <v>11.0</v>
      </c>
      <c r="H462" s="6">
        <v>18.0</v>
      </c>
      <c r="I462" s="6">
        <v>21.0</v>
      </c>
      <c r="J462" s="8"/>
      <c r="K462" s="6">
        <v>0.0</v>
      </c>
      <c r="L462" s="9">
        <v>46031.0</v>
      </c>
      <c r="M462" s="6">
        <v>8.0</v>
      </c>
      <c r="N462" s="5" t="s">
        <v>62</v>
      </c>
      <c r="O462" s="5" t="str">
        <f t="shared" si="2"/>
        <v>No</v>
      </c>
      <c r="P462" s="5" t="s">
        <v>62</v>
      </c>
      <c r="Q462" s="5">
        <f t="shared" si="3"/>
        <v>0</v>
      </c>
      <c r="R462" s="5">
        <v>0.0</v>
      </c>
    </row>
    <row r="463" ht="22.5" customHeight="1">
      <c r="A463" s="5" t="s">
        <v>1861</v>
      </c>
      <c r="B463" s="5" t="s">
        <v>170</v>
      </c>
      <c r="C463" s="6">
        <v>11.0</v>
      </c>
      <c r="D463" s="6">
        <v>65.0</v>
      </c>
      <c r="E463" s="6">
        <v>8.7</v>
      </c>
      <c r="F463" s="6">
        <f t="shared" si="1"/>
        <v>8</v>
      </c>
      <c r="G463" s="6">
        <v>8.0</v>
      </c>
      <c r="H463" s="6">
        <v>22.0</v>
      </c>
      <c r="I463" s="6">
        <v>34.0</v>
      </c>
      <c r="J463" s="6">
        <v>11.0</v>
      </c>
      <c r="K463" s="6">
        <v>3.0</v>
      </c>
      <c r="L463" s="9">
        <v>44893.0</v>
      </c>
      <c r="M463" s="6">
        <v>2.0</v>
      </c>
      <c r="N463" s="5" t="s">
        <v>113</v>
      </c>
      <c r="O463" s="5" t="str">
        <f t="shared" si="2"/>
        <v>Yes</v>
      </c>
      <c r="P463" s="5" t="s">
        <v>113</v>
      </c>
      <c r="Q463" s="5">
        <f t="shared" si="3"/>
        <v>1</v>
      </c>
      <c r="R463" s="5">
        <v>1.0</v>
      </c>
    </row>
    <row r="464" ht="22.5" customHeight="1">
      <c r="A464" s="5" t="s">
        <v>1864</v>
      </c>
      <c r="B464" s="5" t="s">
        <v>44</v>
      </c>
      <c r="C464" s="6">
        <v>7.0</v>
      </c>
      <c r="D464" s="6">
        <v>19.0</v>
      </c>
      <c r="E464" s="6">
        <v>9.8</v>
      </c>
      <c r="F464" s="6">
        <f t="shared" si="1"/>
        <v>9</v>
      </c>
      <c r="G464" s="6">
        <v>9.0</v>
      </c>
      <c r="H464" s="6">
        <v>34.0</v>
      </c>
      <c r="I464" s="6">
        <v>23.0</v>
      </c>
      <c r="J464" s="6">
        <v>18.0</v>
      </c>
      <c r="K464" s="6">
        <v>0.0</v>
      </c>
      <c r="L464" s="9">
        <v>46051.0</v>
      </c>
      <c r="M464" s="6">
        <v>9.0</v>
      </c>
      <c r="N464" s="5" t="s">
        <v>62</v>
      </c>
      <c r="O464" s="5" t="str">
        <f t="shared" si="2"/>
        <v>No</v>
      </c>
      <c r="P464" s="5" t="s">
        <v>62</v>
      </c>
      <c r="Q464" s="5">
        <f t="shared" si="3"/>
        <v>0</v>
      </c>
      <c r="R464" s="5">
        <v>0.0</v>
      </c>
    </row>
    <row r="465" ht="22.5" customHeight="1">
      <c r="A465" s="5" t="s">
        <v>1866</v>
      </c>
      <c r="B465" s="5" t="s">
        <v>170</v>
      </c>
      <c r="C465" s="6">
        <v>2.0</v>
      </c>
      <c r="D465" s="6">
        <v>12.0</v>
      </c>
      <c r="E465" s="6">
        <v>15.1</v>
      </c>
      <c r="F465" s="6">
        <f t="shared" si="1"/>
        <v>15</v>
      </c>
      <c r="G465" s="6">
        <v>15.0</v>
      </c>
      <c r="H465" s="6">
        <v>13.0</v>
      </c>
      <c r="I465" s="6">
        <v>20.0</v>
      </c>
      <c r="J465" s="6">
        <v>4.0</v>
      </c>
      <c r="K465" s="6">
        <v>2.0</v>
      </c>
      <c r="L465" s="9">
        <v>46102.0</v>
      </c>
      <c r="M465" s="6">
        <v>7.0</v>
      </c>
      <c r="N465" s="5" t="s">
        <v>62</v>
      </c>
      <c r="O465" s="5" t="str">
        <f t="shared" si="2"/>
        <v>No</v>
      </c>
      <c r="P465" s="5" t="s">
        <v>62</v>
      </c>
      <c r="Q465" s="5">
        <f t="shared" si="3"/>
        <v>0</v>
      </c>
      <c r="R465" s="5">
        <v>0.0</v>
      </c>
    </row>
    <row r="466" ht="22.5" customHeight="1">
      <c r="A466" s="5" t="s">
        <v>1869</v>
      </c>
      <c r="B466" s="5" t="s">
        <v>44</v>
      </c>
      <c r="C466" s="6">
        <v>7.0</v>
      </c>
      <c r="D466" s="6">
        <v>24.0</v>
      </c>
      <c r="E466" s="6">
        <v>6.9</v>
      </c>
      <c r="F466" s="6">
        <f t="shared" si="1"/>
        <v>6</v>
      </c>
      <c r="G466" s="6">
        <v>6.0</v>
      </c>
      <c r="H466" s="6">
        <v>36.0</v>
      </c>
      <c r="I466" s="6">
        <v>25.0</v>
      </c>
      <c r="J466" s="6">
        <v>11.0</v>
      </c>
      <c r="K466" s="6">
        <v>0.0</v>
      </c>
      <c r="L466" s="9">
        <v>45832.0</v>
      </c>
      <c r="M466" s="6">
        <v>5.0</v>
      </c>
      <c r="N466" s="5" t="s">
        <v>62</v>
      </c>
      <c r="O466" s="5" t="str">
        <f t="shared" si="2"/>
        <v>No</v>
      </c>
      <c r="P466" s="5" t="s">
        <v>62</v>
      </c>
      <c r="Q466" s="5">
        <f t="shared" si="3"/>
        <v>0</v>
      </c>
      <c r="R466" s="5">
        <v>0.0</v>
      </c>
    </row>
    <row r="467" ht="22.5" customHeight="1">
      <c r="A467" s="5" t="s">
        <v>1870</v>
      </c>
      <c r="B467" s="5" t="s">
        <v>84</v>
      </c>
      <c r="C467" s="6">
        <v>3.0</v>
      </c>
      <c r="D467" s="6">
        <v>9.0</v>
      </c>
      <c r="E467" s="6">
        <v>8.4</v>
      </c>
      <c r="F467" s="6">
        <f t="shared" si="1"/>
        <v>8</v>
      </c>
      <c r="G467" s="6">
        <v>8.0</v>
      </c>
      <c r="H467" s="6">
        <v>19.0</v>
      </c>
      <c r="I467" s="6">
        <v>26.0</v>
      </c>
      <c r="J467" s="6">
        <v>5.0</v>
      </c>
      <c r="K467" s="6">
        <v>3.0</v>
      </c>
      <c r="L467" s="11"/>
      <c r="M467" s="6">
        <v>4.0</v>
      </c>
      <c r="N467" s="5" t="s">
        <v>113</v>
      </c>
      <c r="O467" s="5" t="str">
        <f t="shared" si="2"/>
        <v>Yes</v>
      </c>
      <c r="P467" s="5" t="s">
        <v>113</v>
      </c>
      <c r="Q467" s="5">
        <f t="shared" si="3"/>
        <v>1</v>
      </c>
      <c r="R467" s="5">
        <v>1.0</v>
      </c>
    </row>
    <row r="468" ht="22.5" customHeight="1">
      <c r="A468" s="5" t="s">
        <v>1874</v>
      </c>
      <c r="B468" s="5" t="s">
        <v>44</v>
      </c>
      <c r="C468" s="6">
        <v>5.0</v>
      </c>
      <c r="D468" s="6">
        <v>9.0</v>
      </c>
      <c r="E468" s="6">
        <v>5.3</v>
      </c>
      <c r="F468" s="6">
        <f t="shared" si="1"/>
        <v>5</v>
      </c>
      <c r="G468" s="6">
        <v>5.0</v>
      </c>
      <c r="H468" s="6">
        <v>42.0</v>
      </c>
      <c r="I468" s="6">
        <v>16.0</v>
      </c>
      <c r="J468" s="6">
        <v>15.0</v>
      </c>
      <c r="K468" s="6">
        <v>1.0</v>
      </c>
      <c r="L468" s="9">
        <v>45636.0</v>
      </c>
      <c r="M468" s="6">
        <v>6.0</v>
      </c>
      <c r="N468" s="5" t="s">
        <v>62</v>
      </c>
      <c r="O468" s="5" t="str">
        <f t="shared" si="2"/>
        <v>No</v>
      </c>
      <c r="P468" s="5" t="s">
        <v>62</v>
      </c>
      <c r="Q468" s="5">
        <f t="shared" si="3"/>
        <v>0</v>
      </c>
      <c r="R468" s="5">
        <v>0.0</v>
      </c>
    </row>
    <row r="469" ht="22.5" customHeight="1">
      <c r="A469" s="5" t="s">
        <v>1878</v>
      </c>
      <c r="B469" s="5" t="s">
        <v>170</v>
      </c>
      <c r="C469" s="6">
        <v>6.0</v>
      </c>
      <c r="D469" s="6">
        <v>10.0</v>
      </c>
      <c r="E469" s="6">
        <v>4.0</v>
      </c>
      <c r="F469" s="6">
        <f t="shared" si="1"/>
        <v>4</v>
      </c>
      <c r="G469" s="6">
        <v>4.0</v>
      </c>
      <c r="H469" s="6">
        <v>48.0</v>
      </c>
      <c r="I469" s="6">
        <v>23.0</v>
      </c>
      <c r="J469" s="6">
        <v>20.0</v>
      </c>
      <c r="K469" s="6">
        <v>0.0</v>
      </c>
      <c r="L469" s="9">
        <v>45510.0</v>
      </c>
      <c r="M469" s="6">
        <v>4.0</v>
      </c>
      <c r="N469" s="5" t="s">
        <v>113</v>
      </c>
      <c r="O469" s="5" t="str">
        <f t="shared" si="2"/>
        <v>No</v>
      </c>
      <c r="P469" s="5" t="s">
        <v>62</v>
      </c>
      <c r="Q469" s="5">
        <f t="shared" si="3"/>
        <v>0</v>
      </c>
      <c r="R469" s="5">
        <v>0.0</v>
      </c>
    </row>
    <row r="470" ht="22.5" customHeight="1">
      <c r="A470" s="5" t="s">
        <v>1880</v>
      </c>
      <c r="B470" s="5" t="s">
        <v>84</v>
      </c>
      <c r="C470" s="6">
        <v>9.0</v>
      </c>
      <c r="D470" s="6">
        <v>42.0</v>
      </c>
      <c r="E470" s="6">
        <v>4.5</v>
      </c>
      <c r="F470" s="6">
        <f t="shared" si="1"/>
        <v>4</v>
      </c>
      <c r="G470" s="6">
        <v>4.0</v>
      </c>
      <c r="H470" s="6">
        <v>38.0</v>
      </c>
      <c r="I470" s="6">
        <v>22.0</v>
      </c>
      <c r="J470" s="6">
        <v>13.0</v>
      </c>
      <c r="K470" s="6">
        <v>1.0</v>
      </c>
      <c r="L470" s="9">
        <v>45727.0</v>
      </c>
      <c r="M470" s="6">
        <v>8.0</v>
      </c>
      <c r="N470" s="5" t="s">
        <v>62</v>
      </c>
      <c r="O470" s="5" t="str">
        <f t="shared" si="2"/>
        <v>No</v>
      </c>
      <c r="P470" s="5" t="s">
        <v>62</v>
      </c>
      <c r="Q470" s="5">
        <f t="shared" si="3"/>
        <v>0</v>
      </c>
      <c r="R470" s="5">
        <v>0.0</v>
      </c>
    </row>
    <row r="471" ht="22.5" customHeight="1">
      <c r="A471" s="5" t="s">
        <v>1882</v>
      </c>
      <c r="B471" s="5" t="s">
        <v>44</v>
      </c>
      <c r="C471" s="6">
        <v>5.0</v>
      </c>
      <c r="D471" s="6">
        <v>18.0</v>
      </c>
      <c r="E471" s="6">
        <v>1.0</v>
      </c>
      <c r="F471" s="6">
        <f t="shared" si="1"/>
        <v>1</v>
      </c>
      <c r="G471" s="6">
        <v>1.0</v>
      </c>
      <c r="H471" s="6">
        <v>56.0</v>
      </c>
      <c r="I471" s="6">
        <v>24.0</v>
      </c>
      <c r="J471" s="6">
        <v>2.0</v>
      </c>
      <c r="K471" s="6">
        <v>4.0</v>
      </c>
      <c r="L471" s="9">
        <v>44540.0</v>
      </c>
      <c r="M471" s="6">
        <v>4.0</v>
      </c>
      <c r="N471" s="5" t="s">
        <v>113</v>
      </c>
      <c r="O471" s="5" t="str">
        <f t="shared" si="2"/>
        <v>Yes</v>
      </c>
      <c r="P471" s="5" t="s">
        <v>113</v>
      </c>
      <c r="Q471" s="5">
        <f t="shared" si="3"/>
        <v>1</v>
      </c>
      <c r="R471" s="5">
        <v>1.0</v>
      </c>
    </row>
    <row r="472" ht="22.5" customHeight="1">
      <c r="A472" s="5" t="s">
        <v>1884</v>
      </c>
      <c r="B472" s="5" t="s">
        <v>84</v>
      </c>
      <c r="C472" s="6">
        <v>3.0</v>
      </c>
      <c r="D472" s="6">
        <v>8.0</v>
      </c>
      <c r="E472" s="6">
        <v>9.1</v>
      </c>
      <c r="F472" s="6">
        <f t="shared" si="1"/>
        <v>9</v>
      </c>
      <c r="G472" s="6">
        <v>9.0</v>
      </c>
      <c r="H472" s="6">
        <v>50.0</v>
      </c>
      <c r="I472" s="6">
        <v>31.0</v>
      </c>
      <c r="J472" s="6">
        <v>9.0</v>
      </c>
      <c r="K472" s="6">
        <v>5.0</v>
      </c>
      <c r="L472" s="9">
        <v>44633.0</v>
      </c>
      <c r="M472" s="6">
        <v>4.0</v>
      </c>
      <c r="N472" s="5" t="s">
        <v>113</v>
      </c>
      <c r="O472" s="5" t="str">
        <f t="shared" si="2"/>
        <v>Yes</v>
      </c>
      <c r="P472" s="5" t="s">
        <v>113</v>
      </c>
      <c r="Q472" s="5">
        <f t="shared" si="3"/>
        <v>1</v>
      </c>
      <c r="R472" s="5">
        <v>1.0</v>
      </c>
    </row>
    <row r="473" ht="22.5" customHeight="1">
      <c r="A473" s="5" t="s">
        <v>1887</v>
      </c>
      <c r="B473" s="5" t="s">
        <v>65</v>
      </c>
      <c r="C473" s="6">
        <v>2.0</v>
      </c>
      <c r="D473" s="6">
        <v>9.0</v>
      </c>
      <c r="E473" s="6">
        <v>8.6</v>
      </c>
      <c r="F473" s="6">
        <f t="shared" si="1"/>
        <v>8</v>
      </c>
      <c r="G473" s="6">
        <v>8.0</v>
      </c>
      <c r="H473" s="6">
        <v>11.0</v>
      </c>
      <c r="I473" s="6">
        <v>26.0</v>
      </c>
      <c r="J473" s="6">
        <v>12.0</v>
      </c>
      <c r="K473" s="6">
        <v>1.0</v>
      </c>
      <c r="L473" s="9">
        <v>46095.0</v>
      </c>
      <c r="M473" s="6">
        <v>8.0</v>
      </c>
      <c r="N473" s="5" t="s">
        <v>62</v>
      </c>
      <c r="O473" s="5" t="str">
        <f t="shared" si="2"/>
        <v>No</v>
      </c>
      <c r="P473" s="5" t="s">
        <v>62</v>
      </c>
      <c r="Q473" s="5">
        <f t="shared" si="3"/>
        <v>0</v>
      </c>
      <c r="R473" s="5">
        <v>0.0</v>
      </c>
    </row>
    <row r="474" ht="22.5" customHeight="1">
      <c r="A474" s="5" t="s">
        <v>1889</v>
      </c>
      <c r="B474" s="5" t="s">
        <v>65</v>
      </c>
      <c r="C474" s="6">
        <v>9.0</v>
      </c>
      <c r="D474" s="6">
        <v>24.0</v>
      </c>
      <c r="E474" s="6">
        <v>9.0</v>
      </c>
      <c r="F474" s="6">
        <f t="shared" si="1"/>
        <v>9</v>
      </c>
      <c r="G474" s="6">
        <v>9.0</v>
      </c>
      <c r="H474" s="6">
        <v>57.0</v>
      </c>
      <c r="I474" s="6">
        <v>35.0</v>
      </c>
      <c r="J474" s="6">
        <v>19.0</v>
      </c>
      <c r="K474" s="6">
        <v>4.0</v>
      </c>
      <c r="L474" s="9">
        <v>45430.0</v>
      </c>
      <c r="M474" s="6">
        <v>3.0</v>
      </c>
      <c r="N474" s="5" t="s">
        <v>113</v>
      </c>
      <c r="O474" s="5" t="str">
        <f t="shared" si="2"/>
        <v>No</v>
      </c>
      <c r="P474" s="5" t="s">
        <v>62</v>
      </c>
      <c r="Q474" s="5">
        <f t="shared" si="3"/>
        <v>0</v>
      </c>
      <c r="R474" s="5">
        <v>0.0</v>
      </c>
    </row>
    <row r="475" ht="22.5" customHeight="1">
      <c r="A475" s="5" t="s">
        <v>1892</v>
      </c>
      <c r="B475" s="5" t="s">
        <v>84</v>
      </c>
      <c r="C475" s="6">
        <v>9.0</v>
      </c>
      <c r="D475" s="6">
        <v>37.0</v>
      </c>
      <c r="E475" s="6">
        <v>3.8</v>
      </c>
      <c r="F475" s="6">
        <f t="shared" si="1"/>
        <v>3</v>
      </c>
      <c r="G475" s="6">
        <v>3.0</v>
      </c>
      <c r="H475" s="6">
        <v>58.0</v>
      </c>
      <c r="I475" s="6">
        <v>25.0</v>
      </c>
      <c r="J475" s="6">
        <v>13.0</v>
      </c>
      <c r="K475" s="6">
        <v>5.0</v>
      </c>
      <c r="L475" s="9">
        <v>45882.0</v>
      </c>
      <c r="M475" s="6">
        <v>7.0</v>
      </c>
      <c r="N475" s="5" t="s">
        <v>62</v>
      </c>
      <c r="O475" s="5" t="str">
        <f t="shared" si="2"/>
        <v>No</v>
      </c>
      <c r="P475" s="5" t="s">
        <v>62</v>
      </c>
      <c r="Q475" s="5">
        <f t="shared" si="3"/>
        <v>0</v>
      </c>
      <c r="R475" s="5">
        <v>0.0</v>
      </c>
    </row>
    <row r="476" ht="22.5" customHeight="1">
      <c r="A476" s="5" t="s">
        <v>1895</v>
      </c>
      <c r="B476" s="5" t="s">
        <v>65</v>
      </c>
      <c r="C476" s="6">
        <v>5.0</v>
      </c>
      <c r="D476" s="6">
        <v>16.0</v>
      </c>
      <c r="E476" s="6">
        <v>4.6</v>
      </c>
      <c r="F476" s="6">
        <f t="shared" si="1"/>
        <v>4</v>
      </c>
      <c r="G476" s="6">
        <v>4.0</v>
      </c>
      <c r="H476" s="6">
        <v>57.0</v>
      </c>
      <c r="I476" s="6">
        <v>39.0</v>
      </c>
      <c r="J476" s="6">
        <v>19.0</v>
      </c>
      <c r="K476" s="6">
        <v>4.0</v>
      </c>
      <c r="L476" s="9">
        <v>45146.0</v>
      </c>
      <c r="M476" s="6">
        <v>3.0</v>
      </c>
      <c r="N476" s="5" t="s">
        <v>113</v>
      </c>
      <c r="O476" s="5" t="str">
        <f t="shared" si="2"/>
        <v>Yes</v>
      </c>
      <c r="P476" s="5" t="s">
        <v>113</v>
      </c>
      <c r="Q476" s="5">
        <f t="shared" si="3"/>
        <v>1</v>
      </c>
      <c r="R476" s="5">
        <v>1.0</v>
      </c>
    </row>
    <row r="477" ht="22.5" customHeight="1">
      <c r="A477" s="5" t="s">
        <v>1897</v>
      </c>
      <c r="B477" s="5" t="s">
        <v>84</v>
      </c>
      <c r="C477" s="6">
        <v>2.0</v>
      </c>
      <c r="D477" s="6">
        <v>10.0</v>
      </c>
      <c r="E477" s="6">
        <v>4.5</v>
      </c>
      <c r="F477" s="6">
        <f t="shared" si="1"/>
        <v>4</v>
      </c>
      <c r="G477" s="6">
        <v>4.0</v>
      </c>
      <c r="H477" s="6">
        <v>52.0</v>
      </c>
      <c r="I477" s="6">
        <v>21.0</v>
      </c>
      <c r="J477" s="6">
        <v>4.0</v>
      </c>
      <c r="K477" s="6">
        <v>1.0</v>
      </c>
      <c r="L477" s="9">
        <v>45291.0</v>
      </c>
      <c r="M477" s="6">
        <v>3.0</v>
      </c>
      <c r="N477" s="5" t="s">
        <v>113</v>
      </c>
      <c r="O477" s="5" t="str">
        <f t="shared" si="2"/>
        <v>No</v>
      </c>
      <c r="P477" s="5" t="s">
        <v>62</v>
      </c>
      <c r="Q477" s="5">
        <f t="shared" si="3"/>
        <v>0</v>
      </c>
      <c r="R477" s="5">
        <v>0.0</v>
      </c>
    </row>
    <row r="478" ht="22.5" customHeight="1">
      <c r="A478" s="5" t="s">
        <v>1900</v>
      </c>
      <c r="B478" s="5" t="s">
        <v>44</v>
      </c>
      <c r="C478" s="6">
        <v>10.0</v>
      </c>
      <c r="D478" s="6">
        <v>52.0</v>
      </c>
      <c r="E478" s="6">
        <v>12.3</v>
      </c>
      <c r="F478" s="6">
        <f t="shared" si="1"/>
        <v>12</v>
      </c>
      <c r="G478" s="6">
        <v>12.0</v>
      </c>
      <c r="H478" s="6">
        <v>52.0</v>
      </c>
      <c r="I478" s="6">
        <v>19.0</v>
      </c>
      <c r="J478" s="6">
        <v>4.0</v>
      </c>
      <c r="K478" s="6">
        <v>1.0</v>
      </c>
      <c r="L478" s="9">
        <v>44641.0</v>
      </c>
      <c r="M478" s="6">
        <v>3.0</v>
      </c>
      <c r="O478" s="10" t="str">
        <f t="shared" si="2"/>
        <v>Yes</v>
      </c>
      <c r="P478" s="10" t="s">
        <v>113</v>
      </c>
      <c r="Q478" s="10">
        <f t="shared" si="3"/>
        <v>1</v>
      </c>
      <c r="R478" s="10">
        <v>1.0</v>
      </c>
    </row>
    <row r="479" ht="22.5" customHeight="1">
      <c r="A479" s="5" t="s">
        <v>1902</v>
      </c>
      <c r="B479" s="5" t="s">
        <v>170</v>
      </c>
      <c r="C479" s="6">
        <v>5.0</v>
      </c>
      <c r="D479" s="6">
        <v>18.0</v>
      </c>
      <c r="E479" s="6">
        <v>7.5</v>
      </c>
      <c r="F479" s="6">
        <f t="shared" si="1"/>
        <v>7</v>
      </c>
      <c r="G479" s="6">
        <v>7.0</v>
      </c>
      <c r="H479" s="6">
        <v>47.0</v>
      </c>
      <c r="I479" s="6">
        <v>29.0</v>
      </c>
      <c r="J479" s="6">
        <v>9.0</v>
      </c>
      <c r="K479" s="6">
        <v>0.0</v>
      </c>
      <c r="L479" s="9">
        <v>44725.0</v>
      </c>
      <c r="M479" s="6">
        <v>4.0</v>
      </c>
      <c r="N479" s="5" t="s">
        <v>113</v>
      </c>
      <c r="O479" s="5" t="str">
        <f t="shared" si="2"/>
        <v>Yes</v>
      </c>
      <c r="P479" s="5" t="s">
        <v>113</v>
      </c>
      <c r="Q479" s="5">
        <f t="shared" si="3"/>
        <v>1</v>
      </c>
      <c r="R479" s="5">
        <v>1.0</v>
      </c>
    </row>
    <row r="480" ht="22.5" customHeight="1">
      <c r="A480" s="5" t="s">
        <v>1905</v>
      </c>
      <c r="B480" s="5" t="s">
        <v>22</v>
      </c>
      <c r="C480" s="6">
        <v>3.0</v>
      </c>
      <c r="D480" s="6">
        <v>9.0</v>
      </c>
      <c r="E480" s="6">
        <v>6.9</v>
      </c>
      <c r="F480" s="6">
        <f t="shared" si="1"/>
        <v>6</v>
      </c>
      <c r="G480" s="6">
        <v>6.0</v>
      </c>
      <c r="H480" s="6">
        <v>28.0</v>
      </c>
      <c r="I480" s="6">
        <v>36.0</v>
      </c>
      <c r="J480" s="6">
        <v>7.0</v>
      </c>
      <c r="K480" s="6">
        <v>0.0</v>
      </c>
      <c r="L480" s="9">
        <v>46042.0</v>
      </c>
      <c r="M480" s="6">
        <v>7.0</v>
      </c>
      <c r="N480" s="5" t="s">
        <v>62</v>
      </c>
      <c r="O480" s="5" t="str">
        <f t="shared" si="2"/>
        <v>No</v>
      </c>
      <c r="P480" s="5" t="s">
        <v>62</v>
      </c>
      <c r="Q480" s="5">
        <f t="shared" si="3"/>
        <v>0</v>
      </c>
      <c r="R480" s="5">
        <v>0.0</v>
      </c>
    </row>
    <row r="481" ht="22.5" customHeight="1">
      <c r="A481" s="5" t="s">
        <v>1906</v>
      </c>
      <c r="B481" s="5" t="s">
        <v>44</v>
      </c>
      <c r="C481" s="6">
        <v>5.0</v>
      </c>
      <c r="D481" s="6">
        <v>16.0</v>
      </c>
      <c r="E481" s="6">
        <v>10.3</v>
      </c>
      <c r="F481" s="6">
        <f t="shared" si="1"/>
        <v>10</v>
      </c>
      <c r="G481" s="6">
        <v>10.0</v>
      </c>
      <c r="H481" s="6">
        <v>40.0</v>
      </c>
      <c r="I481" s="6">
        <v>14.0</v>
      </c>
      <c r="J481" s="6">
        <v>18.0</v>
      </c>
      <c r="K481" s="6">
        <v>0.0</v>
      </c>
      <c r="L481" s="9">
        <v>44732.0</v>
      </c>
      <c r="M481" s="6">
        <v>3.0</v>
      </c>
      <c r="N481" s="5" t="s">
        <v>113</v>
      </c>
      <c r="O481" s="5" t="str">
        <f t="shared" si="2"/>
        <v>Yes</v>
      </c>
      <c r="P481" s="5" t="s">
        <v>113</v>
      </c>
      <c r="Q481" s="5">
        <f t="shared" si="3"/>
        <v>1</v>
      </c>
      <c r="R481" s="5">
        <v>1.0</v>
      </c>
    </row>
    <row r="482" ht="22.5" customHeight="1">
      <c r="A482" s="5" t="s">
        <v>1908</v>
      </c>
      <c r="B482" s="5" t="s">
        <v>44</v>
      </c>
      <c r="C482" s="6">
        <v>4.0</v>
      </c>
      <c r="D482" s="6">
        <v>21.0</v>
      </c>
      <c r="E482" s="6">
        <v>4.5</v>
      </c>
      <c r="F482" s="6">
        <f t="shared" si="1"/>
        <v>4</v>
      </c>
      <c r="G482" s="6">
        <v>4.0</v>
      </c>
      <c r="H482" s="6">
        <v>27.0</v>
      </c>
      <c r="I482" s="6">
        <v>23.0</v>
      </c>
      <c r="J482" s="8"/>
      <c r="K482" s="6">
        <v>5.0</v>
      </c>
      <c r="L482" s="9">
        <v>44883.0</v>
      </c>
      <c r="M482" s="6">
        <v>1.0</v>
      </c>
      <c r="N482" s="5" t="s">
        <v>113</v>
      </c>
      <c r="O482" s="5" t="str">
        <f t="shared" si="2"/>
        <v>Yes</v>
      </c>
      <c r="P482" s="5" t="s">
        <v>113</v>
      </c>
      <c r="Q482" s="5">
        <f t="shared" si="3"/>
        <v>1</v>
      </c>
      <c r="R482" s="5">
        <v>1.0</v>
      </c>
    </row>
    <row r="483" ht="22.5" customHeight="1">
      <c r="A483" s="5" t="s">
        <v>1911</v>
      </c>
      <c r="B483" s="5" t="s">
        <v>84</v>
      </c>
      <c r="C483" s="6">
        <v>9.0</v>
      </c>
      <c r="D483" s="6">
        <v>27.0</v>
      </c>
      <c r="E483" s="6">
        <v>8.3</v>
      </c>
      <c r="F483" s="6">
        <f t="shared" si="1"/>
        <v>8</v>
      </c>
      <c r="G483" s="6">
        <v>8.0</v>
      </c>
      <c r="H483" s="6">
        <v>13.0</v>
      </c>
      <c r="I483" s="6">
        <v>20.0</v>
      </c>
      <c r="J483" s="6">
        <v>8.0</v>
      </c>
      <c r="K483" s="6">
        <v>3.0</v>
      </c>
      <c r="L483" s="9">
        <v>45418.0</v>
      </c>
      <c r="M483" s="6">
        <v>4.0</v>
      </c>
      <c r="N483" s="5" t="s">
        <v>113</v>
      </c>
      <c r="O483" s="5" t="str">
        <f t="shared" si="2"/>
        <v>No</v>
      </c>
      <c r="P483" s="5" t="s">
        <v>62</v>
      </c>
      <c r="Q483" s="5">
        <f t="shared" si="3"/>
        <v>0</v>
      </c>
      <c r="R483" s="5">
        <v>0.0</v>
      </c>
    </row>
    <row r="484" ht="22.5" customHeight="1">
      <c r="A484" s="5" t="s">
        <v>1913</v>
      </c>
      <c r="B484" s="5" t="s">
        <v>65</v>
      </c>
      <c r="C484" s="6">
        <v>10.0</v>
      </c>
      <c r="D484" s="6">
        <v>24.0</v>
      </c>
      <c r="E484" s="6">
        <v>18.7</v>
      </c>
      <c r="F484" s="6">
        <f t="shared" si="1"/>
        <v>18</v>
      </c>
      <c r="G484" s="6">
        <v>18.0</v>
      </c>
      <c r="H484" s="6">
        <v>6.0</v>
      </c>
      <c r="I484" s="6">
        <v>26.0</v>
      </c>
      <c r="J484" s="6">
        <v>3.0</v>
      </c>
      <c r="K484" s="6">
        <v>3.0</v>
      </c>
      <c r="L484" s="9">
        <v>46135.0</v>
      </c>
      <c r="M484" s="6">
        <v>6.0</v>
      </c>
      <c r="N484" s="5" t="s">
        <v>62</v>
      </c>
      <c r="O484" s="5" t="str">
        <f t="shared" si="2"/>
        <v>No</v>
      </c>
      <c r="P484" s="5" t="s">
        <v>62</v>
      </c>
      <c r="Q484" s="5">
        <f t="shared" si="3"/>
        <v>0</v>
      </c>
      <c r="R484" s="5">
        <v>0.0</v>
      </c>
    </row>
    <row r="485" ht="22.5" customHeight="1">
      <c r="A485" s="5" t="s">
        <v>1915</v>
      </c>
      <c r="B485" s="5" t="s">
        <v>22</v>
      </c>
      <c r="C485" s="6">
        <v>5.0</v>
      </c>
      <c r="D485" s="6">
        <v>9.0</v>
      </c>
      <c r="E485" s="6">
        <v>13.4</v>
      </c>
      <c r="F485" s="6">
        <f t="shared" si="1"/>
        <v>13</v>
      </c>
      <c r="G485" s="6">
        <v>13.0</v>
      </c>
      <c r="H485" s="6">
        <v>58.0</v>
      </c>
      <c r="I485" s="6">
        <v>25.0</v>
      </c>
      <c r="J485" s="8"/>
      <c r="K485" s="6">
        <v>0.0</v>
      </c>
      <c r="L485" s="9">
        <v>44627.0</v>
      </c>
      <c r="M485" s="6">
        <v>3.0</v>
      </c>
      <c r="N485" s="5" t="s">
        <v>113</v>
      </c>
      <c r="O485" s="5" t="str">
        <f t="shared" si="2"/>
        <v>Yes</v>
      </c>
      <c r="P485" s="5" t="s">
        <v>113</v>
      </c>
      <c r="Q485" s="5">
        <f t="shared" si="3"/>
        <v>1</v>
      </c>
      <c r="R485" s="5">
        <v>1.0</v>
      </c>
    </row>
    <row r="486" ht="22.5" customHeight="1">
      <c r="A486" s="5" t="s">
        <v>1919</v>
      </c>
      <c r="B486" s="5" t="s">
        <v>22</v>
      </c>
      <c r="C486" s="6">
        <v>5.0</v>
      </c>
      <c r="D486" s="6">
        <v>18.0</v>
      </c>
      <c r="E486" s="6">
        <v>8.2</v>
      </c>
      <c r="F486" s="6">
        <f t="shared" si="1"/>
        <v>8</v>
      </c>
      <c r="G486" s="6">
        <v>8.0</v>
      </c>
      <c r="H486" s="6">
        <v>13.0</v>
      </c>
      <c r="I486" s="6">
        <v>36.0</v>
      </c>
      <c r="J486" s="6">
        <v>19.0</v>
      </c>
      <c r="K486" s="6">
        <v>2.0</v>
      </c>
      <c r="L486" s="9">
        <v>45182.0</v>
      </c>
      <c r="M486" s="6">
        <v>4.0</v>
      </c>
      <c r="N486" s="5" t="s">
        <v>113</v>
      </c>
      <c r="O486" s="5" t="str">
        <f t="shared" si="2"/>
        <v>No</v>
      </c>
      <c r="P486" s="5" t="s">
        <v>62</v>
      </c>
      <c r="Q486" s="5">
        <f t="shared" si="3"/>
        <v>0</v>
      </c>
      <c r="R486" s="5">
        <v>0.0</v>
      </c>
    </row>
    <row r="487" ht="22.5" customHeight="1">
      <c r="A487" s="5" t="s">
        <v>1921</v>
      </c>
      <c r="B487" s="5" t="s">
        <v>84</v>
      </c>
      <c r="C487" s="6">
        <v>6.0</v>
      </c>
      <c r="D487" s="6">
        <v>22.0</v>
      </c>
      <c r="E487" s="6">
        <v>7.0</v>
      </c>
      <c r="F487" s="6">
        <f t="shared" si="1"/>
        <v>7</v>
      </c>
      <c r="G487" s="6">
        <v>7.0</v>
      </c>
      <c r="H487" s="6">
        <v>54.0</v>
      </c>
      <c r="I487" s="6">
        <v>24.0</v>
      </c>
      <c r="J487" s="6">
        <v>13.0</v>
      </c>
      <c r="K487" s="6">
        <v>2.0</v>
      </c>
      <c r="L487" s="11"/>
      <c r="M487" s="6">
        <v>6.0</v>
      </c>
      <c r="N487" s="5" t="s">
        <v>62</v>
      </c>
      <c r="O487" s="5" t="str">
        <f t="shared" si="2"/>
        <v>Yes</v>
      </c>
      <c r="P487" s="5" t="s">
        <v>113</v>
      </c>
      <c r="Q487" s="5">
        <f t="shared" si="3"/>
        <v>1</v>
      </c>
      <c r="R487" s="5">
        <v>1.0</v>
      </c>
    </row>
    <row r="488" ht="22.5" customHeight="1">
      <c r="A488" s="5" t="s">
        <v>1924</v>
      </c>
      <c r="B488" s="5" t="s">
        <v>22</v>
      </c>
      <c r="C488" s="6">
        <v>12.0</v>
      </c>
      <c r="D488" s="6">
        <v>63.0</v>
      </c>
      <c r="E488" s="6">
        <v>9.0</v>
      </c>
      <c r="F488" s="6">
        <f t="shared" si="1"/>
        <v>9</v>
      </c>
      <c r="G488" s="6">
        <v>9.0</v>
      </c>
      <c r="H488" s="6">
        <v>12.0</v>
      </c>
      <c r="I488" s="6">
        <v>36.0</v>
      </c>
      <c r="J488" s="6">
        <v>20.0</v>
      </c>
      <c r="K488" s="6">
        <v>0.0</v>
      </c>
      <c r="L488" s="9">
        <v>46137.0</v>
      </c>
      <c r="M488" s="6">
        <v>6.0</v>
      </c>
      <c r="N488" s="5" t="s">
        <v>62</v>
      </c>
      <c r="O488" s="5" t="str">
        <f t="shared" si="2"/>
        <v>No</v>
      </c>
      <c r="P488" s="5" t="s">
        <v>62</v>
      </c>
      <c r="Q488" s="5">
        <f t="shared" si="3"/>
        <v>0</v>
      </c>
      <c r="R488" s="5">
        <v>0.0</v>
      </c>
    </row>
    <row r="489" ht="22.5" customHeight="1">
      <c r="A489" s="5" t="s">
        <v>1925</v>
      </c>
      <c r="B489" s="5" t="s">
        <v>84</v>
      </c>
      <c r="C489" s="6">
        <v>9.0</v>
      </c>
      <c r="D489" s="6">
        <v>22.0</v>
      </c>
      <c r="E489" s="6">
        <v>14.5</v>
      </c>
      <c r="F489" s="6">
        <f t="shared" si="1"/>
        <v>14</v>
      </c>
      <c r="G489" s="6">
        <v>14.0</v>
      </c>
      <c r="H489" s="6">
        <v>35.0</v>
      </c>
      <c r="I489" s="6">
        <v>22.0</v>
      </c>
      <c r="J489" s="6">
        <v>19.0</v>
      </c>
      <c r="K489" s="6">
        <v>4.0</v>
      </c>
      <c r="L489" s="9">
        <v>44641.0</v>
      </c>
      <c r="M489" s="6">
        <v>4.0</v>
      </c>
      <c r="N489" s="5" t="s">
        <v>113</v>
      </c>
      <c r="O489" s="5" t="str">
        <f t="shared" si="2"/>
        <v>Yes</v>
      </c>
      <c r="P489" s="5" t="s">
        <v>113</v>
      </c>
      <c r="Q489" s="5">
        <f t="shared" si="3"/>
        <v>1</v>
      </c>
      <c r="R489" s="5">
        <v>1.0</v>
      </c>
    </row>
    <row r="490" ht="22.5" customHeight="1">
      <c r="A490" s="5" t="s">
        <v>1928</v>
      </c>
      <c r="B490" s="5" t="s">
        <v>170</v>
      </c>
      <c r="C490" s="6">
        <v>7.0</v>
      </c>
      <c r="D490" s="6">
        <v>23.0</v>
      </c>
      <c r="E490" s="6">
        <v>13.9</v>
      </c>
      <c r="F490" s="6">
        <f t="shared" si="1"/>
        <v>13</v>
      </c>
      <c r="G490" s="6">
        <v>13.0</v>
      </c>
      <c r="H490" s="6">
        <v>52.0</v>
      </c>
      <c r="I490" s="6">
        <v>32.0</v>
      </c>
      <c r="J490" s="6">
        <v>15.0</v>
      </c>
      <c r="K490" s="6">
        <v>0.0</v>
      </c>
      <c r="L490" s="9">
        <v>45290.0</v>
      </c>
      <c r="M490" s="6">
        <v>1.0</v>
      </c>
      <c r="N490" s="5" t="s">
        <v>113</v>
      </c>
      <c r="O490" s="5" t="str">
        <f t="shared" si="2"/>
        <v>No</v>
      </c>
      <c r="P490" s="5" t="s">
        <v>62</v>
      </c>
      <c r="Q490" s="5">
        <f t="shared" si="3"/>
        <v>0</v>
      </c>
      <c r="R490" s="5">
        <v>0.0</v>
      </c>
    </row>
    <row r="491" ht="22.5" customHeight="1">
      <c r="A491" s="5" t="s">
        <v>1931</v>
      </c>
      <c r="B491" s="5" t="s">
        <v>44</v>
      </c>
      <c r="C491" s="6">
        <v>3.0</v>
      </c>
      <c r="D491" s="6">
        <v>15.0</v>
      </c>
      <c r="E491" s="6">
        <v>15.9</v>
      </c>
      <c r="F491" s="6">
        <f t="shared" si="1"/>
        <v>15</v>
      </c>
      <c r="G491" s="6">
        <v>15.0</v>
      </c>
      <c r="H491" s="6">
        <v>37.0</v>
      </c>
      <c r="I491" s="6">
        <v>27.0</v>
      </c>
      <c r="J491" s="6">
        <v>1.0</v>
      </c>
      <c r="K491" s="6">
        <v>3.0</v>
      </c>
      <c r="L491" s="9">
        <v>44880.0</v>
      </c>
      <c r="M491" s="6">
        <v>4.0</v>
      </c>
      <c r="N491" s="5" t="s">
        <v>113</v>
      </c>
      <c r="O491" s="5" t="str">
        <f t="shared" si="2"/>
        <v>Yes</v>
      </c>
      <c r="P491" s="5" t="s">
        <v>113</v>
      </c>
      <c r="Q491" s="5">
        <f t="shared" si="3"/>
        <v>1</v>
      </c>
      <c r="R491" s="5">
        <v>1.0</v>
      </c>
    </row>
    <row r="492" ht="22.5" customHeight="1">
      <c r="A492" s="5" t="s">
        <v>1933</v>
      </c>
      <c r="B492" s="5" t="s">
        <v>44</v>
      </c>
      <c r="C492" s="6">
        <v>9.0</v>
      </c>
      <c r="D492" s="6">
        <v>47.0</v>
      </c>
      <c r="E492" s="6">
        <v>7.7</v>
      </c>
      <c r="F492" s="6">
        <f t="shared" si="1"/>
        <v>7</v>
      </c>
      <c r="G492" s="6">
        <v>7.0</v>
      </c>
      <c r="H492" s="6">
        <v>38.0</v>
      </c>
      <c r="I492" s="6">
        <v>39.0</v>
      </c>
      <c r="J492" s="6">
        <v>19.0</v>
      </c>
      <c r="K492" s="6">
        <v>0.0</v>
      </c>
      <c r="L492" s="11"/>
      <c r="M492" s="6">
        <v>4.0</v>
      </c>
      <c r="N492" s="5" t="s">
        <v>62</v>
      </c>
      <c r="O492" s="5" t="str">
        <f t="shared" si="2"/>
        <v>Yes</v>
      </c>
      <c r="P492" s="5" t="s">
        <v>113</v>
      </c>
      <c r="Q492" s="5">
        <f t="shared" si="3"/>
        <v>1</v>
      </c>
      <c r="R492" s="5">
        <v>1.0</v>
      </c>
    </row>
    <row r="493" ht="22.5" customHeight="1">
      <c r="A493" s="5" t="s">
        <v>1935</v>
      </c>
      <c r="B493" s="5" t="s">
        <v>65</v>
      </c>
      <c r="C493" s="6">
        <v>8.0</v>
      </c>
      <c r="D493" s="6">
        <v>26.0</v>
      </c>
      <c r="E493" s="6">
        <v>1.3</v>
      </c>
      <c r="F493" s="6">
        <f t="shared" si="1"/>
        <v>1</v>
      </c>
      <c r="G493" s="6">
        <v>1.0</v>
      </c>
      <c r="H493" s="6">
        <v>21.0</v>
      </c>
      <c r="I493" s="6">
        <v>13.0</v>
      </c>
      <c r="J493" s="6">
        <v>13.0</v>
      </c>
      <c r="K493" s="6">
        <v>5.0</v>
      </c>
      <c r="L493" s="9">
        <v>45574.0</v>
      </c>
      <c r="M493" s="6">
        <v>10.0</v>
      </c>
      <c r="O493" s="10" t="str">
        <f t="shared" si="2"/>
        <v>No</v>
      </c>
      <c r="P493" s="10" t="s">
        <v>62</v>
      </c>
      <c r="Q493" s="10">
        <f t="shared" si="3"/>
        <v>0</v>
      </c>
      <c r="R493" s="10">
        <v>0.0</v>
      </c>
    </row>
    <row r="494" ht="22.5" customHeight="1">
      <c r="A494" s="5" t="s">
        <v>1938</v>
      </c>
      <c r="B494" s="5" t="s">
        <v>84</v>
      </c>
      <c r="C494" s="6">
        <v>7.0</v>
      </c>
      <c r="D494" s="6">
        <v>25.0</v>
      </c>
      <c r="E494" s="6">
        <v>18.0</v>
      </c>
      <c r="F494" s="6">
        <f t="shared" si="1"/>
        <v>18</v>
      </c>
      <c r="G494" s="6">
        <v>18.0</v>
      </c>
      <c r="H494" s="6">
        <v>19.0</v>
      </c>
      <c r="I494" s="6">
        <v>16.0</v>
      </c>
      <c r="J494" s="6">
        <v>19.0</v>
      </c>
      <c r="K494" s="6">
        <v>1.0</v>
      </c>
      <c r="L494" s="9">
        <v>46197.0</v>
      </c>
      <c r="M494" s="6">
        <v>9.0</v>
      </c>
      <c r="N494" s="5" t="s">
        <v>62</v>
      </c>
      <c r="O494" s="5" t="str">
        <f t="shared" si="2"/>
        <v>No</v>
      </c>
      <c r="P494" s="5" t="s">
        <v>62</v>
      </c>
      <c r="Q494" s="5">
        <f t="shared" si="3"/>
        <v>0</v>
      </c>
      <c r="R494" s="5">
        <v>0.0</v>
      </c>
    </row>
    <row r="495" ht="22.5" customHeight="1">
      <c r="A495" s="5" t="s">
        <v>1942</v>
      </c>
      <c r="B495" s="5" t="s">
        <v>22</v>
      </c>
      <c r="C495" s="6">
        <v>6.0</v>
      </c>
      <c r="D495" s="6">
        <v>17.0</v>
      </c>
      <c r="E495" s="6">
        <v>4.0</v>
      </c>
      <c r="F495" s="6">
        <f t="shared" si="1"/>
        <v>4</v>
      </c>
      <c r="G495" s="6">
        <v>4.0</v>
      </c>
      <c r="H495" s="6">
        <v>10.0</v>
      </c>
      <c r="I495" s="6">
        <v>40.0</v>
      </c>
      <c r="J495" s="6">
        <v>10.0</v>
      </c>
      <c r="K495" s="6">
        <v>5.0</v>
      </c>
      <c r="L495" s="9">
        <v>44713.0</v>
      </c>
      <c r="M495" s="6">
        <v>2.0</v>
      </c>
      <c r="N495" s="5" t="s">
        <v>113</v>
      </c>
      <c r="O495" s="5" t="str">
        <f t="shared" si="2"/>
        <v>Yes</v>
      </c>
      <c r="P495" s="5" t="s">
        <v>113</v>
      </c>
      <c r="Q495" s="5">
        <f t="shared" si="3"/>
        <v>1</v>
      </c>
      <c r="R495" s="5">
        <v>1.0</v>
      </c>
    </row>
    <row r="496" ht="22.5" customHeight="1">
      <c r="A496" s="5" t="s">
        <v>1943</v>
      </c>
      <c r="B496" s="5" t="s">
        <v>65</v>
      </c>
      <c r="C496" s="6">
        <v>4.0</v>
      </c>
      <c r="D496" s="6">
        <v>23.0</v>
      </c>
      <c r="E496" s="6">
        <v>10.2</v>
      </c>
      <c r="F496" s="6">
        <f t="shared" si="1"/>
        <v>10</v>
      </c>
      <c r="G496" s="6">
        <v>10.0</v>
      </c>
      <c r="H496" s="6">
        <v>7.0</v>
      </c>
      <c r="I496" s="6">
        <v>19.0</v>
      </c>
      <c r="J496" s="6">
        <v>12.0</v>
      </c>
      <c r="K496" s="6">
        <v>1.0</v>
      </c>
      <c r="L496" s="9">
        <v>45356.0</v>
      </c>
      <c r="M496" s="6">
        <v>3.0</v>
      </c>
      <c r="N496" s="5" t="s">
        <v>113</v>
      </c>
      <c r="O496" s="5" t="str">
        <f t="shared" si="2"/>
        <v>No</v>
      </c>
      <c r="P496" s="5" t="s">
        <v>62</v>
      </c>
      <c r="Q496" s="5">
        <f t="shared" si="3"/>
        <v>0</v>
      </c>
      <c r="R496" s="5">
        <v>0.0</v>
      </c>
    </row>
    <row r="497" ht="22.5" customHeight="1">
      <c r="A497" s="5" t="s">
        <v>1947</v>
      </c>
      <c r="B497" s="5" t="s">
        <v>65</v>
      </c>
      <c r="C497" s="6">
        <v>6.0</v>
      </c>
      <c r="D497" s="6">
        <v>12.0</v>
      </c>
      <c r="E497" s="6">
        <v>1.3</v>
      </c>
      <c r="F497" s="6">
        <f t="shared" si="1"/>
        <v>1</v>
      </c>
      <c r="G497" s="6">
        <v>1.0</v>
      </c>
      <c r="H497" s="6">
        <v>27.0</v>
      </c>
      <c r="I497" s="6">
        <v>20.0</v>
      </c>
      <c r="J497" s="6">
        <v>16.0</v>
      </c>
      <c r="K497" s="6">
        <v>3.0</v>
      </c>
      <c r="L497" s="9">
        <v>45994.0</v>
      </c>
      <c r="M497" s="6">
        <v>7.0</v>
      </c>
      <c r="N497" s="5" t="s">
        <v>62</v>
      </c>
      <c r="O497" s="5" t="str">
        <f t="shared" si="2"/>
        <v>No</v>
      </c>
      <c r="P497" s="5" t="s">
        <v>62</v>
      </c>
      <c r="Q497" s="5">
        <f t="shared" si="3"/>
        <v>0</v>
      </c>
      <c r="R497" s="5">
        <v>0.0</v>
      </c>
    </row>
    <row r="498" ht="22.5" customHeight="1">
      <c r="A498" s="5" t="s">
        <v>1950</v>
      </c>
      <c r="B498" s="5" t="s">
        <v>22</v>
      </c>
      <c r="C498" s="6">
        <v>4.0</v>
      </c>
      <c r="D498" s="6">
        <v>23.0</v>
      </c>
      <c r="E498" s="6">
        <v>6.8</v>
      </c>
      <c r="F498" s="6">
        <f t="shared" si="1"/>
        <v>6</v>
      </c>
      <c r="G498" s="6">
        <v>6.0</v>
      </c>
      <c r="H498" s="6">
        <v>9.0</v>
      </c>
      <c r="I498" s="6">
        <v>18.0</v>
      </c>
      <c r="J498" s="6">
        <v>2.0</v>
      </c>
      <c r="K498" s="6">
        <v>0.0</v>
      </c>
      <c r="L498" s="9">
        <v>45546.0</v>
      </c>
      <c r="M498" s="6">
        <v>8.0</v>
      </c>
      <c r="N498" s="5" t="s">
        <v>62</v>
      </c>
      <c r="O498" s="5" t="str">
        <f t="shared" si="2"/>
        <v>No</v>
      </c>
      <c r="P498" s="5" t="s">
        <v>62</v>
      </c>
      <c r="Q498" s="5">
        <f t="shared" si="3"/>
        <v>0</v>
      </c>
      <c r="R498" s="5">
        <v>0.0</v>
      </c>
    </row>
    <row r="499" ht="22.5" customHeight="1">
      <c r="A499" s="5" t="s">
        <v>1954</v>
      </c>
      <c r="B499" s="5" t="s">
        <v>44</v>
      </c>
      <c r="C499" s="6">
        <v>4.0</v>
      </c>
      <c r="D499" s="6">
        <v>18.0</v>
      </c>
      <c r="E499" s="6">
        <v>5.4</v>
      </c>
      <c r="F499" s="6">
        <f t="shared" si="1"/>
        <v>5</v>
      </c>
      <c r="G499" s="6">
        <v>5.0</v>
      </c>
      <c r="H499" s="6">
        <v>30.0</v>
      </c>
      <c r="I499" s="6">
        <v>34.0</v>
      </c>
      <c r="J499" s="8"/>
      <c r="K499" s="6">
        <v>2.0</v>
      </c>
      <c r="L499" s="9">
        <v>45659.0</v>
      </c>
      <c r="M499" s="6">
        <v>6.0</v>
      </c>
      <c r="N499" s="5" t="s">
        <v>62</v>
      </c>
      <c r="O499" s="5" t="str">
        <f t="shared" si="2"/>
        <v>No</v>
      </c>
      <c r="P499" s="5" t="s">
        <v>62</v>
      </c>
      <c r="Q499" s="5">
        <f t="shared" si="3"/>
        <v>0</v>
      </c>
      <c r="R499" s="5">
        <v>0.0</v>
      </c>
    </row>
    <row r="500" ht="22.5" customHeight="1">
      <c r="A500" s="5" t="s">
        <v>1957</v>
      </c>
      <c r="B500" s="5" t="s">
        <v>65</v>
      </c>
      <c r="C500" s="6">
        <v>8.0</v>
      </c>
      <c r="D500" s="6">
        <v>31.0</v>
      </c>
      <c r="E500" s="6">
        <v>15.9</v>
      </c>
      <c r="F500" s="6">
        <f t="shared" si="1"/>
        <v>15</v>
      </c>
      <c r="G500" s="6">
        <v>15.0</v>
      </c>
      <c r="H500" s="6">
        <v>40.0</v>
      </c>
      <c r="I500" s="6">
        <v>15.0</v>
      </c>
      <c r="J500" s="6">
        <v>3.0</v>
      </c>
      <c r="K500" s="6">
        <v>1.0</v>
      </c>
      <c r="L500" s="9">
        <v>45872.0</v>
      </c>
      <c r="M500" s="6">
        <v>6.0</v>
      </c>
      <c r="N500" s="5" t="s">
        <v>62</v>
      </c>
      <c r="O500" s="5" t="str">
        <f t="shared" si="2"/>
        <v>No</v>
      </c>
      <c r="P500" s="5" t="s">
        <v>62</v>
      </c>
      <c r="Q500" s="5">
        <f t="shared" si="3"/>
        <v>0</v>
      </c>
      <c r="R500" s="5">
        <v>0.0</v>
      </c>
    </row>
    <row r="501" ht="22.5" customHeight="1">
      <c r="A501" s="5" t="s">
        <v>1959</v>
      </c>
      <c r="B501" s="5" t="s">
        <v>44</v>
      </c>
      <c r="C501" s="6">
        <v>5.0</v>
      </c>
      <c r="D501" s="6">
        <v>8.0</v>
      </c>
      <c r="E501" s="6">
        <v>8.3</v>
      </c>
      <c r="F501" s="6">
        <f t="shared" si="1"/>
        <v>8</v>
      </c>
      <c r="G501" s="6">
        <v>8.0</v>
      </c>
      <c r="H501" s="6">
        <v>58.0</v>
      </c>
      <c r="I501" s="6">
        <v>25.0</v>
      </c>
      <c r="J501" s="6">
        <v>4.0</v>
      </c>
      <c r="K501" s="6">
        <v>3.0</v>
      </c>
      <c r="L501" s="9">
        <v>44700.0</v>
      </c>
      <c r="M501" s="6">
        <v>1.0</v>
      </c>
      <c r="N501" s="5" t="s">
        <v>113</v>
      </c>
      <c r="O501" s="5" t="str">
        <f t="shared" si="2"/>
        <v>Yes</v>
      </c>
      <c r="P501" s="5" t="s">
        <v>113</v>
      </c>
      <c r="Q501" s="5">
        <f t="shared" si="3"/>
        <v>1</v>
      </c>
      <c r="R501" s="5">
        <v>1.0</v>
      </c>
    </row>
    <row r="502" ht="22.5" customHeight="1">
      <c r="A502" s="5" t="s">
        <v>1962</v>
      </c>
      <c r="B502" s="5" t="s">
        <v>65</v>
      </c>
      <c r="C502" s="6">
        <v>5.0</v>
      </c>
      <c r="D502" s="6">
        <v>18.0</v>
      </c>
      <c r="E502" s="6">
        <v>6.7</v>
      </c>
      <c r="F502" s="6">
        <f t="shared" si="1"/>
        <v>6</v>
      </c>
      <c r="G502" s="6">
        <v>6.0</v>
      </c>
      <c r="H502" s="6">
        <v>14.0</v>
      </c>
      <c r="I502" s="6">
        <v>23.0</v>
      </c>
      <c r="J502" s="6">
        <v>17.0</v>
      </c>
      <c r="K502" s="6">
        <v>3.0</v>
      </c>
      <c r="L502" s="9">
        <v>45068.0</v>
      </c>
      <c r="M502" s="6">
        <v>2.0</v>
      </c>
      <c r="O502" s="10" t="str">
        <f t="shared" si="2"/>
        <v>Yes</v>
      </c>
      <c r="P502" s="10" t="s">
        <v>113</v>
      </c>
      <c r="Q502" s="10">
        <f t="shared" si="3"/>
        <v>1</v>
      </c>
      <c r="R502" s="10">
        <v>1.0</v>
      </c>
    </row>
    <row r="503" ht="22.5" customHeight="1">
      <c r="A503" s="5" t="s">
        <v>1964</v>
      </c>
      <c r="B503" s="5" t="s">
        <v>84</v>
      </c>
      <c r="C503" s="6">
        <v>7.0</v>
      </c>
      <c r="D503" s="6">
        <v>23.0</v>
      </c>
      <c r="E503" s="6">
        <v>8.8</v>
      </c>
      <c r="F503" s="6">
        <f t="shared" si="1"/>
        <v>8</v>
      </c>
      <c r="G503" s="6">
        <v>8.0</v>
      </c>
      <c r="H503" s="6">
        <v>32.0</v>
      </c>
      <c r="I503" s="6">
        <v>33.0</v>
      </c>
      <c r="J503" s="6">
        <v>4.0</v>
      </c>
      <c r="K503" s="6">
        <v>0.0</v>
      </c>
      <c r="L503" s="9">
        <v>45379.0</v>
      </c>
      <c r="M503" s="6">
        <v>2.0</v>
      </c>
      <c r="N503" s="5" t="s">
        <v>113</v>
      </c>
      <c r="O503" s="5" t="str">
        <f t="shared" si="2"/>
        <v>No</v>
      </c>
      <c r="P503" s="5" t="s">
        <v>62</v>
      </c>
      <c r="Q503" s="5">
        <f t="shared" si="3"/>
        <v>0</v>
      </c>
      <c r="R503" s="5">
        <v>0.0</v>
      </c>
    </row>
    <row r="504" ht="22.5" customHeight="1">
      <c r="A504" s="5" t="s">
        <v>1966</v>
      </c>
      <c r="B504" s="5" t="s">
        <v>22</v>
      </c>
      <c r="C504" s="6">
        <v>7.0</v>
      </c>
      <c r="D504" s="6">
        <v>16.0</v>
      </c>
      <c r="E504" s="6">
        <v>1.0</v>
      </c>
      <c r="F504" s="6">
        <f t="shared" si="1"/>
        <v>1</v>
      </c>
      <c r="G504" s="6">
        <v>1.0</v>
      </c>
      <c r="H504" s="6">
        <v>16.0</v>
      </c>
      <c r="I504" s="6">
        <v>20.0</v>
      </c>
      <c r="J504" s="8"/>
      <c r="K504" s="6">
        <v>3.0</v>
      </c>
      <c r="L504" s="9">
        <v>44602.0</v>
      </c>
      <c r="M504" s="6">
        <v>3.0</v>
      </c>
      <c r="N504" s="5" t="s">
        <v>113</v>
      </c>
      <c r="O504" s="5" t="str">
        <f t="shared" si="2"/>
        <v>Yes</v>
      </c>
      <c r="P504" s="5" t="s">
        <v>113</v>
      </c>
      <c r="Q504" s="5">
        <f t="shared" si="3"/>
        <v>1</v>
      </c>
      <c r="R504" s="5">
        <v>1.0</v>
      </c>
    </row>
    <row r="505" ht="22.5" customHeight="1">
      <c r="A505" s="5" t="s">
        <v>1968</v>
      </c>
      <c r="B505" s="5" t="s">
        <v>44</v>
      </c>
      <c r="C505" s="6">
        <v>4.0</v>
      </c>
      <c r="D505" s="6">
        <v>18.0</v>
      </c>
      <c r="E505" s="6">
        <v>4.4</v>
      </c>
      <c r="F505" s="6">
        <f t="shared" si="1"/>
        <v>4</v>
      </c>
      <c r="G505" s="6">
        <v>4.0</v>
      </c>
      <c r="H505" s="6">
        <v>35.0</v>
      </c>
      <c r="I505" s="6">
        <v>28.0</v>
      </c>
      <c r="J505" s="6">
        <v>16.0</v>
      </c>
      <c r="K505" s="6">
        <v>4.0</v>
      </c>
      <c r="L505" s="9">
        <v>45842.0</v>
      </c>
      <c r="M505" s="6">
        <v>6.0</v>
      </c>
      <c r="O505" s="10" t="str">
        <f t="shared" si="2"/>
        <v>No</v>
      </c>
      <c r="P505" s="10" t="s">
        <v>62</v>
      </c>
      <c r="Q505" s="10">
        <f t="shared" si="3"/>
        <v>0</v>
      </c>
      <c r="R505" s="10">
        <v>0.0</v>
      </c>
    </row>
    <row r="506" ht="22.5" customHeight="1">
      <c r="A506" s="5" t="s">
        <v>1971</v>
      </c>
      <c r="B506" s="5" t="s">
        <v>44</v>
      </c>
      <c r="C506" s="6">
        <v>5.0</v>
      </c>
      <c r="D506" s="6">
        <v>29.0</v>
      </c>
      <c r="E506" s="6">
        <v>4.9</v>
      </c>
      <c r="F506" s="6">
        <f t="shared" si="1"/>
        <v>4</v>
      </c>
      <c r="G506" s="6">
        <v>4.0</v>
      </c>
      <c r="H506" s="6">
        <v>33.0</v>
      </c>
      <c r="I506" s="6">
        <v>16.0</v>
      </c>
      <c r="J506" s="6">
        <v>8.0</v>
      </c>
      <c r="K506" s="6">
        <v>4.0</v>
      </c>
      <c r="L506" s="9">
        <v>45787.0</v>
      </c>
      <c r="M506" s="6">
        <v>6.0</v>
      </c>
      <c r="N506" s="5" t="s">
        <v>62</v>
      </c>
      <c r="O506" s="5" t="str">
        <f t="shared" si="2"/>
        <v>No</v>
      </c>
      <c r="P506" s="5" t="s">
        <v>62</v>
      </c>
      <c r="Q506" s="5">
        <f t="shared" si="3"/>
        <v>0</v>
      </c>
      <c r="R506" s="5">
        <v>0.0</v>
      </c>
    </row>
    <row r="507" ht="22.5" customHeight="1">
      <c r="A507" s="5" t="s">
        <v>1973</v>
      </c>
      <c r="B507" s="5" t="s">
        <v>170</v>
      </c>
      <c r="C507" s="6">
        <v>7.0</v>
      </c>
      <c r="D507" s="6">
        <v>28.0</v>
      </c>
      <c r="E507" s="6">
        <v>9.6</v>
      </c>
      <c r="F507" s="6">
        <f t="shared" si="1"/>
        <v>9</v>
      </c>
      <c r="G507" s="6">
        <v>9.0</v>
      </c>
      <c r="H507" s="6">
        <v>13.0</v>
      </c>
      <c r="I507" s="6">
        <v>43.0</v>
      </c>
      <c r="J507" s="6">
        <v>15.0</v>
      </c>
      <c r="K507" s="6">
        <v>1.0</v>
      </c>
      <c r="L507" s="9">
        <v>45558.0</v>
      </c>
      <c r="M507" s="6">
        <v>5.0</v>
      </c>
      <c r="N507" s="5" t="s">
        <v>62</v>
      </c>
      <c r="O507" s="5" t="str">
        <f t="shared" si="2"/>
        <v>No</v>
      </c>
      <c r="P507" s="5" t="s">
        <v>62</v>
      </c>
      <c r="Q507" s="5">
        <f t="shared" si="3"/>
        <v>0</v>
      </c>
      <c r="R507" s="5">
        <v>0.0</v>
      </c>
    </row>
    <row r="508" ht="22.5" customHeight="1">
      <c r="A508" s="5" t="s">
        <v>1977</v>
      </c>
      <c r="B508" s="5" t="s">
        <v>170</v>
      </c>
      <c r="C508" s="6">
        <v>7.0</v>
      </c>
      <c r="D508" s="6">
        <v>33.0</v>
      </c>
      <c r="E508" s="6">
        <v>3.4</v>
      </c>
      <c r="F508" s="6">
        <f t="shared" si="1"/>
        <v>3</v>
      </c>
      <c r="G508" s="6">
        <v>3.0</v>
      </c>
      <c r="H508" s="6">
        <v>38.0</v>
      </c>
      <c r="I508" s="6">
        <v>23.0</v>
      </c>
      <c r="J508" s="6">
        <v>17.0</v>
      </c>
      <c r="K508" s="6">
        <v>1.0</v>
      </c>
      <c r="L508" s="9">
        <v>45875.0</v>
      </c>
      <c r="M508" s="6">
        <v>6.0</v>
      </c>
      <c r="N508" s="5" t="s">
        <v>62</v>
      </c>
      <c r="O508" s="5" t="str">
        <f t="shared" si="2"/>
        <v>No</v>
      </c>
      <c r="P508" s="5" t="s">
        <v>62</v>
      </c>
      <c r="Q508" s="5">
        <f t="shared" si="3"/>
        <v>0</v>
      </c>
      <c r="R508" s="5">
        <v>0.0</v>
      </c>
    </row>
    <row r="509" ht="22.5" customHeight="1">
      <c r="A509" s="5" t="s">
        <v>1979</v>
      </c>
      <c r="B509" s="5" t="s">
        <v>22</v>
      </c>
      <c r="C509" s="6">
        <v>7.0</v>
      </c>
      <c r="D509" s="6">
        <v>13.0</v>
      </c>
      <c r="E509" s="6">
        <v>7.5</v>
      </c>
      <c r="F509" s="6">
        <f t="shared" si="1"/>
        <v>7</v>
      </c>
      <c r="G509" s="6">
        <v>7.0</v>
      </c>
      <c r="H509" s="6">
        <v>43.0</v>
      </c>
      <c r="I509" s="6">
        <v>25.0</v>
      </c>
      <c r="J509" s="6">
        <v>17.0</v>
      </c>
      <c r="K509" s="6">
        <v>4.0</v>
      </c>
      <c r="L509" s="11"/>
      <c r="M509" s="6">
        <v>5.0</v>
      </c>
      <c r="O509" s="10" t="str">
        <f t="shared" si="2"/>
        <v>Yes</v>
      </c>
      <c r="P509" s="10" t="s">
        <v>113</v>
      </c>
      <c r="Q509" s="10">
        <f t="shared" si="3"/>
        <v>1</v>
      </c>
      <c r="R509" s="10">
        <v>1.0</v>
      </c>
    </row>
    <row r="510" ht="22.5" customHeight="1">
      <c r="A510" s="5" t="s">
        <v>1982</v>
      </c>
      <c r="B510" s="5" t="s">
        <v>65</v>
      </c>
      <c r="C510" s="6">
        <v>7.0</v>
      </c>
      <c r="D510" s="6">
        <v>24.0</v>
      </c>
      <c r="E510" s="6">
        <v>6.3</v>
      </c>
      <c r="F510" s="6">
        <f t="shared" si="1"/>
        <v>6</v>
      </c>
      <c r="G510" s="6">
        <v>6.0</v>
      </c>
      <c r="H510" s="6">
        <v>56.0</v>
      </c>
      <c r="I510" s="6">
        <v>38.0</v>
      </c>
      <c r="J510" s="8"/>
      <c r="K510" s="6">
        <v>4.0</v>
      </c>
      <c r="L510" s="9">
        <v>45556.0</v>
      </c>
      <c r="M510" s="6">
        <v>6.0</v>
      </c>
      <c r="N510" s="5" t="s">
        <v>62</v>
      </c>
      <c r="O510" s="5" t="str">
        <f t="shared" si="2"/>
        <v>No</v>
      </c>
      <c r="P510" s="5" t="s">
        <v>62</v>
      </c>
      <c r="Q510" s="5">
        <f t="shared" si="3"/>
        <v>0</v>
      </c>
      <c r="R510" s="5">
        <v>0.0</v>
      </c>
    </row>
    <row r="511" ht="22.5" customHeight="1">
      <c r="A511" s="5" t="s">
        <v>1984</v>
      </c>
      <c r="B511" s="5" t="s">
        <v>44</v>
      </c>
      <c r="C511" s="6">
        <v>4.0</v>
      </c>
      <c r="D511" s="6">
        <v>8.0</v>
      </c>
      <c r="E511" s="6">
        <v>4.6</v>
      </c>
      <c r="F511" s="6">
        <f t="shared" si="1"/>
        <v>4</v>
      </c>
      <c r="G511" s="6">
        <v>4.0</v>
      </c>
      <c r="H511" s="6">
        <v>21.0</v>
      </c>
      <c r="I511" s="6">
        <v>20.0</v>
      </c>
      <c r="J511" s="6">
        <v>1.0</v>
      </c>
      <c r="K511" s="6">
        <v>0.0</v>
      </c>
      <c r="L511" s="9">
        <v>46052.0</v>
      </c>
      <c r="M511" s="6">
        <v>6.0</v>
      </c>
      <c r="N511" s="5" t="s">
        <v>62</v>
      </c>
      <c r="O511" s="5" t="str">
        <f t="shared" si="2"/>
        <v>No</v>
      </c>
      <c r="P511" s="5" t="s">
        <v>62</v>
      </c>
      <c r="Q511" s="5">
        <f t="shared" si="3"/>
        <v>0</v>
      </c>
      <c r="R511" s="5">
        <v>0.0</v>
      </c>
    </row>
    <row r="512" ht="22.5" customHeight="1">
      <c r="A512" s="5" t="s">
        <v>1987</v>
      </c>
      <c r="B512" s="5" t="s">
        <v>22</v>
      </c>
      <c r="C512" s="6">
        <v>6.0</v>
      </c>
      <c r="D512" s="6">
        <v>26.0</v>
      </c>
      <c r="E512" s="6">
        <v>4.8</v>
      </c>
      <c r="F512" s="6">
        <f t="shared" si="1"/>
        <v>4</v>
      </c>
      <c r="G512" s="6">
        <v>4.0</v>
      </c>
      <c r="H512" s="6">
        <v>11.0</v>
      </c>
      <c r="I512" s="6">
        <v>38.0</v>
      </c>
      <c r="J512" s="6">
        <v>8.0</v>
      </c>
      <c r="K512" s="6">
        <v>3.0</v>
      </c>
      <c r="L512" s="9">
        <v>45254.0</v>
      </c>
      <c r="M512" s="6">
        <v>5.0</v>
      </c>
      <c r="N512" s="5" t="s">
        <v>113</v>
      </c>
      <c r="O512" s="5" t="str">
        <f t="shared" si="2"/>
        <v>No</v>
      </c>
      <c r="P512" s="5" t="s">
        <v>62</v>
      </c>
      <c r="Q512" s="5">
        <f t="shared" si="3"/>
        <v>0</v>
      </c>
      <c r="R512" s="5">
        <v>0.0</v>
      </c>
    </row>
    <row r="513" ht="22.5" customHeight="1">
      <c r="A513" s="5" t="s">
        <v>1990</v>
      </c>
      <c r="B513" s="5" t="s">
        <v>84</v>
      </c>
      <c r="C513" s="6">
        <v>3.0</v>
      </c>
      <c r="D513" s="6">
        <v>17.0</v>
      </c>
      <c r="E513" s="6">
        <v>6.3</v>
      </c>
      <c r="F513" s="6">
        <f t="shared" si="1"/>
        <v>6</v>
      </c>
      <c r="G513" s="6">
        <v>6.0</v>
      </c>
      <c r="H513" s="6">
        <v>24.0</v>
      </c>
      <c r="I513" s="6">
        <v>22.0</v>
      </c>
      <c r="J513" s="6">
        <v>17.0</v>
      </c>
      <c r="K513" s="6">
        <v>3.0</v>
      </c>
      <c r="L513" s="9">
        <v>45532.0</v>
      </c>
      <c r="M513" s="6">
        <v>8.0</v>
      </c>
      <c r="O513" s="10" t="str">
        <f t="shared" si="2"/>
        <v>No</v>
      </c>
      <c r="P513" s="10" t="s">
        <v>62</v>
      </c>
      <c r="Q513" s="10">
        <f t="shared" si="3"/>
        <v>0</v>
      </c>
      <c r="R513" s="10">
        <v>0.0</v>
      </c>
    </row>
    <row r="514" ht="22.5" customHeight="1">
      <c r="A514" s="5" t="s">
        <v>1994</v>
      </c>
      <c r="B514" s="5" t="s">
        <v>22</v>
      </c>
      <c r="C514" s="6">
        <v>6.0</v>
      </c>
      <c r="D514" s="6">
        <v>27.0</v>
      </c>
      <c r="E514" s="6">
        <v>1.6</v>
      </c>
      <c r="F514" s="6">
        <f t="shared" si="1"/>
        <v>1</v>
      </c>
      <c r="G514" s="6">
        <v>1.0</v>
      </c>
      <c r="H514" s="6">
        <v>11.0</v>
      </c>
      <c r="I514" s="6">
        <v>30.0</v>
      </c>
      <c r="J514" s="6">
        <v>19.0</v>
      </c>
      <c r="K514" s="6">
        <v>1.0</v>
      </c>
      <c r="L514" s="9">
        <v>46144.0</v>
      </c>
      <c r="M514" s="6">
        <v>9.0</v>
      </c>
      <c r="N514" s="5" t="s">
        <v>62</v>
      </c>
      <c r="O514" s="5" t="str">
        <f t="shared" si="2"/>
        <v>No</v>
      </c>
      <c r="P514" s="5" t="s">
        <v>62</v>
      </c>
      <c r="Q514" s="5">
        <f t="shared" si="3"/>
        <v>0</v>
      </c>
      <c r="R514" s="5">
        <v>0.0</v>
      </c>
    </row>
    <row r="515" ht="22.5" customHeight="1">
      <c r="A515" s="5" t="s">
        <v>1997</v>
      </c>
      <c r="B515" s="5" t="s">
        <v>44</v>
      </c>
      <c r="C515" s="6">
        <v>4.0</v>
      </c>
      <c r="D515" s="6">
        <v>7.0</v>
      </c>
      <c r="E515" s="6">
        <v>10.4</v>
      </c>
      <c r="F515" s="6">
        <f t="shared" si="1"/>
        <v>10</v>
      </c>
      <c r="G515" s="6">
        <v>10.0</v>
      </c>
      <c r="H515" s="6">
        <v>23.0</v>
      </c>
      <c r="I515" s="6">
        <v>20.0</v>
      </c>
      <c r="J515" s="6">
        <v>3.0</v>
      </c>
      <c r="K515" s="6">
        <v>0.0</v>
      </c>
      <c r="L515" s="9">
        <v>46075.0</v>
      </c>
      <c r="M515" s="6">
        <v>8.0</v>
      </c>
      <c r="N515" s="5" t="s">
        <v>62</v>
      </c>
      <c r="O515" s="5" t="str">
        <f t="shared" si="2"/>
        <v>No</v>
      </c>
      <c r="P515" s="5" t="s">
        <v>62</v>
      </c>
      <c r="Q515" s="5">
        <f t="shared" si="3"/>
        <v>0</v>
      </c>
      <c r="R515" s="5">
        <v>0.0</v>
      </c>
    </row>
    <row r="516" ht="22.5" customHeight="1">
      <c r="A516" s="5" t="s">
        <v>1999</v>
      </c>
      <c r="B516" s="5" t="s">
        <v>65</v>
      </c>
      <c r="C516" s="6">
        <v>4.0</v>
      </c>
      <c r="D516" s="6">
        <v>12.0</v>
      </c>
      <c r="E516" s="6">
        <v>4.0</v>
      </c>
      <c r="F516" s="6">
        <f t="shared" si="1"/>
        <v>4</v>
      </c>
      <c r="G516" s="6">
        <v>4.0</v>
      </c>
      <c r="H516" s="6">
        <v>8.0</v>
      </c>
      <c r="I516" s="6">
        <v>14.0</v>
      </c>
      <c r="J516" s="6">
        <v>12.0</v>
      </c>
      <c r="K516" s="6">
        <v>4.0</v>
      </c>
      <c r="L516" s="9">
        <v>45861.0</v>
      </c>
      <c r="M516" s="6">
        <v>7.0</v>
      </c>
      <c r="N516" s="5" t="s">
        <v>62</v>
      </c>
      <c r="O516" s="5" t="str">
        <f t="shared" si="2"/>
        <v>No</v>
      </c>
      <c r="P516" s="5" t="s">
        <v>62</v>
      </c>
      <c r="Q516" s="5">
        <f t="shared" si="3"/>
        <v>0</v>
      </c>
      <c r="R516" s="5">
        <v>0.0</v>
      </c>
    </row>
    <row r="517" ht="22.5" customHeight="1">
      <c r="A517" s="5" t="s">
        <v>2001</v>
      </c>
      <c r="B517" s="5" t="s">
        <v>84</v>
      </c>
      <c r="C517" s="6">
        <v>12.0</v>
      </c>
      <c r="D517" s="6">
        <v>40.0</v>
      </c>
      <c r="E517" s="6">
        <v>15.6</v>
      </c>
      <c r="F517" s="6">
        <f t="shared" si="1"/>
        <v>15</v>
      </c>
      <c r="G517" s="6">
        <v>15.0</v>
      </c>
      <c r="H517" s="6">
        <v>20.0</v>
      </c>
      <c r="I517" s="6">
        <v>30.0</v>
      </c>
      <c r="J517" s="6">
        <v>5.0</v>
      </c>
      <c r="K517" s="6">
        <v>1.0</v>
      </c>
      <c r="L517" s="9">
        <v>45615.0</v>
      </c>
      <c r="M517" s="6">
        <v>9.0</v>
      </c>
      <c r="N517" s="5" t="s">
        <v>62</v>
      </c>
      <c r="O517" s="5" t="str">
        <f t="shared" si="2"/>
        <v>No</v>
      </c>
      <c r="P517" s="5" t="s">
        <v>62</v>
      </c>
      <c r="Q517" s="5">
        <f t="shared" si="3"/>
        <v>0</v>
      </c>
      <c r="R517" s="5">
        <v>0.0</v>
      </c>
    </row>
    <row r="518" ht="22.5" customHeight="1">
      <c r="A518" s="5" t="s">
        <v>2003</v>
      </c>
      <c r="B518" s="5" t="s">
        <v>22</v>
      </c>
      <c r="C518" s="6">
        <v>8.0</v>
      </c>
      <c r="D518" s="6">
        <v>42.0</v>
      </c>
      <c r="E518" s="6">
        <v>10.5</v>
      </c>
      <c r="F518" s="6">
        <f t="shared" si="1"/>
        <v>10</v>
      </c>
      <c r="G518" s="6">
        <v>10.0</v>
      </c>
      <c r="H518" s="6">
        <v>10.0</v>
      </c>
      <c r="I518" s="6">
        <v>14.0</v>
      </c>
      <c r="J518" s="6">
        <v>19.0</v>
      </c>
      <c r="K518" s="6">
        <v>5.0</v>
      </c>
      <c r="L518" s="9">
        <v>44814.0</v>
      </c>
      <c r="M518" s="6">
        <v>2.0</v>
      </c>
      <c r="N518" s="5" t="s">
        <v>113</v>
      </c>
      <c r="O518" s="5" t="str">
        <f t="shared" si="2"/>
        <v>Yes</v>
      </c>
      <c r="P518" s="5" t="s">
        <v>113</v>
      </c>
      <c r="Q518" s="5">
        <f t="shared" si="3"/>
        <v>1</v>
      </c>
      <c r="R518" s="5">
        <v>1.0</v>
      </c>
    </row>
    <row r="519" ht="22.5" customHeight="1">
      <c r="A519" s="5" t="s">
        <v>2006</v>
      </c>
      <c r="B519" s="5" t="s">
        <v>22</v>
      </c>
      <c r="C519" s="6">
        <v>8.0</v>
      </c>
      <c r="D519" s="6">
        <v>41.0</v>
      </c>
      <c r="E519" s="6">
        <v>3.0</v>
      </c>
      <c r="F519" s="6">
        <f t="shared" si="1"/>
        <v>3</v>
      </c>
      <c r="G519" s="6">
        <v>3.0</v>
      </c>
      <c r="H519" s="6">
        <v>30.0</v>
      </c>
      <c r="I519" s="6">
        <v>23.0</v>
      </c>
      <c r="J519" s="6">
        <v>19.0</v>
      </c>
      <c r="K519" s="6">
        <v>0.0</v>
      </c>
      <c r="L519" s="9">
        <v>44872.0</v>
      </c>
      <c r="M519" s="6">
        <v>3.0</v>
      </c>
      <c r="N519" s="5" t="s">
        <v>113</v>
      </c>
      <c r="O519" s="5" t="str">
        <f t="shared" si="2"/>
        <v>Yes</v>
      </c>
      <c r="P519" s="5" t="s">
        <v>113</v>
      </c>
      <c r="Q519" s="5">
        <f t="shared" si="3"/>
        <v>1</v>
      </c>
      <c r="R519" s="5">
        <v>1.0</v>
      </c>
    </row>
    <row r="520" ht="22.5" customHeight="1">
      <c r="A520" s="5" t="s">
        <v>2010</v>
      </c>
      <c r="B520" s="5" t="s">
        <v>170</v>
      </c>
      <c r="C520" s="6">
        <v>5.0</v>
      </c>
      <c r="D520" s="6">
        <v>21.0</v>
      </c>
      <c r="E520" s="6">
        <v>1.0</v>
      </c>
      <c r="F520" s="6">
        <f t="shared" si="1"/>
        <v>1</v>
      </c>
      <c r="G520" s="6">
        <v>1.0</v>
      </c>
      <c r="H520" s="6">
        <v>46.0</v>
      </c>
      <c r="I520" s="6">
        <v>35.0</v>
      </c>
      <c r="J520" s="6">
        <v>12.0</v>
      </c>
      <c r="K520" s="6">
        <v>0.0</v>
      </c>
      <c r="L520" s="9">
        <v>45793.0</v>
      </c>
      <c r="M520" s="6">
        <v>6.0</v>
      </c>
      <c r="N520" s="5" t="s">
        <v>62</v>
      </c>
      <c r="O520" s="5" t="str">
        <f t="shared" si="2"/>
        <v>No</v>
      </c>
      <c r="P520" s="5" t="s">
        <v>62</v>
      </c>
      <c r="Q520" s="5">
        <f t="shared" si="3"/>
        <v>0</v>
      </c>
      <c r="R520" s="5">
        <v>0.0</v>
      </c>
    </row>
    <row r="521" ht="22.5" customHeight="1">
      <c r="A521" s="5" t="s">
        <v>2012</v>
      </c>
      <c r="B521" s="5" t="s">
        <v>44</v>
      </c>
      <c r="C521" s="6">
        <v>2.0</v>
      </c>
      <c r="D521" s="6">
        <v>6.0</v>
      </c>
      <c r="E521" s="6">
        <v>9.0</v>
      </c>
      <c r="F521" s="6">
        <f t="shared" si="1"/>
        <v>9</v>
      </c>
      <c r="G521" s="6">
        <v>9.0</v>
      </c>
      <c r="H521" s="6">
        <v>14.0</v>
      </c>
      <c r="I521" s="6">
        <v>30.0</v>
      </c>
      <c r="J521" s="6">
        <v>7.0</v>
      </c>
      <c r="K521" s="6">
        <v>1.0</v>
      </c>
      <c r="L521" s="9">
        <v>45759.0</v>
      </c>
      <c r="M521" s="6">
        <v>8.0</v>
      </c>
      <c r="N521" s="5" t="s">
        <v>62</v>
      </c>
      <c r="O521" s="5" t="str">
        <f t="shared" si="2"/>
        <v>No</v>
      </c>
      <c r="P521" s="5" t="s">
        <v>62</v>
      </c>
      <c r="Q521" s="5">
        <f t="shared" si="3"/>
        <v>0</v>
      </c>
      <c r="R521" s="5">
        <v>0.0</v>
      </c>
    </row>
    <row r="522" ht="22.5" customHeight="1">
      <c r="A522" s="5" t="s">
        <v>2016</v>
      </c>
      <c r="B522" s="5" t="s">
        <v>65</v>
      </c>
      <c r="C522" s="6">
        <v>5.0</v>
      </c>
      <c r="D522" s="6">
        <v>13.0</v>
      </c>
      <c r="E522" s="6">
        <v>5.8</v>
      </c>
      <c r="F522" s="6">
        <f t="shared" si="1"/>
        <v>5</v>
      </c>
      <c r="G522" s="6">
        <v>5.0</v>
      </c>
      <c r="H522" s="6">
        <v>51.0</v>
      </c>
      <c r="I522" s="6">
        <v>22.0</v>
      </c>
      <c r="J522" s="6">
        <v>11.0</v>
      </c>
      <c r="K522" s="6">
        <v>5.0</v>
      </c>
      <c r="L522" s="9">
        <v>45248.0</v>
      </c>
      <c r="M522" s="6">
        <v>4.0</v>
      </c>
      <c r="N522" s="5" t="s">
        <v>113</v>
      </c>
      <c r="O522" s="5" t="str">
        <f t="shared" si="2"/>
        <v>No</v>
      </c>
      <c r="P522" s="5" t="s">
        <v>62</v>
      </c>
      <c r="Q522" s="5">
        <f t="shared" si="3"/>
        <v>0</v>
      </c>
      <c r="R522" s="5">
        <v>0.0</v>
      </c>
    </row>
    <row r="523" ht="22.5" customHeight="1">
      <c r="A523" s="5" t="s">
        <v>2018</v>
      </c>
      <c r="B523" s="5" t="s">
        <v>44</v>
      </c>
      <c r="C523" s="6">
        <v>6.0</v>
      </c>
      <c r="D523" s="6">
        <v>12.0</v>
      </c>
      <c r="E523" s="6">
        <v>7.5</v>
      </c>
      <c r="F523" s="6">
        <f t="shared" si="1"/>
        <v>7</v>
      </c>
      <c r="G523" s="6">
        <v>7.0</v>
      </c>
      <c r="H523" s="6">
        <v>48.0</v>
      </c>
      <c r="I523" s="6">
        <v>20.0</v>
      </c>
      <c r="J523" s="6">
        <v>6.0</v>
      </c>
      <c r="K523" s="6">
        <v>0.0</v>
      </c>
      <c r="L523" s="9">
        <v>45552.0</v>
      </c>
      <c r="M523" s="6">
        <v>8.0</v>
      </c>
      <c r="O523" s="10" t="str">
        <f t="shared" si="2"/>
        <v>No</v>
      </c>
      <c r="P523" s="10" t="s">
        <v>62</v>
      </c>
      <c r="Q523" s="10">
        <f t="shared" si="3"/>
        <v>0</v>
      </c>
      <c r="R523" s="10">
        <v>0.0</v>
      </c>
    </row>
    <row r="524" ht="22.5" customHeight="1">
      <c r="A524" s="5" t="s">
        <v>2021</v>
      </c>
      <c r="B524" s="5" t="s">
        <v>44</v>
      </c>
      <c r="C524" s="6">
        <v>5.0</v>
      </c>
      <c r="D524" s="6">
        <v>15.0</v>
      </c>
      <c r="E524" s="6">
        <v>10.3</v>
      </c>
      <c r="F524" s="6">
        <f t="shared" si="1"/>
        <v>10</v>
      </c>
      <c r="G524" s="6">
        <v>10.0</v>
      </c>
      <c r="H524" s="6">
        <v>34.0</v>
      </c>
      <c r="I524" s="6">
        <v>41.0</v>
      </c>
      <c r="J524" s="6">
        <v>8.0</v>
      </c>
      <c r="K524" s="6">
        <v>1.0</v>
      </c>
      <c r="L524" s="9">
        <v>45541.0</v>
      </c>
      <c r="M524" s="6">
        <v>6.0</v>
      </c>
      <c r="N524" s="5" t="s">
        <v>62</v>
      </c>
      <c r="O524" s="5" t="str">
        <f t="shared" si="2"/>
        <v>No</v>
      </c>
      <c r="P524" s="5" t="s">
        <v>62</v>
      </c>
      <c r="Q524" s="5">
        <f t="shared" si="3"/>
        <v>0</v>
      </c>
      <c r="R524" s="5">
        <v>0.0</v>
      </c>
    </row>
    <row r="525" ht="22.5" customHeight="1">
      <c r="A525" s="5" t="s">
        <v>2023</v>
      </c>
      <c r="B525" s="5" t="s">
        <v>84</v>
      </c>
      <c r="C525" s="6">
        <v>5.0</v>
      </c>
      <c r="D525" s="6">
        <v>17.0</v>
      </c>
      <c r="E525" s="6">
        <v>11.2</v>
      </c>
      <c r="F525" s="6">
        <f t="shared" si="1"/>
        <v>11</v>
      </c>
      <c r="G525" s="6">
        <v>11.0</v>
      </c>
      <c r="H525" s="6">
        <v>22.0</v>
      </c>
      <c r="I525" s="6">
        <v>13.0</v>
      </c>
      <c r="J525" s="6">
        <v>3.0</v>
      </c>
      <c r="K525" s="6">
        <v>2.0</v>
      </c>
      <c r="L525" s="9">
        <v>44621.0</v>
      </c>
      <c r="M525" s="6">
        <v>4.0</v>
      </c>
      <c r="N525" s="5" t="s">
        <v>113</v>
      </c>
      <c r="O525" s="5" t="str">
        <f t="shared" si="2"/>
        <v>Yes</v>
      </c>
      <c r="P525" s="5" t="s">
        <v>113</v>
      </c>
      <c r="Q525" s="5">
        <f t="shared" si="3"/>
        <v>1</v>
      </c>
      <c r="R525" s="5">
        <v>1.0</v>
      </c>
    </row>
    <row r="526" ht="22.5" customHeight="1">
      <c r="A526" s="5" t="s">
        <v>2025</v>
      </c>
      <c r="B526" s="5" t="s">
        <v>65</v>
      </c>
      <c r="C526" s="6">
        <v>8.0</v>
      </c>
      <c r="D526" s="6">
        <v>36.0</v>
      </c>
      <c r="E526" s="6">
        <v>5.1</v>
      </c>
      <c r="F526" s="6">
        <f t="shared" si="1"/>
        <v>5</v>
      </c>
      <c r="G526" s="6">
        <v>5.0</v>
      </c>
      <c r="H526" s="6">
        <v>23.0</v>
      </c>
      <c r="I526" s="6">
        <v>25.0</v>
      </c>
      <c r="J526" s="6">
        <v>17.0</v>
      </c>
      <c r="K526" s="6">
        <v>4.0</v>
      </c>
      <c r="L526" s="9">
        <v>45054.0</v>
      </c>
      <c r="M526" s="6">
        <v>2.0</v>
      </c>
      <c r="N526" s="5" t="s">
        <v>113</v>
      </c>
      <c r="O526" s="5" t="str">
        <f t="shared" si="2"/>
        <v>Yes</v>
      </c>
      <c r="P526" s="5" t="s">
        <v>113</v>
      </c>
      <c r="Q526" s="5">
        <f t="shared" si="3"/>
        <v>1</v>
      </c>
      <c r="R526" s="5">
        <v>1.0</v>
      </c>
    </row>
    <row r="527" ht="22.5" customHeight="1">
      <c r="A527" s="5" t="s">
        <v>2028</v>
      </c>
      <c r="B527" s="5" t="s">
        <v>44</v>
      </c>
      <c r="C527" s="6">
        <v>7.0</v>
      </c>
      <c r="D527" s="6">
        <v>31.0</v>
      </c>
      <c r="E527" s="6">
        <v>6.2</v>
      </c>
      <c r="F527" s="6">
        <f t="shared" si="1"/>
        <v>6</v>
      </c>
      <c r="G527" s="6">
        <v>6.0</v>
      </c>
      <c r="H527" s="6">
        <v>46.0</v>
      </c>
      <c r="I527" s="6">
        <v>13.0</v>
      </c>
      <c r="J527" s="6">
        <v>18.0</v>
      </c>
      <c r="K527" s="6">
        <v>4.0</v>
      </c>
      <c r="L527" s="9">
        <v>45579.0</v>
      </c>
      <c r="M527" s="6">
        <v>6.0</v>
      </c>
      <c r="N527" s="5" t="s">
        <v>62</v>
      </c>
      <c r="O527" s="5" t="str">
        <f t="shared" si="2"/>
        <v>No</v>
      </c>
      <c r="P527" s="5" t="s">
        <v>62</v>
      </c>
      <c r="Q527" s="5">
        <f t="shared" si="3"/>
        <v>0</v>
      </c>
      <c r="R527" s="5">
        <v>0.0</v>
      </c>
    </row>
    <row r="528" ht="22.5" customHeight="1">
      <c r="A528" s="5" t="s">
        <v>2029</v>
      </c>
      <c r="B528" s="5" t="s">
        <v>65</v>
      </c>
      <c r="C528" s="6">
        <v>9.0</v>
      </c>
      <c r="D528" s="6">
        <v>16.0</v>
      </c>
      <c r="E528" s="6">
        <v>8.4</v>
      </c>
      <c r="F528" s="6">
        <f t="shared" si="1"/>
        <v>8</v>
      </c>
      <c r="G528" s="6">
        <v>8.0</v>
      </c>
      <c r="H528" s="6">
        <v>15.0</v>
      </c>
      <c r="I528" s="6">
        <v>36.0</v>
      </c>
      <c r="J528" s="6">
        <v>5.0</v>
      </c>
      <c r="K528" s="6">
        <v>5.0</v>
      </c>
      <c r="L528" s="9">
        <v>45877.0</v>
      </c>
      <c r="M528" s="6">
        <v>5.0</v>
      </c>
      <c r="N528" s="5" t="s">
        <v>62</v>
      </c>
      <c r="O528" s="5" t="str">
        <f t="shared" si="2"/>
        <v>No</v>
      </c>
      <c r="P528" s="5" t="s">
        <v>62</v>
      </c>
      <c r="Q528" s="5">
        <f t="shared" si="3"/>
        <v>0</v>
      </c>
      <c r="R528" s="5">
        <v>0.0</v>
      </c>
    </row>
    <row r="529" ht="22.5" customHeight="1">
      <c r="A529" s="5" t="s">
        <v>2030</v>
      </c>
      <c r="B529" s="5" t="s">
        <v>22</v>
      </c>
      <c r="C529" s="6">
        <v>5.0</v>
      </c>
      <c r="D529" s="6">
        <v>16.0</v>
      </c>
      <c r="E529" s="6">
        <v>8.7</v>
      </c>
      <c r="F529" s="6">
        <f t="shared" si="1"/>
        <v>8</v>
      </c>
      <c r="G529" s="6">
        <v>8.0</v>
      </c>
      <c r="H529" s="6">
        <v>51.0</v>
      </c>
      <c r="I529" s="6">
        <v>25.0</v>
      </c>
      <c r="J529" s="6">
        <v>20.0</v>
      </c>
      <c r="K529" s="6">
        <v>3.0</v>
      </c>
      <c r="L529" s="9">
        <v>45363.0</v>
      </c>
      <c r="M529" s="6">
        <v>2.0</v>
      </c>
      <c r="N529" s="5" t="s">
        <v>113</v>
      </c>
      <c r="O529" s="5" t="str">
        <f t="shared" si="2"/>
        <v>No</v>
      </c>
      <c r="P529" s="5" t="s">
        <v>62</v>
      </c>
      <c r="Q529" s="5">
        <f t="shared" si="3"/>
        <v>0</v>
      </c>
      <c r="R529" s="5">
        <v>0.0</v>
      </c>
    </row>
    <row r="530" ht="22.5" customHeight="1">
      <c r="A530" s="5" t="s">
        <v>2033</v>
      </c>
      <c r="B530" s="5" t="s">
        <v>84</v>
      </c>
      <c r="C530" s="6">
        <v>4.0</v>
      </c>
      <c r="D530" s="6">
        <v>9.0</v>
      </c>
      <c r="E530" s="6">
        <v>7.5</v>
      </c>
      <c r="F530" s="6">
        <f t="shared" si="1"/>
        <v>7</v>
      </c>
      <c r="G530" s="6">
        <v>7.0</v>
      </c>
      <c r="H530" s="6">
        <v>30.0</v>
      </c>
      <c r="I530" s="6">
        <v>26.0</v>
      </c>
      <c r="J530" s="6">
        <v>12.0</v>
      </c>
      <c r="K530" s="6">
        <v>3.0</v>
      </c>
      <c r="L530" s="9">
        <v>45833.0</v>
      </c>
      <c r="M530" s="6">
        <v>8.0</v>
      </c>
      <c r="N530" s="5" t="s">
        <v>62</v>
      </c>
      <c r="O530" s="5" t="str">
        <f t="shared" si="2"/>
        <v>No</v>
      </c>
      <c r="P530" s="5" t="s">
        <v>62</v>
      </c>
      <c r="Q530" s="5">
        <f t="shared" si="3"/>
        <v>0</v>
      </c>
      <c r="R530" s="5">
        <v>0.0</v>
      </c>
    </row>
    <row r="531" ht="22.5" customHeight="1">
      <c r="A531" s="5" t="s">
        <v>2036</v>
      </c>
      <c r="B531" s="5" t="s">
        <v>22</v>
      </c>
      <c r="C531" s="6">
        <v>1.0</v>
      </c>
      <c r="D531" s="6">
        <v>2.0</v>
      </c>
      <c r="E531" s="6">
        <v>14.6</v>
      </c>
      <c r="F531" s="6">
        <f t="shared" si="1"/>
        <v>14</v>
      </c>
      <c r="G531" s="6">
        <v>14.0</v>
      </c>
      <c r="H531" s="6">
        <v>56.0</v>
      </c>
      <c r="I531" s="6">
        <v>47.0</v>
      </c>
      <c r="J531" s="6">
        <v>19.0</v>
      </c>
      <c r="K531" s="6">
        <v>4.0</v>
      </c>
      <c r="L531" s="9">
        <v>46141.0</v>
      </c>
      <c r="M531" s="6">
        <v>10.0</v>
      </c>
      <c r="N531" s="5" t="s">
        <v>62</v>
      </c>
      <c r="O531" s="5" t="str">
        <f t="shared" si="2"/>
        <v>No</v>
      </c>
      <c r="P531" s="5" t="s">
        <v>62</v>
      </c>
      <c r="Q531" s="5">
        <f t="shared" si="3"/>
        <v>0</v>
      </c>
      <c r="R531" s="5">
        <v>0.0</v>
      </c>
    </row>
    <row r="532" ht="22.5" customHeight="1">
      <c r="A532" s="5" t="s">
        <v>2038</v>
      </c>
      <c r="B532" s="5" t="s">
        <v>44</v>
      </c>
      <c r="C532" s="6">
        <v>5.0</v>
      </c>
      <c r="D532" s="6">
        <v>26.0</v>
      </c>
      <c r="E532" s="6">
        <v>8.7</v>
      </c>
      <c r="F532" s="6">
        <f t="shared" si="1"/>
        <v>8</v>
      </c>
      <c r="G532" s="6">
        <v>8.0</v>
      </c>
      <c r="H532" s="6">
        <v>58.0</v>
      </c>
      <c r="I532" s="6">
        <v>20.0</v>
      </c>
      <c r="J532" s="6">
        <v>17.0</v>
      </c>
      <c r="K532" s="6">
        <v>0.0</v>
      </c>
      <c r="L532" s="9">
        <v>45739.0</v>
      </c>
      <c r="M532" s="6">
        <v>7.0</v>
      </c>
      <c r="N532" s="5" t="s">
        <v>62</v>
      </c>
      <c r="O532" s="5" t="str">
        <f t="shared" si="2"/>
        <v>No</v>
      </c>
      <c r="P532" s="5" t="s">
        <v>62</v>
      </c>
      <c r="Q532" s="5">
        <f t="shared" si="3"/>
        <v>0</v>
      </c>
      <c r="R532" s="5">
        <v>0.0</v>
      </c>
    </row>
    <row r="533" ht="22.5" customHeight="1">
      <c r="A533" s="5" t="s">
        <v>2041</v>
      </c>
      <c r="B533" s="5" t="s">
        <v>84</v>
      </c>
      <c r="C533" s="6">
        <v>2.0</v>
      </c>
      <c r="D533" s="6">
        <v>3.0</v>
      </c>
      <c r="E533" s="6">
        <v>10.2</v>
      </c>
      <c r="F533" s="6">
        <f t="shared" si="1"/>
        <v>10</v>
      </c>
      <c r="G533" s="6">
        <v>10.0</v>
      </c>
      <c r="H533" s="6">
        <v>7.0</v>
      </c>
      <c r="I533" s="6">
        <v>39.0</v>
      </c>
      <c r="J533" s="6">
        <v>19.0</v>
      </c>
      <c r="K533" s="6">
        <v>2.0</v>
      </c>
      <c r="L533" s="9">
        <v>44658.0</v>
      </c>
      <c r="M533" s="6">
        <v>2.0</v>
      </c>
      <c r="N533" s="5" t="s">
        <v>113</v>
      </c>
      <c r="O533" s="5" t="str">
        <f t="shared" si="2"/>
        <v>Yes</v>
      </c>
      <c r="P533" s="5" t="s">
        <v>113</v>
      </c>
      <c r="Q533" s="5">
        <f t="shared" si="3"/>
        <v>1</v>
      </c>
      <c r="R533" s="5">
        <v>1.0</v>
      </c>
    </row>
    <row r="534" ht="22.5" customHeight="1">
      <c r="A534" s="5" t="s">
        <v>2044</v>
      </c>
      <c r="B534" s="5" t="s">
        <v>22</v>
      </c>
      <c r="C534" s="6">
        <v>5.0</v>
      </c>
      <c r="D534" s="6">
        <v>17.0</v>
      </c>
      <c r="E534" s="6">
        <v>7.9</v>
      </c>
      <c r="F534" s="6">
        <f t="shared" si="1"/>
        <v>7</v>
      </c>
      <c r="G534" s="6">
        <v>7.0</v>
      </c>
      <c r="H534" s="6">
        <v>56.0</v>
      </c>
      <c r="I534" s="6">
        <v>22.0</v>
      </c>
      <c r="J534" s="6">
        <v>5.0</v>
      </c>
      <c r="K534" s="6">
        <v>5.0</v>
      </c>
      <c r="L534" s="9">
        <v>45848.0</v>
      </c>
      <c r="M534" s="6">
        <v>6.0</v>
      </c>
      <c r="N534" s="5" t="s">
        <v>62</v>
      </c>
      <c r="O534" s="5" t="str">
        <f t="shared" si="2"/>
        <v>No</v>
      </c>
      <c r="P534" s="5" t="s">
        <v>62</v>
      </c>
      <c r="Q534" s="5">
        <f t="shared" si="3"/>
        <v>0</v>
      </c>
      <c r="R534" s="5">
        <v>0.0</v>
      </c>
    </row>
    <row r="535" ht="22.5" customHeight="1">
      <c r="A535" s="5" t="s">
        <v>2046</v>
      </c>
      <c r="B535" s="5" t="s">
        <v>65</v>
      </c>
      <c r="C535" s="6">
        <v>4.0</v>
      </c>
      <c r="D535" s="6">
        <v>9.0</v>
      </c>
      <c r="E535" s="6">
        <v>3.4</v>
      </c>
      <c r="F535" s="6">
        <f t="shared" si="1"/>
        <v>3</v>
      </c>
      <c r="G535" s="6">
        <v>3.0</v>
      </c>
      <c r="H535" s="6">
        <v>17.0</v>
      </c>
      <c r="I535" s="6">
        <v>23.0</v>
      </c>
      <c r="J535" s="6">
        <v>18.0</v>
      </c>
      <c r="K535" s="6">
        <v>1.0</v>
      </c>
      <c r="L535" s="9">
        <v>45407.0</v>
      </c>
      <c r="M535" s="6">
        <v>4.0</v>
      </c>
      <c r="O535" s="10" t="str">
        <f t="shared" si="2"/>
        <v>No</v>
      </c>
      <c r="P535" s="10" t="s">
        <v>62</v>
      </c>
      <c r="Q535" s="10">
        <f t="shared" si="3"/>
        <v>0</v>
      </c>
      <c r="R535" s="10">
        <v>0.0</v>
      </c>
    </row>
    <row r="536" ht="22.5" customHeight="1">
      <c r="A536" s="5" t="s">
        <v>2048</v>
      </c>
      <c r="B536" s="5" t="s">
        <v>84</v>
      </c>
      <c r="C536" s="6">
        <v>6.0</v>
      </c>
      <c r="D536" s="6">
        <v>33.0</v>
      </c>
      <c r="E536" s="6">
        <v>4.4</v>
      </c>
      <c r="F536" s="6">
        <f t="shared" si="1"/>
        <v>4</v>
      </c>
      <c r="G536" s="6">
        <v>4.0</v>
      </c>
      <c r="H536" s="6">
        <v>33.0</v>
      </c>
      <c r="I536" s="6">
        <v>46.0</v>
      </c>
      <c r="J536" s="6">
        <v>16.0</v>
      </c>
      <c r="K536" s="6">
        <v>1.0</v>
      </c>
      <c r="L536" s="9">
        <v>45877.0</v>
      </c>
      <c r="M536" s="6">
        <v>6.0</v>
      </c>
      <c r="N536" s="5" t="s">
        <v>62</v>
      </c>
      <c r="O536" s="5" t="str">
        <f t="shared" si="2"/>
        <v>No</v>
      </c>
      <c r="P536" s="5" t="s">
        <v>62</v>
      </c>
      <c r="Q536" s="5">
        <f t="shared" si="3"/>
        <v>0</v>
      </c>
      <c r="R536" s="5">
        <v>0.0</v>
      </c>
    </row>
    <row r="537" ht="22.5" customHeight="1">
      <c r="A537" s="5" t="s">
        <v>2052</v>
      </c>
      <c r="B537" s="5" t="s">
        <v>22</v>
      </c>
      <c r="C537" s="6">
        <v>7.0</v>
      </c>
      <c r="D537" s="6">
        <v>28.0</v>
      </c>
      <c r="E537" s="6">
        <v>2.9</v>
      </c>
      <c r="F537" s="6">
        <f t="shared" si="1"/>
        <v>2</v>
      </c>
      <c r="G537" s="6">
        <v>2.0</v>
      </c>
      <c r="H537" s="6">
        <v>30.0</v>
      </c>
      <c r="I537" s="6">
        <v>24.0</v>
      </c>
      <c r="J537" s="6">
        <v>6.0</v>
      </c>
      <c r="K537" s="6">
        <v>2.0</v>
      </c>
      <c r="L537" s="9">
        <v>44855.0</v>
      </c>
      <c r="M537" s="6">
        <v>2.0</v>
      </c>
      <c r="O537" s="10" t="str">
        <f t="shared" si="2"/>
        <v>Yes</v>
      </c>
      <c r="P537" s="10" t="s">
        <v>113</v>
      </c>
      <c r="Q537" s="10">
        <f t="shared" si="3"/>
        <v>1</v>
      </c>
      <c r="R537" s="10">
        <v>1.0</v>
      </c>
    </row>
    <row r="538" ht="22.5" customHeight="1">
      <c r="A538" s="5" t="s">
        <v>2055</v>
      </c>
      <c r="B538" s="5" t="s">
        <v>22</v>
      </c>
      <c r="C538" s="6">
        <v>7.0</v>
      </c>
      <c r="D538" s="6">
        <v>18.0</v>
      </c>
      <c r="E538" s="6">
        <v>12.0</v>
      </c>
      <c r="F538" s="6">
        <f t="shared" si="1"/>
        <v>12</v>
      </c>
      <c r="G538" s="6">
        <v>12.0</v>
      </c>
      <c r="H538" s="6">
        <v>26.0</v>
      </c>
      <c r="I538" s="6">
        <v>14.0</v>
      </c>
      <c r="J538" s="6">
        <v>9.0</v>
      </c>
      <c r="K538" s="6">
        <v>0.0</v>
      </c>
      <c r="L538" s="9">
        <v>45129.0</v>
      </c>
      <c r="M538" s="6">
        <v>1.0</v>
      </c>
      <c r="N538" s="5" t="s">
        <v>113</v>
      </c>
      <c r="O538" s="5" t="str">
        <f t="shared" si="2"/>
        <v>Yes</v>
      </c>
      <c r="P538" s="5" t="s">
        <v>113</v>
      </c>
      <c r="Q538" s="5">
        <f t="shared" si="3"/>
        <v>1</v>
      </c>
      <c r="R538" s="5">
        <v>1.0</v>
      </c>
    </row>
    <row r="539" ht="22.5" customHeight="1">
      <c r="A539" s="5" t="s">
        <v>2057</v>
      </c>
      <c r="B539" s="5" t="s">
        <v>65</v>
      </c>
      <c r="C539" s="6">
        <v>5.0</v>
      </c>
      <c r="D539" s="6">
        <v>19.0</v>
      </c>
      <c r="E539" s="6">
        <v>2.2</v>
      </c>
      <c r="F539" s="6">
        <f t="shared" si="1"/>
        <v>2</v>
      </c>
      <c r="G539" s="6">
        <v>2.0</v>
      </c>
      <c r="H539" s="6">
        <v>59.0</v>
      </c>
      <c r="I539" s="6">
        <v>27.0</v>
      </c>
      <c r="J539" s="6">
        <v>13.0</v>
      </c>
      <c r="K539" s="6">
        <v>2.0</v>
      </c>
      <c r="L539" s="9">
        <v>44902.0</v>
      </c>
      <c r="M539" s="6">
        <v>4.0</v>
      </c>
      <c r="N539" s="5" t="s">
        <v>113</v>
      </c>
      <c r="O539" s="5" t="str">
        <f t="shared" si="2"/>
        <v>Yes</v>
      </c>
      <c r="P539" s="5" t="s">
        <v>113</v>
      </c>
      <c r="Q539" s="5">
        <f t="shared" si="3"/>
        <v>1</v>
      </c>
      <c r="R539" s="5">
        <v>1.0</v>
      </c>
    </row>
    <row r="540" ht="22.5" customHeight="1">
      <c r="A540" s="5" t="s">
        <v>2060</v>
      </c>
      <c r="B540" s="5" t="s">
        <v>84</v>
      </c>
      <c r="C540" s="6">
        <v>5.0</v>
      </c>
      <c r="D540" s="6">
        <v>24.0</v>
      </c>
      <c r="E540" s="6">
        <v>6.1</v>
      </c>
      <c r="F540" s="6">
        <f t="shared" si="1"/>
        <v>6</v>
      </c>
      <c r="G540" s="6">
        <v>6.0</v>
      </c>
      <c r="H540" s="6">
        <v>19.0</v>
      </c>
      <c r="I540" s="6">
        <v>24.0</v>
      </c>
      <c r="J540" s="6">
        <v>4.0</v>
      </c>
      <c r="K540" s="6">
        <v>1.0</v>
      </c>
      <c r="L540" s="9">
        <v>45528.0</v>
      </c>
      <c r="M540" s="6">
        <v>7.0</v>
      </c>
      <c r="N540" s="5" t="s">
        <v>62</v>
      </c>
      <c r="O540" s="5" t="str">
        <f t="shared" si="2"/>
        <v>No</v>
      </c>
      <c r="P540" s="5" t="s">
        <v>62</v>
      </c>
      <c r="Q540" s="5">
        <f t="shared" si="3"/>
        <v>0</v>
      </c>
      <c r="R540" s="5">
        <v>0.0</v>
      </c>
    </row>
    <row r="541" ht="22.5" customHeight="1">
      <c r="A541" s="5" t="s">
        <v>2063</v>
      </c>
      <c r="B541" s="5" t="s">
        <v>65</v>
      </c>
      <c r="C541" s="6">
        <v>6.0</v>
      </c>
      <c r="D541" s="6">
        <v>35.0</v>
      </c>
      <c r="E541" s="6">
        <v>5.3</v>
      </c>
      <c r="F541" s="6">
        <f t="shared" si="1"/>
        <v>5</v>
      </c>
      <c r="G541" s="6">
        <v>5.0</v>
      </c>
      <c r="H541" s="6">
        <v>41.0</v>
      </c>
      <c r="I541" s="6">
        <v>28.0</v>
      </c>
      <c r="J541" s="6">
        <v>1.0</v>
      </c>
      <c r="K541" s="6">
        <v>3.0</v>
      </c>
      <c r="L541" s="9">
        <v>45047.0</v>
      </c>
      <c r="M541" s="6">
        <v>4.0</v>
      </c>
      <c r="N541" s="5" t="s">
        <v>113</v>
      </c>
      <c r="O541" s="5" t="str">
        <f t="shared" si="2"/>
        <v>Yes</v>
      </c>
      <c r="P541" s="5" t="s">
        <v>113</v>
      </c>
      <c r="Q541" s="5">
        <f t="shared" si="3"/>
        <v>1</v>
      </c>
      <c r="R541" s="5">
        <v>1.0</v>
      </c>
    </row>
    <row r="542" ht="22.5" customHeight="1">
      <c r="A542" s="5" t="s">
        <v>2071</v>
      </c>
      <c r="B542" s="5" t="s">
        <v>170</v>
      </c>
      <c r="C542" s="6">
        <v>5.0</v>
      </c>
      <c r="D542" s="6">
        <v>27.0</v>
      </c>
      <c r="E542" s="6">
        <v>4.4</v>
      </c>
      <c r="F542" s="6">
        <f t="shared" si="1"/>
        <v>4</v>
      </c>
      <c r="G542" s="6">
        <v>4.0</v>
      </c>
      <c r="H542" s="6">
        <v>38.0</v>
      </c>
      <c r="I542" s="6">
        <v>23.0</v>
      </c>
      <c r="J542" s="6">
        <v>12.0</v>
      </c>
      <c r="K542" s="6">
        <v>2.0</v>
      </c>
      <c r="L542" s="9">
        <v>45468.0</v>
      </c>
      <c r="M542" s="6">
        <v>6.0</v>
      </c>
      <c r="N542" s="5" t="s">
        <v>62</v>
      </c>
      <c r="O542" s="5" t="str">
        <f t="shared" si="2"/>
        <v>No</v>
      </c>
      <c r="P542" s="5" t="s">
        <v>62</v>
      </c>
      <c r="Q542" s="5">
        <f t="shared" si="3"/>
        <v>0</v>
      </c>
      <c r="R542" s="5">
        <v>0.0</v>
      </c>
    </row>
    <row r="543" ht="22.5" customHeight="1">
      <c r="A543" s="5" t="s">
        <v>2076</v>
      </c>
      <c r="B543" s="5" t="s">
        <v>22</v>
      </c>
      <c r="C543" s="6">
        <v>6.0</v>
      </c>
      <c r="D543" s="6">
        <v>17.0</v>
      </c>
      <c r="E543" s="6">
        <v>4.4</v>
      </c>
      <c r="F543" s="6">
        <f t="shared" si="1"/>
        <v>4</v>
      </c>
      <c r="G543" s="6">
        <v>4.0</v>
      </c>
      <c r="H543" s="6">
        <v>58.0</v>
      </c>
      <c r="I543" s="6">
        <v>10.0</v>
      </c>
      <c r="J543" s="6">
        <v>4.0</v>
      </c>
      <c r="K543" s="6">
        <v>1.0</v>
      </c>
      <c r="L543" s="9">
        <v>46180.0</v>
      </c>
      <c r="M543" s="6">
        <v>3.0</v>
      </c>
      <c r="N543" s="5" t="s">
        <v>62</v>
      </c>
      <c r="O543" s="5" t="str">
        <f t="shared" si="2"/>
        <v>No</v>
      </c>
      <c r="P543" s="5" t="s">
        <v>62</v>
      </c>
      <c r="Q543" s="5">
        <f t="shared" si="3"/>
        <v>0</v>
      </c>
      <c r="R543" s="5">
        <v>0.0</v>
      </c>
    </row>
    <row r="544" ht="22.5" customHeight="1">
      <c r="A544" s="5" t="s">
        <v>2081</v>
      </c>
      <c r="B544" s="5" t="s">
        <v>22</v>
      </c>
      <c r="C544" s="6">
        <v>9.0</v>
      </c>
      <c r="D544" s="6">
        <v>18.0</v>
      </c>
      <c r="E544" s="6">
        <v>2.8</v>
      </c>
      <c r="F544" s="6">
        <f t="shared" si="1"/>
        <v>2</v>
      </c>
      <c r="G544" s="6">
        <v>2.0</v>
      </c>
      <c r="H544" s="6">
        <v>44.0</v>
      </c>
      <c r="I544" s="6">
        <v>10.0</v>
      </c>
      <c r="J544" s="6">
        <v>18.0</v>
      </c>
      <c r="K544" s="6">
        <v>1.0</v>
      </c>
      <c r="L544" s="9">
        <v>45355.0</v>
      </c>
      <c r="M544" s="6">
        <v>2.0</v>
      </c>
      <c r="N544" s="5" t="s">
        <v>113</v>
      </c>
      <c r="O544" s="5" t="str">
        <f t="shared" si="2"/>
        <v>No</v>
      </c>
      <c r="P544" s="5" t="s">
        <v>62</v>
      </c>
      <c r="Q544" s="5">
        <f t="shared" si="3"/>
        <v>0</v>
      </c>
      <c r="R544" s="5">
        <v>0.0</v>
      </c>
    </row>
    <row r="545" ht="22.5" customHeight="1">
      <c r="A545" s="5" t="s">
        <v>2085</v>
      </c>
      <c r="B545" s="5" t="s">
        <v>84</v>
      </c>
      <c r="C545" s="6">
        <v>3.0</v>
      </c>
      <c r="D545" s="6">
        <v>10.0</v>
      </c>
      <c r="E545" s="6">
        <v>11.7</v>
      </c>
      <c r="F545" s="6">
        <f t="shared" si="1"/>
        <v>11</v>
      </c>
      <c r="G545" s="6">
        <v>11.0</v>
      </c>
      <c r="H545" s="6">
        <v>6.0</v>
      </c>
      <c r="I545" s="6">
        <v>18.0</v>
      </c>
      <c r="J545" s="6">
        <v>15.0</v>
      </c>
      <c r="K545" s="6">
        <v>5.0</v>
      </c>
      <c r="L545" s="9">
        <v>45756.0</v>
      </c>
      <c r="M545" s="6">
        <v>8.0</v>
      </c>
      <c r="N545" s="5" t="s">
        <v>62</v>
      </c>
      <c r="O545" s="5" t="str">
        <f t="shared" si="2"/>
        <v>No</v>
      </c>
      <c r="P545" s="5" t="s">
        <v>62</v>
      </c>
      <c r="Q545" s="5">
        <f t="shared" si="3"/>
        <v>0</v>
      </c>
      <c r="R545" s="5">
        <v>0.0</v>
      </c>
    </row>
    <row r="546" ht="22.5" customHeight="1">
      <c r="A546" s="5" t="s">
        <v>2089</v>
      </c>
      <c r="B546" s="5" t="s">
        <v>65</v>
      </c>
      <c r="C546" s="6">
        <v>6.0</v>
      </c>
      <c r="D546" s="6">
        <v>35.0</v>
      </c>
      <c r="E546" s="6">
        <v>6.7</v>
      </c>
      <c r="F546" s="6">
        <f t="shared" si="1"/>
        <v>6</v>
      </c>
      <c r="G546" s="6">
        <v>6.0</v>
      </c>
      <c r="H546" s="6">
        <v>54.0</v>
      </c>
      <c r="I546" s="6">
        <v>18.0</v>
      </c>
      <c r="J546" s="6">
        <v>19.0</v>
      </c>
      <c r="K546" s="6">
        <v>0.0</v>
      </c>
      <c r="L546" s="9">
        <v>44849.0</v>
      </c>
      <c r="M546" s="6">
        <v>1.0</v>
      </c>
      <c r="N546" s="5" t="s">
        <v>113</v>
      </c>
      <c r="O546" s="5" t="str">
        <f t="shared" si="2"/>
        <v>Yes</v>
      </c>
      <c r="P546" s="5" t="s">
        <v>113</v>
      </c>
      <c r="Q546" s="5">
        <f t="shared" si="3"/>
        <v>1</v>
      </c>
      <c r="R546" s="5">
        <v>1.0</v>
      </c>
    </row>
    <row r="547" ht="22.5" customHeight="1">
      <c r="A547" s="5" t="s">
        <v>2093</v>
      </c>
      <c r="B547" s="5" t="s">
        <v>84</v>
      </c>
      <c r="C547" s="6">
        <v>3.0</v>
      </c>
      <c r="D547" s="6">
        <v>11.0</v>
      </c>
      <c r="E547" s="6">
        <v>4.0</v>
      </c>
      <c r="F547" s="6">
        <f t="shared" si="1"/>
        <v>4</v>
      </c>
      <c r="G547" s="6">
        <v>4.0</v>
      </c>
      <c r="H547" s="6">
        <v>52.0</v>
      </c>
      <c r="I547" s="6">
        <v>19.0</v>
      </c>
      <c r="J547" s="6">
        <v>15.0</v>
      </c>
      <c r="K547" s="6">
        <v>2.0</v>
      </c>
      <c r="L547" s="9">
        <v>46098.0</v>
      </c>
      <c r="M547" s="6">
        <v>7.0</v>
      </c>
      <c r="N547" s="5" t="s">
        <v>62</v>
      </c>
      <c r="O547" s="5" t="str">
        <f t="shared" si="2"/>
        <v>No</v>
      </c>
      <c r="P547" s="5" t="s">
        <v>62</v>
      </c>
      <c r="Q547" s="5">
        <f t="shared" si="3"/>
        <v>0</v>
      </c>
      <c r="R547" s="5">
        <v>0.0</v>
      </c>
    </row>
    <row r="548" ht="22.5" customHeight="1">
      <c r="A548" s="5" t="s">
        <v>2098</v>
      </c>
      <c r="B548" s="5" t="s">
        <v>22</v>
      </c>
      <c r="C548" s="6">
        <v>8.0</v>
      </c>
      <c r="D548" s="6">
        <v>13.0</v>
      </c>
      <c r="E548" s="6">
        <v>10.6</v>
      </c>
      <c r="F548" s="6">
        <f t="shared" si="1"/>
        <v>10</v>
      </c>
      <c r="G548" s="6">
        <v>10.0</v>
      </c>
      <c r="H548" s="6">
        <v>49.0</v>
      </c>
      <c r="I548" s="6">
        <v>36.0</v>
      </c>
      <c r="J548" s="6">
        <v>14.0</v>
      </c>
      <c r="K548" s="6">
        <v>1.0</v>
      </c>
      <c r="L548" s="9">
        <v>46051.0</v>
      </c>
      <c r="M548" s="6">
        <v>7.0</v>
      </c>
      <c r="N548" s="5" t="s">
        <v>62</v>
      </c>
      <c r="O548" s="5" t="str">
        <f t="shared" si="2"/>
        <v>No</v>
      </c>
      <c r="P548" s="5" t="s">
        <v>62</v>
      </c>
      <c r="Q548" s="5">
        <f t="shared" si="3"/>
        <v>0</v>
      </c>
      <c r="R548" s="5">
        <v>0.0</v>
      </c>
    </row>
    <row r="549" ht="22.5" customHeight="1">
      <c r="A549" s="5" t="s">
        <v>2102</v>
      </c>
      <c r="B549" s="5" t="s">
        <v>170</v>
      </c>
      <c r="C549" s="6">
        <v>4.0</v>
      </c>
      <c r="D549" s="6">
        <v>15.0</v>
      </c>
      <c r="E549" s="6">
        <v>2.9</v>
      </c>
      <c r="F549" s="6">
        <f t="shared" si="1"/>
        <v>2</v>
      </c>
      <c r="G549" s="6">
        <v>2.0</v>
      </c>
      <c r="H549" s="6">
        <v>38.0</v>
      </c>
      <c r="I549" s="6">
        <v>28.0</v>
      </c>
      <c r="J549" s="6">
        <v>20.0</v>
      </c>
      <c r="K549" s="6">
        <v>2.0</v>
      </c>
      <c r="L549" s="9">
        <v>44883.0</v>
      </c>
      <c r="M549" s="6">
        <v>1.0</v>
      </c>
      <c r="N549" s="5" t="s">
        <v>113</v>
      </c>
      <c r="O549" s="5" t="str">
        <f t="shared" si="2"/>
        <v>Yes</v>
      </c>
      <c r="P549" s="5" t="s">
        <v>113</v>
      </c>
      <c r="Q549" s="5">
        <f t="shared" si="3"/>
        <v>1</v>
      </c>
      <c r="R549" s="5">
        <v>1.0</v>
      </c>
    </row>
    <row r="550" ht="22.5" customHeight="1">
      <c r="A550" s="5" t="s">
        <v>2107</v>
      </c>
      <c r="B550" s="5" t="s">
        <v>84</v>
      </c>
      <c r="C550" s="6">
        <v>7.0</v>
      </c>
      <c r="D550" s="6">
        <v>15.0</v>
      </c>
      <c r="E550" s="6">
        <v>4.7</v>
      </c>
      <c r="F550" s="6">
        <f t="shared" si="1"/>
        <v>4</v>
      </c>
      <c r="G550" s="6">
        <v>4.0</v>
      </c>
      <c r="H550" s="6">
        <v>32.0</v>
      </c>
      <c r="I550" s="6">
        <v>22.0</v>
      </c>
      <c r="J550" s="6">
        <v>12.0</v>
      </c>
      <c r="K550" s="6">
        <v>4.0</v>
      </c>
      <c r="L550" s="9">
        <v>45589.0</v>
      </c>
      <c r="M550" s="6">
        <v>6.0</v>
      </c>
      <c r="N550" s="5" t="s">
        <v>62</v>
      </c>
      <c r="O550" s="5" t="str">
        <f t="shared" si="2"/>
        <v>No</v>
      </c>
      <c r="P550" s="5" t="s">
        <v>62</v>
      </c>
      <c r="Q550" s="5">
        <f t="shared" si="3"/>
        <v>0</v>
      </c>
      <c r="R550" s="5">
        <v>0.0</v>
      </c>
    </row>
    <row r="551" ht="22.5" customHeight="1">
      <c r="A551" s="5" t="s">
        <v>2111</v>
      </c>
      <c r="B551" s="5" t="s">
        <v>22</v>
      </c>
      <c r="C551" s="6">
        <v>2.0</v>
      </c>
      <c r="D551" s="6">
        <v>11.0</v>
      </c>
      <c r="E551" s="6">
        <v>3.8</v>
      </c>
      <c r="F551" s="6">
        <f t="shared" si="1"/>
        <v>3</v>
      </c>
      <c r="G551" s="6">
        <v>3.0</v>
      </c>
      <c r="H551" s="6">
        <v>7.0</v>
      </c>
      <c r="I551" s="6">
        <v>28.0</v>
      </c>
      <c r="J551" s="6">
        <v>5.0</v>
      </c>
      <c r="K551" s="6">
        <v>5.0</v>
      </c>
      <c r="L551" s="9">
        <v>45483.0</v>
      </c>
      <c r="M551" s="6">
        <v>3.0</v>
      </c>
      <c r="N551" s="5" t="s">
        <v>113</v>
      </c>
      <c r="O551" s="5" t="str">
        <f t="shared" si="2"/>
        <v>No</v>
      </c>
      <c r="P551" s="5" t="s">
        <v>62</v>
      </c>
      <c r="Q551" s="5">
        <f t="shared" si="3"/>
        <v>0</v>
      </c>
      <c r="R551" s="5">
        <v>0.0</v>
      </c>
    </row>
    <row r="552" ht="22.5" customHeight="1">
      <c r="A552" s="5" t="s">
        <v>2116</v>
      </c>
      <c r="B552" s="5" t="s">
        <v>84</v>
      </c>
      <c r="C552" s="6">
        <v>5.0</v>
      </c>
      <c r="D552" s="6">
        <v>16.0</v>
      </c>
      <c r="E552" s="6">
        <v>13.8</v>
      </c>
      <c r="F552" s="6">
        <f t="shared" si="1"/>
        <v>13</v>
      </c>
      <c r="G552" s="6">
        <v>13.0</v>
      </c>
      <c r="H552" s="6">
        <v>49.0</v>
      </c>
      <c r="I552" s="6">
        <v>19.0</v>
      </c>
      <c r="J552" s="8"/>
      <c r="K552" s="6">
        <v>1.0</v>
      </c>
      <c r="L552" s="9">
        <v>45204.0</v>
      </c>
      <c r="M552" s="6">
        <v>3.0</v>
      </c>
      <c r="N552" s="5" t="s">
        <v>113</v>
      </c>
      <c r="O552" s="5" t="str">
        <f t="shared" si="2"/>
        <v>No</v>
      </c>
      <c r="P552" s="5" t="s">
        <v>62</v>
      </c>
      <c r="Q552" s="5">
        <f t="shared" si="3"/>
        <v>0</v>
      </c>
      <c r="R552" s="5">
        <v>0.0</v>
      </c>
    </row>
    <row r="553" ht="22.5" customHeight="1">
      <c r="A553" s="5" t="s">
        <v>2118</v>
      </c>
      <c r="B553" s="5" t="s">
        <v>22</v>
      </c>
      <c r="C553" s="6">
        <v>3.0</v>
      </c>
      <c r="D553" s="6">
        <v>12.0</v>
      </c>
      <c r="E553" s="6">
        <v>5.4</v>
      </c>
      <c r="F553" s="6">
        <f t="shared" si="1"/>
        <v>5</v>
      </c>
      <c r="G553" s="6">
        <v>5.0</v>
      </c>
      <c r="H553" s="6">
        <v>46.0</v>
      </c>
      <c r="I553" s="6">
        <v>13.0</v>
      </c>
      <c r="J553" s="6">
        <v>16.0</v>
      </c>
      <c r="K553" s="6">
        <v>1.0</v>
      </c>
      <c r="L553" s="9">
        <v>45965.0</v>
      </c>
      <c r="M553" s="6">
        <v>6.0</v>
      </c>
      <c r="N553" s="5" t="s">
        <v>62</v>
      </c>
      <c r="O553" s="5" t="str">
        <f t="shared" si="2"/>
        <v>No</v>
      </c>
      <c r="P553" s="5" t="s">
        <v>62</v>
      </c>
      <c r="Q553" s="5">
        <f t="shared" si="3"/>
        <v>0</v>
      </c>
      <c r="R553" s="5">
        <v>0.0</v>
      </c>
    </row>
    <row r="554" ht="22.5" customHeight="1">
      <c r="A554" s="5" t="s">
        <v>2122</v>
      </c>
      <c r="B554" s="5" t="s">
        <v>22</v>
      </c>
      <c r="C554" s="6">
        <v>2.0</v>
      </c>
      <c r="D554" s="6">
        <v>4.0</v>
      </c>
      <c r="E554" s="6">
        <v>4.2</v>
      </c>
      <c r="F554" s="6">
        <f t="shared" si="1"/>
        <v>4</v>
      </c>
      <c r="G554" s="6">
        <v>4.0</v>
      </c>
      <c r="H554" s="6">
        <v>50.0</v>
      </c>
      <c r="I554" s="6">
        <v>31.0</v>
      </c>
      <c r="J554" s="6">
        <v>13.0</v>
      </c>
      <c r="K554" s="6">
        <v>4.0</v>
      </c>
      <c r="L554" s="9">
        <v>44984.0</v>
      </c>
      <c r="M554" s="6">
        <v>3.0</v>
      </c>
      <c r="N554" s="5" t="s">
        <v>113</v>
      </c>
      <c r="O554" s="5" t="str">
        <f t="shared" si="2"/>
        <v>Yes</v>
      </c>
      <c r="P554" s="5" t="s">
        <v>113</v>
      </c>
      <c r="Q554" s="5">
        <f t="shared" si="3"/>
        <v>1</v>
      </c>
      <c r="R554" s="5">
        <v>1.0</v>
      </c>
    </row>
    <row r="555" ht="22.5" customHeight="1">
      <c r="A555" s="5" t="s">
        <v>2125</v>
      </c>
      <c r="B555" s="5" t="s">
        <v>22</v>
      </c>
      <c r="C555" s="6">
        <v>5.0</v>
      </c>
      <c r="D555" s="6">
        <v>23.0</v>
      </c>
      <c r="E555" s="6">
        <v>4.5</v>
      </c>
      <c r="F555" s="6">
        <f t="shared" si="1"/>
        <v>4</v>
      </c>
      <c r="G555" s="6">
        <v>4.0</v>
      </c>
      <c r="H555" s="6">
        <v>55.0</v>
      </c>
      <c r="I555" s="6">
        <v>23.0</v>
      </c>
      <c r="J555" s="6">
        <v>6.0</v>
      </c>
      <c r="K555" s="6">
        <v>2.0</v>
      </c>
      <c r="L555" s="9">
        <v>45397.0</v>
      </c>
      <c r="M555" s="6">
        <v>3.0</v>
      </c>
      <c r="N555" s="5" t="s">
        <v>113</v>
      </c>
      <c r="O555" s="5" t="str">
        <f t="shared" si="2"/>
        <v>No</v>
      </c>
      <c r="P555" s="5" t="s">
        <v>62</v>
      </c>
      <c r="Q555" s="5">
        <f t="shared" si="3"/>
        <v>0</v>
      </c>
      <c r="R555" s="5">
        <v>0.0</v>
      </c>
    </row>
    <row r="556" ht="22.5" customHeight="1">
      <c r="A556" s="5" t="s">
        <v>2128</v>
      </c>
      <c r="B556" s="5" t="s">
        <v>84</v>
      </c>
      <c r="C556" s="6">
        <v>6.0</v>
      </c>
      <c r="D556" s="6">
        <v>30.0</v>
      </c>
      <c r="E556" s="6">
        <v>9.0</v>
      </c>
      <c r="F556" s="6">
        <f t="shared" si="1"/>
        <v>9</v>
      </c>
      <c r="G556" s="6">
        <v>9.0</v>
      </c>
      <c r="H556" s="6">
        <v>31.0</v>
      </c>
      <c r="I556" s="6">
        <v>19.0</v>
      </c>
      <c r="J556" s="6">
        <v>2.0</v>
      </c>
      <c r="K556" s="6">
        <v>2.0</v>
      </c>
      <c r="L556" s="9">
        <v>46079.0</v>
      </c>
      <c r="M556" s="6">
        <v>6.0</v>
      </c>
      <c r="N556" s="5" t="s">
        <v>62</v>
      </c>
      <c r="O556" s="5" t="str">
        <f t="shared" si="2"/>
        <v>No</v>
      </c>
      <c r="P556" s="5" t="s">
        <v>62</v>
      </c>
      <c r="Q556" s="5">
        <f t="shared" si="3"/>
        <v>0</v>
      </c>
      <c r="R556" s="5">
        <v>0.0</v>
      </c>
    </row>
    <row r="557" ht="22.5" customHeight="1">
      <c r="A557" s="5" t="s">
        <v>2132</v>
      </c>
      <c r="B557" s="5" t="s">
        <v>65</v>
      </c>
      <c r="C557" s="6">
        <v>5.0</v>
      </c>
      <c r="D557" s="6">
        <v>15.0</v>
      </c>
      <c r="E557" s="6">
        <v>1.4</v>
      </c>
      <c r="F557" s="6">
        <f t="shared" si="1"/>
        <v>1</v>
      </c>
      <c r="G557" s="6">
        <v>1.0</v>
      </c>
      <c r="H557" s="6">
        <v>14.0</v>
      </c>
      <c r="I557" s="6">
        <v>31.0</v>
      </c>
      <c r="J557" s="6">
        <v>18.0</v>
      </c>
      <c r="K557" s="6">
        <v>3.0</v>
      </c>
      <c r="L557" s="9">
        <v>45560.0</v>
      </c>
      <c r="M557" s="6">
        <v>9.0</v>
      </c>
      <c r="N557" s="5" t="s">
        <v>62</v>
      </c>
      <c r="O557" s="5" t="str">
        <f t="shared" si="2"/>
        <v>No</v>
      </c>
      <c r="P557" s="5" t="s">
        <v>62</v>
      </c>
      <c r="Q557" s="5">
        <f t="shared" si="3"/>
        <v>0</v>
      </c>
      <c r="R557" s="5">
        <v>0.0</v>
      </c>
    </row>
    <row r="558" ht="22.5" customHeight="1">
      <c r="A558" s="5" t="s">
        <v>2138</v>
      </c>
      <c r="B558" s="5" t="s">
        <v>22</v>
      </c>
      <c r="C558" s="6">
        <v>2.0</v>
      </c>
      <c r="D558" s="6">
        <v>4.0</v>
      </c>
      <c r="E558" s="6">
        <v>7.7</v>
      </c>
      <c r="F558" s="6">
        <f t="shared" si="1"/>
        <v>7</v>
      </c>
      <c r="G558" s="6">
        <v>7.0</v>
      </c>
      <c r="H558" s="6">
        <v>12.0</v>
      </c>
      <c r="I558" s="6">
        <v>17.0</v>
      </c>
      <c r="J558" s="6">
        <v>12.0</v>
      </c>
      <c r="K558" s="6">
        <v>1.0</v>
      </c>
      <c r="L558" s="9">
        <v>45189.0</v>
      </c>
      <c r="M558" s="6">
        <v>2.0</v>
      </c>
      <c r="N558" s="5" t="s">
        <v>113</v>
      </c>
      <c r="O558" s="5" t="str">
        <f t="shared" si="2"/>
        <v>No</v>
      </c>
      <c r="P558" s="5" t="s">
        <v>62</v>
      </c>
      <c r="Q558" s="5">
        <f t="shared" si="3"/>
        <v>0</v>
      </c>
      <c r="R558" s="5">
        <v>0.0</v>
      </c>
    </row>
    <row r="559" ht="22.5" customHeight="1">
      <c r="A559" s="5" t="s">
        <v>2141</v>
      </c>
      <c r="B559" s="5" t="s">
        <v>65</v>
      </c>
      <c r="C559" s="6">
        <v>3.0</v>
      </c>
      <c r="D559" s="6">
        <v>6.0</v>
      </c>
      <c r="E559" s="6">
        <v>11.7</v>
      </c>
      <c r="F559" s="6">
        <f t="shared" si="1"/>
        <v>11</v>
      </c>
      <c r="G559" s="6">
        <v>11.0</v>
      </c>
      <c r="H559" s="6">
        <v>24.0</v>
      </c>
      <c r="I559" s="6">
        <v>37.0</v>
      </c>
      <c r="J559" s="6">
        <v>18.0</v>
      </c>
      <c r="K559" s="6">
        <v>2.0</v>
      </c>
      <c r="L559" s="9">
        <v>45013.0</v>
      </c>
      <c r="M559" s="6">
        <v>3.0</v>
      </c>
      <c r="N559" s="5" t="s">
        <v>113</v>
      </c>
      <c r="O559" s="5" t="str">
        <f t="shared" si="2"/>
        <v>Yes</v>
      </c>
      <c r="P559" s="5" t="s">
        <v>113</v>
      </c>
      <c r="Q559" s="5">
        <f t="shared" si="3"/>
        <v>1</v>
      </c>
      <c r="R559" s="5">
        <v>1.0</v>
      </c>
    </row>
    <row r="560" ht="22.5" customHeight="1">
      <c r="A560" s="5" t="s">
        <v>2143</v>
      </c>
      <c r="B560" s="5" t="s">
        <v>22</v>
      </c>
      <c r="C560" s="6">
        <v>10.0</v>
      </c>
      <c r="D560" s="6">
        <v>38.0</v>
      </c>
      <c r="E560" s="6">
        <v>1.0</v>
      </c>
      <c r="F560" s="6">
        <f t="shared" si="1"/>
        <v>1</v>
      </c>
      <c r="G560" s="6">
        <v>1.0</v>
      </c>
      <c r="H560" s="6">
        <v>15.0</v>
      </c>
      <c r="I560" s="6">
        <v>12.0</v>
      </c>
      <c r="J560" s="6">
        <v>16.0</v>
      </c>
      <c r="K560" s="6">
        <v>2.0</v>
      </c>
      <c r="L560" s="9">
        <v>44515.0</v>
      </c>
      <c r="M560" s="6">
        <v>4.0</v>
      </c>
      <c r="N560" s="5" t="s">
        <v>113</v>
      </c>
      <c r="O560" s="5" t="str">
        <f t="shared" si="2"/>
        <v>Yes</v>
      </c>
      <c r="P560" s="5" t="s">
        <v>113</v>
      </c>
      <c r="Q560" s="5">
        <f t="shared" si="3"/>
        <v>1</v>
      </c>
      <c r="R560" s="5">
        <v>1.0</v>
      </c>
    </row>
    <row r="561" ht="22.5" customHeight="1">
      <c r="A561" s="5" t="s">
        <v>2147</v>
      </c>
      <c r="B561" s="5" t="s">
        <v>84</v>
      </c>
      <c r="C561" s="6">
        <v>2.0</v>
      </c>
      <c r="D561" s="6">
        <v>11.0</v>
      </c>
      <c r="E561" s="6">
        <v>7.0</v>
      </c>
      <c r="F561" s="6">
        <f t="shared" si="1"/>
        <v>7</v>
      </c>
      <c r="G561" s="6">
        <v>7.0</v>
      </c>
      <c r="H561" s="6">
        <v>55.0</v>
      </c>
      <c r="I561" s="6">
        <v>10.0</v>
      </c>
      <c r="J561" s="6">
        <v>5.0</v>
      </c>
      <c r="K561" s="6">
        <v>2.0</v>
      </c>
      <c r="L561" s="9">
        <v>45881.0</v>
      </c>
      <c r="M561" s="6">
        <v>9.0</v>
      </c>
      <c r="N561" s="5" t="s">
        <v>62</v>
      </c>
      <c r="O561" s="5" t="str">
        <f t="shared" si="2"/>
        <v>No</v>
      </c>
      <c r="P561" s="5" t="s">
        <v>62</v>
      </c>
      <c r="Q561" s="5">
        <f t="shared" si="3"/>
        <v>0</v>
      </c>
      <c r="R561" s="5">
        <v>0.0</v>
      </c>
    </row>
    <row r="562" ht="22.5" customHeight="1">
      <c r="A562" s="5" t="s">
        <v>2152</v>
      </c>
      <c r="B562" s="5" t="s">
        <v>22</v>
      </c>
      <c r="C562" s="6">
        <v>8.0</v>
      </c>
      <c r="D562" s="6">
        <v>27.0</v>
      </c>
      <c r="E562" s="6">
        <v>8.9</v>
      </c>
      <c r="F562" s="6">
        <f t="shared" si="1"/>
        <v>8</v>
      </c>
      <c r="G562" s="6">
        <v>8.0</v>
      </c>
      <c r="H562" s="6">
        <v>35.0</v>
      </c>
      <c r="I562" s="6">
        <v>25.0</v>
      </c>
      <c r="J562" s="6">
        <v>7.0</v>
      </c>
      <c r="K562" s="6">
        <v>4.0</v>
      </c>
      <c r="L562" s="9">
        <v>46039.0</v>
      </c>
      <c r="M562" s="6">
        <v>7.0</v>
      </c>
      <c r="N562" s="5" t="s">
        <v>62</v>
      </c>
      <c r="O562" s="5" t="str">
        <f t="shared" si="2"/>
        <v>No</v>
      </c>
      <c r="P562" s="5" t="s">
        <v>62</v>
      </c>
      <c r="Q562" s="5">
        <f t="shared" si="3"/>
        <v>0</v>
      </c>
      <c r="R562" s="5">
        <v>0.0</v>
      </c>
    </row>
    <row r="563" ht="22.5" customHeight="1">
      <c r="A563" s="5" t="s">
        <v>2157</v>
      </c>
      <c r="B563" s="5" t="s">
        <v>84</v>
      </c>
      <c r="C563" s="6">
        <v>8.0</v>
      </c>
      <c r="D563" s="6">
        <v>42.0</v>
      </c>
      <c r="E563" s="6">
        <v>17.0</v>
      </c>
      <c r="F563" s="6">
        <f t="shared" si="1"/>
        <v>17</v>
      </c>
      <c r="G563" s="6">
        <v>17.0</v>
      </c>
      <c r="H563" s="6">
        <v>49.0</v>
      </c>
      <c r="I563" s="6">
        <v>26.0</v>
      </c>
      <c r="J563" s="6">
        <v>6.0</v>
      </c>
      <c r="K563" s="6">
        <v>0.0</v>
      </c>
      <c r="L563" s="9">
        <v>44887.0</v>
      </c>
      <c r="M563" s="6">
        <v>3.0</v>
      </c>
      <c r="N563" s="5" t="s">
        <v>113</v>
      </c>
      <c r="O563" s="5" t="str">
        <f t="shared" si="2"/>
        <v>Yes</v>
      </c>
      <c r="P563" s="5" t="s">
        <v>113</v>
      </c>
      <c r="Q563" s="5">
        <f t="shared" si="3"/>
        <v>1</v>
      </c>
      <c r="R563" s="5">
        <v>1.0</v>
      </c>
    </row>
    <row r="564" ht="22.5" customHeight="1">
      <c r="A564" s="5" t="s">
        <v>2158</v>
      </c>
      <c r="B564" s="5" t="s">
        <v>65</v>
      </c>
      <c r="C564" s="6">
        <v>5.0</v>
      </c>
      <c r="D564" s="6">
        <v>26.0</v>
      </c>
      <c r="E564" s="6">
        <v>5.7</v>
      </c>
      <c r="F564" s="6">
        <f t="shared" si="1"/>
        <v>5</v>
      </c>
      <c r="G564" s="6">
        <v>5.0</v>
      </c>
      <c r="H564" s="6">
        <v>30.0</v>
      </c>
      <c r="I564" s="6">
        <v>34.0</v>
      </c>
      <c r="J564" s="6">
        <v>11.0</v>
      </c>
      <c r="K564" s="6">
        <v>0.0</v>
      </c>
      <c r="L564" s="9">
        <v>45742.0</v>
      </c>
      <c r="M564" s="6">
        <v>5.0</v>
      </c>
      <c r="N564" s="5" t="s">
        <v>62</v>
      </c>
      <c r="O564" s="5" t="str">
        <f t="shared" si="2"/>
        <v>No</v>
      </c>
      <c r="P564" s="5" t="s">
        <v>62</v>
      </c>
      <c r="Q564" s="5">
        <f t="shared" si="3"/>
        <v>0</v>
      </c>
      <c r="R564" s="5">
        <v>0.0</v>
      </c>
    </row>
    <row r="565" ht="22.5" customHeight="1">
      <c r="A565" s="5" t="s">
        <v>2161</v>
      </c>
      <c r="B565" s="5" t="s">
        <v>65</v>
      </c>
      <c r="C565" s="6">
        <v>3.0</v>
      </c>
      <c r="D565" s="6">
        <v>13.0</v>
      </c>
      <c r="E565" s="6">
        <v>13.2</v>
      </c>
      <c r="F565" s="6">
        <f t="shared" si="1"/>
        <v>13</v>
      </c>
      <c r="G565" s="6">
        <v>13.0</v>
      </c>
      <c r="H565" s="6">
        <v>39.0</v>
      </c>
      <c r="I565" s="6">
        <v>28.0</v>
      </c>
      <c r="J565" s="6">
        <v>17.0</v>
      </c>
      <c r="K565" s="6">
        <v>2.0</v>
      </c>
      <c r="L565" s="9">
        <v>44741.0</v>
      </c>
      <c r="M565" s="6">
        <v>4.0</v>
      </c>
      <c r="N565" s="5" t="s">
        <v>113</v>
      </c>
      <c r="O565" s="5" t="str">
        <f t="shared" si="2"/>
        <v>Yes</v>
      </c>
      <c r="P565" s="5" t="s">
        <v>113</v>
      </c>
      <c r="Q565" s="5">
        <f t="shared" si="3"/>
        <v>1</v>
      </c>
      <c r="R565" s="5">
        <v>1.0</v>
      </c>
    </row>
    <row r="566" ht="22.5" customHeight="1">
      <c r="A566" s="5" t="s">
        <v>2165</v>
      </c>
      <c r="B566" s="5" t="s">
        <v>65</v>
      </c>
      <c r="C566" s="6">
        <v>8.0</v>
      </c>
      <c r="D566" s="6">
        <v>40.0</v>
      </c>
      <c r="E566" s="6">
        <v>3.4</v>
      </c>
      <c r="F566" s="6">
        <f t="shared" si="1"/>
        <v>3</v>
      </c>
      <c r="G566" s="6">
        <v>3.0</v>
      </c>
      <c r="H566" s="6">
        <v>59.0</v>
      </c>
      <c r="I566" s="6">
        <v>19.0</v>
      </c>
      <c r="J566" s="6">
        <v>20.0</v>
      </c>
      <c r="K566" s="6">
        <v>3.0</v>
      </c>
      <c r="L566" s="9">
        <v>44876.0</v>
      </c>
      <c r="M566" s="6">
        <v>3.0</v>
      </c>
      <c r="N566" s="5" t="s">
        <v>113</v>
      </c>
      <c r="O566" s="5" t="str">
        <f t="shared" si="2"/>
        <v>Yes</v>
      </c>
      <c r="P566" s="5" t="s">
        <v>113</v>
      </c>
      <c r="Q566" s="5">
        <f t="shared" si="3"/>
        <v>1</v>
      </c>
      <c r="R566" s="5">
        <v>1.0</v>
      </c>
    </row>
    <row r="567" ht="22.5" customHeight="1">
      <c r="A567" s="5" t="s">
        <v>2170</v>
      </c>
      <c r="B567" s="5" t="s">
        <v>65</v>
      </c>
      <c r="C567" s="6">
        <v>4.0</v>
      </c>
      <c r="D567" s="6">
        <v>19.0</v>
      </c>
      <c r="E567" s="6">
        <v>4.9</v>
      </c>
      <c r="F567" s="6">
        <f t="shared" si="1"/>
        <v>4</v>
      </c>
      <c r="G567" s="6">
        <v>4.0</v>
      </c>
      <c r="H567" s="6">
        <v>42.0</v>
      </c>
      <c r="I567" s="6">
        <v>38.0</v>
      </c>
      <c r="J567" s="6">
        <v>11.0</v>
      </c>
      <c r="K567" s="6">
        <v>1.0</v>
      </c>
      <c r="L567" s="9">
        <v>46016.0</v>
      </c>
      <c r="M567" s="6">
        <v>5.0</v>
      </c>
      <c r="N567" s="5" t="s">
        <v>62</v>
      </c>
      <c r="O567" s="5" t="str">
        <f t="shared" si="2"/>
        <v>No</v>
      </c>
      <c r="P567" s="5" t="s">
        <v>62</v>
      </c>
      <c r="Q567" s="5">
        <f t="shared" si="3"/>
        <v>0</v>
      </c>
      <c r="R567" s="5">
        <v>0.0</v>
      </c>
    </row>
    <row r="568" ht="22.5" customHeight="1">
      <c r="A568" s="5" t="s">
        <v>2172</v>
      </c>
      <c r="B568" s="5" t="s">
        <v>22</v>
      </c>
      <c r="C568" s="6">
        <v>5.0</v>
      </c>
      <c r="D568" s="6">
        <v>12.0</v>
      </c>
      <c r="E568" s="6">
        <v>9.9</v>
      </c>
      <c r="F568" s="6">
        <f t="shared" si="1"/>
        <v>9</v>
      </c>
      <c r="G568" s="6">
        <v>9.0</v>
      </c>
      <c r="H568" s="6">
        <v>31.0</v>
      </c>
      <c r="I568" s="6">
        <v>20.0</v>
      </c>
      <c r="J568" s="6">
        <v>12.0</v>
      </c>
      <c r="K568" s="6">
        <v>4.0</v>
      </c>
      <c r="L568" s="9">
        <v>44497.0</v>
      </c>
      <c r="M568" s="6">
        <v>3.0</v>
      </c>
      <c r="N568" s="5" t="s">
        <v>113</v>
      </c>
      <c r="O568" s="5" t="str">
        <f t="shared" si="2"/>
        <v>Yes</v>
      </c>
      <c r="P568" s="5" t="s">
        <v>113</v>
      </c>
      <c r="Q568" s="5">
        <f t="shared" si="3"/>
        <v>1</v>
      </c>
      <c r="R568" s="5">
        <v>1.0</v>
      </c>
    </row>
    <row r="569" ht="22.5" customHeight="1">
      <c r="A569" s="5" t="s">
        <v>2174</v>
      </c>
      <c r="B569" s="5" t="s">
        <v>84</v>
      </c>
      <c r="C569" s="6">
        <v>6.0</v>
      </c>
      <c r="D569" s="6">
        <v>35.0</v>
      </c>
      <c r="E569" s="6">
        <v>4.7</v>
      </c>
      <c r="F569" s="6">
        <f t="shared" si="1"/>
        <v>4</v>
      </c>
      <c r="G569" s="6">
        <v>4.0</v>
      </c>
      <c r="H569" s="6">
        <v>28.0</v>
      </c>
      <c r="I569" s="6">
        <v>13.0</v>
      </c>
      <c r="J569" s="6">
        <v>16.0</v>
      </c>
      <c r="K569" s="6">
        <v>1.0</v>
      </c>
      <c r="L569" s="9">
        <v>45612.0</v>
      </c>
      <c r="M569" s="6">
        <v>7.0</v>
      </c>
      <c r="N569" s="5" t="s">
        <v>62</v>
      </c>
      <c r="O569" s="5" t="str">
        <f t="shared" si="2"/>
        <v>No</v>
      </c>
      <c r="P569" s="5" t="s">
        <v>62</v>
      </c>
      <c r="Q569" s="5">
        <f t="shared" si="3"/>
        <v>0</v>
      </c>
      <c r="R569" s="5">
        <v>0.0</v>
      </c>
    </row>
    <row r="570" ht="22.5" customHeight="1">
      <c r="A570" s="5" t="s">
        <v>2177</v>
      </c>
      <c r="B570" s="5" t="s">
        <v>84</v>
      </c>
      <c r="C570" s="6">
        <v>6.0</v>
      </c>
      <c r="D570" s="6">
        <v>21.0</v>
      </c>
      <c r="E570" s="6">
        <v>4.2</v>
      </c>
      <c r="F570" s="6">
        <f t="shared" si="1"/>
        <v>4</v>
      </c>
      <c r="G570" s="6">
        <v>4.0</v>
      </c>
      <c r="H570" s="6">
        <v>12.0</v>
      </c>
      <c r="I570" s="6">
        <v>18.0</v>
      </c>
      <c r="J570" s="6">
        <v>10.0</v>
      </c>
      <c r="K570" s="6">
        <v>4.0</v>
      </c>
      <c r="L570" s="9">
        <v>46145.0</v>
      </c>
      <c r="M570" s="6">
        <v>7.0</v>
      </c>
      <c r="N570" s="5" t="s">
        <v>62</v>
      </c>
      <c r="O570" s="5" t="str">
        <f t="shared" si="2"/>
        <v>No</v>
      </c>
      <c r="P570" s="5" t="s">
        <v>62</v>
      </c>
      <c r="Q570" s="5">
        <f t="shared" si="3"/>
        <v>0</v>
      </c>
      <c r="R570" s="5">
        <v>0.0</v>
      </c>
    </row>
    <row r="571" ht="22.5" customHeight="1">
      <c r="A571" s="5" t="s">
        <v>2181</v>
      </c>
      <c r="B571" s="5" t="s">
        <v>22</v>
      </c>
      <c r="C571" s="6">
        <v>7.0</v>
      </c>
      <c r="D571" s="6">
        <v>32.0</v>
      </c>
      <c r="E571" s="6">
        <v>2.6</v>
      </c>
      <c r="F571" s="6">
        <f t="shared" si="1"/>
        <v>2</v>
      </c>
      <c r="G571" s="6">
        <v>2.0</v>
      </c>
      <c r="H571" s="6">
        <v>24.0</v>
      </c>
      <c r="I571" s="6">
        <v>17.0</v>
      </c>
      <c r="J571" s="6">
        <v>5.0</v>
      </c>
      <c r="K571" s="6">
        <v>3.0</v>
      </c>
      <c r="L571" s="9">
        <v>45036.0</v>
      </c>
      <c r="M571" s="6">
        <v>4.0</v>
      </c>
      <c r="O571" s="10" t="str">
        <f t="shared" si="2"/>
        <v>Yes</v>
      </c>
      <c r="P571" s="10" t="s">
        <v>113</v>
      </c>
      <c r="Q571" s="10">
        <f t="shared" si="3"/>
        <v>1</v>
      </c>
      <c r="R571" s="10">
        <v>1.0</v>
      </c>
    </row>
    <row r="572" ht="22.5" customHeight="1">
      <c r="A572" s="5" t="s">
        <v>2185</v>
      </c>
      <c r="B572" s="5" t="s">
        <v>22</v>
      </c>
      <c r="C572" s="6">
        <v>2.0</v>
      </c>
      <c r="D572" s="6">
        <v>10.0</v>
      </c>
      <c r="E572" s="6">
        <v>4.6</v>
      </c>
      <c r="F572" s="6">
        <f t="shared" si="1"/>
        <v>4</v>
      </c>
      <c r="G572" s="6">
        <v>4.0</v>
      </c>
      <c r="H572" s="6">
        <v>49.0</v>
      </c>
      <c r="I572" s="6">
        <v>29.0</v>
      </c>
      <c r="J572" s="6">
        <v>19.0</v>
      </c>
      <c r="K572" s="6">
        <v>0.0</v>
      </c>
      <c r="L572" s="9">
        <v>45554.0</v>
      </c>
      <c r="M572" s="6">
        <v>8.0</v>
      </c>
      <c r="O572" s="10" t="str">
        <f t="shared" si="2"/>
        <v>No</v>
      </c>
      <c r="P572" s="10" t="s">
        <v>62</v>
      </c>
      <c r="Q572" s="10">
        <f t="shared" si="3"/>
        <v>0</v>
      </c>
      <c r="R572" s="10">
        <v>0.0</v>
      </c>
    </row>
    <row r="573" ht="22.5" customHeight="1">
      <c r="A573" s="5" t="s">
        <v>2190</v>
      </c>
      <c r="B573" s="5" t="s">
        <v>84</v>
      </c>
      <c r="C573" s="6">
        <v>7.0</v>
      </c>
      <c r="D573" s="6">
        <v>25.0</v>
      </c>
      <c r="E573" s="6">
        <v>4.8</v>
      </c>
      <c r="F573" s="6">
        <f t="shared" si="1"/>
        <v>4</v>
      </c>
      <c r="G573" s="6">
        <v>4.0</v>
      </c>
      <c r="H573" s="6">
        <v>13.0</v>
      </c>
      <c r="I573" s="6">
        <v>25.0</v>
      </c>
      <c r="J573" s="6">
        <v>13.0</v>
      </c>
      <c r="K573" s="6">
        <v>2.0</v>
      </c>
      <c r="L573" s="9">
        <v>45032.0</v>
      </c>
      <c r="M573" s="6">
        <v>1.0</v>
      </c>
      <c r="N573" s="5" t="s">
        <v>113</v>
      </c>
      <c r="O573" s="5" t="str">
        <f t="shared" si="2"/>
        <v>Yes</v>
      </c>
      <c r="P573" s="5" t="s">
        <v>113</v>
      </c>
      <c r="Q573" s="5">
        <f t="shared" si="3"/>
        <v>1</v>
      </c>
      <c r="R573" s="5">
        <v>1.0</v>
      </c>
    </row>
    <row r="574" ht="22.5" customHeight="1">
      <c r="A574" s="5" t="s">
        <v>2192</v>
      </c>
      <c r="B574" s="5" t="s">
        <v>22</v>
      </c>
      <c r="C574" s="6">
        <v>5.0</v>
      </c>
      <c r="D574" s="6">
        <v>22.0</v>
      </c>
      <c r="E574" s="6">
        <v>13.5</v>
      </c>
      <c r="F574" s="6">
        <f t="shared" si="1"/>
        <v>13</v>
      </c>
      <c r="G574" s="6">
        <v>13.0</v>
      </c>
      <c r="H574" s="6">
        <v>30.0</v>
      </c>
      <c r="I574" s="6">
        <v>31.0</v>
      </c>
      <c r="J574" s="6">
        <v>6.0</v>
      </c>
      <c r="K574" s="6">
        <v>2.0</v>
      </c>
      <c r="L574" s="9">
        <v>46200.0</v>
      </c>
      <c r="M574" s="6">
        <v>5.0</v>
      </c>
      <c r="N574" s="5" t="s">
        <v>62</v>
      </c>
      <c r="O574" s="5" t="str">
        <f t="shared" si="2"/>
        <v>No</v>
      </c>
      <c r="P574" s="5" t="s">
        <v>62</v>
      </c>
      <c r="Q574" s="5">
        <f t="shared" si="3"/>
        <v>0</v>
      </c>
      <c r="R574" s="5">
        <v>0.0</v>
      </c>
    </row>
    <row r="575" ht="22.5" customHeight="1">
      <c r="A575" s="5" t="s">
        <v>2196</v>
      </c>
      <c r="B575" s="5" t="s">
        <v>22</v>
      </c>
      <c r="C575" s="6">
        <v>9.0</v>
      </c>
      <c r="D575" s="6">
        <v>15.0</v>
      </c>
      <c r="E575" s="6">
        <v>3.6</v>
      </c>
      <c r="F575" s="6">
        <f t="shared" si="1"/>
        <v>3</v>
      </c>
      <c r="G575" s="6">
        <v>3.0</v>
      </c>
      <c r="H575" s="6">
        <v>55.0</v>
      </c>
      <c r="I575" s="6">
        <v>18.0</v>
      </c>
      <c r="J575" s="8"/>
      <c r="K575" s="6">
        <v>1.0</v>
      </c>
      <c r="L575" s="9">
        <v>45130.0</v>
      </c>
      <c r="M575" s="6">
        <v>3.0</v>
      </c>
      <c r="N575" s="5" t="s">
        <v>113</v>
      </c>
      <c r="O575" s="5" t="str">
        <f t="shared" si="2"/>
        <v>Yes</v>
      </c>
      <c r="P575" s="5" t="s">
        <v>113</v>
      </c>
      <c r="Q575" s="5">
        <f t="shared" si="3"/>
        <v>1</v>
      </c>
      <c r="R575" s="5">
        <v>1.0</v>
      </c>
    </row>
    <row r="576" ht="22.5" customHeight="1">
      <c r="A576" s="5" t="s">
        <v>2201</v>
      </c>
      <c r="B576" s="5" t="s">
        <v>170</v>
      </c>
      <c r="C576" s="6">
        <v>2.0</v>
      </c>
      <c r="D576" s="6">
        <v>4.0</v>
      </c>
      <c r="E576" s="6">
        <v>6.1</v>
      </c>
      <c r="F576" s="6">
        <f t="shared" si="1"/>
        <v>6</v>
      </c>
      <c r="G576" s="6">
        <v>6.0</v>
      </c>
      <c r="H576" s="6">
        <v>17.0</v>
      </c>
      <c r="I576" s="6">
        <v>28.0</v>
      </c>
      <c r="J576" s="8"/>
      <c r="K576" s="6">
        <v>1.0</v>
      </c>
      <c r="L576" s="9">
        <v>44662.0</v>
      </c>
      <c r="M576" s="6">
        <v>1.0</v>
      </c>
      <c r="N576" s="5" t="s">
        <v>113</v>
      </c>
      <c r="O576" s="5" t="str">
        <f t="shared" si="2"/>
        <v>Yes</v>
      </c>
      <c r="P576" s="5" t="s">
        <v>113</v>
      </c>
      <c r="Q576" s="5">
        <f t="shared" si="3"/>
        <v>1</v>
      </c>
      <c r="R576" s="5">
        <v>1.0</v>
      </c>
    </row>
    <row r="577" ht="22.5" customHeight="1">
      <c r="A577" s="5" t="s">
        <v>2205</v>
      </c>
      <c r="B577" s="5" t="s">
        <v>65</v>
      </c>
      <c r="C577" s="6">
        <v>7.0</v>
      </c>
      <c r="D577" s="6">
        <v>28.0</v>
      </c>
      <c r="E577" s="6">
        <v>19.9</v>
      </c>
      <c r="F577" s="6">
        <f t="shared" si="1"/>
        <v>19</v>
      </c>
      <c r="G577" s="6">
        <v>19.0</v>
      </c>
      <c r="H577" s="6">
        <v>9.0</v>
      </c>
      <c r="I577" s="6">
        <v>16.0</v>
      </c>
      <c r="J577" s="6">
        <v>13.0</v>
      </c>
      <c r="K577" s="6">
        <v>3.0</v>
      </c>
      <c r="L577" s="9">
        <v>45764.0</v>
      </c>
      <c r="M577" s="6">
        <v>7.0</v>
      </c>
      <c r="N577" s="5" t="s">
        <v>62</v>
      </c>
      <c r="O577" s="5" t="str">
        <f t="shared" si="2"/>
        <v>No</v>
      </c>
      <c r="P577" s="5" t="s">
        <v>62</v>
      </c>
      <c r="Q577" s="5">
        <f t="shared" si="3"/>
        <v>0</v>
      </c>
      <c r="R577" s="5">
        <v>0.0</v>
      </c>
    </row>
    <row r="578" ht="22.5" customHeight="1">
      <c r="A578" s="5" t="s">
        <v>2209</v>
      </c>
      <c r="B578" s="5" t="s">
        <v>65</v>
      </c>
      <c r="C578" s="6">
        <v>6.0</v>
      </c>
      <c r="D578" s="6">
        <v>28.0</v>
      </c>
      <c r="E578" s="6">
        <v>9.6</v>
      </c>
      <c r="F578" s="6">
        <f t="shared" si="1"/>
        <v>9</v>
      </c>
      <c r="G578" s="6">
        <v>9.0</v>
      </c>
      <c r="H578" s="6">
        <v>12.0</v>
      </c>
      <c r="I578" s="6">
        <v>20.0</v>
      </c>
      <c r="J578" s="6">
        <v>19.0</v>
      </c>
      <c r="K578" s="6">
        <v>2.0</v>
      </c>
      <c r="L578" s="9">
        <v>44451.0</v>
      </c>
      <c r="M578" s="6">
        <v>5.0</v>
      </c>
      <c r="N578" s="5" t="s">
        <v>113</v>
      </c>
      <c r="O578" s="5" t="str">
        <f t="shared" si="2"/>
        <v>Yes</v>
      </c>
      <c r="P578" s="5" t="s">
        <v>113</v>
      </c>
      <c r="Q578" s="5">
        <f t="shared" si="3"/>
        <v>1</v>
      </c>
      <c r="R578" s="5">
        <v>1.0</v>
      </c>
    </row>
    <row r="579" ht="22.5" customHeight="1">
      <c r="A579" s="5" t="s">
        <v>2212</v>
      </c>
      <c r="B579" s="5" t="s">
        <v>44</v>
      </c>
      <c r="C579" s="6">
        <v>3.0</v>
      </c>
      <c r="D579" s="6">
        <v>13.0</v>
      </c>
      <c r="E579" s="6">
        <v>11.6</v>
      </c>
      <c r="F579" s="6">
        <f t="shared" si="1"/>
        <v>11</v>
      </c>
      <c r="G579" s="6">
        <v>11.0</v>
      </c>
      <c r="H579" s="6">
        <v>47.0</v>
      </c>
      <c r="I579" s="6">
        <v>14.0</v>
      </c>
      <c r="J579" s="6">
        <v>12.0</v>
      </c>
      <c r="K579" s="6">
        <v>5.0</v>
      </c>
      <c r="L579" s="9">
        <v>45894.0</v>
      </c>
      <c r="M579" s="6">
        <v>6.0</v>
      </c>
      <c r="N579" s="5" t="s">
        <v>62</v>
      </c>
      <c r="O579" s="5" t="str">
        <f t="shared" si="2"/>
        <v>No</v>
      </c>
      <c r="P579" s="5" t="s">
        <v>62</v>
      </c>
      <c r="Q579" s="5">
        <f t="shared" si="3"/>
        <v>0</v>
      </c>
      <c r="R579" s="5">
        <v>0.0</v>
      </c>
    </row>
    <row r="580" ht="22.5" customHeight="1">
      <c r="A580" s="5" t="s">
        <v>2216</v>
      </c>
      <c r="B580" s="5" t="s">
        <v>65</v>
      </c>
      <c r="C580" s="6">
        <v>7.0</v>
      </c>
      <c r="D580" s="6">
        <v>13.0</v>
      </c>
      <c r="E580" s="6">
        <v>17.2</v>
      </c>
      <c r="F580" s="6">
        <f t="shared" si="1"/>
        <v>17</v>
      </c>
      <c r="G580" s="6">
        <v>17.0</v>
      </c>
      <c r="H580" s="6">
        <v>31.0</v>
      </c>
      <c r="I580" s="6">
        <v>24.0</v>
      </c>
      <c r="J580" s="6">
        <v>13.0</v>
      </c>
      <c r="K580" s="6">
        <v>3.0</v>
      </c>
      <c r="L580" s="9">
        <v>45610.0</v>
      </c>
      <c r="M580" s="6">
        <v>8.0</v>
      </c>
      <c r="N580" s="5" t="s">
        <v>62</v>
      </c>
      <c r="O580" s="5" t="str">
        <f t="shared" si="2"/>
        <v>No</v>
      </c>
      <c r="P580" s="5" t="s">
        <v>62</v>
      </c>
      <c r="Q580" s="5">
        <f t="shared" si="3"/>
        <v>0</v>
      </c>
      <c r="R580" s="5">
        <v>0.0</v>
      </c>
    </row>
    <row r="581" ht="22.5" customHeight="1">
      <c r="A581" s="5" t="s">
        <v>2220</v>
      </c>
      <c r="B581" s="5" t="s">
        <v>170</v>
      </c>
      <c r="C581" s="6">
        <v>9.0</v>
      </c>
      <c r="D581" s="6">
        <v>14.0</v>
      </c>
      <c r="E581" s="6">
        <v>4.7</v>
      </c>
      <c r="F581" s="6">
        <f t="shared" si="1"/>
        <v>4</v>
      </c>
      <c r="G581" s="6">
        <v>4.0</v>
      </c>
      <c r="H581" s="6">
        <v>55.0</v>
      </c>
      <c r="I581" s="6">
        <v>27.0</v>
      </c>
      <c r="J581" s="6">
        <v>9.0</v>
      </c>
      <c r="K581" s="6">
        <v>0.0</v>
      </c>
      <c r="L581" s="9">
        <v>46029.0</v>
      </c>
      <c r="M581" s="6">
        <v>5.0</v>
      </c>
      <c r="N581" s="5" t="s">
        <v>62</v>
      </c>
      <c r="O581" s="5" t="str">
        <f t="shared" si="2"/>
        <v>No</v>
      </c>
      <c r="P581" s="5" t="s">
        <v>62</v>
      </c>
      <c r="Q581" s="5">
        <f t="shared" si="3"/>
        <v>0</v>
      </c>
      <c r="R581" s="5">
        <v>0.0</v>
      </c>
    </row>
    <row r="582" ht="22.5" customHeight="1">
      <c r="A582" s="5" t="s">
        <v>2224</v>
      </c>
      <c r="B582" s="5" t="s">
        <v>84</v>
      </c>
      <c r="C582" s="6">
        <v>4.0</v>
      </c>
      <c r="D582" s="6">
        <v>18.0</v>
      </c>
      <c r="E582" s="6">
        <v>6.8</v>
      </c>
      <c r="F582" s="6">
        <f t="shared" si="1"/>
        <v>6</v>
      </c>
      <c r="G582" s="6">
        <v>6.0</v>
      </c>
      <c r="H582" s="6">
        <v>6.0</v>
      </c>
      <c r="I582" s="6">
        <v>29.0</v>
      </c>
      <c r="J582" s="6">
        <v>4.0</v>
      </c>
      <c r="K582" s="6">
        <v>4.0</v>
      </c>
      <c r="L582" s="9">
        <v>45675.0</v>
      </c>
      <c r="M582" s="6">
        <v>7.0</v>
      </c>
      <c r="N582" s="5" t="s">
        <v>62</v>
      </c>
      <c r="O582" s="5" t="str">
        <f t="shared" si="2"/>
        <v>No</v>
      </c>
      <c r="P582" s="5" t="s">
        <v>62</v>
      </c>
      <c r="Q582" s="5">
        <f t="shared" si="3"/>
        <v>0</v>
      </c>
      <c r="R582" s="5">
        <v>0.0</v>
      </c>
    </row>
    <row r="583" ht="22.5" customHeight="1">
      <c r="A583" s="5" t="s">
        <v>2229</v>
      </c>
      <c r="B583" s="5" t="s">
        <v>44</v>
      </c>
      <c r="C583" s="6">
        <v>7.0</v>
      </c>
      <c r="D583" s="6">
        <v>11.0</v>
      </c>
      <c r="E583" s="6">
        <v>6.0</v>
      </c>
      <c r="F583" s="6">
        <f t="shared" si="1"/>
        <v>6</v>
      </c>
      <c r="G583" s="6">
        <v>6.0</v>
      </c>
      <c r="H583" s="6">
        <v>35.0</v>
      </c>
      <c r="I583" s="6">
        <v>10.0</v>
      </c>
      <c r="J583" s="6">
        <v>2.0</v>
      </c>
      <c r="K583" s="6">
        <v>3.0</v>
      </c>
      <c r="L583" s="9">
        <v>44946.0</v>
      </c>
      <c r="M583" s="6">
        <v>4.0</v>
      </c>
      <c r="N583" s="5" t="s">
        <v>113</v>
      </c>
      <c r="O583" s="5" t="str">
        <f t="shared" si="2"/>
        <v>Yes</v>
      </c>
      <c r="P583" s="5" t="s">
        <v>113</v>
      </c>
      <c r="Q583" s="5">
        <f t="shared" si="3"/>
        <v>1</v>
      </c>
      <c r="R583" s="5">
        <v>1.0</v>
      </c>
    </row>
    <row r="584" ht="22.5" customHeight="1">
      <c r="A584" s="5" t="s">
        <v>2233</v>
      </c>
      <c r="B584" s="5" t="s">
        <v>44</v>
      </c>
      <c r="C584" s="6">
        <v>6.0</v>
      </c>
      <c r="D584" s="6">
        <v>26.0</v>
      </c>
      <c r="E584" s="6">
        <v>8.0</v>
      </c>
      <c r="F584" s="6">
        <f t="shared" si="1"/>
        <v>8</v>
      </c>
      <c r="G584" s="6">
        <v>8.0</v>
      </c>
      <c r="H584" s="6">
        <v>57.0</v>
      </c>
      <c r="I584" s="6">
        <v>33.0</v>
      </c>
      <c r="J584" s="6">
        <v>12.0</v>
      </c>
      <c r="K584" s="6">
        <v>3.0</v>
      </c>
      <c r="L584" s="9">
        <v>44969.0</v>
      </c>
      <c r="M584" s="6">
        <v>4.0</v>
      </c>
      <c r="O584" s="10" t="str">
        <f t="shared" si="2"/>
        <v>Yes</v>
      </c>
      <c r="P584" s="10" t="s">
        <v>113</v>
      </c>
      <c r="Q584" s="10">
        <f t="shared" si="3"/>
        <v>1</v>
      </c>
      <c r="R584" s="10">
        <v>1.0</v>
      </c>
    </row>
    <row r="585" ht="22.5" customHeight="1">
      <c r="A585" s="5" t="s">
        <v>2236</v>
      </c>
      <c r="B585" s="5" t="s">
        <v>84</v>
      </c>
      <c r="C585" s="6">
        <v>8.0</v>
      </c>
      <c r="D585" s="6">
        <v>37.0</v>
      </c>
      <c r="E585" s="6">
        <v>13.4</v>
      </c>
      <c r="F585" s="6">
        <f t="shared" si="1"/>
        <v>13</v>
      </c>
      <c r="G585" s="6">
        <v>13.0</v>
      </c>
      <c r="H585" s="6">
        <v>53.0</v>
      </c>
      <c r="I585" s="6">
        <v>16.0</v>
      </c>
      <c r="J585" s="6">
        <v>13.0</v>
      </c>
      <c r="K585" s="6">
        <v>4.0</v>
      </c>
      <c r="L585" s="9">
        <v>45917.0</v>
      </c>
      <c r="M585" s="6">
        <v>6.0</v>
      </c>
      <c r="N585" s="5" t="s">
        <v>62</v>
      </c>
      <c r="O585" s="5" t="str">
        <f t="shared" si="2"/>
        <v>No</v>
      </c>
      <c r="P585" s="5" t="s">
        <v>62</v>
      </c>
      <c r="Q585" s="5">
        <f t="shared" si="3"/>
        <v>0</v>
      </c>
      <c r="R585" s="5">
        <v>0.0</v>
      </c>
    </row>
    <row r="586" ht="22.5" customHeight="1">
      <c r="A586" s="5" t="s">
        <v>2239</v>
      </c>
      <c r="B586" s="5" t="s">
        <v>84</v>
      </c>
      <c r="C586" s="6">
        <v>4.0</v>
      </c>
      <c r="D586" s="6">
        <v>9.0</v>
      </c>
      <c r="E586" s="6">
        <v>16.3</v>
      </c>
      <c r="F586" s="6">
        <f t="shared" si="1"/>
        <v>16</v>
      </c>
      <c r="G586" s="6">
        <v>16.0</v>
      </c>
      <c r="H586" s="6">
        <v>23.0</v>
      </c>
      <c r="I586" s="6">
        <v>17.0</v>
      </c>
      <c r="J586" s="6">
        <v>18.0</v>
      </c>
      <c r="K586" s="6">
        <v>3.0</v>
      </c>
      <c r="L586" s="9">
        <v>46241.0</v>
      </c>
      <c r="M586" s="6">
        <v>6.0</v>
      </c>
      <c r="O586" s="10" t="str">
        <f t="shared" si="2"/>
        <v>No</v>
      </c>
      <c r="P586" s="10" t="s">
        <v>62</v>
      </c>
      <c r="Q586" s="10">
        <f t="shared" si="3"/>
        <v>0</v>
      </c>
      <c r="R586" s="10">
        <v>0.0</v>
      </c>
    </row>
    <row r="587" ht="22.5" customHeight="1">
      <c r="A587" s="5" t="s">
        <v>2243</v>
      </c>
      <c r="B587" s="5" t="s">
        <v>22</v>
      </c>
      <c r="C587" s="6">
        <v>4.0</v>
      </c>
      <c r="D587" s="6">
        <v>12.0</v>
      </c>
      <c r="E587" s="6">
        <v>1.0</v>
      </c>
      <c r="F587" s="6">
        <f t="shared" si="1"/>
        <v>1</v>
      </c>
      <c r="G587" s="6">
        <v>1.0</v>
      </c>
      <c r="H587" s="6">
        <v>33.0</v>
      </c>
      <c r="I587" s="6">
        <v>20.0</v>
      </c>
      <c r="J587" s="6">
        <v>8.0</v>
      </c>
      <c r="K587" s="6">
        <v>2.0</v>
      </c>
      <c r="L587" s="9">
        <v>46107.0</v>
      </c>
      <c r="M587" s="6">
        <v>7.0</v>
      </c>
      <c r="O587" s="10" t="str">
        <f t="shared" si="2"/>
        <v>No</v>
      </c>
      <c r="P587" s="10" t="s">
        <v>62</v>
      </c>
      <c r="Q587" s="10">
        <f t="shared" si="3"/>
        <v>0</v>
      </c>
      <c r="R587" s="10">
        <v>0.0</v>
      </c>
    </row>
    <row r="588" ht="22.5" customHeight="1">
      <c r="A588" s="5" t="s">
        <v>2245</v>
      </c>
      <c r="B588" s="5" t="s">
        <v>22</v>
      </c>
      <c r="C588" s="6">
        <v>4.0</v>
      </c>
      <c r="D588" s="6">
        <v>12.0</v>
      </c>
      <c r="E588" s="6">
        <v>6.2</v>
      </c>
      <c r="F588" s="6">
        <f t="shared" si="1"/>
        <v>6</v>
      </c>
      <c r="G588" s="6">
        <v>6.0</v>
      </c>
      <c r="H588" s="6">
        <v>40.0</v>
      </c>
      <c r="I588" s="6">
        <v>26.0</v>
      </c>
      <c r="J588" s="6">
        <v>6.0</v>
      </c>
      <c r="K588" s="6">
        <v>2.0</v>
      </c>
      <c r="L588" s="9">
        <v>46050.0</v>
      </c>
      <c r="M588" s="6">
        <v>6.0</v>
      </c>
      <c r="N588" s="5" t="s">
        <v>62</v>
      </c>
      <c r="O588" s="5" t="str">
        <f t="shared" si="2"/>
        <v>No</v>
      </c>
      <c r="P588" s="5" t="s">
        <v>62</v>
      </c>
      <c r="Q588" s="5">
        <f t="shared" si="3"/>
        <v>0</v>
      </c>
      <c r="R588" s="5">
        <v>0.0</v>
      </c>
    </row>
    <row r="589" ht="22.5" customHeight="1">
      <c r="A589" s="5" t="s">
        <v>2249</v>
      </c>
      <c r="B589" s="5" t="s">
        <v>22</v>
      </c>
      <c r="C589" s="6">
        <v>4.0</v>
      </c>
      <c r="D589" s="6">
        <v>18.0</v>
      </c>
      <c r="E589" s="6">
        <v>13.9</v>
      </c>
      <c r="F589" s="6">
        <f t="shared" si="1"/>
        <v>13</v>
      </c>
      <c r="G589" s="6">
        <v>13.0</v>
      </c>
      <c r="H589" s="6">
        <v>14.0</v>
      </c>
      <c r="I589" s="6">
        <v>19.0</v>
      </c>
      <c r="J589" s="6">
        <v>2.0</v>
      </c>
      <c r="K589" s="6">
        <v>2.0</v>
      </c>
      <c r="L589" s="11"/>
      <c r="M589" s="6">
        <v>7.0</v>
      </c>
      <c r="O589" s="10" t="str">
        <f t="shared" si="2"/>
        <v>Yes</v>
      </c>
      <c r="P589" s="10" t="s">
        <v>113</v>
      </c>
      <c r="Q589" s="10">
        <f t="shared" si="3"/>
        <v>1</v>
      </c>
      <c r="R589" s="10">
        <v>1.0</v>
      </c>
    </row>
    <row r="590" ht="22.5" customHeight="1">
      <c r="A590" s="5" t="s">
        <v>2253</v>
      </c>
      <c r="B590" s="5" t="s">
        <v>44</v>
      </c>
      <c r="C590" s="6">
        <v>8.0</v>
      </c>
      <c r="D590" s="6">
        <v>42.0</v>
      </c>
      <c r="E590" s="6">
        <v>3.9</v>
      </c>
      <c r="F590" s="6">
        <f t="shared" si="1"/>
        <v>3</v>
      </c>
      <c r="G590" s="6">
        <v>3.0</v>
      </c>
      <c r="H590" s="6">
        <v>54.0</v>
      </c>
      <c r="I590" s="6">
        <v>12.0</v>
      </c>
      <c r="J590" s="6">
        <v>1.0</v>
      </c>
      <c r="K590" s="6">
        <v>2.0</v>
      </c>
      <c r="L590" s="9">
        <v>45830.0</v>
      </c>
      <c r="M590" s="6">
        <v>5.0</v>
      </c>
      <c r="N590" s="5" t="s">
        <v>62</v>
      </c>
      <c r="O590" s="5" t="str">
        <f t="shared" si="2"/>
        <v>No</v>
      </c>
      <c r="P590" s="5" t="s">
        <v>62</v>
      </c>
      <c r="Q590" s="5">
        <f t="shared" si="3"/>
        <v>0</v>
      </c>
      <c r="R590" s="5">
        <v>0.0</v>
      </c>
    </row>
    <row r="591" ht="22.5" customHeight="1">
      <c r="A591" s="5" t="s">
        <v>2255</v>
      </c>
      <c r="B591" s="5" t="s">
        <v>44</v>
      </c>
      <c r="C591" s="6">
        <v>5.0</v>
      </c>
      <c r="D591" s="6">
        <v>8.0</v>
      </c>
      <c r="E591" s="6">
        <v>5.9</v>
      </c>
      <c r="F591" s="6">
        <f t="shared" si="1"/>
        <v>5</v>
      </c>
      <c r="G591" s="6">
        <v>5.0</v>
      </c>
      <c r="H591" s="6">
        <v>47.0</v>
      </c>
      <c r="I591" s="6">
        <v>14.0</v>
      </c>
      <c r="J591" s="6">
        <v>1.0</v>
      </c>
      <c r="K591" s="6">
        <v>0.0</v>
      </c>
      <c r="L591" s="9">
        <v>45672.0</v>
      </c>
      <c r="M591" s="6">
        <v>7.0</v>
      </c>
      <c r="N591" s="5" t="s">
        <v>62</v>
      </c>
      <c r="O591" s="5" t="str">
        <f t="shared" si="2"/>
        <v>No</v>
      </c>
      <c r="P591" s="5" t="s">
        <v>62</v>
      </c>
      <c r="Q591" s="5">
        <f t="shared" si="3"/>
        <v>0</v>
      </c>
      <c r="R591" s="5">
        <v>0.0</v>
      </c>
    </row>
    <row r="592" ht="22.5" customHeight="1">
      <c r="A592" s="5" t="s">
        <v>2257</v>
      </c>
      <c r="B592" s="5" t="s">
        <v>44</v>
      </c>
      <c r="C592" s="6">
        <v>5.0</v>
      </c>
      <c r="D592" s="6">
        <v>21.0</v>
      </c>
      <c r="E592" s="6">
        <v>11.9</v>
      </c>
      <c r="F592" s="6">
        <f t="shared" si="1"/>
        <v>11</v>
      </c>
      <c r="G592" s="6">
        <v>11.0</v>
      </c>
      <c r="H592" s="6">
        <v>30.0</v>
      </c>
      <c r="I592" s="6">
        <v>23.0</v>
      </c>
      <c r="J592" s="8"/>
      <c r="K592" s="6">
        <v>4.0</v>
      </c>
      <c r="L592" s="9">
        <v>44618.0</v>
      </c>
      <c r="M592" s="6">
        <v>3.0</v>
      </c>
      <c r="N592" s="5" t="s">
        <v>113</v>
      </c>
      <c r="O592" s="5" t="str">
        <f t="shared" si="2"/>
        <v>Yes</v>
      </c>
      <c r="P592" s="5" t="s">
        <v>113</v>
      </c>
      <c r="Q592" s="5">
        <f t="shared" si="3"/>
        <v>1</v>
      </c>
      <c r="R592" s="5">
        <v>1.0</v>
      </c>
    </row>
    <row r="593" ht="22.5" customHeight="1">
      <c r="A593" s="5" t="s">
        <v>2261</v>
      </c>
      <c r="B593" s="5" t="s">
        <v>84</v>
      </c>
      <c r="C593" s="6">
        <v>7.0</v>
      </c>
      <c r="D593" s="6">
        <v>33.0</v>
      </c>
      <c r="E593" s="6">
        <v>5.6</v>
      </c>
      <c r="F593" s="6">
        <f t="shared" si="1"/>
        <v>5</v>
      </c>
      <c r="G593" s="6">
        <v>5.0</v>
      </c>
      <c r="H593" s="6">
        <v>7.0</v>
      </c>
      <c r="I593" s="6">
        <v>17.0</v>
      </c>
      <c r="J593" s="6">
        <v>9.0</v>
      </c>
      <c r="K593" s="6">
        <v>3.0</v>
      </c>
      <c r="L593" s="9">
        <v>45324.0</v>
      </c>
      <c r="M593" s="6">
        <v>1.0</v>
      </c>
      <c r="N593" s="5" t="s">
        <v>113</v>
      </c>
      <c r="O593" s="5" t="str">
        <f t="shared" si="2"/>
        <v>No</v>
      </c>
      <c r="P593" s="5" t="s">
        <v>62</v>
      </c>
      <c r="Q593" s="5">
        <f t="shared" si="3"/>
        <v>0</v>
      </c>
      <c r="R593" s="5">
        <v>0.0</v>
      </c>
    </row>
    <row r="594" ht="22.5" customHeight="1">
      <c r="A594" s="5" t="s">
        <v>2265</v>
      </c>
      <c r="B594" s="5" t="s">
        <v>44</v>
      </c>
      <c r="C594" s="6">
        <v>4.0</v>
      </c>
      <c r="D594" s="6">
        <v>22.0</v>
      </c>
      <c r="E594" s="6">
        <v>13.3</v>
      </c>
      <c r="F594" s="6">
        <f t="shared" si="1"/>
        <v>13</v>
      </c>
      <c r="G594" s="6">
        <v>13.0</v>
      </c>
      <c r="H594" s="6">
        <v>20.0</v>
      </c>
      <c r="I594" s="6">
        <v>22.0</v>
      </c>
      <c r="J594" s="6">
        <v>18.0</v>
      </c>
      <c r="K594" s="6">
        <v>0.0</v>
      </c>
      <c r="L594" s="9">
        <v>44773.0</v>
      </c>
      <c r="M594" s="6">
        <v>4.0</v>
      </c>
      <c r="N594" s="5" t="s">
        <v>113</v>
      </c>
      <c r="O594" s="5" t="str">
        <f t="shared" si="2"/>
        <v>Yes</v>
      </c>
      <c r="P594" s="5" t="s">
        <v>113</v>
      </c>
      <c r="Q594" s="5">
        <f t="shared" si="3"/>
        <v>1</v>
      </c>
      <c r="R594" s="5">
        <v>1.0</v>
      </c>
    </row>
    <row r="595" ht="22.5" customHeight="1">
      <c r="A595" s="5" t="s">
        <v>2268</v>
      </c>
      <c r="B595" s="5" t="s">
        <v>44</v>
      </c>
      <c r="C595" s="6">
        <v>6.0</v>
      </c>
      <c r="D595" s="6">
        <v>32.0</v>
      </c>
      <c r="E595" s="6">
        <v>8.9</v>
      </c>
      <c r="F595" s="6">
        <f t="shared" si="1"/>
        <v>8</v>
      </c>
      <c r="G595" s="6">
        <v>8.0</v>
      </c>
      <c r="H595" s="6">
        <v>7.0</v>
      </c>
      <c r="I595" s="6">
        <v>24.0</v>
      </c>
      <c r="J595" s="6">
        <v>10.0</v>
      </c>
      <c r="K595" s="6">
        <v>0.0</v>
      </c>
      <c r="L595" s="9">
        <v>45177.0</v>
      </c>
      <c r="M595" s="6">
        <v>5.0</v>
      </c>
      <c r="N595" s="5" t="s">
        <v>113</v>
      </c>
      <c r="O595" s="5" t="str">
        <f t="shared" si="2"/>
        <v>No</v>
      </c>
      <c r="P595" s="5" t="s">
        <v>62</v>
      </c>
      <c r="Q595" s="5">
        <f t="shared" si="3"/>
        <v>0</v>
      </c>
      <c r="R595" s="5">
        <v>0.0</v>
      </c>
    </row>
    <row r="596" ht="22.5" customHeight="1">
      <c r="A596" s="5" t="s">
        <v>2272</v>
      </c>
      <c r="B596" s="5" t="s">
        <v>44</v>
      </c>
      <c r="C596" s="6">
        <v>2.0</v>
      </c>
      <c r="D596" s="6">
        <v>6.0</v>
      </c>
      <c r="E596" s="6">
        <v>2.0</v>
      </c>
      <c r="F596" s="6">
        <f t="shared" si="1"/>
        <v>2</v>
      </c>
      <c r="G596" s="6">
        <v>2.0</v>
      </c>
      <c r="H596" s="6">
        <v>12.0</v>
      </c>
      <c r="I596" s="6">
        <v>28.0</v>
      </c>
      <c r="J596" s="6">
        <v>5.0</v>
      </c>
      <c r="K596" s="6">
        <v>2.0</v>
      </c>
      <c r="L596" s="9">
        <v>45712.0</v>
      </c>
      <c r="M596" s="6">
        <v>6.0</v>
      </c>
      <c r="N596" s="5" t="s">
        <v>62</v>
      </c>
      <c r="O596" s="5" t="str">
        <f t="shared" si="2"/>
        <v>No</v>
      </c>
      <c r="P596" s="5" t="s">
        <v>62</v>
      </c>
      <c r="Q596" s="5">
        <f t="shared" si="3"/>
        <v>0</v>
      </c>
      <c r="R596" s="5">
        <v>0.0</v>
      </c>
    </row>
    <row r="597" ht="22.5" customHeight="1">
      <c r="A597" s="5" t="s">
        <v>2274</v>
      </c>
      <c r="B597" s="5" t="s">
        <v>22</v>
      </c>
      <c r="C597" s="6">
        <v>4.0</v>
      </c>
      <c r="D597" s="6">
        <v>19.0</v>
      </c>
      <c r="E597" s="6">
        <v>6.5</v>
      </c>
      <c r="F597" s="6">
        <f t="shared" si="1"/>
        <v>6</v>
      </c>
      <c r="G597" s="6">
        <v>6.0</v>
      </c>
      <c r="H597" s="6">
        <v>41.0</v>
      </c>
      <c r="I597" s="6">
        <v>22.0</v>
      </c>
      <c r="J597" s="6">
        <v>2.0</v>
      </c>
      <c r="K597" s="6">
        <v>2.0</v>
      </c>
      <c r="L597" s="9">
        <v>45274.0</v>
      </c>
      <c r="M597" s="6">
        <v>4.0</v>
      </c>
      <c r="N597" s="5" t="s">
        <v>113</v>
      </c>
      <c r="O597" s="5" t="str">
        <f t="shared" si="2"/>
        <v>No</v>
      </c>
      <c r="P597" s="5" t="s">
        <v>62</v>
      </c>
      <c r="Q597" s="5">
        <f t="shared" si="3"/>
        <v>0</v>
      </c>
      <c r="R597" s="5">
        <v>0.0</v>
      </c>
    </row>
    <row r="598" ht="22.5" customHeight="1">
      <c r="A598" s="5" t="s">
        <v>2276</v>
      </c>
      <c r="B598" s="5" t="s">
        <v>22</v>
      </c>
      <c r="C598" s="6">
        <v>8.0</v>
      </c>
      <c r="D598" s="6">
        <v>15.0</v>
      </c>
      <c r="E598" s="6">
        <v>5.7</v>
      </c>
      <c r="F598" s="6">
        <f t="shared" si="1"/>
        <v>5</v>
      </c>
      <c r="G598" s="6">
        <v>5.0</v>
      </c>
      <c r="H598" s="6">
        <v>27.0</v>
      </c>
      <c r="I598" s="6">
        <v>28.0</v>
      </c>
      <c r="J598" s="6">
        <v>15.0</v>
      </c>
      <c r="K598" s="6">
        <v>1.0</v>
      </c>
      <c r="L598" s="9">
        <v>45859.0</v>
      </c>
      <c r="M598" s="6">
        <v>6.0</v>
      </c>
      <c r="N598" s="5" t="s">
        <v>62</v>
      </c>
      <c r="O598" s="5" t="str">
        <f t="shared" si="2"/>
        <v>No</v>
      </c>
      <c r="P598" s="5" t="s">
        <v>62</v>
      </c>
      <c r="Q598" s="5">
        <f t="shared" si="3"/>
        <v>0</v>
      </c>
      <c r="R598" s="5">
        <v>0.0</v>
      </c>
    </row>
    <row r="599" ht="22.5" customHeight="1">
      <c r="A599" s="5" t="s">
        <v>2280</v>
      </c>
      <c r="B599" s="5" t="s">
        <v>22</v>
      </c>
      <c r="C599" s="6">
        <v>13.0</v>
      </c>
      <c r="D599" s="6">
        <v>70.0</v>
      </c>
      <c r="E599" s="6">
        <v>6.6</v>
      </c>
      <c r="F599" s="6">
        <f t="shared" si="1"/>
        <v>6</v>
      </c>
      <c r="G599" s="6">
        <v>6.0</v>
      </c>
      <c r="H599" s="6">
        <v>11.0</v>
      </c>
      <c r="I599" s="6">
        <v>25.0</v>
      </c>
      <c r="J599" s="6">
        <v>17.0</v>
      </c>
      <c r="K599" s="6">
        <v>0.0</v>
      </c>
      <c r="L599" s="9">
        <v>46212.0</v>
      </c>
      <c r="M599" s="6">
        <v>7.0</v>
      </c>
      <c r="N599" s="5" t="s">
        <v>62</v>
      </c>
      <c r="O599" s="5" t="str">
        <f t="shared" si="2"/>
        <v>No</v>
      </c>
      <c r="P599" s="5" t="s">
        <v>62</v>
      </c>
      <c r="Q599" s="5">
        <f t="shared" si="3"/>
        <v>0</v>
      </c>
      <c r="R599" s="5">
        <v>0.0</v>
      </c>
    </row>
    <row r="600" ht="22.5" customHeight="1">
      <c r="A600" s="5" t="s">
        <v>2284</v>
      </c>
      <c r="B600" s="5" t="s">
        <v>65</v>
      </c>
      <c r="C600" s="6">
        <v>7.0</v>
      </c>
      <c r="D600" s="6">
        <v>34.0</v>
      </c>
      <c r="E600" s="6">
        <v>1.4</v>
      </c>
      <c r="F600" s="6">
        <f t="shared" si="1"/>
        <v>1</v>
      </c>
      <c r="G600" s="6">
        <v>1.0</v>
      </c>
      <c r="H600" s="6">
        <v>53.0</v>
      </c>
      <c r="I600" s="6">
        <v>31.0</v>
      </c>
      <c r="J600" s="6">
        <v>9.0</v>
      </c>
      <c r="K600" s="6">
        <v>3.0</v>
      </c>
      <c r="L600" s="9">
        <v>44913.0</v>
      </c>
      <c r="M600" s="6">
        <v>2.0</v>
      </c>
      <c r="N600" s="5" t="s">
        <v>113</v>
      </c>
      <c r="O600" s="5" t="str">
        <f t="shared" si="2"/>
        <v>Yes</v>
      </c>
      <c r="P600" s="5" t="s">
        <v>113</v>
      </c>
      <c r="Q600" s="5">
        <f t="shared" si="3"/>
        <v>1</v>
      </c>
      <c r="R600" s="5">
        <v>1.0</v>
      </c>
    </row>
    <row r="601" ht="22.5" customHeight="1">
      <c r="A601" s="5" t="s">
        <v>2288</v>
      </c>
      <c r="B601" s="5" t="s">
        <v>65</v>
      </c>
      <c r="C601" s="6">
        <v>7.0</v>
      </c>
      <c r="D601" s="6">
        <v>16.0</v>
      </c>
      <c r="E601" s="6">
        <v>4.4</v>
      </c>
      <c r="F601" s="6">
        <f t="shared" si="1"/>
        <v>4</v>
      </c>
      <c r="G601" s="6">
        <v>4.0</v>
      </c>
      <c r="H601" s="6">
        <v>33.0</v>
      </c>
      <c r="I601" s="6">
        <v>30.0</v>
      </c>
      <c r="J601" s="6">
        <v>11.0</v>
      </c>
      <c r="K601" s="6">
        <v>2.0</v>
      </c>
      <c r="L601" s="9">
        <v>45894.0</v>
      </c>
      <c r="M601" s="6">
        <v>5.0</v>
      </c>
      <c r="N601" s="5" t="s">
        <v>62</v>
      </c>
      <c r="O601" s="5" t="str">
        <f t="shared" si="2"/>
        <v>No</v>
      </c>
      <c r="P601" s="5" t="s">
        <v>62</v>
      </c>
      <c r="Q601" s="5">
        <f t="shared" si="3"/>
        <v>0</v>
      </c>
      <c r="R601" s="5">
        <v>0.0</v>
      </c>
    </row>
    <row r="602" ht="22.5" customHeight="1">
      <c r="A602" s="5" t="s">
        <v>2290</v>
      </c>
      <c r="B602" s="5" t="s">
        <v>84</v>
      </c>
      <c r="C602" s="6">
        <v>11.0</v>
      </c>
      <c r="D602" s="6">
        <v>37.0</v>
      </c>
      <c r="E602" s="6">
        <v>16.7</v>
      </c>
      <c r="F602" s="6">
        <f t="shared" si="1"/>
        <v>16</v>
      </c>
      <c r="G602" s="6">
        <v>16.0</v>
      </c>
      <c r="H602" s="6">
        <v>46.0</v>
      </c>
      <c r="I602" s="6">
        <v>33.0</v>
      </c>
      <c r="J602" s="6">
        <v>17.0</v>
      </c>
      <c r="K602" s="6">
        <v>3.0</v>
      </c>
      <c r="L602" s="9">
        <v>45298.0</v>
      </c>
      <c r="M602" s="6">
        <v>3.0</v>
      </c>
      <c r="N602" s="5" t="s">
        <v>113</v>
      </c>
      <c r="O602" s="5" t="str">
        <f t="shared" si="2"/>
        <v>No</v>
      </c>
      <c r="P602" s="5" t="s">
        <v>62</v>
      </c>
      <c r="Q602" s="5">
        <f t="shared" si="3"/>
        <v>0</v>
      </c>
      <c r="R602" s="5">
        <v>0.0</v>
      </c>
    </row>
    <row r="603" ht="22.5" customHeight="1">
      <c r="A603" s="5" t="s">
        <v>2295</v>
      </c>
      <c r="B603" s="5" t="s">
        <v>22</v>
      </c>
      <c r="C603" s="6">
        <v>6.0</v>
      </c>
      <c r="D603" s="6">
        <v>20.0</v>
      </c>
      <c r="E603" s="6">
        <v>12.6</v>
      </c>
      <c r="F603" s="6">
        <f t="shared" si="1"/>
        <v>12</v>
      </c>
      <c r="G603" s="6">
        <v>12.0</v>
      </c>
      <c r="H603" s="6">
        <v>38.0</v>
      </c>
      <c r="I603" s="6">
        <v>19.0</v>
      </c>
      <c r="J603" s="6">
        <v>7.0</v>
      </c>
      <c r="K603" s="6">
        <v>0.0</v>
      </c>
      <c r="L603" s="9">
        <v>45634.0</v>
      </c>
      <c r="M603" s="6">
        <v>9.0</v>
      </c>
      <c r="N603" s="5" t="s">
        <v>62</v>
      </c>
      <c r="O603" s="5" t="str">
        <f t="shared" si="2"/>
        <v>No</v>
      </c>
      <c r="P603" s="5" t="s">
        <v>62</v>
      </c>
      <c r="Q603" s="5">
        <f t="shared" si="3"/>
        <v>0</v>
      </c>
      <c r="R603" s="5">
        <v>0.0</v>
      </c>
    </row>
    <row r="604" ht="22.5" customHeight="1">
      <c r="A604" s="5" t="s">
        <v>2298</v>
      </c>
      <c r="B604" s="5" t="s">
        <v>65</v>
      </c>
      <c r="C604" s="6">
        <v>3.0</v>
      </c>
      <c r="D604" s="6">
        <v>6.0</v>
      </c>
      <c r="E604" s="6">
        <v>5.2</v>
      </c>
      <c r="F604" s="6">
        <f t="shared" si="1"/>
        <v>5</v>
      </c>
      <c r="G604" s="6">
        <v>5.0</v>
      </c>
      <c r="H604" s="6">
        <v>13.0</v>
      </c>
      <c r="I604" s="6">
        <v>16.0</v>
      </c>
      <c r="J604" s="6">
        <v>8.0</v>
      </c>
      <c r="K604" s="6">
        <v>2.0</v>
      </c>
      <c r="L604" s="9">
        <v>45243.0</v>
      </c>
      <c r="M604" s="6">
        <v>4.0</v>
      </c>
      <c r="N604" s="5" t="s">
        <v>113</v>
      </c>
      <c r="O604" s="5" t="str">
        <f t="shared" si="2"/>
        <v>No</v>
      </c>
      <c r="P604" s="5" t="s">
        <v>62</v>
      </c>
      <c r="Q604" s="5">
        <f t="shared" si="3"/>
        <v>0</v>
      </c>
      <c r="R604" s="5">
        <v>0.0</v>
      </c>
    </row>
    <row r="605" ht="22.5" customHeight="1">
      <c r="A605" s="5" t="s">
        <v>2301</v>
      </c>
      <c r="B605" s="5" t="s">
        <v>84</v>
      </c>
      <c r="C605" s="6">
        <v>7.0</v>
      </c>
      <c r="D605" s="6">
        <v>14.0</v>
      </c>
      <c r="E605" s="6">
        <v>2.2</v>
      </c>
      <c r="F605" s="6">
        <f t="shared" si="1"/>
        <v>2</v>
      </c>
      <c r="G605" s="6">
        <v>2.0</v>
      </c>
      <c r="H605" s="6">
        <v>57.0</v>
      </c>
      <c r="I605" s="6">
        <v>11.0</v>
      </c>
      <c r="J605" s="6">
        <v>1.0</v>
      </c>
      <c r="K605" s="6">
        <v>3.0</v>
      </c>
      <c r="L605" s="9">
        <v>45997.0</v>
      </c>
      <c r="M605" s="6">
        <v>9.0</v>
      </c>
      <c r="N605" s="5" t="s">
        <v>62</v>
      </c>
      <c r="O605" s="5" t="str">
        <f t="shared" si="2"/>
        <v>No</v>
      </c>
      <c r="P605" s="5" t="s">
        <v>62</v>
      </c>
      <c r="Q605" s="5">
        <f t="shared" si="3"/>
        <v>0</v>
      </c>
      <c r="R605" s="5">
        <v>0.0</v>
      </c>
    </row>
    <row r="606" ht="22.5" customHeight="1">
      <c r="A606" s="5" t="s">
        <v>2305</v>
      </c>
      <c r="B606" s="5" t="s">
        <v>170</v>
      </c>
      <c r="C606" s="6">
        <v>10.0</v>
      </c>
      <c r="D606" s="6">
        <v>24.0</v>
      </c>
      <c r="E606" s="6">
        <v>8.5</v>
      </c>
      <c r="F606" s="6">
        <f t="shared" si="1"/>
        <v>8</v>
      </c>
      <c r="G606" s="6">
        <v>8.0</v>
      </c>
      <c r="H606" s="6">
        <v>41.0</v>
      </c>
      <c r="I606" s="6">
        <v>19.0</v>
      </c>
      <c r="J606" s="6">
        <v>4.0</v>
      </c>
      <c r="K606" s="6">
        <v>2.0</v>
      </c>
      <c r="L606" s="9">
        <v>46174.0</v>
      </c>
      <c r="M606" s="6">
        <v>5.0</v>
      </c>
      <c r="N606" s="5" t="s">
        <v>62</v>
      </c>
      <c r="O606" s="5" t="str">
        <f t="shared" si="2"/>
        <v>No</v>
      </c>
      <c r="P606" s="5" t="s">
        <v>62</v>
      </c>
      <c r="Q606" s="5">
        <f t="shared" si="3"/>
        <v>0</v>
      </c>
      <c r="R606" s="5">
        <v>0.0</v>
      </c>
    </row>
    <row r="607" ht="22.5" customHeight="1">
      <c r="A607" s="5" t="s">
        <v>2309</v>
      </c>
      <c r="B607" s="5" t="s">
        <v>84</v>
      </c>
      <c r="C607" s="6">
        <v>8.0</v>
      </c>
      <c r="D607" s="6">
        <v>41.0</v>
      </c>
      <c r="E607" s="6">
        <v>5.8</v>
      </c>
      <c r="F607" s="6">
        <f t="shared" si="1"/>
        <v>5</v>
      </c>
      <c r="G607" s="6">
        <v>5.0</v>
      </c>
      <c r="H607" s="6">
        <v>22.0</v>
      </c>
      <c r="I607" s="6">
        <v>21.0</v>
      </c>
      <c r="J607" s="6">
        <v>2.0</v>
      </c>
      <c r="K607" s="6">
        <v>1.0</v>
      </c>
      <c r="L607" s="9">
        <v>44700.0</v>
      </c>
      <c r="M607" s="6">
        <v>4.0</v>
      </c>
      <c r="N607" s="5" t="s">
        <v>113</v>
      </c>
      <c r="O607" s="5" t="str">
        <f t="shared" si="2"/>
        <v>Yes</v>
      </c>
      <c r="P607" s="5" t="s">
        <v>113</v>
      </c>
      <c r="Q607" s="5">
        <f t="shared" si="3"/>
        <v>1</v>
      </c>
      <c r="R607" s="5">
        <v>1.0</v>
      </c>
    </row>
    <row r="608" ht="22.5" customHeight="1">
      <c r="A608" s="5" t="s">
        <v>2311</v>
      </c>
      <c r="B608" s="5" t="s">
        <v>84</v>
      </c>
      <c r="C608" s="6">
        <v>4.0</v>
      </c>
      <c r="D608" s="6">
        <v>22.0</v>
      </c>
      <c r="E608" s="6">
        <v>10.8</v>
      </c>
      <c r="F608" s="6">
        <f t="shared" si="1"/>
        <v>10</v>
      </c>
      <c r="G608" s="6">
        <v>10.0</v>
      </c>
      <c r="H608" s="6">
        <v>60.0</v>
      </c>
      <c r="I608" s="6">
        <v>30.0</v>
      </c>
      <c r="J608" s="6">
        <v>6.0</v>
      </c>
      <c r="K608" s="6">
        <v>1.0</v>
      </c>
      <c r="L608" s="9">
        <v>44950.0</v>
      </c>
      <c r="M608" s="6">
        <v>2.0</v>
      </c>
      <c r="N608" s="5" t="s">
        <v>113</v>
      </c>
      <c r="O608" s="5" t="str">
        <f t="shared" si="2"/>
        <v>Yes</v>
      </c>
      <c r="P608" s="5" t="s">
        <v>113</v>
      </c>
      <c r="Q608" s="5">
        <f t="shared" si="3"/>
        <v>1</v>
      </c>
      <c r="R608" s="5">
        <v>1.0</v>
      </c>
    </row>
    <row r="609" ht="22.5" customHeight="1">
      <c r="A609" s="5" t="s">
        <v>2315</v>
      </c>
      <c r="B609" s="5" t="s">
        <v>22</v>
      </c>
      <c r="C609" s="6">
        <v>4.0</v>
      </c>
      <c r="D609" s="6">
        <v>17.0</v>
      </c>
      <c r="E609" s="6">
        <v>15.9</v>
      </c>
      <c r="F609" s="6">
        <f t="shared" si="1"/>
        <v>15</v>
      </c>
      <c r="G609" s="6">
        <v>15.0</v>
      </c>
      <c r="H609" s="6">
        <v>48.0</v>
      </c>
      <c r="I609" s="6">
        <v>37.0</v>
      </c>
      <c r="J609" s="6">
        <v>4.0</v>
      </c>
      <c r="K609" s="6">
        <v>1.0</v>
      </c>
      <c r="L609" s="9">
        <v>45217.0</v>
      </c>
      <c r="M609" s="6">
        <v>3.0</v>
      </c>
      <c r="N609" s="5" t="s">
        <v>113</v>
      </c>
      <c r="O609" s="5" t="str">
        <f t="shared" si="2"/>
        <v>No</v>
      </c>
      <c r="P609" s="5" t="s">
        <v>62</v>
      </c>
      <c r="Q609" s="5">
        <f t="shared" si="3"/>
        <v>0</v>
      </c>
      <c r="R609" s="5">
        <v>0.0</v>
      </c>
    </row>
    <row r="610" ht="22.5" customHeight="1">
      <c r="A610" s="5" t="s">
        <v>2319</v>
      </c>
      <c r="B610" s="5" t="s">
        <v>65</v>
      </c>
      <c r="C610" s="6">
        <v>10.0</v>
      </c>
      <c r="D610" s="6">
        <v>23.0</v>
      </c>
      <c r="E610" s="6">
        <v>5.1</v>
      </c>
      <c r="F610" s="6">
        <f t="shared" si="1"/>
        <v>5</v>
      </c>
      <c r="G610" s="6">
        <v>5.0</v>
      </c>
      <c r="H610" s="6">
        <v>59.0</v>
      </c>
      <c r="I610" s="6">
        <v>33.0</v>
      </c>
      <c r="J610" s="6">
        <v>20.0</v>
      </c>
      <c r="K610" s="6">
        <v>3.0</v>
      </c>
      <c r="L610" s="9">
        <v>45052.0</v>
      </c>
      <c r="M610" s="6">
        <v>2.0</v>
      </c>
      <c r="N610" s="5" t="s">
        <v>113</v>
      </c>
      <c r="O610" s="5" t="str">
        <f t="shared" si="2"/>
        <v>Yes</v>
      </c>
      <c r="P610" s="5" t="s">
        <v>113</v>
      </c>
      <c r="Q610" s="5">
        <f t="shared" si="3"/>
        <v>1</v>
      </c>
      <c r="R610" s="5">
        <v>1.0</v>
      </c>
    </row>
    <row r="611" ht="22.5" customHeight="1">
      <c r="A611" s="5" t="s">
        <v>2321</v>
      </c>
      <c r="B611" s="5" t="s">
        <v>44</v>
      </c>
      <c r="C611" s="6">
        <v>8.0</v>
      </c>
      <c r="D611" s="6">
        <v>48.0</v>
      </c>
      <c r="E611" s="6">
        <v>2.3</v>
      </c>
      <c r="F611" s="6">
        <f t="shared" si="1"/>
        <v>2</v>
      </c>
      <c r="G611" s="6">
        <v>2.0</v>
      </c>
      <c r="H611" s="6">
        <v>57.0</v>
      </c>
      <c r="I611" s="6">
        <v>20.0</v>
      </c>
      <c r="J611" s="6">
        <v>15.0</v>
      </c>
      <c r="K611" s="6">
        <v>1.0</v>
      </c>
      <c r="L611" s="9">
        <v>45740.0</v>
      </c>
      <c r="M611" s="6">
        <v>7.0</v>
      </c>
      <c r="N611" s="5" t="s">
        <v>62</v>
      </c>
      <c r="O611" s="5" t="str">
        <f t="shared" si="2"/>
        <v>No</v>
      </c>
      <c r="P611" s="5" t="s">
        <v>62</v>
      </c>
      <c r="Q611" s="5">
        <f t="shared" si="3"/>
        <v>0</v>
      </c>
      <c r="R611" s="5">
        <v>0.0</v>
      </c>
    </row>
    <row r="612" ht="22.5" customHeight="1">
      <c r="A612" s="5" t="s">
        <v>2323</v>
      </c>
      <c r="B612" s="5" t="s">
        <v>170</v>
      </c>
      <c r="C612" s="6">
        <v>3.0</v>
      </c>
      <c r="D612" s="6">
        <v>7.0</v>
      </c>
      <c r="E612" s="6">
        <v>8.1</v>
      </c>
      <c r="F612" s="6">
        <f t="shared" si="1"/>
        <v>8</v>
      </c>
      <c r="G612" s="6">
        <v>8.0</v>
      </c>
      <c r="H612" s="6">
        <v>7.0</v>
      </c>
      <c r="I612" s="6">
        <v>26.0</v>
      </c>
      <c r="J612" s="6">
        <v>16.0</v>
      </c>
      <c r="K612" s="6">
        <v>2.0</v>
      </c>
      <c r="L612" s="9">
        <v>45733.0</v>
      </c>
      <c r="M612" s="6">
        <v>7.0</v>
      </c>
      <c r="N612" s="5" t="s">
        <v>62</v>
      </c>
      <c r="O612" s="5" t="str">
        <f t="shared" si="2"/>
        <v>No</v>
      </c>
      <c r="P612" s="5" t="s">
        <v>62</v>
      </c>
      <c r="Q612" s="5">
        <f t="shared" si="3"/>
        <v>0</v>
      </c>
      <c r="R612" s="5">
        <v>0.0</v>
      </c>
    </row>
    <row r="613" ht="22.5" customHeight="1">
      <c r="A613" s="5" t="s">
        <v>2325</v>
      </c>
      <c r="B613" s="5" t="s">
        <v>65</v>
      </c>
      <c r="C613" s="6">
        <v>8.0</v>
      </c>
      <c r="D613" s="6">
        <v>16.0</v>
      </c>
      <c r="E613" s="6">
        <v>9.3</v>
      </c>
      <c r="F613" s="6">
        <f t="shared" si="1"/>
        <v>9</v>
      </c>
      <c r="G613" s="6">
        <v>9.0</v>
      </c>
      <c r="H613" s="6">
        <v>52.0</v>
      </c>
      <c r="I613" s="6">
        <v>18.0</v>
      </c>
      <c r="J613" s="6">
        <v>14.0</v>
      </c>
      <c r="K613" s="6">
        <v>2.0</v>
      </c>
      <c r="L613" s="9">
        <v>46178.0</v>
      </c>
      <c r="M613" s="6">
        <v>5.0</v>
      </c>
      <c r="N613" s="5" t="s">
        <v>62</v>
      </c>
      <c r="O613" s="5" t="str">
        <f t="shared" si="2"/>
        <v>No</v>
      </c>
      <c r="P613" s="5" t="s">
        <v>62</v>
      </c>
      <c r="Q613" s="5">
        <f t="shared" si="3"/>
        <v>0</v>
      </c>
      <c r="R613" s="5">
        <v>0.0</v>
      </c>
    </row>
    <row r="614" ht="22.5" customHeight="1">
      <c r="A614" s="5" t="s">
        <v>2327</v>
      </c>
      <c r="B614" s="5" t="s">
        <v>22</v>
      </c>
      <c r="C614" s="6">
        <v>4.0</v>
      </c>
      <c r="D614" s="6">
        <v>18.0</v>
      </c>
      <c r="E614" s="6">
        <v>9.1</v>
      </c>
      <c r="F614" s="6">
        <f t="shared" si="1"/>
        <v>9</v>
      </c>
      <c r="G614" s="6">
        <v>9.0</v>
      </c>
      <c r="H614" s="6">
        <v>55.0</v>
      </c>
      <c r="I614" s="6">
        <v>15.0</v>
      </c>
      <c r="J614" s="6">
        <v>15.0</v>
      </c>
      <c r="K614" s="6">
        <v>1.0</v>
      </c>
      <c r="L614" s="9">
        <v>46148.0</v>
      </c>
      <c r="M614" s="6">
        <v>3.0</v>
      </c>
      <c r="N614" s="5" t="s">
        <v>62</v>
      </c>
      <c r="O614" s="5" t="str">
        <f t="shared" si="2"/>
        <v>No</v>
      </c>
      <c r="P614" s="5" t="s">
        <v>62</v>
      </c>
      <c r="Q614" s="5">
        <f t="shared" si="3"/>
        <v>0</v>
      </c>
      <c r="R614" s="5">
        <v>0.0</v>
      </c>
    </row>
    <row r="615" ht="22.5" customHeight="1">
      <c r="A615" s="5" t="s">
        <v>2329</v>
      </c>
      <c r="B615" s="5" t="s">
        <v>170</v>
      </c>
      <c r="C615" s="6">
        <v>4.0</v>
      </c>
      <c r="D615" s="6">
        <v>11.0</v>
      </c>
      <c r="E615" s="6">
        <v>5.9</v>
      </c>
      <c r="F615" s="6">
        <f t="shared" si="1"/>
        <v>5</v>
      </c>
      <c r="G615" s="6">
        <v>5.0</v>
      </c>
      <c r="H615" s="6">
        <v>7.0</v>
      </c>
      <c r="I615" s="6">
        <v>22.0</v>
      </c>
      <c r="J615" s="6">
        <v>13.0</v>
      </c>
      <c r="K615" s="6">
        <v>1.0</v>
      </c>
      <c r="L615" s="9">
        <v>45394.0</v>
      </c>
      <c r="M615" s="6">
        <v>4.0</v>
      </c>
      <c r="N615" s="5" t="s">
        <v>113</v>
      </c>
      <c r="O615" s="5" t="str">
        <f t="shared" si="2"/>
        <v>No</v>
      </c>
      <c r="P615" s="5" t="s">
        <v>62</v>
      </c>
      <c r="Q615" s="5">
        <f t="shared" si="3"/>
        <v>0</v>
      </c>
      <c r="R615" s="5">
        <v>0.0</v>
      </c>
    </row>
    <row r="616" ht="22.5" customHeight="1">
      <c r="A616" s="5" t="s">
        <v>2331</v>
      </c>
      <c r="B616" s="5" t="s">
        <v>84</v>
      </c>
      <c r="C616" s="6">
        <v>9.0</v>
      </c>
      <c r="D616" s="6">
        <v>22.0</v>
      </c>
      <c r="E616" s="6">
        <v>3.6</v>
      </c>
      <c r="F616" s="6">
        <f t="shared" si="1"/>
        <v>3</v>
      </c>
      <c r="G616" s="6">
        <v>3.0</v>
      </c>
      <c r="H616" s="6">
        <v>12.0</v>
      </c>
      <c r="I616" s="6">
        <v>39.0</v>
      </c>
      <c r="J616" s="6">
        <v>14.0</v>
      </c>
      <c r="K616" s="6">
        <v>5.0</v>
      </c>
      <c r="L616" s="9">
        <v>46134.0</v>
      </c>
      <c r="M616" s="6">
        <v>8.0</v>
      </c>
      <c r="N616" s="5" t="s">
        <v>62</v>
      </c>
      <c r="O616" s="5" t="str">
        <f t="shared" si="2"/>
        <v>No</v>
      </c>
      <c r="P616" s="5" t="s">
        <v>62</v>
      </c>
      <c r="Q616" s="5">
        <f t="shared" si="3"/>
        <v>0</v>
      </c>
      <c r="R616" s="5">
        <v>0.0</v>
      </c>
    </row>
    <row r="617" ht="22.5" customHeight="1">
      <c r="A617" s="5" t="s">
        <v>2335</v>
      </c>
      <c r="B617" s="5" t="s">
        <v>84</v>
      </c>
      <c r="C617" s="6">
        <v>6.0</v>
      </c>
      <c r="D617" s="6">
        <v>35.0</v>
      </c>
      <c r="E617" s="6">
        <v>4.4</v>
      </c>
      <c r="F617" s="6">
        <f t="shared" si="1"/>
        <v>4</v>
      </c>
      <c r="G617" s="6">
        <v>4.0</v>
      </c>
      <c r="H617" s="6">
        <v>17.0</v>
      </c>
      <c r="I617" s="6">
        <v>26.0</v>
      </c>
      <c r="J617" s="6">
        <v>16.0</v>
      </c>
      <c r="K617" s="6">
        <v>4.0</v>
      </c>
      <c r="L617" s="9">
        <v>44983.0</v>
      </c>
      <c r="M617" s="6">
        <v>4.0</v>
      </c>
      <c r="N617" s="5" t="s">
        <v>113</v>
      </c>
      <c r="O617" s="5" t="str">
        <f t="shared" si="2"/>
        <v>Yes</v>
      </c>
      <c r="P617" s="5" t="s">
        <v>113</v>
      </c>
      <c r="Q617" s="5">
        <f t="shared" si="3"/>
        <v>1</v>
      </c>
      <c r="R617" s="5">
        <v>1.0</v>
      </c>
    </row>
    <row r="618" ht="22.5" customHeight="1">
      <c r="A618" s="5" t="s">
        <v>2337</v>
      </c>
      <c r="B618" s="5" t="s">
        <v>84</v>
      </c>
      <c r="C618" s="6">
        <v>5.0</v>
      </c>
      <c r="D618" s="6">
        <v>29.0</v>
      </c>
      <c r="E618" s="6">
        <v>3.0</v>
      </c>
      <c r="F618" s="6">
        <f t="shared" si="1"/>
        <v>3</v>
      </c>
      <c r="G618" s="6">
        <v>3.0</v>
      </c>
      <c r="H618" s="6">
        <v>12.0</v>
      </c>
      <c r="I618" s="6">
        <v>22.0</v>
      </c>
      <c r="J618" s="6">
        <v>12.0</v>
      </c>
      <c r="K618" s="6">
        <v>1.0</v>
      </c>
      <c r="L618" s="9">
        <v>44964.0</v>
      </c>
      <c r="M618" s="6">
        <v>3.0</v>
      </c>
      <c r="N618" s="5" t="s">
        <v>113</v>
      </c>
      <c r="O618" s="5" t="str">
        <f t="shared" si="2"/>
        <v>Yes</v>
      </c>
      <c r="P618" s="5" t="s">
        <v>113</v>
      </c>
      <c r="Q618" s="5">
        <f t="shared" si="3"/>
        <v>1</v>
      </c>
      <c r="R618" s="5">
        <v>1.0</v>
      </c>
    </row>
    <row r="619" ht="22.5" customHeight="1">
      <c r="A619" s="5" t="s">
        <v>2340</v>
      </c>
      <c r="B619" s="5" t="s">
        <v>84</v>
      </c>
      <c r="C619" s="6">
        <v>5.0</v>
      </c>
      <c r="D619" s="6">
        <v>21.0</v>
      </c>
      <c r="E619" s="6">
        <v>5.8</v>
      </c>
      <c r="F619" s="6">
        <f t="shared" si="1"/>
        <v>5</v>
      </c>
      <c r="G619" s="6">
        <v>5.0</v>
      </c>
      <c r="H619" s="6">
        <v>23.0</v>
      </c>
      <c r="I619" s="6">
        <v>13.0</v>
      </c>
      <c r="J619" s="6">
        <v>10.0</v>
      </c>
      <c r="K619" s="6">
        <v>2.0</v>
      </c>
      <c r="L619" s="9">
        <v>45245.0</v>
      </c>
      <c r="M619" s="6">
        <v>4.0</v>
      </c>
      <c r="N619" s="5" t="s">
        <v>113</v>
      </c>
      <c r="O619" s="5" t="str">
        <f t="shared" si="2"/>
        <v>No</v>
      </c>
      <c r="P619" s="5" t="s">
        <v>62</v>
      </c>
      <c r="Q619" s="5">
        <f t="shared" si="3"/>
        <v>0</v>
      </c>
      <c r="R619" s="5">
        <v>0.0</v>
      </c>
    </row>
    <row r="620" ht="22.5" customHeight="1">
      <c r="A620" s="5" t="s">
        <v>2344</v>
      </c>
      <c r="B620" s="5" t="s">
        <v>22</v>
      </c>
      <c r="C620" s="6">
        <v>5.0</v>
      </c>
      <c r="D620" s="6">
        <v>17.0</v>
      </c>
      <c r="E620" s="6">
        <v>8.3</v>
      </c>
      <c r="F620" s="6">
        <f t="shared" si="1"/>
        <v>8</v>
      </c>
      <c r="G620" s="6">
        <v>8.0</v>
      </c>
      <c r="H620" s="6">
        <v>38.0</v>
      </c>
      <c r="I620" s="6">
        <v>19.0</v>
      </c>
      <c r="J620" s="6">
        <v>8.0</v>
      </c>
      <c r="K620" s="6">
        <v>2.0</v>
      </c>
      <c r="L620" s="9">
        <v>44903.0</v>
      </c>
      <c r="M620" s="6">
        <v>3.0</v>
      </c>
      <c r="N620" s="5" t="s">
        <v>113</v>
      </c>
      <c r="O620" s="5" t="str">
        <f t="shared" si="2"/>
        <v>Yes</v>
      </c>
      <c r="P620" s="5" t="s">
        <v>113</v>
      </c>
      <c r="Q620" s="5">
        <f t="shared" si="3"/>
        <v>1</v>
      </c>
      <c r="R620" s="5">
        <v>1.0</v>
      </c>
    </row>
    <row r="621" ht="22.5" customHeight="1">
      <c r="A621" s="5" t="s">
        <v>2346</v>
      </c>
      <c r="B621" s="5" t="s">
        <v>84</v>
      </c>
      <c r="C621" s="6">
        <v>8.0</v>
      </c>
      <c r="D621" s="6">
        <v>29.0</v>
      </c>
      <c r="E621" s="6">
        <v>19.2</v>
      </c>
      <c r="F621" s="6">
        <f t="shared" si="1"/>
        <v>19</v>
      </c>
      <c r="G621" s="6">
        <v>19.0</v>
      </c>
      <c r="H621" s="6">
        <v>27.0</v>
      </c>
      <c r="I621" s="6">
        <v>24.0</v>
      </c>
      <c r="J621" s="6">
        <v>14.0</v>
      </c>
      <c r="K621" s="6">
        <v>0.0</v>
      </c>
      <c r="L621" s="9">
        <v>45456.0</v>
      </c>
      <c r="M621" s="6">
        <v>2.0</v>
      </c>
      <c r="N621" s="5" t="s">
        <v>113</v>
      </c>
      <c r="O621" s="5" t="str">
        <f t="shared" si="2"/>
        <v>No</v>
      </c>
      <c r="P621" s="5" t="s">
        <v>62</v>
      </c>
      <c r="Q621" s="5">
        <f t="shared" si="3"/>
        <v>0</v>
      </c>
      <c r="R621" s="5">
        <v>0.0</v>
      </c>
    </row>
    <row r="622" ht="22.5" customHeight="1">
      <c r="A622" s="5" t="s">
        <v>2349</v>
      </c>
      <c r="B622" s="5" t="s">
        <v>22</v>
      </c>
      <c r="C622" s="6">
        <v>6.0</v>
      </c>
      <c r="D622" s="6">
        <v>34.0</v>
      </c>
      <c r="E622" s="6">
        <v>3.5</v>
      </c>
      <c r="F622" s="6">
        <f t="shared" si="1"/>
        <v>3</v>
      </c>
      <c r="G622" s="6">
        <v>3.0</v>
      </c>
      <c r="H622" s="6">
        <v>41.0</v>
      </c>
      <c r="I622" s="6">
        <v>22.0</v>
      </c>
      <c r="J622" s="6">
        <v>11.0</v>
      </c>
      <c r="K622" s="6">
        <v>2.0</v>
      </c>
      <c r="L622" s="9">
        <v>45784.0</v>
      </c>
      <c r="M622" s="6">
        <v>8.0</v>
      </c>
      <c r="N622" s="5" t="s">
        <v>62</v>
      </c>
      <c r="O622" s="5" t="str">
        <f t="shared" si="2"/>
        <v>No</v>
      </c>
      <c r="P622" s="5" t="s">
        <v>62</v>
      </c>
      <c r="Q622" s="5">
        <f t="shared" si="3"/>
        <v>0</v>
      </c>
      <c r="R622" s="5">
        <v>0.0</v>
      </c>
    </row>
    <row r="623" ht="22.5" customHeight="1">
      <c r="A623" s="5" t="s">
        <v>2353</v>
      </c>
      <c r="B623" s="5" t="s">
        <v>22</v>
      </c>
      <c r="C623" s="6">
        <v>6.0</v>
      </c>
      <c r="D623" s="6">
        <v>26.0</v>
      </c>
      <c r="E623" s="6">
        <v>10.4</v>
      </c>
      <c r="F623" s="6">
        <f t="shared" si="1"/>
        <v>10</v>
      </c>
      <c r="G623" s="6">
        <v>10.0</v>
      </c>
      <c r="H623" s="6">
        <v>14.0</v>
      </c>
      <c r="I623" s="6">
        <v>22.0</v>
      </c>
      <c r="J623" s="6">
        <v>5.0</v>
      </c>
      <c r="K623" s="6">
        <v>3.0</v>
      </c>
      <c r="L623" s="9">
        <v>45980.0</v>
      </c>
      <c r="M623" s="6">
        <v>7.0</v>
      </c>
      <c r="N623" s="5" t="s">
        <v>62</v>
      </c>
      <c r="O623" s="5" t="str">
        <f t="shared" si="2"/>
        <v>No</v>
      </c>
      <c r="P623" s="5" t="s">
        <v>62</v>
      </c>
      <c r="Q623" s="5">
        <f t="shared" si="3"/>
        <v>0</v>
      </c>
      <c r="R623" s="5">
        <v>0.0</v>
      </c>
    </row>
    <row r="624" ht="22.5" customHeight="1">
      <c r="A624" s="5" t="s">
        <v>2356</v>
      </c>
      <c r="B624" s="5" t="s">
        <v>65</v>
      </c>
      <c r="C624" s="6">
        <v>3.0</v>
      </c>
      <c r="D624" s="6">
        <v>9.0</v>
      </c>
      <c r="E624" s="6">
        <v>1.2</v>
      </c>
      <c r="F624" s="6">
        <f t="shared" si="1"/>
        <v>1</v>
      </c>
      <c r="G624" s="6">
        <v>1.0</v>
      </c>
      <c r="H624" s="6">
        <v>29.0</v>
      </c>
      <c r="I624" s="6">
        <v>21.0</v>
      </c>
      <c r="J624" s="6">
        <v>4.0</v>
      </c>
      <c r="K624" s="6">
        <v>3.0</v>
      </c>
      <c r="L624" s="9">
        <v>45770.0</v>
      </c>
      <c r="M624" s="6">
        <v>5.0</v>
      </c>
      <c r="N624" s="5" t="s">
        <v>62</v>
      </c>
      <c r="O624" s="5" t="str">
        <f t="shared" si="2"/>
        <v>No</v>
      </c>
      <c r="P624" s="5" t="s">
        <v>62</v>
      </c>
      <c r="Q624" s="5">
        <f t="shared" si="3"/>
        <v>0</v>
      </c>
      <c r="R624" s="5">
        <v>0.0</v>
      </c>
    </row>
    <row r="625" ht="22.5" customHeight="1">
      <c r="A625" s="5" t="s">
        <v>2360</v>
      </c>
      <c r="B625" s="5" t="s">
        <v>65</v>
      </c>
      <c r="C625" s="6">
        <v>9.0</v>
      </c>
      <c r="D625" s="6">
        <v>37.0</v>
      </c>
      <c r="E625" s="6">
        <v>8.9</v>
      </c>
      <c r="F625" s="6">
        <f t="shared" si="1"/>
        <v>8</v>
      </c>
      <c r="G625" s="6">
        <v>8.0</v>
      </c>
      <c r="H625" s="6">
        <v>9.0</v>
      </c>
      <c r="I625" s="6">
        <v>17.0</v>
      </c>
      <c r="J625" s="6">
        <v>19.0</v>
      </c>
      <c r="K625" s="6">
        <v>5.0</v>
      </c>
      <c r="L625" s="9">
        <v>44637.0</v>
      </c>
      <c r="M625" s="6">
        <v>5.0</v>
      </c>
      <c r="N625" s="5" t="s">
        <v>113</v>
      </c>
      <c r="O625" s="5" t="str">
        <f t="shared" si="2"/>
        <v>Yes</v>
      </c>
      <c r="P625" s="5" t="s">
        <v>113</v>
      </c>
      <c r="Q625" s="5">
        <f t="shared" si="3"/>
        <v>1</v>
      </c>
      <c r="R625" s="5">
        <v>1.0</v>
      </c>
    </row>
    <row r="626" ht="22.5" customHeight="1">
      <c r="A626" s="5" t="s">
        <v>2362</v>
      </c>
      <c r="B626" s="5" t="s">
        <v>22</v>
      </c>
      <c r="C626" s="6">
        <v>7.0</v>
      </c>
      <c r="D626" s="6">
        <v>31.0</v>
      </c>
      <c r="E626" s="6">
        <v>3.3</v>
      </c>
      <c r="F626" s="6">
        <f t="shared" si="1"/>
        <v>3</v>
      </c>
      <c r="G626" s="6">
        <v>3.0</v>
      </c>
      <c r="H626" s="6">
        <v>27.0</v>
      </c>
      <c r="I626" s="6">
        <v>21.0</v>
      </c>
      <c r="J626" s="6">
        <v>18.0</v>
      </c>
      <c r="K626" s="6">
        <v>4.0</v>
      </c>
      <c r="L626" s="9">
        <v>44882.0</v>
      </c>
      <c r="M626" s="6">
        <v>4.0</v>
      </c>
      <c r="N626" s="5" t="s">
        <v>113</v>
      </c>
      <c r="O626" s="5" t="str">
        <f t="shared" si="2"/>
        <v>Yes</v>
      </c>
      <c r="P626" s="5" t="s">
        <v>113</v>
      </c>
      <c r="Q626" s="5">
        <f t="shared" si="3"/>
        <v>1</v>
      </c>
      <c r="R626" s="5">
        <v>1.0</v>
      </c>
    </row>
    <row r="627" ht="22.5" customHeight="1">
      <c r="A627" s="5" t="s">
        <v>2366</v>
      </c>
      <c r="B627" s="5" t="s">
        <v>22</v>
      </c>
      <c r="C627" s="6">
        <v>5.0</v>
      </c>
      <c r="D627" s="6">
        <v>16.0</v>
      </c>
      <c r="E627" s="6">
        <v>9.4</v>
      </c>
      <c r="F627" s="6">
        <f t="shared" si="1"/>
        <v>9</v>
      </c>
      <c r="G627" s="6">
        <v>9.0</v>
      </c>
      <c r="H627" s="6">
        <v>29.0</v>
      </c>
      <c r="I627" s="6">
        <v>21.0</v>
      </c>
      <c r="J627" s="6">
        <v>14.0</v>
      </c>
      <c r="K627" s="6">
        <v>4.0</v>
      </c>
      <c r="L627" s="9">
        <v>46068.0</v>
      </c>
      <c r="M627" s="6">
        <v>6.0</v>
      </c>
      <c r="N627" s="5" t="s">
        <v>62</v>
      </c>
      <c r="O627" s="5" t="str">
        <f t="shared" si="2"/>
        <v>No</v>
      </c>
      <c r="P627" s="5" t="s">
        <v>62</v>
      </c>
      <c r="Q627" s="5">
        <f t="shared" si="3"/>
        <v>0</v>
      </c>
      <c r="R627" s="5">
        <v>0.0</v>
      </c>
    </row>
    <row r="628" ht="22.5" customHeight="1">
      <c r="A628" s="5" t="s">
        <v>2370</v>
      </c>
      <c r="B628" s="5" t="s">
        <v>22</v>
      </c>
      <c r="C628" s="6">
        <v>6.0</v>
      </c>
      <c r="D628" s="6">
        <v>17.0</v>
      </c>
      <c r="E628" s="6">
        <v>4.9</v>
      </c>
      <c r="F628" s="6">
        <f t="shared" si="1"/>
        <v>4</v>
      </c>
      <c r="G628" s="6">
        <v>4.0</v>
      </c>
      <c r="H628" s="6">
        <v>51.0</v>
      </c>
      <c r="I628" s="6">
        <v>30.0</v>
      </c>
      <c r="J628" s="8"/>
      <c r="K628" s="6">
        <v>2.0</v>
      </c>
      <c r="L628" s="9">
        <v>45473.0</v>
      </c>
      <c r="M628" s="6">
        <v>2.0</v>
      </c>
      <c r="N628" s="5" t="s">
        <v>113</v>
      </c>
      <c r="O628" s="5" t="str">
        <f t="shared" si="2"/>
        <v>No</v>
      </c>
      <c r="P628" s="5" t="s">
        <v>62</v>
      </c>
      <c r="Q628" s="5">
        <f t="shared" si="3"/>
        <v>0</v>
      </c>
      <c r="R628" s="5">
        <v>0.0</v>
      </c>
    </row>
    <row r="629" ht="22.5" customHeight="1">
      <c r="A629" s="5" t="s">
        <v>2373</v>
      </c>
      <c r="B629" s="5" t="s">
        <v>84</v>
      </c>
      <c r="C629" s="6">
        <v>6.0</v>
      </c>
      <c r="D629" s="6">
        <v>12.0</v>
      </c>
      <c r="E629" s="6">
        <v>1.7</v>
      </c>
      <c r="F629" s="6">
        <f t="shared" si="1"/>
        <v>1</v>
      </c>
      <c r="G629" s="6">
        <v>1.0</v>
      </c>
      <c r="H629" s="6">
        <v>30.0</v>
      </c>
      <c r="I629" s="6">
        <v>25.0</v>
      </c>
      <c r="J629" s="8"/>
      <c r="K629" s="6">
        <v>2.0</v>
      </c>
      <c r="L629" s="9">
        <v>46240.0</v>
      </c>
      <c r="M629" s="6">
        <v>8.0</v>
      </c>
      <c r="N629" s="5" t="s">
        <v>62</v>
      </c>
      <c r="O629" s="5" t="str">
        <f t="shared" si="2"/>
        <v>No</v>
      </c>
      <c r="P629" s="5" t="s">
        <v>62</v>
      </c>
      <c r="Q629" s="5">
        <f t="shared" si="3"/>
        <v>0</v>
      </c>
      <c r="R629" s="5">
        <v>0.0</v>
      </c>
    </row>
    <row r="630" ht="22.5" customHeight="1">
      <c r="A630" s="5" t="s">
        <v>2376</v>
      </c>
      <c r="B630" s="5" t="s">
        <v>65</v>
      </c>
      <c r="C630" s="6">
        <v>5.0</v>
      </c>
      <c r="D630" s="6">
        <v>11.0</v>
      </c>
      <c r="E630" s="6">
        <v>16.3</v>
      </c>
      <c r="F630" s="6">
        <f t="shared" si="1"/>
        <v>16</v>
      </c>
      <c r="G630" s="6">
        <v>16.0</v>
      </c>
      <c r="H630" s="6">
        <v>34.0</v>
      </c>
      <c r="I630" s="6">
        <v>35.0</v>
      </c>
      <c r="J630" s="6">
        <v>6.0</v>
      </c>
      <c r="K630" s="6">
        <v>2.0</v>
      </c>
      <c r="L630" s="9">
        <v>45637.0</v>
      </c>
      <c r="M630" s="6">
        <v>7.0</v>
      </c>
      <c r="N630" s="5" t="s">
        <v>62</v>
      </c>
      <c r="O630" s="5" t="str">
        <f t="shared" si="2"/>
        <v>No</v>
      </c>
      <c r="P630" s="5" t="s">
        <v>62</v>
      </c>
      <c r="Q630" s="5">
        <f t="shared" si="3"/>
        <v>0</v>
      </c>
      <c r="R630" s="5">
        <v>0.0</v>
      </c>
    </row>
    <row r="631" ht="22.5" customHeight="1">
      <c r="A631" s="5" t="s">
        <v>2379</v>
      </c>
      <c r="B631" s="5" t="s">
        <v>65</v>
      </c>
      <c r="C631" s="6">
        <v>6.0</v>
      </c>
      <c r="D631" s="6">
        <v>10.0</v>
      </c>
      <c r="E631" s="6">
        <v>5.1</v>
      </c>
      <c r="F631" s="6">
        <f t="shared" si="1"/>
        <v>5</v>
      </c>
      <c r="G631" s="6">
        <v>5.0</v>
      </c>
      <c r="H631" s="6">
        <v>28.0</v>
      </c>
      <c r="I631" s="6">
        <v>30.0</v>
      </c>
      <c r="J631" s="6">
        <v>9.0</v>
      </c>
      <c r="K631" s="6">
        <v>1.0</v>
      </c>
      <c r="L631" s="9">
        <v>44948.0</v>
      </c>
      <c r="M631" s="6">
        <v>4.0</v>
      </c>
      <c r="N631" s="5" t="s">
        <v>113</v>
      </c>
      <c r="O631" s="5" t="str">
        <f t="shared" si="2"/>
        <v>Yes</v>
      </c>
      <c r="P631" s="5" t="s">
        <v>113</v>
      </c>
      <c r="Q631" s="5">
        <f t="shared" si="3"/>
        <v>1</v>
      </c>
      <c r="R631" s="5">
        <v>1.0</v>
      </c>
    </row>
    <row r="632" ht="22.5" customHeight="1">
      <c r="A632" s="5" t="s">
        <v>2381</v>
      </c>
      <c r="B632" s="5" t="s">
        <v>65</v>
      </c>
      <c r="C632" s="6">
        <v>3.0</v>
      </c>
      <c r="D632" s="6">
        <v>16.0</v>
      </c>
      <c r="E632" s="6">
        <v>4.7</v>
      </c>
      <c r="F632" s="6">
        <f t="shared" si="1"/>
        <v>4</v>
      </c>
      <c r="G632" s="6">
        <v>4.0</v>
      </c>
      <c r="H632" s="6">
        <v>19.0</v>
      </c>
      <c r="I632" s="6">
        <v>26.0</v>
      </c>
      <c r="J632" s="6">
        <v>17.0</v>
      </c>
      <c r="K632" s="6">
        <v>4.0</v>
      </c>
      <c r="L632" s="9">
        <v>45813.0</v>
      </c>
      <c r="M632" s="6">
        <v>5.0</v>
      </c>
      <c r="N632" s="5" t="s">
        <v>62</v>
      </c>
      <c r="O632" s="5" t="str">
        <f t="shared" si="2"/>
        <v>No</v>
      </c>
      <c r="P632" s="5" t="s">
        <v>62</v>
      </c>
      <c r="Q632" s="5">
        <f t="shared" si="3"/>
        <v>0</v>
      </c>
      <c r="R632" s="5">
        <v>0.0</v>
      </c>
    </row>
    <row r="633" ht="22.5" customHeight="1">
      <c r="A633" s="5" t="s">
        <v>2383</v>
      </c>
      <c r="B633" s="5" t="s">
        <v>84</v>
      </c>
      <c r="C633" s="6">
        <v>8.0</v>
      </c>
      <c r="D633" s="6">
        <v>18.0</v>
      </c>
      <c r="E633" s="6">
        <v>9.9</v>
      </c>
      <c r="F633" s="6">
        <f t="shared" si="1"/>
        <v>9</v>
      </c>
      <c r="G633" s="6">
        <v>9.0</v>
      </c>
      <c r="H633" s="6">
        <v>46.0</v>
      </c>
      <c r="I633" s="6">
        <v>18.0</v>
      </c>
      <c r="J633" s="6">
        <v>9.0</v>
      </c>
      <c r="K633" s="6">
        <v>1.0</v>
      </c>
      <c r="L633" s="9">
        <v>44688.0</v>
      </c>
      <c r="M633" s="6">
        <v>7.0</v>
      </c>
      <c r="O633" s="10" t="str">
        <f t="shared" si="2"/>
        <v>Yes</v>
      </c>
      <c r="P633" s="10" t="s">
        <v>113</v>
      </c>
      <c r="Q633" s="10">
        <f t="shared" si="3"/>
        <v>1</v>
      </c>
      <c r="R633" s="10">
        <v>1.0</v>
      </c>
    </row>
    <row r="634" ht="22.5" customHeight="1">
      <c r="A634" s="5" t="s">
        <v>2385</v>
      </c>
      <c r="B634" s="5" t="s">
        <v>84</v>
      </c>
      <c r="C634" s="6">
        <v>4.0</v>
      </c>
      <c r="D634" s="6">
        <v>7.0</v>
      </c>
      <c r="E634" s="6">
        <v>12.2</v>
      </c>
      <c r="F634" s="6">
        <f t="shared" si="1"/>
        <v>12</v>
      </c>
      <c r="G634" s="6">
        <v>12.0</v>
      </c>
      <c r="H634" s="6">
        <v>41.0</v>
      </c>
      <c r="I634" s="6">
        <v>23.0</v>
      </c>
      <c r="J634" s="6">
        <v>19.0</v>
      </c>
      <c r="K634" s="6">
        <v>4.0</v>
      </c>
      <c r="L634" s="9">
        <v>44608.0</v>
      </c>
      <c r="M634" s="6">
        <v>4.0</v>
      </c>
      <c r="N634" s="5" t="s">
        <v>113</v>
      </c>
      <c r="O634" s="5" t="str">
        <f t="shared" si="2"/>
        <v>Yes</v>
      </c>
      <c r="P634" s="5" t="s">
        <v>113</v>
      </c>
      <c r="Q634" s="5">
        <f t="shared" si="3"/>
        <v>1</v>
      </c>
      <c r="R634" s="5">
        <v>1.0</v>
      </c>
    </row>
    <row r="635" ht="22.5" customHeight="1">
      <c r="A635" s="5" t="s">
        <v>2388</v>
      </c>
      <c r="B635" s="5" t="s">
        <v>22</v>
      </c>
      <c r="C635" s="6">
        <v>11.0</v>
      </c>
      <c r="D635" s="6">
        <v>55.0</v>
      </c>
      <c r="E635" s="6">
        <v>6.0</v>
      </c>
      <c r="F635" s="6">
        <f t="shared" si="1"/>
        <v>6</v>
      </c>
      <c r="G635" s="6">
        <v>6.0</v>
      </c>
      <c r="H635" s="6">
        <v>18.0</v>
      </c>
      <c r="I635" s="6">
        <v>29.0</v>
      </c>
      <c r="J635" s="6">
        <v>1.0</v>
      </c>
      <c r="K635" s="6">
        <v>3.0</v>
      </c>
      <c r="L635" s="9">
        <v>46170.0</v>
      </c>
      <c r="M635" s="6">
        <v>7.0</v>
      </c>
      <c r="N635" s="5" t="s">
        <v>62</v>
      </c>
      <c r="O635" s="5" t="str">
        <f t="shared" si="2"/>
        <v>No</v>
      </c>
      <c r="P635" s="5" t="s">
        <v>62</v>
      </c>
      <c r="Q635" s="5">
        <f t="shared" si="3"/>
        <v>0</v>
      </c>
      <c r="R635" s="5">
        <v>0.0</v>
      </c>
    </row>
    <row r="636" ht="22.5" customHeight="1">
      <c r="A636" s="5" t="s">
        <v>2389</v>
      </c>
      <c r="B636" s="5" t="s">
        <v>44</v>
      </c>
      <c r="C636" s="6">
        <v>9.0</v>
      </c>
      <c r="D636" s="6">
        <v>45.0</v>
      </c>
      <c r="E636" s="6">
        <v>8.3</v>
      </c>
      <c r="F636" s="6">
        <f t="shared" si="1"/>
        <v>8</v>
      </c>
      <c r="G636" s="6">
        <v>8.0</v>
      </c>
      <c r="H636" s="6">
        <v>42.0</v>
      </c>
      <c r="I636" s="6">
        <v>29.0</v>
      </c>
      <c r="J636" s="6">
        <v>1.0</v>
      </c>
      <c r="K636" s="6">
        <v>1.0</v>
      </c>
      <c r="L636" s="9">
        <v>46209.0</v>
      </c>
      <c r="M636" s="6">
        <v>7.0</v>
      </c>
      <c r="N636" s="5" t="s">
        <v>62</v>
      </c>
      <c r="O636" s="5" t="str">
        <f t="shared" si="2"/>
        <v>No</v>
      </c>
      <c r="P636" s="5" t="s">
        <v>62</v>
      </c>
      <c r="Q636" s="5">
        <f t="shared" si="3"/>
        <v>0</v>
      </c>
      <c r="R636" s="5">
        <v>0.0</v>
      </c>
    </row>
    <row r="637" ht="22.5" customHeight="1">
      <c r="A637" s="5" t="s">
        <v>2392</v>
      </c>
      <c r="B637" s="5" t="s">
        <v>84</v>
      </c>
      <c r="C637" s="6">
        <v>5.0</v>
      </c>
      <c r="D637" s="6">
        <v>29.0</v>
      </c>
      <c r="E637" s="6">
        <v>12.1</v>
      </c>
      <c r="F637" s="6">
        <f t="shared" si="1"/>
        <v>12</v>
      </c>
      <c r="G637" s="6">
        <v>12.0</v>
      </c>
      <c r="H637" s="6">
        <v>42.0</v>
      </c>
      <c r="I637" s="6">
        <v>22.0</v>
      </c>
      <c r="J637" s="8"/>
      <c r="K637" s="6">
        <v>3.0</v>
      </c>
      <c r="L637" s="9">
        <v>45812.0</v>
      </c>
      <c r="M637" s="6">
        <v>7.0</v>
      </c>
      <c r="N637" s="5" t="s">
        <v>62</v>
      </c>
      <c r="O637" s="5" t="str">
        <f t="shared" si="2"/>
        <v>No</v>
      </c>
      <c r="P637" s="5" t="s">
        <v>62</v>
      </c>
      <c r="Q637" s="5">
        <f t="shared" si="3"/>
        <v>0</v>
      </c>
      <c r="R637" s="5">
        <v>0.0</v>
      </c>
    </row>
    <row r="638" ht="22.5" customHeight="1">
      <c r="A638" s="5" t="s">
        <v>2396</v>
      </c>
      <c r="B638" s="5" t="s">
        <v>22</v>
      </c>
      <c r="C638" s="6">
        <v>3.0</v>
      </c>
      <c r="D638" s="6">
        <v>10.0</v>
      </c>
      <c r="E638" s="6">
        <v>8.2</v>
      </c>
      <c r="F638" s="6">
        <f t="shared" si="1"/>
        <v>8</v>
      </c>
      <c r="G638" s="6">
        <v>8.0</v>
      </c>
      <c r="H638" s="6">
        <v>58.0</v>
      </c>
      <c r="I638" s="6">
        <v>31.0</v>
      </c>
      <c r="J638" s="6">
        <v>7.0</v>
      </c>
      <c r="K638" s="6">
        <v>2.0</v>
      </c>
      <c r="L638" s="9">
        <v>45837.0</v>
      </c>
      <c r="M638" s="6">
        <v>6.0</v>
      </c>
      <c r="N638" s="5" t="s">
        <v>62</v>
      </c>
      <c r="O638" s="5" t="str">
        <f t="shared" si="2"/>
        <v>No</v>
      </c>
      <c r="P638" s="5" t="s">
        <v>62</v>
      </c>
      <c r="Q638" s="5">
        <f t="shared" si="3"/>
        <v>0</v>
      </c>
      <c r="R638" s="5">
        <v>0.0</v>
      </c>
    </row>
    <row r="639" ht="22.5" customHeight="1">
      <c r="A639" s="5" t="s">
        <v>2399</v>
      </c>
      <c r="B639" s="5" t="s">
        <v>65</v>
      </c>
      <c r="C639" s="6">
        <v>6.0</v>
      </c>
      <c r="D639" s="6">
        <v>26.0</v>
      </c>
      <c r="E639" s="6">
        <v>8.9</v>
      </c>
      <c r="F639" s="6">
        <f t="shared" si="1"/>
        <v>8</v>
      </c>
      <c r="G639" s="6">
        <v>8.0</v>
      </c>
      <c r="H639" s="6">
        <v>60.0</v>
      </c>
      <c r="I639" s="6">
        <v>16.0</v>
      </c>
      <c r="J639" s="6">
        <v>6.0</v>
      </c>
      <c r="K639" s="6">
        <v>2.0</v>
      </c>
      <c r="L639" s="9">
        <v>44467.0</v>
      </c>
      <c r="M639" s="6">
        <v>1.0</v>
      </c>
      <c r="N639" s="5" t="s">
        <v>113</v>
      </c>
      <c r="O639" s="5" t="str">
        <f t="shared" si="2"/>
        <v>Yes</v>
      </c>
      <c r="P639" s="5" t="s">
        <v>113</v>
      </c>
      <c r="Q639" s="5">
        <f t="shared" si="3"/>
        <v>1</v>
      </c>
      <c r="R639" s="5">
        <v>1.0</v>
      </c>
    </row>
    <row r="640" ht="22.5" customHeight="1">
      <c r="A640" s="5" t="s">
        <v>2402</v>
      </c>
      <c r="B640" s="5" t="s">
        <v>170</v>
      </c>
      <c r="C640" s="6">
        <v>2.0</v>
      </c>
      <c r="D640" s="6">
        <v>3.0</v>
      </c>
      <c r="E640" s="6">
        <v>6.6</v>
      </c>
      <c r="F640" s="6">
        <f t="shared" si="1"/>
        <v>6</v>
      </c>
      <c r="G640" s="6">
        <v>6.0</v>
      </c>
      <c r="H640" s="6">
        <v>45.0</v>
      </c>
      <c r="I640" s="6">
        <v>40.0</v>
      </c>
      <c r="J640" s="6">
        <v>17.0</v>
      </c>
      <c r="K640" s="6">
        <v>2.0</v>
      </c>
      <c r="L640" s="9">
        <v>45307.0</v>
      </c>
      <c r="M640" s="6">
        <v>2.0</v>
      </c>
      <c r="N640" s="5" t="s">
        <v>113</v>
      </c>
      <c r="O640" s="5" t="str">
        <f t="shared" si="2"/>
        <v>No</v>
      </c>
      <c r="P640" s="5" t="s">
        <v>62</v>
      </c>
      <c r="Q640" s="5">
        <f t="shared" si="3"/>
        <v>0</v>
      </c>
      <c r="R640" s="5">
        <v>0.0</v>
      </c>
    </row>
    <row r="641" ht="22.5" customHeight="1">
      <c r="A641" s="5" t="s">
        <v>2404</v>
      </c>
      <c r="B641" s="5" t="s">
        <v>22</v>
      </c>
      <c r="C641" s="6">
        <v>5.0</v>
      </c>
      <c r="D641" s="6">
        <v>20.0</v>
      </c>
      <c r="E641" s="6">
        <v>14.1</v>
      </c>
      <c r="F641" s="6">
        <f t="shared" si="1"/>
        <v>14</v>
      </c>
      <c r="G641" s="6">
        <v>14.0</v>
      </c>
      <c r="H641" s="6">
        <v>20.0</v>
      </c>
      <c r="I641" s="6">
        <v>16.0</v>
      </c>
      <c r="J641" s="6">
        <v>9.0</v>
      </c>
      <c r="K641" s="6">
        <v>2.0</v>
      </c>
      <c r="L641" s="9">
        <v>45956.0</v>
      </c>
      <c r="M641" s="6">
        <v>7.0</v>
      </c>
      <c r="N641" s="5" t="s">
        <v>62</v>
      </c>
      <c r="O641" s="5" t="str">
        <f t="shared" si="2"/>
        <v>No</v>
      </c>
      <c r="P641" s="5" t="s">
        <v>62</v>
      </c>
      <c r="Q641" s="5">
        <f t="shared" si="3"/>
        <v>0</v>
      </c>
      <c r="R641" s="5">
        <v>0.0</v>
      </c>
    </row>
    <row r="642" ht="22.5" customHeight="1">
      <c r="A642" s="5" t="s">
        <v>2406</v>
      </c>
      <c r="B642" s="5" t="s">
        <v>22</v>
      </c>
      <c r="C642" s="6">
        <v>11.0</v>
      </c>
      <c r="D642" s="6">
        <v>55.0</v>
      </c>
      <c r="E642" s="6">
        <v>4.6</v>
      </c>
      <c r="F642" s="6">
        <f t="shared" si="1"/>
        <v>4</v>
      </c>
      <c r="G642" s="6">
        <v>4.0</v>
      </c>
      <c r="H642" s="6">
        <v>23.0</v>
      </c>
      <c r="I642" s="6">
        <v>21.0</v>
      </c>
      <c r="J642" s="6">
        <v>10.0</v>
      </c>
      <c r="K642" s="6">
        <v>1.0</v>
      </c>
      <c r="L642" s="9">
        <v>45601.0</v>
      </c>
      <c r="M642" s="6">
        <v>8.0</v>
      </c>
      <c r="N642" s="5" t="s">
        <v>62</v>
      </c>
      <c r="O642" s="5" t="str">
        <f t="shared" si="2"/>
        <v>No</v>
      </c>
      <c r="P642" s="5" t="s">
        <v>62</v>
      </c>
      <c r="Q642" s="5">
        <f t="shared" si="3"/>
        <v>0</v>
      </c>
      <c r="R642" s="5">
        <v>0.0</v>
      </c>
    </row>
    <row r="643" ht="22.5" customHeight="1">
      <c r="A643" s="5" t="s">
        <v>2409</v>
      </c>
      <c r="B643" s="5" t="s">
        <v>22</v>
      </c>
      <c r="C643" s="6">
        <v>5.0</v>
      </c>
      <c r="D643" s="6">
        <v>21.0</v>
      </c>
      <c r="E643" s="6">
        <v>12.4</v>
      </c>
      <c r="F643" s="6">
        <f t="shared" si="1"/>
        <v>12</v>
      </c>
      <c r="G643" s="6">
        <v>12.0</v>
      </c>
      <c r="H643" s="6">
        <v>25.0</v>
      </c>
      <c r="I643" s="6">
        <v>41.0</v>
      </c>
      <c r="J643" s="6">
        <v>16.0</v>
      </c>
      <c r="K643" s="6">
        <v>0.0</v>
      </c>
      <c r="L643" s="9">
        <v>46168.0</v>
      </c>
      <c r="M643" s="6">
        <v>6.0</v>
      </c>
      <c r="N643" s="5" t="s">
        <v>62</v>
      </c>
      <c r="O643" s="5" t="str">
        <f t="shared" si="2"/>
        <v>No</v>
      </c>
      <c r="P643" s="5" t="s">
        <v>62</v>
      </c>
      <c r="Q643" s="5">
        <f t="shared" si="3"/>
        <v>0</v>
      </c>
      <c r="R643" s="5">
        <v>0.0</v>
      </c>
    </row>
    <row r="644" ht="22.5" customHeight="1">
      <c r="A644" s="5" t="s">
        <v>2412</v>
      </c>
      <c r="B644" s="5" t="s">
        <v>65</v>
      </c>
      <c r="C644" s="6">
        <v>8.0</v>
      </c>
      <c r="D644" s="6">
        <v>13.0</v>
      </c>
      <c r="E644" s="6">
        <v>10.5</v>
      </c>
      <c r="F644" s="6">
        <f t="shared" si="1"/>
        <v>10</v>
      </c>
      <c r="G644" s="6">
        <v>10.0</v>
      </c>
      <c r="H644" s="6">
        <v>6.0</v>
      </c>
      <c r="I644" s="6">
        <v>31.0</v>
      </c>
      <c r="J644" s="8"/>
      <c r="K644" s="6">
        <v>2.0</v>
      </c>
      <c r="L644" s="9">
        <v>46105.0</v>
      </c>
      <c r="M644" s="6">
        <v>8.0</v>
      </c>
      <c r="N644" s="5" t="s">
        <v>62</v>
      </c>
      <c r="O644" s="5" t="str">
        <f t="shared" si="2"/>
        <v>No</v>
      </c>
      <c r="P644" s="5" t="s">
        <v>62</v>
      </c>
      <c r="Q644" s="5">
        <f t="shared" si="3"/>
        <v>0</v>
      </c>
      <c r="R644" s="5">
        <v>0.0</v>
      </c>
    </row>
    <row r="645" ht="22.5" customHeight="1">
      <c r="A645" s="5" t="s">
        <v>2414</v>
      </c>
      <c r="B645" s="5" t="s">
        <v>170</v>
      </c>
      <c r="C645" s="6">
        <v>8.0</v>
      </c>
      <c r="D645" s="6">
        <v>40.0</v>
      </c>
      <c r="E645" s="6">
        <v>4.1</v>
      </c>
      <c r="F645" s="6">
        <f t="shared" si="1"/>
        <v>4</v>
      </c>
      <c r="G645" s="6">
        <v>4.0</v>
      </c>
      <c r="H645" s="6">
        <v>20.0</v>
      </c>
      <c r="I645" s="6">
        <v>11.0</v>
      </c>
      <c r="J645" s="6">
        <v>11.0</v>
      </c>
      <c r="K645" s="6">
        <v>2.0</v>
      </c>
      <c r="L645" s="9">
        <v>44911.0</v>
      </c>
      <c r="M645" s="6">
        <v>1.0</v>
      </c>
      <c r="N645" s="5" t="s">
        <v>113</v>
      </c>
      <c r="O645" s="5" t="str">
        <f t="shared" si="2"/>
        <v>Yes</v>
      </c>
      <c r="P645" s="5" t="s">
        <v>113</v>
      </c>
      <c r="Q645" s="5">
        <f t="shared" si="3"/>
        <v>1</v>
      </c>
      <c r="R645" s="5">
        <v>1.0</v>
      </c>
    </row>
    <row r="646" ht="22.5" customHeight="1">
      <c r="A646" s="5" t="s">
        <v>2418</v>
      </c>
      <c r="B646" s="5" t="s">
        <v>22</v>
      </c>
      <c r="C646" s="6">
        <v>8.0</v>
      </c>
      <c r="D646" s="6">
        <v>25.0</v>
      </c>
      <c r="E646" s="6">
        <v>6.9</v>
      </c>
      <c r="F646" s="6">
        <f t="shared" si="1"/>
        <v>6</v>
      </c>
      <c r="G646" s="6">
        <v>6.0</v>
      </c>
      <c r="H646" s="6">
        <v>58.0</v>
      </c>
      <c r="I646" s="6">
        <v>29.0</v>
      </c>
      <c r="J646" s="6">
        <v>14.0</v>
      </c>
      <c r="K646" s="6">
        <v>2.0</v>
      </c>
      <c r="L646" s="9">
        <v>46264.0</v>
      </c>
      <c r="M646" s="6">
        <v>7.0</v>
      </c>
      <c r="N646" s="5" t="s">
        <v>62</v>
      </c>
      <c r="O646" s="5" t="str">
        <f t="shared" si="2"/>
        <v>No</v>
      </c>
      <c r="P646" s="5" t="s">
        <v>62</v>
      </c>
      <c r="Q646" s="5">
        <f t="shared" si="3"/>
        <v>0</v>
      </c>
      <c r="R646" s="5">
        <v>0.0</v>
      </c>
    </row>
    <row r="647" ht="22.5" customHeight="1">
      <c r="A647" s="5" t="s">
        <v>2421</v>
      </c>
      <c r="B647" s="5" t="s">
        <v>22</v>
      </c>
      <c r="C647" s="6">
        <v>6.0</v>
      </c>
      <c r="D647" s="6">
        <v>18.0</v>
      </c>
      <c r="E647" s="6">
        <v>6.9</v>
      </c>
      <c r="F647" s="6">
        <f t="shared" si="1"/>
        <v>6</v>
      </c>
      <c r="G647" s="6">
        <v>6.0</v>
      </c>
      <c r="H647" s="6">
        <v>49.0</v>
      </c>
      <c r="I647" s="6">
        <v>32.0</v>
      </c>
      <c r="J647" s="6">
        <v>20.0</v>
      </c>
      <c r="K647" s="6">
        <v>3.0</v>
      </c>
      <c r="L647" s="9">
        <v>44543.0</v>
      </c>
      <c r="M647" s="6">
        <v>6.0</v>
      </c>
      <c r="N647" s="5" t="s">
        <v>113</v>
      </c>
      <c r="O647" s="5" t="str">
        <f t="shared" si="2"/>
        <v>Yes</v>
      </c>
      <c r="P647" s="5" t="s">
        <v>113</v>
      </c>
      <c r="Q647" s="5">
        <f t="shared" si="3"/>
        <v>1</v>
      </c>
      <c r="R647" s="5">
        <v>1.0</v>
      </c>
    </row>
    <row r="648" ht="22.5" customHeight="1">
      <c r="A648" s="5" t="s">
        <v>2423</v>
      </c>
      <c r="B648" s="5" t="s">
        <v>22</v>
      </c>
      <c r="C648" s="6">
        <v>8.0</v>
      </c>
      <c r="D648" s="6">
        <v>19.0</v>
      </c>
      <c r="E648" s="6">
        <v>4.7</v>
      </c>
      <c r="F648" s="6">
        <f t="shared" si="1"/>
        <v>4</v>
      </c>
      <c r="G648" s="6">
        <v>4.0</v>
      </c>
      <c r="H648" s="6">
        <v>44.0</v>
      </c>
      <c r="I648" s="6">
        <v>38.0</v>
      </c>
      <c r="J648" s="6">
        <v>3.0</v>
      </c>
      <c r="K648" s="6">
        <v>0.0</v>
      </c>
      <c r="L648" s="9">
        <v>46012.0</v>
      </c>
      <c r="M648" s="6">
        <v>5.0</v>
      </c>
      <c r="N648" s="5" t="s">
        <v>62</v>
      </c>
      <c r="O648" s="5" t="str">
        <f t="shared" si="2"/>
        <v>No</v>
      </c>
      <c r="P648" s="5" t="s">
        <v>62</v>
      </c>
      <c r="Q648" s="5">
        <f t="shared" si="3"/>
        <v>0</v>
      </c>
      <c r="R648" s="5">
        <v>0.0</v>
      </c>
    </row>
    <row r="649" ht="22.5" customHeight="1">
      <c r="A649" s="5" t="s">
        <v>2427</v>
      </c>
      <c r="B649" s="5" t="s">
        <v>65</v>
      </c>
      <c r="C649" s="6">
        <v>6.0</v>
      </c>
      <c r="D649" s="6">
        <v>22.0</v>
      </c>
      <c r="E649" s="6">
        <v>14.1</v>
      </c>
      <c r="F649" s="6">
        <f t="shared" si="1"/>
        <v>14</v>
      </c>
      <c r="G649" s="6">
        <v>14.0</v>
      </c>
      <c r="H649" s="6">
        <v>20.0</v>
      </c>
      <c r="I649" s="6">
        <v>19.0</v>
      </c>
      <c r="J649" s="6">
        <v>3.0</v>
      </c>
      <c r="K649" s="6">
        <v>2.0</v>
      </c>
      <c r="L649" s="9">
        <v>45388.0</v>
      </c>
      <c r="M649" s="6">
        <v>4.0</v>
      </c>
      <c r="N649" s="5" t="s">
        <v>113</v>
      </c>
      <c r="O649" s="5" t="str">
        <f t="shared" si="2"/>
        <v>No</v>
      </c>
      <c r="P649" s="5" t="s">
        <v>62</v>
      </c>
      <c r="Q649" s="5">
        <f t="shared" si="3"/>
        <v>0</v>
      </c>
      <c r="R649" s="5">
        <v>0.0</v>
      </c>
    </row>
    <row r="650" ht="22.5" customHeight="1">
      <c r="A650" s="5" t="s">
        <v>2431</v>
      </c>
      <c r="B650" s="5" t="s">
        <v>22</v>
      </c>
      <c r="C650" s="6">
        <v>7.0</v>
      </c>
      <c r="D650" s="6">
        <v>37.0</v>
      </c>
      <c r="E650" s="6">
        <v>2.3</v>
      </c>
      <c r="F650" s="6">
        <f t="shared" si="1"/>
        <v>2</v>
      </c>
      <c r="G650" s="6">
        <v>2.0</v>
      </c>
      <c r="H650" s="6">
        <v>5.0</v>
      </c>
      <c r="I650" s="6">
        <v>31.0</v>
      </c>
      <c r="J650" s="6">
        <v>2.0</v>
      </c>
      <c r="K650" s="6">
        <v>2.0</v>
      </c>
      <c r="L650" s="9">
        <v>44707.0</v>
      </c>
      <c r="M650" s="6">
        <v>2.0</v>
      </c>
      <c r="N650" s="5" t="s">
        <v>113</v>
      </c>
      <c r="O650" s="5" t="str">
        <f t="shared" si="2"/>
        <v>Yes</v>
      </c>
      <c r="P650" s="5" t="s">
        <v>113</v>
      </c>
      <c r="Q650" s="5">
        <f t="shared" si="3"/>
        <v>1</v>
      </c>
      <c r="R650" s="5">
        <v>1.0</v>
      </c>
    </row>
    <row r="651" ht="22.5" customHeight="1">
      <c r="A651" s="5" t="s">
        <v>2434</v>
      </c>
      <c r="B651" s="5" t="s">
        <v>22</v>
      </c>
      <c r="C651" s="6">
        <v>5.0</v>
      </c>
      <c r="D651" s="6">
        <v>13.0</v>
      </c>
      <c r="E651" s="6">
        <v>4.2</v>
      </c>
      <c r="F651" s="6">
        <f t="shared" si="1"/>
        <v>4</v>
      </c>
      <c r="G651" s="6">
        <v>4.0</v>
      </c>
      <c r="H651" s="6">
        <v>12.0</v>
      </c>
      <c r="I651" s="6">
        <v>28.0</v>
      </c>
      <c r="J651" s="6">
        <v>7.0</v>
      </c>
      <c r="K651" s="6">
        <v>5.0</v>
      </c>
      <c r="L651" s="9">
        <v>46236.0</v>
      </c>
      <c r="M651" s="6">
        <v>9.0</v>
      </c>
      <c r="N651" s="5" t="s">
        <v>62</v>
      </c>
      <c r="O651" s="5" t="str">
        <f t="shared" si="2"/>
        <v>No</v>
      </c>
      <c r="P651" s="5" t="s">
        <v>62</v>
      </c>
      <c r="Q651" s="5">
        <f t="shared" si="3"/>
        <v>0</v>
      </c>
      <c r="R651" s="5">
        <v>0.0</v>
      </c>
    </row>
    <row r="652" ht="22.5" customHeight="1">
      <c r="A652" s="5" t="s">
        <v>2438</v>
      </c>
      <c r="B652" s="5" t="s">
        <v>84</v>
      </c>
      <c r="C652" s="6">
        <v>7.0</v>
      </c>
      <c r="D652" s="6">
        <v>13.0</v>
      </c>
      <c r="E652" s="6">
        <v>5.9</v>
      </c>
      <c r="F652" s="6">
        <f t="shared" si="1"/>
        <v>5</v>
      </c>
      <c r="G652" s="6">
        <v>5.0</v>
      </c>
      <c r="H652" s="6">
        <v>24.0</v>
      </c>
      <c r="I652" s="6">
        <v>14.0</v>
      </c>
      <c r="J652" s="6">
        <v>18.0</v>
      </c>
      <c r="K652" s="6">
        <v>5.0</v>
      </c>
      <c r="L652" s="9">
        <v>46009.0</v>
      </c>
      <c r="M652" s="6">
        <v>6.0</v>
      </c>
      <c r="N652" s="5" t="s">
        <v>62</v>
      </c>
      <c r="O652" s="5" t="str">
        <f t="shared" si="2"/>
        <v>No</v>
      </c>
      <c r="P652" s="5" t="s">
        <v>62</v>
      </c>
      <c r="Q652" s="5">
        <f t="shared" si="3"/>
        <v>0</v>
      </c>
      <c r="R652" s="5">
        <v>0.0</v>
      </c>
    </row>
    <row r="653" ht="22.5" customHeight="1">
      <c r="A653" s="5" t="s">
        <v>2441</v>
      </c>
      <c r="B653" s="5" t="s">
        <v>84</v>
      </c>
      <c r="C653" s="6">
        <v>4.0</v>
      </c>
      <c r="D653" s="6">
        <v>24.0</v>
      </c>
      <c r="E653" s="6">
        <v>1.5</v>
      </c>
      <c r="F653" s="6">
        <f t="shared" si="1"/>
        <v>1</v>
      </c>
      <c r="G653" s="6">
        <v>1.0</v>
      </c>
      <c r="H653" s="6">
        <v>37.0</v>
      </c>
      <c r="I653" s="6">
        <v>21.0</v>
      </c>
      <c r="J653" s="6">
        <v>5.0</v>
      </c>
      <c r="K653" s="6">
        <v>0.0</v>
      </c>
      <c r="L653" s="9">
        <v>45772.0</v>
      </c>
      <c r="M653" s="6">
        <v>9.0</v>
      </c>
      <c r="N653" s="5" t="s">
        <v>62</v>
      </c>
      <c r="O653" s="5" t="str">
        <f t="shared" si="2"/>
        <v>No</v>
      </c>
      <c r="P653" s="5" t="s">
        <v>62</v>
      </c>
      <c r="Q653" s="5">
        <f t="shared" si="3"/>
        <v>0</v>
      </c>
      <c r="R653" s="5">
        <v>0.0</v>
      </c>
    </row>
    <row r="654" ht="22.5" customHeight="1">
      <c r="A654" s="5" t="s">
        <v>2444</v>
      </c>
      <c r="B654" s="5" t="s">
        <v>65</v>
      </c>
      <c r="C654" s="6">
        <v>9.0</v>
      </c>
      <c r="D654" s="6">
        <v>16.0</v>
      </c>
      <c r="E654" s="6">
        <v>1.8</v>
      </c>
      <c r="F654" s="6">
        <f t="shared" si="1"/>
        <v>1</v>
      </c>
      <c r="G654" s="6">
        <v>1.0</v>
      </c>
      <c r="H654" s="6">
        <v>15.0</v>
      </c>
      <c r="I654" s="6">
        <v>38.0</v>
      </c>
      <c r="J654" s="6">
        <v>7.0</v>
      </c>
      <c r="K654" s="6">
        <v>1.0</v>
      </c>
      <c r="L654" s="9">
        <v>46226.0</v>
      </c>
      <c r="M654" s="6">
        <v>7.0</v>
      </c>
      <c r="N654" s="5" t="s">
        <v>62</v>
      </c>
      <c r="O654" s="5" t="str">
        <f t="shared" si="2"/>
        <v>No</v>
      </c>
      <c r="P654" s="5" t="s">
        <v>62</v>
      </c>
      <c r="Q654" s="5">
        <f t="shared" si="3"/>
        <v>0</v>
      </c>
      <c r="R654" s="5">
        <v>0.0</v>
      </c>
    </row>
    <row r="655" ht="22.5" customHeight="1">
      <c r="A655" s="5" t="s">
        <v>2446</v>
      </c>
      <c r="B655" s="5" t="s">
        <v>22</v>
      </c>
      <c r="C655" s="6">
        <v>9.0</v>
      </c>
      <c r="D655" s="6">
        <v>42.0</v>
      </c>
      <c r="E655" s="6">
        <v>5.1</v>
      </c>
      <c r="F655" s="6">
        <f t="shared" si="1"/>
        <v>5</v>
      </c>
      <c r="G655" s="6">
        <v>5.0</v>
      </c>
      <c r="H655" s="6">
        <v>22.0</v>
      </c>
      <c r="I655" s="6">
        <v>20.0</v>
      </c>
      <c r="J655" s="6">
        <v>2.0</v>
      </c>
      <c r="K655" s="6">
        <v>3.0</v>
      </c>
      <c r="L655" s="9">
        <v>45764.0</v>
      </c>
      <c r="M655" s="6">
        <v>10.0</v>
      </c>
      <c r="N655" s="5" t="s">
        <v>62</v>
      </c>
      <c r="O655" s="5" t="str">
        <f t="shared" si="2"/>
        <v>No</v>
      </c>
      <c r="P655" s="5" t="s">
        <v>62</v>
      </c>
      <c r="Q655" s="5">
        <f t="shared" si="3"/>
        <v>0</v>
      </c>
      <c r="R655" s="5">
        <v>0.0</v>
      </c>
    </row>
    <row r="656" ht="22.5" customHeight="1">
      <c r="A656" s="5" t="s">
        <v>2449</v>
      </c>
      <c r="B656" s="5" t="s">
        <v>22</v>
      </c>
      <c r="C656" s="6">
        <v>8.0</v>
      </c>
      <c r="D656" s="6">
        <v>27.0</v>
      </c>
      <c r="E656" s="6">
        <v>7.6</v>
      </c>
      <c r="F656" s="6">
        <f t="shared" si="1"/>
        <v>7</v>
      </c>
      <c r="G656" s="6">
        <v>7.0</v>
      </c>
      <c r="H656" s="6">
        <v>59.0</v>
      </c>
      <c r="I656" s="6">
        <v>20.0</v>
      </c>
      <c r="J656" s="6">
        <v>8.0</v>
      </c>
      <c r="K656" s="6">
        <v>1.0</v>
      </c>
      <c r="L656" s="9">
        <v>46089.0</v>
      </c>
      <c r="M656" s="6">
        <v>8.0</v>
      </c>
      <c r="N656" s="5" t="s">
        <v>62</v>
      </c>
      <c r="O656" s="5" t="str">
        <f t="shared" si="2"/>
        <v>No</v>
      </c>
      <c r="P656" s="5" t="s">
        <v>62</v>
      </c>
      <c r="Q656" s="5">
        <f t="shared" si="3"/>
        <v>0</v>
      </c>
      <c r="R656" s="5">
        <v>0.0</v>
      </c>
    </row>
    <row r="657" ht="22.5" customHeight="1">
      <c r="A657" s="5" t="s">
        <v>2452</v>
      </c>
      <c r="B657" s="5" t="s">
        <v>22</v>
      </c>
      <c r="C657" s="6">
        <v>7.0</v>
      </c>
      <c r="D657" s="6">
        <v>24.0</v>
      </c>
      <c r="E657" s="6">
        <v>9.9</v>
      </c>
      <c r="F657" s="6">
        <f t="shared" si="1"/>
        <v>9</v>
      </c>
      <c r="G657" s="6">
        <v>9.0</v>
      </c>
      <c r="H657" s="6">
        <v>44.0</v>
      </c>
      <c r="I657" s="6">
        <v>17.0</v>
      </c>
      <c r="J657" s="8"/>
      <c r="K657" s="6">
        <v>3.0</v>
      </c>
      <c r="L657" s="9">
        <v>45640.0</v>
      </c>
      <c r="M657" s="6">
        <v>8.0</v>
      </c>
      <c r="N657" s="5" t="s">
        <v>62</v>
      </c>
      <c r="O657" s="5" t="str">
        <f t="shared" si="2"/>
        <v>No</v>
      </c>
      <c r="P657" s="5" t="s">
        <v>62</v>
      </c>
      <c r="Q657" s="5">
        <f t="shared" si="3"/>
        <v>0</v>
      </c>
      <c r="R657" s="5">
        <v>0.0</v>
      </c>
    </row>
    <row r="658" ht="22.5" customHeight="1">
      <c r="A658" s="5" t="s">
        <v>2454</v>
      </c>
      <c r="B658" s="5" t="s">
        <v>22</v>
      </c>
      <c r="C658" s="6">
        <v>3.0</v>
      </c>
      <c r="D658" s="6">
        <v>13.0</v>
      </c>
      <c r="E658" s="6">
        <v>3.6</v>
      </c>
      <c r="F658" s="6">
        <f t="shared" si="1"/>
        <v>3</v>
      </c>
      <c r="G658" s="6">
        <v>3.0</v>
      </c>
      <c r="H658" s="6">
        <v>38.0</v>
      </c>
      <c r="I658" s="6">
        <v>33.0</v>
      </c>
      <c r="J658" s="6">
        <v>5.0</v>
      </c>
      <c r="K658" s="6">
        <v>2.0</v>
      </c>
      <c r="L658" s="9">
        <v>45883.0</v>
      </c>
      <c r="M658" s="6">
        <v>8.0</v>
      </c>
      <c r="N658" s="5" t="s">
        <v>62</v>
      </c>
      <c r="O658" s="5" t="str">
        <f t="shared" si="2"/>
        <v>No</v>
      </c>
      <c r="P658" s="5" t="s">
        <v>62</v>
      </c>
      <c r="Q658" s="5">
        <f t="shared" si="3"/>
        <v>0</v>
      </c>
      <c r="R658" s="5">
        <v>0.0</v>
      </c>
    </row>
    <row r="659" ht="22.5" customHeight="1">
      <c r="A659" s="5" t="s">
        <v>2458</v>
      </c>
      <c r="B659" s="5" t="s">
        <v>44</v>
      </c>
      <c r="C659" s="6">
        <v>5.0</v>
      </c>
      <c r="D659" s="6">
        <v>19.0</v>
      </c>
      <c r="E659" s="6">
        <v>4.4</v>
      </c>
      <c r="F659" s="6">
        <f t="shared" si="1"/>
        <v>4</v>
      </c>
      <c r="G659" s="6">
        <v>4.0</v>
      </c>
      <c r="H659" s="6">
        <v>54.0</v>
      </c>
      <c r="I659" s="6">
        <v>29.0</v>
      </c>
      <c r="J659" s="6">
        <v>16.0</v>
      </c>
      <c r="K659" s="6">
        <v>0.0</v>
      </c>
      <c r="L659" s="9">
        <v>46091.0</v>
      </c>
      <c r="M659" s="6">
        <v>9.0</v>
      </c>
      <c r="N659" s="5" t="s">
        <v>62</v>
      </c>
      <c r="O659" s="5" t="str">
        <f t="shared" si="2"/>
        <v>No</v>
      </c>
      <c r="P659" s="5" t="s">
        <v>62</v>
      </c>
      <c r="Q659" s="5">
        <f t="shared" si="3"/>
        <v>0</v>
      </c>
      <c r="R659" s="5">
        <v>0.0</v>
      </c>
    </row>
    <row r="660" ht="22.5" customHeight="1">
      <c r="A660" s="5" t="s">
        <v>2460</v>
      </c>
      <c r="B660" s="5" t="s">
        <v>22</v>
      </c>
      <c r="C660" s="6">
        <v>11.0</v>
      </c>
      <c r="D660" s="6">
        <v>54.0</v>
      </c>
      <c r="E660" s="6">
        <v>5.6</v>
      </c>
      <c r="F660" s="6">
        <f t="shared" si="1"/>
        <v>5</v>
      </c>
      <c r="G660" s="6">
        <v>5.0</v>
      </c>
      <c r="H660" s="6">
        <v>7.0</v>
      </c>
      <c r="I660" s="6">
        <v>19.0</v>
      </c>
      <c r="J660" s="6">
        <v>18.0</v>
      </c>
      <c r="K660" s="6">
        <v>5.0</v>
      </c>
      <c r="L660" s="9">
        <v>44477.0</v>
      </c>
      <c r="M660" s="6">
        <v>2.0</v>
      </c>
      <c r="N660" s="5" t="s">
        <v>113</v>
      </c>
      <c r="O660" s="5" t="str">
        <f t="shared" si="2"/>
        <v>Yes</v>
      </c>
      <c r="P660" s="5" t="s">
        <v>113</v>
      </c>
      <c r="Q660" s="5">
        <f t="shared" si="3"/>
        <v>1</v>
      </c>
      <c r="R660" s="5">
        <v>1.0</v>
      </c>
    </row>
    <row r="661" ht="22.5" customHeight="1">
      <c r="A661" s="5" t="s">
        <v>2463</v>
      </c>
      <c r="B661" s="5" t="s">
        <v>170</v>
      </c>
      <c r="C661" s="6">
        <v>10.0</v>
      </c>
      <c r="D661" s="6">
        <v>45.0</v>
      </c>
      <c r="E661" s="6">
        <v>21.7</v>
      </c>
      <c r="F661" s="6">
        <f t="shared" si="1"/>
        <v>21</v>
      </c>
      <c r="G661" s="6">
        <v>21.0</v>
      </c>
      <c r="H661" s="6">
        <v>14.0</v>
      </c>
      <c r="I661" s="6">
        <v>31.0</v>
      </c>
      <c r="J661" s="6">
        <v>13.0</v>
      </c>
      <c r="K661" s="6">
        <v>3.0</v>
      </c>
      <c r="L661" s="9">
        <v>45747.0</v>
      </c>
      <c r="M661" s="6">
        <v>3.0</v>
      </c>
      <c r="O661" s="10" t="str">
        <f t="shared" si="2"/>
        <v>No</v>
      </c>
      <c r="P661" s="10" t="s">
        <v>62</v>
      </c>
      <c r="Q661" s="10">
        <f t="shared" si="3"/>
        <v>0</v>
      </c>
      <c r="R661" s="10">
        <v>0.0</v>
      </c>
    </row>
    <row r="662" ht="22.5" customHeight="1">
      <c r="A662" s="5" t="s">
        <v>2467</v>
      </c>
      <c r="B662" s="5" t="s">
        <v>65</v>
      </c>
      <c r="C662" s="6">
        <v>8.0</v>
      </c>
      <c r="D662" s="6">
        <v>17.0</v>
      </c>
      <c r="E662" s="6">
        <v>15.8</v>
      </c>
      <c r="F662" s="6">
        <f t="shared" si="1"/>
        <v>15</v>
      </c>
      <c r="G662" s="6">
        <v>15.0</v>
      </c>
      <c r="H662" s="6">
        <v>32.0</v>
      </c>
      <c r="I662" s="6">
        <v>14.0</v>
      </c>
      <c r="J662" s="6">
        <v>5.0</v>
      </c>
      <c r="K662" s="6">
        <v>2.0</v>
      </c>
      <c r="L662" s="11"/>
      <c r="M662" s="6">
        <v>4.0</v>
      </c>
      <c r="N662" s="5" t="s">
        <v>113</v>
      </c>
      <c r="O662" s="5" t="str">
        <f t="shared" si="2"/>
        <v>Yes</v>
      </c>
      <c r="P662" s="5" t="s">
        <v>113</v>
      </c>
      <c r="Q662" s="5">
        <f t="shared" si="3"/>
        <v>1</v>
      </c>
      <c r="R662" s="5">
        <v>1.0</v>
      </c>
    </row>
    <row r="663" ht="22.5" customHeight="1">
      <c r="A663" s="5" t="s">
        <v>2470</v>
      </c>
      <c r="B663" s="5" t="s">
        <v>65</v>
      </c>
      <c r="C663" s="6">
        <v>7.0</v>
      </c>
      <c r="D663" s="6">
        <v>11.0</v>
      </c>
      <c r="E663" s="6">
        <v>3.0</v>
      </c>
      <c r="F663" s="6">
        <f t="shared" si="1"/>
        <v>3</v>
      </c>
      <c r="G663" s="6">
        <v>3.0</v>
      </c>
      <c r="H663" s="6">
        <v>43.0</v>
      </c>
      <c r="I663" s="6">
        <v>31.0</v>
      </c>
      <c r="J663" s="6">
        <v>14.0</v>
      </c>
      <c r="K663" s="6">
        <v>1.0</v>
      </c>
      <c r="L663" s="9">
        <v>45768.0</v>
      </c>
      <c r="M663" s="6">
        <v>7.0</v>
      </c>
      <c r="N663" s="5" t="s">
        <v>62</v>
      </c>
      <c r="O663" s="5" t="str">
        <f t="shared" si="2"/>
        <v>No</v>
      </c>
      <c r="P663" s="5" t="s">
        <v>62</v>
      </c>
      <c r="Q663" s="5">
        <f t="shared" si="3"/>
        <v>0</v>
      </c>
      <c r="R663" s="5">
        <v>0.0</v>
      </c>
    </row>
    <row r="664" ht="22.5" customHeight="1">
      <c r="A664" s="5" t="s">
        <v>2474</v>
      </c>
      <c r="B664" s="5" t="s">
        <v>84</v>
      </c>
      <c r="C664" s="6">
        <v>3.0</v>
      </c>
      <c r="D664" s="6">
        <v>9.0</v>
      </c>
      <c r="E664" s="6">
        <v>16.9</v>
      </c>
      <c r="F664" s="6">
        <f t="shared" si="1"/>
        <v>16</v>
      </c>
      <c r="G664" s="6">
        <v>16.0</v>
      </c>
      <c r="H664" s="6">
        <v>18.0</v>
      </c>
      <c r="I664" s="6">
        <v>24.0</v>
      </c>
      <c r="J664" s="6">
        <v>3.0</v>
      </c>
      <c r="K664" s="6">
        <v>1.0</v>
      </c>
      <c r="L664" s="9">
        <v>45418.0</v>
      </c>
      <c r="M664" s="6">
        <v>1.0</v>
      </c>
      <c r="N664" s="5" t="s">
        <v>113</v>
      </c>
      <c r="O664" s="5" t="str">
        <f t="shared" si="2"/>
        <v>No</v>
      </c>
      <c r="P664" s="5" t="s">
        <v>62</v>
      </c>
      <c r="Q664" s="5">
        <f t="shared" si="3"/>
        <v>0</v>
      </c>
      <c r="R664" s="5">
        <v>0.0</v>
      </c>
    </row>
    <row r="665" ht="22.5" customHeight="1">
      <c r="A665" s="5" t="s">
        <v>2477</v>
      </c>
      <c r="B665" s="5" t="s">
        <v>44</v>
      </c>
      <c r="C665" s="6">
        <v>6.0</v>
      </c>
      <c r="D665" s="6">
        <v>27.0</v>
      </c>
      <c r="E665" s="6">
        <v>8.5</v>
      </c>
      <c r="F665" s="6">
        <f t="shared" si="1"/>
        <v>8</v>
      </c>
      <c r="G665" s="6">
        <v>8.0</v>
      </c>
      <c r="H665" s="6">
        <v>9.0</v>
      </c>
      <c r="I665" s="6">
        <v>24.0</v>
      </c>
      <c r="J665" s="6">
        <v>10.0</v>
      </c>
      <c r="K665" s="6">
        <v>3.0</v>
      </c>
      <c r="L665" s="9">
        <v>46169.0</v>
      </c>
      <c r="M665" s="6">
        <v>7.0</v>
      </c>
      <c r="N665" s="5" t="s">
        <v>62</v>
      </c>
      <c r="O665" s="5" t="str">
        <f t="shared" si="2"/>
        <v>No</v>
      </c>
      <c r="P665" s="5" t="s">
        <v>62</v>
      </c>
      <c r="Q665" s="5">
        <f t="shared" si="3"/>
        <v>0</v>
      </c>
      <c r="R665" s="5">
        <v>0.0</v>
      </c>
    </row>
    <row r="666" ht="22.5" customHeight="1">
      <c r="A666" s="5" t="s">
        <v>2481</v>
      </c>
      <c r="B666" s="5" t="s">
        <v>22</v>
      </c>
      <c r="C666" s="6">
        <v>4.0</v>
      </c>
      <c r="D666" s="6">
        <v>17.0</v>
      </c>
      <c r="E666" s="6">
        <v>1.3</v>
      </c>
      <c r="F666" s="6">
        <f t="shared" si="1"/>
        <v>1</v>
      </c>
      <c r="G666" s="6">
        <v>1.0</v>
      </c>
      <c r="H666" s="6">
        <v>49.0</v>
      </c>
      <c r="I666" s="6">
        <v>23.0</v>
      </c>
      <c r="J666" s="6">
        <v>3.0</v>
      </c>
      <c r="K666" s="6">
        <v>3.0</v>
      </c>
      <c r="L666" s="11"/>
      <c r="M666" s="6">
        <v>5.0</v>
      </c>
      <c r="N666" s="5" t="s">
        <v>113</v>
      </c>
      <c r="O666" s="5" t="str">
        <f t="shared" si="2"/>
        <v>Yes</v>
      </c>
      <c r="P666" s="5" t="s">
        <v>113</v>
      </c>
      <c r="Q666" s="5">
        <f t="shared" si="3"/>
        <v>1</v>
      </c>
      <c r="R666" s="5">
        <v>1.0</v>
      </c>
    </row>
    <row r="667" ht="22.5" customHeight="1">
      <c r="A667" s="5" t="s">
        <v>2483</v>
      </c>
      <c r="B667" s="5" t="s">
        <v>65</v>
      </c>
      <c r="C667" s="6">
        <v>11.0</v>
      </c>
      <c r="D667" s="6">
        <v>30.0</v>
      </c>
      <c r="E667" s="6">
        <v>10.4</v>
      </c>
      <c r="F667" s="6">
        <f t="shared" si="1"/>
        <v>10</v>
      </c>
      <c r="G667" s="6">
        <v>10.0</v>
      </c>
      <c r="H667" s="6">
        <v>50.0</v>
      </c>
      <c r="I667" s="6">
        <v>29.0</v>
      </c>
      <c r="J667" s="6">
        <v>11.0</v>
      </c>
      <c r="K667" s="6">
        <v>2.0</v>
      </c>
      <c r="L667" s="9">
        <v>46067.0</v>
      </c>
      <c r="M667" s="6">
        <v>7.0</v>
      </c>
      <c r="N667" s="5" t="s">
        <v>62</v>
      </c>
      <c r="O667" s="5" t="str">
        <f t="shared" si="2"/>
        <v>No</v>
      </c>
      <c r="P667" s="5" t="s">
        <v>62</v>
      </c>
      <c r="Q667" s="5">
        <f t="shared" si="3"/>
        <v>0</v>
      </c>
      <c r="R667" s="5">
        <v>0.0</v>
      </c>
    </row>
    <row r="668" ht="22.5" customHeight="1">
      <c r="A668" s="5" t="s">
        <v>2485</v>
      </c>
      <c r="B668" s="5" t="s">
        <v>22</v>
      </c>
      <c r="C668" s="6">
        <v>5.0</v>
      </c>
      <c r="D668" s="6">
        <v>23.0</v>
      </c>
      <c r="E668" s="6">
        <v>8.5</v>
      </c>
      <c r="F668" s="6">
        <f t="shared" si="1"/>
        <v>8</v>
      </c>
      <c r="G668" s="6">
        <v>8.0</v>
      </c>
      <c r="H668" s="6">
        <v>49.0</v>
      </c>
      <c r="I668" s="6">
        <v>38.0</v>
      </c>
      <c r="J668" s="6">
        <v>20.0</v>
      </c>
      <c r="K668" s="6">
        <v>2.0</v>
      </c>
      <c r="L668" s="9">
        <v>45340.0</v>
      </c>
      <c r="M668" s="6">
        <v>2.0</v>
      </c>
      <c r="N668" s="5" t="s">
        <v>113</v>
      </c>
      <c r="O668" s="5" t="str">
        <f t="shared" si="2"/>
        <v>No</v>
      </c>
      <c r="P668" s="5" t="s">
        <v>62</v>
      </c>
      <c r="Q668" s="5">
        <f t="shared" si="3"/>
        <v>0</v>
      </c>
      <c r="R668" s="5">
        <v>0.0</v>
      </c>
    </row>
    <row r="669" ht="22.5" customHeight="1">
      <c r="A669" s="5" t="s">
        <v>2489</v>
      </c>
      <c r="B669" s="5" t="s">
        <v>22</v>
      </c>
      <c r="C669" s="6">
        <v>4.0</v>
      </c>
      <c r="D669" s="6">
        <v>7.0</v>
      </c>
      <c r="E669" s="6">
        <v>2.2</v>
      </c>
      <c r="F669" s="6">
        <f t="shared" si="1"/>
        <v>2</v>
      </c>
      <c r="G669" s="6">
        <v>2.0</v>
      </c>
      <c r="H669" s="6">
        <v>39.0</v>
      </c>
      <c r="I669" s="6">
        <v>24.0</v>
      </c>
      <c r="J669" s="6">
        <v>6.0</v>
      </c>
      <c r="K669" s="6">
        <v>5.0</v>
      </c>
      <c r="L669" s="9">
        <v>45491.0</v>
      </c>
      <c r="M669" s="6">
        <v>3.0</v>
      </c>
      <c r="N669" s="5" t="s">
        <v>113</v>
      </c>
      <c r="O669" s="5" t="str">
        <f t="shared" si="2"/>
        <v>No</v>
      </c>
      <c r="P669" s="5" t="s">
        <v>62</v>
      </c>
      <c r="Q669" s="5">
        <f t="shared" si="3"/>
        <v>0</v>
      </c>
      <c r="R669" s="5">
        <v>0.0</v>
      </c>
    </row>
    <row r="670" ht="22.5" customHeight="1">
      <c r="A670" s="5" t="s">
        <v>2491</v>
      </c>
      <c r="B670" s="5" t="s">
        <v>44</v>
      </c>
      <c r="C670" s="6">
        <v>6.0</v>
      </c>
      <c r="D670" s="6">
        <v>24.0</v>
      </c>
      <c r="E670" s="6">
        <v>5.4</v>
      </c>
      <c r="F670" s="6">
        <f t="shared" si="1"/>
        <v>5</v>
      </c>
      <c r="G670" s="6">
        <v>5.0</v>
      </c>
      <c r="H670" s="6">
        <v>30.0</v>
      </c>
      <c r="I670" s="6">
        <v>10.0</v>
      </c>
      <c r="J670" s="6">
        <v>1.0</v>
      </c>
      <c r="K670" s="6">
        <v>4.0</v>
      </c>
      <c r="L670" s="9">
        <v>45730.0</v>
      </c>
      <c r="M670" s="6">
        <v>8.0</v>
      </c>
      <c r="N670" s="5" t="s">
        <v>62</v>
      </c>
      <c r="O670" s="5" t="str">
        <f t="shared" si="2"/>
        <v>No</v>
      </c>
      <c r="P670" s="5" t="s">
        <v>62</v>
      </c>
      <c r="Q670" s="5">
        <f t="shared" si="3"/>
        <v>0</v>
      </c>
      <c r="R670" s="5">
        <v>0.0</v>
      </c>
    </row>
    <row r="671" ht="22.5" customHeight="1">
      <c r="A671" s="5" t="s">
        <v>2495</v>
      </c>
      <c r="B671" s="5" t="s">
        <v>22</v>
      </c>
      <c r="C671" s="6">
        <v>5.0</v>
      </c>
      <c r="D671" s="6">
        <v>26.0</v>
      </c>
      <c r="E671" s="6">
        <v>1.9</v>
      </c>
      <c r="F671" s="6">
        <f t="shared" si="1"/>
        <v>1</v>
      </c>
      <c r="G671" s="6">
        <v>1.0</v>
      </c>
      <c r="H671" s="6">
        <v>30.0</v>
      </c>
      <c r="I671" s="6">
        <v>23.0</v>
      </c>
      <c r="J671" s="6">
        <v>3.0</v>
      </c>
      <c r="K671" s="6">
        <v>5.0</v>
      </c>
      <c r="L671" s="9">
        <v>46037.0</v>
      </c>
      <c r="M671" s="6">
        <v>5.0</v>
      </c>
      <c r="N671" s="5" t="s">
        <v>62</v>
      </c>
      <c r="O671" s="5" t="str">
        <f t="shared" si="2"/>
        <v>No</v>
      </c>
      <c r="P671" s="5" t="s">
        <v>62</v>
      </c>
      <c r="Q671" s="5">
        <f t="shared" si="3"/>
        <v>0</v>
      </c>
      <c r="R671" s="5">
        <v>0.0</v>
      </c>
    </row>
    <row r="672" ht="22.5" customHeight="1">
      <c r="A672" s="5" t="s">
        <v>2497</v>
      </c>
      <c r="B672" s="5" t="s">
        <v>44</v>
      </c>
      <c r="C672" s="6">
        <v>4.0</v>
      </c>
      <c r="D672" s="6">
        <v>19.0</v>
      </c>
      <c r="E672" s="6">
        <v>2.4</v>
      </c>
      <c r="F672" s="6">
        <f t="shared" si="1"/>
        <v>2</v>
      </c>
      <c r="G672" s="6">
        <v>2.0</v>
      </c>
      <c r="H672" s="6">
        <v>47.0</v>
      </c>
      <c r="I672" s="6">
        <v>34.0</v>
      </c>
      <c r="J672" s="6">
        <v>12.0</v>
      </c>
      <c r="K672" s="6">
        <v>2.0</v>
      </c>
      <c r="L672" s="9">
        <v>44679.0</v>
      </c>
      <c r="M672" s="6">
        <v>4.0</v>
      </c>
      <c r="N672" s="5" t="s">
        <v>113</v>
      </c>
      <c r="O672" s="5" t="str">
        <f t="shared" si="2"/>
        <v>Yes</v>
      </c>
      <c r="P672" s="5" t="s">
        <v>113</v>
      </c>
      <c r="Q672" s="5">
        <f t="shared" si="3"/>
        <v>1</v>
      </c>
      <c r="R672" s="5">
        <v>1.0</v>
      </c>
    </row>
    <row r="673" ht="22.5" customHeight="1">
      <c r="A673" s="5" t="s">
        <v>2500</v>
      </c>
      <c r="B673" s="5" t="s">
        <v>44</v>
      </c>
      <c r="C673" s="6">
        <v>6.0</v>
      </c>
      <c r="D673" s="6">
        <v>36.0</v>
      </c>
      <c r="E673" s="6">
        <v>6.5</v>
      </c>
      <c r="F673" s="6">
        <f t="shared" si="1"/>
        <v>6</v>
      </c>
      <c r="G673" s="6">
        <v>6.0</v>
      </c>
      <c r="H673" s="6">
        <v>60.0</v>
      </c>
      <c r="I673" s="6">
        <v>30.0</v>
      </c>
      <c r="J673" s="6">
        <v>11.0</v>
      </c>
      <c r="K673" s="6">
        <v>1.0</v>
      </c>
      <c r="L673" s="9">
        <v>45368.0</v>
      </c>
      <c r="M673" s="6">
        <v>3.0</v>
      </c>
      <c r="N673" s="5" t="s">
        <v>113</v>
      </c>
      <c r="O673" s="5" t="str">
        <f t="shared" si="2"/>
        <v>No</v>
      </c>
      <c r="P673" s="5" t="s">
        <v>62</v>
      </c>
      <c r="Q673" s="5">
        <f t="shared" si="3"/>
        <v>0</v>
      </c>
      <c r="R673" s="5">
        <v>0.0</v>
      </c>
    </row>
    <row r="674" ht="22.5" customHeight="1">
      <c r="A674" s="5" t="s">
        <v>2502</v>
      </c>
      <c r="B674" s="5" t="s">
        <v>22</v>
      </c>
      <c r="C674" s="6">
        <v>6.0</v>
      </c>
      <c r="D674" s="6">
        <v>32.0</v>
      </c>
      <c r="E674" s="6">
        <v>11.3</v>
      </c>
      <c r="F674" s="6">
        <f t="shared" si="1"/>
        <v>11</v>
      </c>
      <c r="G674" s="6">
        <v>11.0</v>
      </c>
      <c r="H674" s="6">
        <v>28.0</v>
      </c>
      <c r="I674" s="6">
        <v>13.0</v>
      </c>
      <c r="J674" s="6">
        <v>19.0</v>
      </c>
      <c r="K674" s="6">
        <v>1.0</v>
      </c>
      <c r="L674" s="9">
        <v>44954.0</v>
      </c>
      <c r="M674" s="6">
        <v>2.0</v>
      </c>
      <c r="O674" s="10" t="str">
        <f t="shared" si="2"/>
        <v>Yes</v>
      </c>
      <c r="P674" s="10" t="s">
        <v>113</v>
      </c>
      <c r="Q674" s="10">
        <f t="shared" si="3"/>
        <v>1</v>
      </c>
      <c r="R674" s="10">
        <v>1.0</v>
      </c>
    </row>
    <row r="675" ht="22.5" customHeight="1">
      <c r="A675" s="5" t="s">
        <v>2505</v>
      </c>
      <c r="B675" s="5" t="s">
        <v>22</v>
      </c>
      <c r="C675" s="6">
        <v>4.0</v>
      </c>
      <c r="D675" s="6">
        <v>12.0</v>
      </c>
      <c r="E675" s="6">
        <v>27.6</v>
      </c>
      <c r="F675" s="6">
        <f t="shared" si="1"/>
        <v>27</v>
      </c>
      <c r="G675" s="6">
        <v>27.0</v>
      </c>
      <c r="H675" s="6">
        <v>57.0</v>
      </c>
      <c r="I675" s="6">
        <v>12.0</v>
      </c>
      <c r="J675" s="6">
        <v>16.0</v>
      </c>
      <c r="K675" s="6">
        <v>1.0</v>
      </c>
      <c r="L675" s="9">
        <v>45844.0</v>
      </c>
      <c r="M675" s="6">
        <v>6.0</v>
      </c>
      <c r="N675" s="5" t="s">
        <v>62</v>
      </c>
      <c r="O675" s="5" t="str">
        <f t="shared" si="2"/>
        <v>No</v>
      </c>
      <c r="P675" s="5" t="s">
        <v>62</v>
      </c>
      <c r="Q675" s="5">
        <f t="shared" si="3"/>
        <v>0</v>
      </c>
      <c r="R675" s="5">
        <v>0.0</v>
      </c>
    </row>
    <row r="676" ht="22.5" customHeight="1">
      <c r="A676" s="5" t="s">
        <v>2506</v>
      </c>
      <c r="B676" s="5" t="s">
        <v>22</v>
      </c>
      <c r="C676" s="6">
        <v>7.0</v>
      </c>
      <c r="D676" s="6">
        <v>33.0</v>
      </c>
      <c r="E676" s="6">
        <v>5.8</v>
      </c>
      <c r="F676" s="6">
        <f t="shared" si="1"/>
        <v>5</v>
      </c>
      <c r="G676" s="6">
        <v>5.0</v>
      </c>
      <c r="H676" s="6">
        <v>9.0</v>
      </c>
      <c r="I676" s="6">
        <v>38.0</v>
      </c>
      <c r="J676" s="6">
        <v>9.0</v>
      </c>
      <c r="K676" s="6">
        <v>3.0</v>
      </c>
      <c r="L676" s="9">
        <v>46049.0</v>
      </c>
      <c r="M676" s="6">
        <v>8.0</v>
      </c>
      <c r="N676" s="5" t="s">
        <v>62</v>
      </c>
      <c r="O676" s="5" t="str">
        <f t="shared" si="2"/>
        <v>No</v>
      </c>
      <c r="P676" s="5" t="s">
        <v>62</v>
      </c>
      <c r="Q676" s="5">
        <f t="shared" si="3"/>
        <v>0</v>
      </c>
      <c r="R676" s="5">
        <v>0.0</v>
      </c>
    </row>
    <row r="677" ht="22.5" customHeight="1">
      <c r="A677" s="5" t="s">
        <v>2511</v>
      </c>
      <c r="B677" s="5" t="s">
        <v>65</v>
      </c>
      <c r="C677" s="6">
        <v>4.0</v>
      </c>
      <c r="D677" s="6">
        <v>19.0</v>
      </c>
      <c r="E677" s="6">
        <v>5.4</v>
      </c>
      <c r="F677" s="6">
        <f t="shared" si="1"/>
        <v>5</v>
      </c>
      <c r="G677" s="6">
        <v>5.0</v>
      </c>
      <c r="H677" s="6">
        <v>44.0</v>
      </c>
      <c r="I677" s="6">
        <v>28.0</v>
      </c>
      <c r="J677" s="6">
        <v>10.0</v>
      </c>
      <c r="K677" s="6">
        <v>0.0</v>
      </c>
      <c r="L677" s="9">
        <v>45609.0</v>
      </c>
      <c r="M677" s="6">
        <v>7.0</v>
      </c>
      <c r="N677" s="5" t="s">
        <v>62</v>
      </c>
      <c r="O677" s="5" t="str">
        <f t="shared" si="2"/>
        <v>No</v>
      </c>
      <c r="P677" s="5" t="s">
        <v>62</v>
      </c>
      <c r="Q677" s="5">
        <f t="shared" si="3"/>
        <v>0</v>
      </c>
      <c r="R677" s="5">
        <v>0.0</v>
      </c>
    </row>
    <row r="678" ht="22.5" customHeight="1">
      <c r="A678" s="5" t="s">
        <v>2513</v>
      </c>
      <c r="B678" s="5" t="s">
        <v>22</v>
      </c>
      <c r="C678" s="6">
        <v>7.0</v>
      </c>
      <c r="D678" s="6">
        <v>39.0</v>
      </c>
      <c r="E678" s="6">
        <v>5.0</v>
      </c>
      <c r="F678" s="6">
        <f t="shared" si="1"/>
        <v>5</v>
      </c>
      <c r="G678" s="6">
        <v>5.0</v>
      </c>
      <c r="H678" s="6">
        <v>25.0</v>
      </c>
      <c r="I678" s="6">
        <v>33.0</v>
      </c>
      <c r="J678" s="6">
        <v>10.0</v>
      </c>
      <c r="K678" s="6">
        <v>5.0</v>
      </c>
      <c r="L678" s="9">
        <v>45386.0</v>
      </c>
      <c r="M678" s="6">
        <v>2.0</v>
      </c>
      <c r="N678" s="5" t="s">
        <v>113</v>
      </c>
      <c r="O678" s="5" t="str">
        <f t="shared" si="2"/>
        <v>No</v>
      </c>
      <c r="P678" s="5" t="s">
        <v>62</v>
      </c>
      <c r="Q678" s="5">
        <f t="shared" si="3"/>
        <v>0</v>
      </c>
      <c r="R678" s="5">
        <v>0.0</v>
      </c>
    </row>
    <row r="679" ht="22.5" customHeight="1">
      <c r="A679" s="5" t="s">
        <v>2516</v>
      </c>
      <c r="B679" s="5" t="s">
        <v>22</v>
      </c>
      <c r="C679" s="6">
        <v>2.0</v>
      </c>
      <c r="D679" s="6">
        <v>6.0</v>
      </c>
      <c r="E679" s="6">
        <v>18.9</v>
      </c>
      <c r="F679" s="6">
        <f t="shared" si="1"/>
        <v>18</v>
      </c>
      <c r="G679" s="6">
        <v>18.0</v>
      </c>
      <c r="H679" s="6">
        <v>14.0</v>
      </c>
      <c r="I679" s="6">
        <v>16.0</v>
      </c>
      <c r="J679" s="6">
        <v>14.0</v>
      </c>
      <c r="K679" s="6">
        <v>3.0</v>
      </c>
      <c r="L679" s="9">
        <v>45463.0</v>
      </c>
      <c r="M679" s="6">
        <v>3.0</v>
      </c>
      <c r="N679" s="5" t="s">
        <v>113</v>
      </c>
      <c r="O679" s="5" t="str">
        <f t="shared" si="2"/>
        <v>No</v>
      </c>
      <c r="P679" s="5" t="s">
        <v>62</v>
      </c>
      <c r="Q679" s="5">
        <f t="shared" si="3"/>
        <v>0</v>
      </c>
      <c r="R679" s="5">
        <v>0.0</v>
      </c>
    </row>
    <row r="680" ht="22.5" customHeight="1">
      <c r="A680" s="5" t="s">
        <v>2521</v>
      </c>
      <c r="B680" s="5" t="s">
        <v>22</v>
      </c>
      <c r="C680" s="6">
        <v>6.0</v>
      </c>
      <c r="D680" s="6">
        <v>11.0</v>
      </c>
      <c r="E680" s="6">
        <v>3.7</v>
      </c>
      <c r="F680" s="6">
        <f t="shared" si="1"/>
        <v>3</v>
      </c>
      <c r="G680" s="6">
        <v>3.0</v>
      </c>
      <c r="H680" s="6">
        <v>25.0</v>
      </c>
      <c r="I680" s="6">
        <v>24.0</v>
      </c>
      <c r="J680" s="6">
        <v>2.0</v>
      </c>
      <c r="K680" s="6">
        <v>1.0</v>
      </c>
      <c r="L680" s="9">
        <v>44995.0</v>
      </c>
      <c r="M680" s="6">
        <v>2.0</v>
      </c>
      <c r="N680" s="5" t="s">
        <v>113</v>
      </c>
      <c r="O680" s="5" t="str">
        <f t="shared" si="2"/>
        <v>Yes</v>
      </c>
      <c r="P680" s="5" t="s">
        <v>113</v>
      </c>
      <c r="Q680" s="5">
        <f t="shared" si="3"/>
        <v>1</v>
      </c>
      <c r="R680" s="5">
        <v>1.0</v>
      </c>
    </row>
    <row r="681" ht="22.5" customHeight="1">
      <c r="A681" s="5" t="s">
        <v>2523</v>
      </c>
      <c r="B681" s="5" t="s">
        <v>65</v>
      </c>
      <c r="C681" s="6">
        <v>6.0</v>
      </c>
      <c r="D681" s="6">
        <v>32.0</v>
      </c>
      <c r="E681" s="6">
        <v>7.0</v>
      </c>
      <c r="F681" s="6">
        <f t="shared" si="1"/>
        <v>7</v>
      </c>
      <c r="G681" s="6">
        <v>7.0</v>
      </c>
      <c r="H681" s="6">
        <v>32.0</v>
      </c>
      <c r="I681" s="6">
        <v>23.0</v>
      </c>
      <c r="J681" s="6">
        <v>9.0</v>
      </c>
      <c r="K681" s="6">
        <v>1.0</v>
      </c>
      <c r="L681" s="9">
        <v>46106.0</v>
      </c>
      <c r="M681" s="6">
        <v>7.0</v>
      </c>
      <c r="N681" s="5" t="s">
        <v>62</v>
      </c>
      <c r="O681" s="5" t="str">
        <f t="shared" si="2"/>
        <v>No</v>
      </c>
      <c r="P681" s="5" t="s">
        <v>62</v>
      </c>
      <c r="Q681" s="5">
        <f t="shared" si="3"/>
        <v>0</v>
      </c>
      <c r="R681" s="5">
        <v>0.0</v>
      </c>
    </row>
    <row r="682" ht="22.5" customHeight="1">
      <c r="A682" s="5" t="s">
        <v>2526</v>
      </c>
      <c r="B682" s="5" t="s">
        <v>22</v>
      </c>
      <c r="C682" s="6">
        <v>10.0</v>
      </c>
      <c r="D682" s="6">
        <v>24.0</v>
      </c>
      <c r="E682" s="6">
        <v>7.7</v>
      </c>
      <c r="F682" s="6">
        <f t="shared" si="1"/>
        <v>7</v>
      </c>
      <c r="G682" s="6">
        <v>7.0</v>
      </c>
      <c r="H682" s="6">
        <v>52.0</v>
      </c>
      <c r="I682" s="6">
        <v>24.0</v>
      </c>
      <c r="J682" s="6">
        <v>13.0</v>
      </c>
      <c r="K682" s="6">
        <v>0.0</v>
      </c>
      <c r="L682" s="9">
        <v>45865.0</v>
      </c>
      <c r="M682" s="6">
        <v>6.0</v>
      </c>
      <c r="N682" s="5" t="s">
        <v>62</v>
      </c>
      <c r="O682" s="5" t="str">
        <f t="shared" si="2"/>
        <v>No</v>
      </c>
      <c r="P682" s="5" t="s">
        <v>62</v>
      </c>
      <c r="Q682" s="5">
        <f t="shared" si="3"/>
        <v>0</v>
      </c>
      <c r="R682" s="5">
        <v>0.0</v>
      </c>
    </row>
    <row r="683" ht="22.5" customHeight="1">
      <c r="A683" s="5" t="s">
        <v>2527</v>
      </c>
      <c r="B683" s="5" t="s">
        <v>22</v>
      </c>
      <c r="C683" s="6">
        <v>9.0</v>
      </c>
      <c r="D683" s="6">
        <v>51.0</v>
      </c>
      <c r="E683" s="6">
        <v>8.6</v>
      </c>
      <c r="F683" s="6">
        <f t="shared" si="1"/>
        <v>8</v>
      </c>
      <c r="G683" s="6">
        <v>8.0</v>
      </c>
      <c r="H683" s="6">
        <v>38.0</v>
      </c>
      <c r="I683" s="6">
        <v>25.0</v>
      </c>
      <c r="J683" s="6">
        <v>9.0</v>
      </c>
      <c r="K683" s="6">
        <v>0.0</v>
      </c>
      <c r="L683" s="11"/>
      <c r="M683" s="6">
        <v>2.0</v>
      </c>
      <c r="O683" s="10" t="str">
        <f t="shared" si="2"/>
        <v>Yes</v>
      </c>
      <c r="P683" s="10" t="s">
        <v>113</v>
      </c>
      <c r="Q683" s="10">
        <f t="shared" si="3"/>
        <v>1</v>
      </c>
      <c r="R683" s="10">
        <v>1.0</v>
      </c>
    </row>
    <row r="684" ht="22.5" customHeight="1">
      <c r="A684" s="5" t="s">
        <v>2531</v>
      </c>
      <c r="B684" s="5" t="s">
        <v>170</v>
      </c>
      <c r="C684" s="6">
        <v>5.0</v>
      </c>
      <c r="D684" s="6">
        <v>23.0</v>
      </c>
      <c r="E684" s="6">
        <v>4.8</v>
      </c>
      <c r="F684" s="6">
        <f t="shared" si="1"/>
        <v>4</v>
      </c>
      <c r="G684" s="6">
        <v>4.0</v>
      </c>
      <c r="H684" s="6">
        <v>45.0</v>
      </c>
      <c r="I684" s="6">
        <v>20.0</v>
      </c>
      <c r="J684" s="6">
        <v>9.0</v>
      </c>
      <c r="K684" s="6">
        <v>3.0</v>
      </c>
      <c r="L684" s="9">
        <v>45658.0</v>
      </c>
      <c r="M684" s="6">
        <v>3.0</v>
      </c>
      <c r="N684" s="5" t="s">
        <v>62</v>
      </c>
      <c r="O684" s="5" t="str">
        <f t="shared" si="2"/>
        <v>No</v>
      </c>
      <c r="P684" s="5" t="s">
        <v>62</v>
      </c>
      <c r="Q684" s="5">
        <f t="shared" si="3"/>
        <v>0</v>
      </c>
      <c r="R684" s="5">
        <v>0.0</v>
      </c>
    </row>
    <row r="685" ht="22.5" customHeight="1">
      <c r="A685" s="5" t="s">
        <v>2534</v>
      </c>
      <c r="B685" s="5" t="s">
        <v>22</v>
      </c>
      <c r="C685" s="6">
        <v>8.0</v>
      </c>
      <c r="D685" s="6">
        <v>33.0</v>
      </c>
      <c r="E685" s="6">
        <v>5.0</v>
      </c>
      <c r="F685" s="6">
        <f t="shared" si="1"/>
        <v>5</v>
      </c>
      <c r="G685" s="6">
        <v>5.0</v>
      </c>
      <c r="H685" s="6">
        <v>13.0</v>
      </c>
      <c r="I685" s="6">
        <v>34.0</v>
      </c>
      <c r="J685" s="6">
        <v>14.0</v>
      </c>
      <c r="K685" s="6">
        <v>5.0</v>
      </c>
      <c r="L685" s="9">
        <v>44540.0</v>
      </c>
      <c r="M685" s="6">
        <v>3.0</v>
      </c>
      <c r="N685" s="5" t="s">
        <v>113</v>
      </c>
      <c r="O685" s="5" t="str">
        <f t="shared" si="2"/>
        <v>Yes</v>
      </c>
      <c r="P685" s="5" t="s">
        <v>113</v>
      </c>
      <c r="Q685" s="5">
        <f t="shared" si="3"/>
        <v>1</v>
      </c>
      <c r="R685" s="5">
        <v>1.0</v>
      </c>
    </row>
    <row r="686" ht="22.5" customHeight="1">
      <c r="A686" s="5" t="s">
        <v>2536</v>
      </c>
      <c r="B686" s="5" t="s">
        <v>44</v>
      </c>
      <c r="C686" s="6">
        <v>4.0</v>
      </c>
      <c r="D686" s="6">
        <v>19.0</v>
      </c>
      <c r="E686" s="6">
        <v>11.3</v>
      </c>
      <c r="F686" s="6">
        <f t="shared" si="1"/>
        <v>11</v>
      </c>
      <c r="G686" s="6">
        <v>11.0</v>
      </c>
      <c r="H686" s="6">
        <v>32.0</v>
      </c>
      <c r="I686" s="6">
        <v>33.0</v>
      </c>
      <c r="J686" s="6">
        <v>3.0</v>
      </c>
      <c r="K686" s="6">
        <v>5.0</v>
      </c>
      <c r="L686" s="9">
        <v>44557.0</v>
      </c>
      <c r="M686" s="6">
        <v>4.0</v>
      </c>
      <c r="N686" s="5" t="s">
        <v>113</v>
      </c>
      <c r="O686" s="5" t="str">
        <f t="shared" si="2"/>
        <v>Yes</v>
      </c>
      <c r="P686" s="5" t="s">
        <v>113</v>
      </c>
      <c r="Q686" s="5">
        <f t="shared" si="3"/>
        <v>1</v>
      </c>
      <c r="R686" s="5">
        <v>1.0</v>
      </c>
    </row>
    <row r="687" ht="22.5" customHeight="1">
      <c r="A687" s="5" t="s">
        <v>2538</v>
      </c>
      <c r="B687" s="5" t="s">
        <v>84</v>
      </c>
      <c r="C687" s="6">
        <v>10.0</v>
      </c>
      <c r="D687" s="6">
        <v>60.0</v>
      </c>
      <c r="E687" s="6">
        <v>6.1</v>
      </c>
      <c r="F687" s="6">
        <f t="shared" si="1"/>
        <v>6</v>
      </c>
      <c r="G687" s="6">
        <v>6.0</v>
      </c>
      <c r="H687" s="6">
        <v>29.0</v>
      </c>
      <c r="I687" s="6">
        <v>38.0</v>
      </c>
      <c r="J687" s="6">
        <v>12.0</v>
      </c>
      <c r="K687" s="6">
        <v>1.0</v>
      </c>
      <c r="L687" s="9">
        <v>46063.0</v>
      </c>
      <c r="M687" s="6">
        <v>6.0</v>
      </c>
      <c r="N687" s="5" t="s">
        <v>62</v>
      </c>
      <c r="O687" s="5" t="str">
        <f t="shared" si="2"/>
        <v>No</v>
      </c>
      <c r="P687" s="5" t="s">
        <v>62</v>
      </c>
      <c r="Q687" s="5">
        <f t="shared" si="3"/>
        <v>0</v>
      </c>
      <c r="R687" s="5">
        <v>0.0</v>
      </c>
    </row>
    <row r="688" ht="22.5" customHeight="1">
      <c r="A688" s="5" t="s">
        <v>2541</v>
      </c>
      <c r="B688" s="5" t="s">
        <v>22</v>
      </c>
      <c r="C688" s="6">
        <v>8.0</v>
      </c>
      <c r="D688" s="6">
        <v>44.0</v>
      </c>
      <c r="E688" s="6">
        <v>4.7</v>
      </c>
      <c r="F688" s="6">
        <f t="shared" si="1"/>
        <v>4</v>
      </c>
      <c r="G688" s="6">
        <v>4.0</v>
      </c>
      <c r="H688" s="6">
        <v>26.0</v>
      </c>
      <c r="I688" s="6">
        <v>25.0</v>
      </c>
      <c r="J688" s="6">
        <v>5.0</v>
      </c>
      <c r="K688" s="6">
        <v>3.0</v>
      </c>
      <c r="L688" s="9">
        <v>45831.0</v>
      </c>
      <c r="M688" s="6">
        <v>8.0</v>
      </c>
      <c r="N688" s="5" t="s">
        <v>62</v>
      </c>
      <c r="O688" s="5" t="str">
        <f t="shared" si="2"/>
        <v>No</v>
      </c>
      <c r="P688" s="5" t="s">
        <v>62</v>
      </c>
      <c r="Q688" s="5">
        <f t="shared" si="3"/>
        <v>0</v>
      </c>
      <c r="R688" s="5">
        <v>0.0</v>
      </c>
    </row>
    <row r="689" ht="22.5" customHeight="1">
      <c r="A689" s="5" t="s">
        <v>2543</v>
      </c>
      <c r="B689" s="5" t="s">
        <v>84</v>
      </c>
      <c r="C689" s="6">
        <v>5.0</v>
      </c>
      <c r="D689" s="6">
        <v>10.0</v>
      </c>
      <c r="E689" s="6">
        <v>12.8</v>
      </c>
      <c r="F689" s="6">
        <f t="shared" si="1"/>
        <v>12</v>
      </c>
      <c r="G689" s="6">
        <v>12.0</v>
      </c>
      <c r="H689" s="6">
        <v>17.0</v>
      </c>
      <c r="I689" s="6">
        <v>29.0</v>
      </c>
      <c r="J689" s="6">
        <v>15.0</v>
      </c>
      <c r="K689" s="6">
        <v>2.0</v>
      </c>
      <c r="L689" s="9">
        <v>45908.0</v>
      </c>
      <c r="M689" s="6">
        <v>8.0</v>
      </c>
      <c r="N689" s="5" t="s">
        <v>62</v>
      </c>
      <c r="O689" s="5" t="str">
        <f t="shared" si="2"/>
        <v>No</v>
      </c>
      <c r="P689" s="5" t="s">
        <v>62</v>
      </c>
      <c r="Q689" s="5">
        <f t="shared" si="3"/>
        <v>0</v>
      </c>
      <c r="R689" s="5">
        <v>0.0</v>
      </c>
    </row>
    <row r="690" ht="22.5" customHeight="1">
      <c r="A690" s="5" t="s">
        <v>2547</v>
      </c>
      <c r="B690" s="5" t="s">
        <v>84</v>
      </c>
      <c r="C690" s="6">
        <v>4.0</v>
      </c>
      <c r="D690" s="6">
        <v>7.0</v>
      </c>
      <c r="E690" s="6">
        <v>12.9</v>
      </c>
      <c r="F690" s="6">
        <f t="shared" si="1"/>
        <v>12</v>
      </c>
      <c r="G690" s="6">
        <v>12.0</v>
      </c>
      <c r="H690" s="6">
        <v>55.0</v>
      </c>
      <c r="I690" s="6">
        <v>16.0</v>
      </c>
      <c r="J690" s="6">
        <v>6.0</v>
      </c>
      <c r="K690" s="6">
        <v>1.0</v>
      </c>
      <c r="L690" s="9">
        <v>46110.0</v>
      </c>
      <c r="M690" s="6">
        <v>8.0</v>
      </c>
      <c r="N690" s="5" t="s">
        <v>62</v>
      </c>
      <c r="O690" s="5" t="str">
        <f t="shared" si="2"/>
        <v>No</v>
      </c>
      <c r="P690" s="5" t="s">
        <v>62</v>
      </c>
      <c r="Q690" s="5">
        <f t="shared" si="3"/>
        <v>0</v>
      </c>
      <c r="R690" s="5">
        <v>0.0</v>
      </c>
    </row>
    <row r="691" ht="22.5" customHeight="1">
      <c r="A691" s="5" t="s">
        <v>2549</v>
      </c>
      <c r="B691" s="5" t="s">
        <v>22</v>
      </c>
      <c r="C691" s="6">
        <v>3.0</v>
      </c>
      <c r="D691" s="6">
        <v>6.0</v>
      </c>
      <c r="E691" s="6">
        <v>2.8</v>
      </c>
      <c r="F691" s="6">
        <f t="shared" si="1"/>
        <v>2</v>
      </c>
      <c r="G691" s="6">
        <v>2.0</v>
      </c>
      <c r="H691" s="6">
        <v>58.0</v>
      </c>
      <c r="I691" s="6">
        <v>22.0</v>
      </c>
      <c r="J691" s="6">
        <v>15.0</v>
      </c>
      <c r="K691" s="6">
        <v>2.0</v>
      </c>
      <c r="L691" s="9">
        <v>45195.0</v>
      </c>
      <c r="M691" s="6">
        <v>4.0</v>
      </c>
      <c r="N691" s="5" t="s">
        <v>113</v>
      </c>
      <c r="O691" s="5" t="str">
        <f t="shared" si="2"/>
        <v>No</v>
      </c>
      <c r="P691" s="5" t="s">
        <v>62</v>
      </c>
      <c r="Q691" s="5">
        <f t="shared" si="3"/>
        <v>0</v>
      </c>
      <c r="R691" s="5">
        <v>0.0</v>
      </c>
    </row>
    <row r="692" ht="22.5" customHeight="1">
      <c r="A692" s="5" t="s">
        <v>2551</v>
      </c>
      <c r="B692" s="5" t="s">
        <v>84</v>
      </c>
      <c r="C692" s="6">
        <v>5.0</v>
      </c>
      <c r="D692" s="6">
        <v>21.0</v>
      </c>
      <c r="E692" s="6">
        <v>4.1</v>
      </c>
      <c r="F692" s="6">
        <f t="shared" si="1"/>
        <v>4</v>
      </c>
      <c r="G692" s="6">
        <v>4.0</v>
      </c>
      <c r="H692" s="6">
        <v>10.0</v>
      </c>
      <c r="I692" s="6">
        <v>31.0</v>
      </c>
      <c r="J692" s="6">
        <v>10.0</v>
      </c>
      <c r="K692" s="6">
        <v>4.0</v>
      </c>
      <c r="L692" s="9">
        <v>45412.0</v>
      </c>
      <c r="M692" s="6">
        <v>2.0</v>
      </c>
      <c r="N692" s="5" t="s">
        <v>113</v>
      </c>
      <c r="O692" s="5" t="str">
        <f t="shared" si="2"/>
        <v>No</v>
      </c>
      <c r="P692" s="5" t="s">
        <v>62</v>
      </c>
      <c r="Q692" s="5">
        <f t="shared" si="3"/>
        <v>0</v>
      </c>
      <c r="R692" s="5">
        <v>0.0</v>
      </c>
    </row>
    <row r="693" ht="22.5" customHeight="1">
      <c r="A693" s="5" t="s">
        <v>2554</v>
      </c>
      <c r="B693" s="5" t="s">
        <v>84</v>
      </c>
      <c r="C693" s="6">
        <v>8.0</v>
      </c>
      <c r="D693" s="6">
        <v>43.0</v>
      </c>
      <c r="E693" s="6">
        <v>3.1</v>
      </c>
      <c r="F693" s="6">
        <f t="shared" si="1"/>
        <v>3</v>
      </c>
      <c r="G693" s="6">
        <v>3.0</v>
      </c>
      <c r="H693" s="6">
        <v>41.0</v>
      </c>
      <c r="I693" s="6">
        <v>17.0</v>
      </c>
      <c r="J693" s="6">
        <v>12.0</v>
      </c>
      <c r="K693" s="6">
        <v>3.0</v>
      </c>
      <c r="L693" s="9">
        <v>45918.0</v>
      </c>
      <c r="M693" s="6">
        <v>9.0</v>
      </c>
      <c r="N693" s="5" t="s">
        <v>62</v>
      </c>
      <c r="O693" s="5" t="str">
        <f t="shared" si="2"/>
        <v>No</v>
      </c>
      <c r="P693" s="5" t="s">
        <v>62</v>
      </c>
      <c r="Q693" s="5">
        <f t="shared" si="3"/>
        <v>0</v>
      </c>
      <c r="R693" s="5">
        <v>0.0</v>
      </c>
    </row>
    <row r="694" ht="22.5" customHeight="1">
      <c r="A694" s="5" t="s">
        <v>2558</v>
      </c>
      <c r="B694" s="5" t="s">
        <v>22</v>
      </c>
      <c r="C694" s="6">
        <v>5.0</v>
      </c>
      <c r="D694" s="6">
        <v>26.0</v>
      </c>
      <c r="E694" s="6">
        <v>2.5</v>
      </c>
      <c r="F694" s="6">
        <f t="shared" si="1"/>
        <v>2</v>
      </c>
      <c r="G694" s="6">
        <v>2.0</v>
      </c>
      <c r="H694" s="6">
        <v>11.0</v>
      </c>
      <c r="I694" s="6">
        <v>15.0</v>
      </c>
      <c r="J694" s="6">
        <v>17.0</v>
      </c>
      <c r="K694" s="6">
        <v>5.0</v>
      </c>
      <c r="L694" s="9">
        <v>45157.0</v>
      </c>
      <c r="M694" s="6">
        <v>2.0</v>
      </c>
      <c r="N694" s="5" t="s">
        <v>113</v>
      </c>
      <c r="O694" s="5" t="str">
        <f t="shared" si="2"/>
        <v>Yes</v>
      </c>
      <c r="P694" s="5" t="s">
        <v>113</v>
      </c>
      <c r="Q694" s="5">
        <f t="shared" si="3"/>
        <v>1</v>
      </c>
      <c r="R694" s="5">
        <v>1.0</v>
      </c>
    </row>
    <row r="695" ht="22.5" customHeight="1">
      <c r="A695" s="5" t="s">
        <v>2560</v>
      </c>
      <c r="B695" s="5" t="s">
        <v>84</v>
      </c>
      <c r="C695" s="6">
        <v>4.0</v>
      </c>
      <c r="D695" s="6">
        <v>8.0</v>
      </c>
      <c r="E695" s="6">
        <v>2.8</v>
      </c>
      <c r="F695" s="6">
        <f t="shared" si="1"/>
        <v>2</v>
      </c>
      <c r="G695" s="6">
        <v>2.0</v>
      </c>
      <c r="H695" s="6">
        <v>58.0</v>
      </c>
      <c r="I695" s="6">
        <v>23.0</v>
      </c>
      <c r="J695" s="6">
        <v>19.0</v>
      </c>
      <c r="K695" s="6">
        <v>4.0</v>
      </c>
      <c r="L695" s="9">
        <v>44664.0</v>
      </c>
      <c r="M695" s="6">
        <v>2.0</v>
      </c>
      <c r="N695" s="5" t="s">
        <v>113</v>
      </c>
      <c r="O695" s="5" t="str">
        <f t="shared" si="2"/>
        <v>Yes</v>
      </c>
      <c r="P695" s="5" t="s">
        <v>113</v>
      </c>
      <c r="Q695" s="5">
        <f t="shared" si="3"/>
        <v>1</v>
      </c>
      <c r="R695" s="5">
        <v>1.0</v>
      </c>
    </row>
    <row r="696" ht="22.5" customHeight="1">
      <c r="A696" s="5" t="s">
        <v>2563</v>
      </c>
      <c r="B696" s="5" t="s">
        <v>84</v>
      </c>
      <c r="C696" s="6">
        <v>7.0</v>
      </c>
      <c r="D696" s="6">
        <v>27.0</v>
      </c>
      <c r="E696" s="6">
        <v>4.6</v>
      </c>
      <c r="F696" s="6">
        <f t="shared" si="1"/>
        <v>4</v>
      </c>
      <c r="G696" s="6">
        <v>4.0</v>
      </c>
      <c r="H696" s="6">
        <v>52.0</v>
      </c>
      <c r="I696" s="6">
        <v>26.0</v>
      </c>
      <c r="J696" s="6">
        <v>12.0</v>
      </c>
      <c r="K696" s="6">
        <v>0.0</v>
      </c>
      <c r="L696" s="9">
        <v>45867.0</v>
      </c>
      <c r="M696" s="6">
        <v>6.0</v>
      </c>
      <c r="N696" s="5" t="s">
        <v>62</v>
      </c>
      <c r="O696" s="5" t="str">
        <f t="shared" si="2"/>
        <v>No</v>
      </c>
      <c r="P696" s="5" t="s">
        <v>62</v>
      </c>
      <c r="Q696" s="5">
        <f t="shared" si="3"/>
        <v>0</v>
      </c>
      <c r="R696" s="5">
        <v>0.0</v>
      </c>
    </row>
    <row r="697" ht="22.5" customHeight="1">
      <c r="A697" s="5" t="s">
        <v>2567</v>
      </c>
      <c r="B697" s="5" t="s">
        <v>65</v>
      </c>
      <c r="C697" s="6">
        <v>4.0</v>
      </c>
      <c r="D697" s="6">
        <v>13.0</v>
      </c>
      <c r="E697" s="6">
        <v>2.1</v>
      </c>
      <c r="F697" s="6">
        <f t="shared" si="1"/>
        <v>2</v>
      </c>
      <c r="G697" s="6">
        <v>2.0</v>
      </c>
      <c r="H697" s="6">
        <v>7.0</v>
      </c>
      <c r="I697" s="6">
        <v>39.0</v>
      </c>
      <c r="J697" s="6">
        <v>5.0</v>
      </c>
      <c r="K697" s="6">
        <v>3.0</v>
      </c>
      <c r="L697" s="9">
        <v>46097.0</v>
      </c>
      <c r="M697" s="6">
        <v>6.0</v>
      </c>
      <c r="N697" s="5" t="s">
        <v>62</v>
      </c>
      <c r="O697" s="5" t="str">
        <f t="shared" si="2"/>
        <v>No</v>
      </c>
      <c r="P697" s="5" t="s">
        <v>62</v>
      </c>
      <c r="Q697" s="5">
        <f t="shared" si="3"/>
        <v>0</v>
      </c>
      <c r="R697" s="5">
        <v>0.0</v>
      </c>
    </row>
    <row r="698" ht="22.5" customHeight="1">
      <c r="A698" s="5" t="s">
        <v>2569</v>
      </c>
      <c r="B698" s="5" t="s">
        <v>84</v>
      </c>
      <c r="C698" s="6">
        <v>9.0</v>
      </c>
      <c r="D698" s="6">
        <v>52.0</v>
      </c>
      <c r="E698" s="6">
        <v>11.1</v>
      </c>
      <c r="F698" s="6">
        <f t="shared" si="1"/>
        <v>11</v>
      </c>
      <c r="G698" s="6">
        <v>11.0</v>
      </c>
      <c r="H698" s="6">
        <v>5.0</v>
      </c>
      <c r="I698" s="6">
        <v>26.0</v>
      </c>
      <c r="J698" s="6">
        <v>20.0</v>
      </c>
      <c r="K698" s="6">
        <v>1.0</v>
      </c>
      <c r="L698" s="9">
        <v>44664.0</v>
      </c>
      <c r="M698" s="6">
        <v>4.0</v>
      </c>
      <c r="N698" s="5" t="s">
        <v>113</v>
      </c>
      <c r="O698" s="5" t="str">
        <f t="shared" si="2"/>
        <v>Yes</v>
      </c>
      <c r="P698" s="5" t="s">
        <v>113</v>
      </c>
      <c r="Q698" s="5">
        <f t="shared" si="3"/>
        <v>1</v>
      </c>
      <c r="R698" s="5">
        <v>1.0</v>
      </c>
    </row>
    <row r="699" ht="22.5" customHeight="1">
      <c r="A699" s="5" t="s">
        <v>2571</v>
      </c>
      <c r="B699" s="5" t="s">
        <v>65</v>
      </c>
      <c r="C699" s="6">
        <v>5.0</v>
      </c>
      <c r="D699" s="6">
        <v>27.0</v>
      </c>
      <c r="E699" s="6">
        <v>12.4</v>
      </c>
      <c r="F699" s="6">
        <f t="shared" si="1"/>
        <v>12</v>
      </c>
      <c r="G699" s="6">
        <v>12.0</v>
      </c>
      <c r="H699" s="6">
        <v>27.0</v>
      </c>
      <c r="I699" s="6">
        <v>36.0</v>
      </c>
      <c r="J699" s="6">
        <v>7.0</v>
      </c>
      <c r="K699" s="6">
        <v>1.0</v>
      </c>
      <c r="L699" s="9">
        <v>45667.0</v>
      </c>
      <c r="M699" s="6">
        <v>8.0</v>
      </c>
      <c r="N699" s="5" t="s">
        <v>62</v>
      </c>
      <c r="O699" s="5" t="str">
        <f t="shared" si="2"/>
        <v>No</v>
      </c>
      <c r="P699" s="5" t="s">
        <v>62</v>
      </c>
      <c r="Q699" s="5">
        <f t="shared" si="3"/>
        <v>0</v>
      </c>
      <c r="R699" s="5">
        <v>0.0</v>
      </c>
    </row>
    <row r="700" ht="22.5" customHeight="1">
      <c r="A700" s="5" t="s">
        <v>2575</v>
      </c>
      <c r="B700" s="5" t="s">
        <v>22</v>
      </c>
      <c r="C700" s="6">
        <v>6.0</v>
      </c>
      <c r="D700" s="6">
        <v>22.0</v>
      </c>
      <c r="E700" s="6">
        <v>10.8</v>
      </c>
      <c r="F700" s="6">
        <f t="shared" si="1"/>
        <v>10</v>
      </c>
      <c r="G700" s="6">
        <v>10.0</v>
      </c>
      <c r="H700" s="6">
        <v>40.0</v>
      </c>
      <c r="I700" s="6">
        <v>16.0</v>
      </c>
      <c r="J700" s="6">
        <v>18.0</v>
      </c>
      <c r="K700" s="6">
        <v>3.0</v>
      </c>
      <c r="L700" s="9">
        <v>45894.0</v>
      </c>
      <c r="M700" s="6">
        <v>6.0</v>
      </c>
      <c r="N700" s="5" t="s">
        <v>62</v>
      </c>
      <c r="O700" s="5" t="str">
        <f t="shared" si="2"/>
        <v>No</v>
      </c>
      <c r="P700" s="5" t="s">
        <v>62</v>
      </c>
      <c r="Q700" s="5">
        <f t="shared" si="3"/>
        <v>0</v>
      </c>
      <c r="R700" s="5">
        <v>0.0</v>
      </c>
    </row>
    <row r="701" ht="22.5" customHeight="1">
      <c r="A701" s="5" t="s">
        <v>2578</v>
      </c>
      <c r="B701" s="5" t="s">
        <v>84</v>
      </c>
      <c r="C701" s="6">
        <v>4.0</v>
      </c>
      <c r="D701" s="6">
        <v>17.0</v>
      </c>
      <c r="E701" s="6">
        <v>7.3</v>
      </c>
      <c r="F701" s="6">
        <f t="shared" si="1"/>
        <v>7</v>
      </c>
      <c r="G701" s="6">
        <v>7.0</v>
      </c>
      <c r="H701" s="6">
        <v>33.0</v>
      </c>
      <c r="I701" s="6">
        <v>19.0</v>
      </c>
      <c r="J701" s="6">
        <v>16.0</v>
      </c>
      <c r="K701" s="6">
        <v>2.0</v>
      </c>
      <c r="L701" s="9">
        <v>45792.0</v>
      </c>
      <c r="M701" s="6">
        <v>4.0</v>
      </c>
      <c r="N701" s="5" t="s">
        <v>62</v>
      </c>
      <c r="O701" s="5" t="str">
        <f t="shared" si="2"/>
        <v>No</v>
      </c>
      <c r="P701" s="5" t="s">
        <v>62</v>
      </c>
      <c r="Q701" s="5">
        <f t="shared" si="3"/>
        <v>0</v>
      </c>
      <c r="R701" s="5">
        <v>0.0</v>
      </c>
    </row>
    <row r="702" ht="22.5" customHeight="1">
      <c r="A702" s="5" t="s">
        <v>2579</v>
      </c>
      <c r="B702" s="5" t="s">
        <v>44</v>
      </c>
      <c r="C702" s="6">
        <v>8.0</v>
      </c>
      <c r="D702" s="6">
        <v>45.0</v>
      </c>
      <c r="E702" s="6">
        <v>4.8</v>
      </c>
      <c r="F702" s="6">
        <f t="shared" si="1"/>
        <v>4</v>
      </c>
      <c r="G702" s="6">
        <v>4.0</v>
      </c>
      <c r="H702" s="6">
        <v>12.0</v>
      </c>
      <c r="I702" s="6">
        <v>29.0</v>
      </c>
      <c r="J702" s="8"/>
      <c r="K702" s="6">
        <v>0.0</v>
      </c>
      <c r="L702" s="9">
        <v>44537.0</v>
      </c>
      <c r="M702" s="6">
        <v>3.0</v>
      </c>
      <c r="N702" s="5" t="s">
        <v>113</v>
      </c>
      <c r="O702" s="5" t="str">
        <f t="shared" si="2"/>
        <v>Yes</v>
      </c>
      <c r="P702" s="5" t="s">
        <v>113</v>
      </c>
      <c r="Q702" s="5">
        <f t="shared" si="3"/>
        <v>1</v>
      </c>
      <c r="R702" s="5">
        <v>1.0</v>
      </c>
    </row>
    <row r="703" ht="22.5" customHeight="1">
      <c r="A703" s="5" t="s">
        <v>2582</v>
      </c>
      <c r="B703" s="5" t="s">
        <v>44</v>
      </c>
      <c r="C703" s="6">
        <v>12.0</v>
      </c>
      <c r="D703" s="6">
        <v>26.0</v>
      </c>
      <c r="E703" s="6">
        <v>3.9</v>
      </c>
      <c r="F703" s="6">
        <f t="shared" si="1"/>
        <v>3</v>
      </c>
      <c r="G703" s="6">
        <v>3.0</v>
      </c>
      <c r="H703" s="6">
        <v>48.0</v>
      </c>
      <c r="I703" s="6">
        <v>21.0</v>
      </c>
      <c r="J703" s="6">
        <v>10.0</v>
      </c>
      <c r="K703" s="6">
        <v>3.0</v>
      </c>
      <c r="L703" s="9">
        <v>45459.0</v>
      </c>
      <c r="M703" s="6">
        <v>3.0</v>
      </c>
      <c r="N703" s="5" t="s">
        <v>113</v>
      </c>
      <c r="O703" s="5" t="str">
        <f t="shared" si="2"/>
        <v>No</v>
      </c>
      <c r="P703" s="5" t="s">
        <v>62</v>
      </c>
      <c r="Q703" s="5">
        <f t="shared" si="3"/>
        <v>0</v>
      </c>
      <c r="R703" s="5">
        <v>0.0</v>
      </c>
    </row>
    <row r="704" ht="22.5" customHeight="1">
      <c r="A704" s="5" t="s">
        <v>2584</v>
      </c>
      <c r="B704" s="5" t="s">
        <v>22</v>
      </c>
      <c r="C704" s="6">
        <v>12.0</v>
      </c>
      <c r="D704" s="6">
        <v>52.0</v>
      </c>
      <c r="E704" s="6">
        <v>7.3</v>
      </c>
      <c r="F704" s="6">
        <f t="shared" si="1"/>
        <v>7</v>
      </c>
      <c r="G704" s="6">
        <v>7.0</v>
      </c>
      <c r="H704" s="6">
        <v>34.0</v>
      </c>
      <c r="I704" s="6">
        <v>30.0</v>
      </c>
      <c r="J704" s="6">
        <v>13.0</v>
      </c>
      <c r="K704" s="6">
        <v>2.0</v>
      </c>
      <c r="L704" s="9">
        <v>44863.0</v>
      </c>
      <c r="M704" s="6">
        <v>2.0</v>
      </c>
      <c r="N704" s="5" t="s">
        <v>113</v>
      </c>
      <c r="O704" s="5" t="str">
        <f t="shared" si="2"/>
        <v>Yes</v>
      </c>
      <c r="P704" s="5" t="s">
        <v>113</v>
      </c>
      <c r="Q704" s="5">
        <f t="shared" si="3"/>
        <v>1</v>
      </c>
      <c r="R704" s="5">
        <v>1.0</v>
      </c>
    </row>
    <row r="705" ht="22.5" customHeight="1">
      <c r="A705" s="5" t="s">
        <v>2588</v>
      </c>
      <c r="B705" s="5" t="s">
        <v>65</v>
      </c>
      <c r="C705" s="6">
        <v>6.0</v>
      </c>
      <c r="D705" s="6">
        <v>10.0</v>
      </c>
      <c r="E705" s="6">
        <v>3.0</v>
      </c>
      <c r="F705" s="6">
        <f t="shared" si="1"/>
        <v>3</v>
      </c>
      <c r="G705" s="6">
        <v>3.0</v>
      </c>
      <c r="H705" s="6">
        <v>50.0</v>
      </c>
      <c r="I705" s="6">
        <v>22.0</v>
      </c>
      <c r="J705" s="6">
        <v>3.0</v>
      </c>
      <c r="K705" s="6">
        <v>0.0</v>
      </c>
      <c r="L705" s="9">
        <v>46024.0</v>
      </c>
      <c r="M705" s="6">
        <v>5.0</v>
      </c>
      <c r="N705" s="5" t="s">
        <v>62</v>
      </c>
      <c r="O705" s="5" t="str">
        <f t="shared" si="2"/>
        <v>No</v>
      </c>
      <c r="P705" s="5" t="s">
        <v>62</v>
      </c>
      <c r="Q705" s="5">
        <f t="shared" si="3"/>
        <v>0</v>
      </c>
      <c r="R705" s="5">
        <v>0.0</v>
      </c>
    </row>
    <row r="706" ht="22.5" customHeight="1">
      <c r="A706" s="5" t="s">
        <v>2592</v>
      </c>
      <c r="B706" s="5" t="s">
        <v>65</v>
      </c>
      <c r="C706" s="6">
        <v>8.0</v>
      </c>
      <c r="D706" s="6">
        <v>47.0</v>
      </c>
      <c r="E706" s="6">
        <v>2.4</v>
      </c>
      <c r="F706" s="6">
        <f t="shared" si="1"/>
        <v>2</v>
      </c>
      <c r="G706" s="6">
        <v>2.0</v>
      </c>
      <c r="H706" s="6">
        <v>6.0</v>
      </c>
      <c r="I706" s="6">
        <v>34.0</v>
      </c>
      <c r="J706" s="6">
        <v>11.0</v>
      </c>
      <c r="K706" s="6">
        <v>3.0</v>
      </c>
      <c r="L706" s="9">
        <v>44595.0</v>
      </c>
      <c r="M706" s="6">
        <v>4.0</v>
      </c>
      <c r="N706" s="5" t="s">
        <v>113</v>
      </c>
      <c r="O706" s="5" t="str">
        <f t="shared" si="2"/>
        <v>Yes</v>
      </c>
      <c r="P706" s="5" t="s">
        <v>113</v>
      </c>
      <c r="Q706" s="5">
        <f t="shared" si="3"/>
        <v>1</v>
      </c>
      <c r="R706" s="5">
        <v>1.0</v>
      </c>
    </row>
    <row r="707" ht="22.5" customHeight="1">
      <c r="A707" s="5" t="s">
        <v>2594</v>
      </c>
      <c r="B707" s="5" t="s">
        <v>22</v>
      </c>
      <c r="C707" s="6">
        <v>2.0</v>
      </c>
      <c r="D707" s="6">
        <v>8.0</v>
      </c>
      <c r="E707" s="6">
        <v>3.8</v>
      </c>
      <c r="F707" s="6">
        <f t="shared" si="1"/>
        <v>3</v>
      </c>
      <c r="G707" s="6">
        <v>3.0</v>
      </c>
      <c r="H707" s="6">
        <v>59.0</v>
      </c>
      <c r="I707" s="6">
        <v>25.0</v>
      </c>
      <c r="J707" s="6">
        <v>12.0</v>
      </c>
      <c r="K707" s="6">
        <v>3.0</v>
      </c>
      <c r="L707" s="9">
        <v>44466.0</v>
      </c>
      <c r="M707" s="6">
        <v>4.0</v>
      </c>
      <c r="N707" s="5" t="s">
        <v>113</v>
      </c>
      <c r="O707" s="5" t="str">
        <f t="shared" si="2"/>
        <v>Yes</v>
      </c>
      <c r="P707" s="5" t="s">
        <v>113</v>
      </c>
      <c r="Q707" s="5">
        <f t="shared" si="3"/>
        <v>1</v>
      </c>
      <c r="R707" s="5">
        <v>1.0</v>
      </c>
    </row>
    <row r="708" ht="22.5" customHeight="1">
      <c r="A708" s="5" t="s">
        <v>2598</v>
      </c>
      <c r="B708" s="5" t="s">
        <v>65</v>
      </c>
      <c r="C708" s="6">
        <v>4.0</v>
      </c>
      <c r="D708" s="6">
        <v>12.0</v>
      </c>
      <c r="E708" s="6">
        <v>9.2</v>
      </c>
      <c r="F708" s="6">
        <f t="shared" si="1"/>
        <v>9</v>
      </c>
      <c r="G708" s="6">
        <v>9.0</v>
      </c>
      <c r="H708" s="6">
        <v>31.0</v>
      </c>
      <c r="I708" s="6">
        <v>39.0</v>
      </c>
      <c r="J708" s="6">
        <v>2.0</v>
      </c>
      <c r="K708" s="6">
        <v>5.0</v>
      </c>
      <c r="L708" s="9">
        <v>44652.0</v>
      </c>
      <c r="M708" s="6">
        <v>5.0</v>
      </c>
      <c r="N708" s="5" t="s">
        <v>113</v>
      </c>
      <c r="O708" s="5" t="str">
        <f t="shared" si="2"/>
        <v>Yes</v>
      </c>
      <c r="P708" s="5" t="s">
        <v>113</v>
      </c>
      <c r="Q708" s="5">
        <f t="shared" si="3"/>
        <v>1</v>
      </c>
      <c r="R708" s="5">
        <v>1.0</v>
      </c>
    </row>
    <row r="709" ht="22.5" customHeight="1">
      <c r="A709" s="5" t="s">
        <v>2601</v>
      </c>
      <c r="B709" s="5" t="s">
        <v>65</v>
      </c>
      <c r="C709" s="6">
        <v>5.0</v>
      </c>
      <c r="D709" s="6">
        <v>27.0</v>
      </c>
      <c r="E709" s="6">
        <v>7.9</v>
      </c>
      <c r="F709" s="6">
        <f t="shared" si="1"/>
        <v>7</v>
      </c>
      <c r="G709" s="6">
        <v>7.0</v>
      </c>
      <c r="H709" s="6">
        <v>41.0</v>
      </c>
      <c r="I709" s="6">
        <v>41.0</v>
      </c>
      <c r="J709" s="6">
        <v>1.0</v>
      </c>
      <c r="K709" s="6">
        <v>0.0</v>
      </c>
      <c r="L709" s="9">
        <v>44771.0</v>
      </c>
      <c r="M709" s="6">
        <v>2.0</v>
      </c>
      <c r="N709" s="5" t="s">
        <v>113</v>
      </c>
      <c r="O709" s="5" t="str">
        <f t="shared" si="2"/>
        <v>Yes</v>
      </c>
      <c r="P709" s="5" t="s">
        <v>113</v>
      </c>
      <c r="Q709" s="5">
        <f t="shared" si="3"/>
        <v>1</v>
      </c>
      <c r="R709" s="5">
        <v>1.0</v>
      </c>
    </row>
    <row r="710" ht="22.5" customHeight="1">
      <c r="A710" s="5" t="s">
        <v>2602</v>
      </c>
      <c r="B710" s="5" t="s">
        <v>84</v>
      </c>
      <c r="C710" s="6">
        <v>7.0</v>
      </c>
      <c r="D710" s="6">
        <v>41.0</v>
      </c>
      <c r="E710" s="6">
        <v>13.6</v>
      </c>
      <c r="F710" s="6">
        <f t="shared" si="1"/>
        <v>13</v>
      </c>
      <c r="G710" s="6">
        <v>13.0</v>
      </c>
      <c r="H710" s="6">
        <v>44.0</v>
      </c>
      <c r="I710" s="6">
        <v>32.0</v>
      </c>
      <c r="J710" s="6">
        <v>18.0</v>
      </c>
      <c r="K710" s="6">
        <v>0.0</v>
      </c>
      <c r="L710" s="9">
        <v>44710.0</v>
      </c>
      <c r="M710" s="6">
        <v>2.0</v>
      </c>
      <c r="O710" s="10" t="str">
        <f t="shared" si="2"/>
        <v>Yes</v>
      </c>
      <c r="P710" s="10" t="s">
        <v>113</v>
      </c>
      <c r="Q710" s="10">
        <f t="shared" si="3"/>
        <v>1</v>
      </c>
      <c r="R710" s="10">
        <v>1.0</v>
      </c>
    </row>
    <row r="711" ht="22.5" customHeight="1">
      <c r="A711" s="5" t="s">
        <v>2603</v>
      </c>
      <c r="B711" s="5" t="s">
        <v>65</v>
      </c>
      <c r="C711" s="6">
        <v>4.0</v>
      </c>
      <c r="D711" s="6">
        <v>23.0</v>
      </c>
      <c r="E711" s="6">
        <v>9.6</v>
      </c>
      <c r="F711" s="6">
        <f t="shared" si="1"/>
        <v>9</v>
      </c>
      <c r="G711" s="6">
        <v>9.0</v>
      </c>
      <c r="H711" s="6">
        <v>56.0</v>
      </c>
      <c r="I711" s="6">
        <v>26.0</v>
      </c>
      <c r="J711" s="6">
        <v>13.0</v>
      </c>
      <c r="K711" s="6">
        <v>0.0</v>
      </c>
      <c r="L711" s="9">
        <v>45604.0</v>
      </c>
      <c r="M711" s="6">
        <v>7.0</v>
      </c>
      <c r="N711" s="5" t="s">
        <v>62</v>
      </c>
      <c r="O711" s="5" t="str">
        <f t="shared" si="2"/>
        <v>No</v>
      </c>
      <c r="P711" s="5" t="s">
        <v>62</v>
      </c>
      <c r="Q711" s="5">
        <f t="shared" si="3"/>
        <v>0</v>
      </c>
      <c r="R711" s="5">
        <v>0.0</v>
      </c>
    </row>
    <row r="712" ht="22.5" customHeight="1">
      <c r="A712" s="5" t="s">
        <v>2605</v>
      </c>
      <c r="B712" s="5" t="s">
        <v>44</v>
      </c>
      <c r="C712" s="6">
        <v>5.0</v>
      </c>
      <c r="D712" s="6">
        <v>8.0</v>
      </c>
      <c r="E712" s="6">
        <v>1.7</v>
      </c>
      <c r="F712" s="6">
        <f t="shared" si="1"/>
        <v>1</v>
      </c>
      <c r="G712" s="6">
        <v>1.0</v>
      </c>
      <c r="H712" s="6">
        <v>40.0</v>
      </c>
      <c r="I712" s="6">
        <v>28.0</v>
      </c>
      <c r="J712" s="6">
        <v>19.0</v>
      </c>
      <c r="K712" s="6">
        <v>1.0</v>
      </c>
      <c r="L712" s="9">
        <v>45184.0</v>
      </c>
      <c r="M712" s="6">
        <v>4.0</v>
      </c>
      <c r="N712" s="5" t="s">
        <v>113</v>
      </c>
      <c r="O712" s="5" t="str">
        <f t="shared" si="2"/>
        <v>No</v>
      </c>
      <c r="P712" s="5" t="s">
        <v>62</v>
      </c>
      <c r="Q712" s="5">
        <f t="shared" si="3"/>
        <v>0</v>
      </c>
      <c r="R712" s="5">
        <v>0.0</v>
      </c>
    </row>
    <row r="713" ht="22.5" customHeight="1">
      <c r="A713" s="5" t="s">
        <v>2607</v>
      </c>
      <c r="B713" s="5" t="s">
        <v>22</v>
      </c>
      <c r="C713" s="6">
        <v>9.0</v>
      </c>
      <c r="D713" s="6">
        <v>47.0</v>
      </c>
      <c r="E713" s="6">
        <v>12.1</v>
      </c>
      <c r="F713" s="6">
        <f t="shared" si="1"/>
        <v>12</v>
      </c>
      <c r="G713" s="6">
        <v>12.0</v>
      </c>
      <c r="H713" s="6">
        <v>59.0</v>
      </c>
      <c r="I713" s="6">
        <v>14.0</v>
      </c>
      <c r="J713" s="6">
        <v>7.0</v>
      </c>
      <c r="K713" s="6">
        <v>1.0</v>
      </c>
      <c r="L713" s="9">
        <v>45954.0</v>
      </c>
      <c r="M713" s="6">
        <v>7.0</v>
      </c>
      <c r="N713" s="5" t="s">
        <v>62</v>
      </c>
      <c r="O713" s="5" t="str">
        <f t="shared" si="2"/>
        <v>No</v>
      </c>
      <c r="P713" s="5" t="s">
        <v>62</v>
      </c>
      <c r="Q713" s="5">
        <f t="shared" si="3"/>
        <v>0</v>
      </c>
      <c r="R713" s="5">
        <v>0.0</v>
      </c>
    </row>
    <row r="714" ht="22.5" customHeight="1">
      <c r="A714" s="5" t="s">
        <v>2611</v>
      </c>
      <c r="B714" s="5" t="s">
        <v>22</v>
      </c>
      <c r="C714" s="6">
        <v>8.0</v>
      </c>
      <c r="D714" s="6">
        <v>34.0</v>
      </c>
      <c r="E714" s="6">
        <v>12.4</v>
      </c>
      <c r="F714" s="6">
        <f t="shared" si="1"/>
        <v>12</v>
      </c>
      <c r="G714" s="6">
        <v>12.0</v>
      </c>
      <c r="H714" s="6">
        <v>28.0</v>
      </c>
      <c r="I714" s="6">
        <v>30.0</v>
      </c>
      <c r="J714" s="6">
        <v>2.0</v>
      </c>
      <c r="K714" s="6">
        <v>3.0</v>
      </c>
      <c r="L714" s="9">
        <v>45918.0</v>
      </c>
      <c r="M714" s="6">
        <v>7.0</v>
      </c>
      <c r="N714" s="5" t="s">
        <v>62</v>
      </c>
      <c r="O714" s="5" t="str">
        <f t="shared" si="2"/>
        <v>No</v>
      </c>
      <c r="P714" s="5" t="s">
        <v>62</v>
      </c>
      <c r="Q714" s="5">
        <f t="shared" si="3"/>
        <v>0</v>
      </c>
      <c r="R714" s="5">
        <v>0.0</v>
      </c>
    </row>
    <row r="715" ht="22.5" customHeight="1">
      <c r="A715" s="5" t="s">
        <v>2613</v>
      </c>
      <c r="B715" s="5" t="s">
        <v>84</v>
      </c>
      <c r="C715" s="6">
        <v>5.0</v>
      </c>
      <c r="D715" s="6">
        <v>22.0</v>
      </c>
      <c r="E715" s="6">
        <v>8.2</v>
      </c>
      <c r="F715" s="6">
        <f t="shared" si="1"/>
        <v>8</v>
      </c>
      <c r="G715" s="6">
        <v>8.0</v>
      </c>
      <c r="H715" s="6">
        <v>31.0</v>
      </c>
      <c r="I715" s="6">
        <v>17.0</v>
      </c>
      <c r="J715" s="6">
        <v>13.0</v>
      </c>
      <c r="K715" s="6">
        <v>2.0</v>
      </c>
      <c r="L715" s="9">
        <v>45915.0</v>
      </c>
      <c r="M715" s="6">
        <v>10.0</v>
      </c>
      <c r="N715" s="5" t="s">
        <v>62</v>
      </c>
      <c r="O715" s="5" t="str">
        <f t="shared" si="2"/>
        <v>No</v>
      </c>
      <c r="P715" s="5" t="s">
        <v>62</v>
      </c>
      <c r="Q715" s="5">
        <f t="shared" si="3"/>
        <v>0</v>
      </c>
      <c r="R715" s="5">
        <v>0.0</v>
      </c>
    </row>
    <row r="716" ht="22.5" customHeight="1">
      <c r="A716" s="5" t="s">
        <v>2616</v>
      </c>
      <c r="B716" s="5" t="s">
        <v>22</v>
      </c>
      <c r="C716" s="6">
        <v>5.0</v>
      </c>
      <c r="D716" s="6">
        <v>23.0</v>
      </c>
      <c r="E716" s="6">
        <v>8.3</v>
      </c>
      <c r="F716" s="6">
        <f t="shared" si="1"/>
        <v>8</v>
      </c>
      <c r="G716" s="6">
        <v>8.0</v>
      </c>
      <c r="H716" s="6">
        <v>6.0</v>
      </c>
      <c r="I716" s="6">
        <v>19.0</v>
      </c>
      <c r="J716" s="6">
        <v>13.0</v>
      </c>
      <c r="K716" s="6">
        <v>2.0</v>
      </c>
      <c r="L716" s="9">
        <v>45884.0</v>
      </c>
      <c r="M716" s="6">
        <v>7.0</v>
      </c>
      <c r="N716" s="5" t="s">
        <v>62</v>
      </c>
      <c r="O716" s="5" t="str">
        <f t="shared" si="2"/>
        <v>No</v>
      </c>
      <c r="P716" s="5" t="s">
        <v>62</v>
      </c>
      <c r="Q716" s="5">
        <f t="shared" si="3"/>
        <v>0</v>
      </c>
      <c r="R716" s="5">
        <v>0.0</v>
      </c>
    </row>
    <row r="717" ht="22.5" customHeight="1">
      <c r="A717" s="5" t="s">
        <v>2617</v>
      </c>
      <c r="B717" s="5" t="s">
        <v>84</v>
      </c>
      <c r="C717" s="6">
        <v>13.0</v>
      </c>
      <c r="D717" s="6">
        <v>59.0</v>
      </c>
      <c r="E717" s="6">
        <v>9.2</v>
      </c>
      <c r="F717" s="6">
        <f t="shared" si="1"/>
        <v>9</v>
      </c>
      <c r="G717" s="6">
        <v>9.0</v>
      </c>
      <c r="H717" s="6">
        <v>38.0</v>
      </c>
      <c r="I717" s="6">
        <v>22.0</v>
      </c>
      <c r="J717" s="6">
        <v>7.0</v>
      </c>
      <c r="K717" s="6">
        <v>1.0</v>
      </c>
      <c r="L717" s="9">
        <v>44649.0</v>
      </c>
      <c r="M717" s="6">
        <v>1.0</v>
      </c>
      <c r="N717" s="5" t="s">
        <v>113</v>
      </c>
      <c r="O717" s="5" t="str">
        <f t="shared" si="2"/>
        <v>Yes</v>
      </c>
      <c r="P717" s="5" t="s">
        <v>113</v>
      </c>
      <c r="Q717" s="5">
        <f t="shared" si="3"/>
        <v>1</v>
      </c>
      <c r="R717" s="5">
        <v>1.0</v>
      </c>
    </row>
    <row r="718" ht="22.5" customHeight="1">
      <c r="A718" s="5" t="s">
        <v>2620</v>
      </c>
      <c r="B718" s="5" t="s">
        <v>22</v>
      </c>
      <c r="C718" s="6">
        <v>6.0</v>
      </c>
      <c r="D718" s="6">
        <v>24.0</v>
      </c>
      <c r="E718" s="6">
        <v>6.7</v>
      </c>
      <c r="F718" s="6">
        <f t="shared" si="1"/>
        <v>6</v>
      </c>
      <c r="G718" s="6">
        <v>6.0</v>
      </c>
      <c r="H718" s="6">
        <v>29.0</v>
      </c>
      <c r="I718" s="6">
        <v>36.0</v>
      </c>
      <c r="J718" s="6">
        <v>20.0</v>
      </c>
      <c r="K718" s="6">
        <v>2.0</v>
      </c>
      <c r="L718" s="9">
        <v>44894.0</v>
      </c>
      <c r="M718" s="6">
        <v>1.0</v>
      </c>
      <c r="N718" s="5" t="s">
        <v>113</v>
      </c>
      <c r="O718" s="5" t="str">
        <f t="shared" si="2"/>
        <v>Yes</v>
      </c>
      <c r="P718" s="5" t="s">
        <v>113</v>
      </c>
      <c r="Q718" s="5">
        <f t="shared" si="3"/>
        <v>1</v>
      </c>
      <c r="R718" s="5">
        <v>1.0</v>
      </c>
    </row>
    <row r="719" ht="22.5" customHeight="1">
      <c r="A719" s="5" t="s">
        <v>2623</v>
      </c>
      <c r="B719" s="5" t="s">
        <v>22</v>
      </c>
      <c r="C719" s="6">
        <v>5.0</v>
      </c>
      <c r="D719" s="6">
        <v>30.0</v>
      </c>
      <c r="E719" s="6">
        <v>2.2</v>
      </c>
      <c r="F719" s="6">
        <f t="shared" si="1"/>
        <v>2</v>
      </c>
      <c r="G719" s="6">
        <v>2.0</v>
      </c>
      <c r="H719" s="6">
        <v>55.0</v>
      </c>
      <c r="I719" s="6">
        <v>32.0</v>
      </c>
      <c r="J719" s="6">
        <v>8.0</v>
      </c>
      <c r="K719" s="6">
        <v>1.0</v>
      </c>
      <c r="L719" s="9">
        <v>45658.0</v>
      </c>
      <c r="M719" s="6">
        <v>6.0</v>
      </c>
      <c r="N719" s="5" t="s">
        <v>62</v>
      </c>
      <c r="O719" s="5" t="str">
        <f t="shared" si="2"/>
        <v>No</v>
      </c>
      <c r="P719" s="5" t="s">
        <v>62</v>
      </c>
      <c r="Q719" s="5">
        <f t="shared" si="3"/>
        <v>0</v>
      </c>
      <c r="R719" s="5">
        <v>0.0</v>
      </c>
    </row>
    <row r="720" ht="22.5" customHeight="1">
      <c r="A720" s="5" t="s">
        <v>2626</v>
      </c>
      <c r="B720" s="5" t="s">
        <v>65</v>
      </c>
      <c r="C720" s="6">
        <v>5.0</v>
      </c>
      <c r="D720" s="6">
        <v>14.0</v>
      </c>
      <c r="E720" s="6">
        <v>6.2</v>
      </c>
      <c r="F720" s="6">
        <f t="shared" si="1"/>
        <v>6</v>
      </c>
      <c r="G720" s="6">
        <v>6.0</v>
      </c>
      <c r="H720" s="6">
        <v>10.0</v>
      </c>
      <c r="I720" s="6">
        <v>22.0</v>
      </c>
      <c r="J720" s="6">
        <v>10.0</v>
      </c>
      <c r="K720" s="6">
        <v>4.0</v>
      </c>
      <c r="L720" s="9">
        <v>45648.0</v>
      </c>
      <c r="M720" s="6">
        <v>6.0</v>
      </c>
      <c r="N720" s="5" t="s">
        <v>62</v>
      </c>
      <c r="O720" s="5" t="str">
        <f t="shared" si="2"/>
        <v>No</v>
      </c>
      <c r="P720" s="5" t="s">
        <v>62</v>
      </c>
      <c r="Q720" s="5">
        <f t="shared" si="3"/>
        <v>0</v>
      </c>
      <c r="R720" s="5">
        <v>0.0</v>
      </c>
    </row>
    <row r="721" ht="22.5" customHeight="1">
      <c r="A721" s="5" t="s">
        <v>2630</v>
      </c>
      <c r="B721" s="5" t="s">
        <v>65</v>
      </c>
      <c r="C721" s="6">
        <v>7.0</v>
      </c>
      <c r="D721" s="6">
        <v>13.0</v>
      </c>
      <c r="E721" s="6">
        <v>4.8</v>
      </c>
      <c r="F721" s="6">
        <f t="shared" si="1"/>
        <v>4</v>
      </c>
      <c r="G721" s="6">
        <v>4.0</v>
      </c>
      <c r="H721" s="6">
        <v>14.0</v>
      </c>
      <c r="I721" s="6">
        <v>25.0</v>
      </c>
      <c r="J721" s="6">
        <v>12.0</v>
      </c>
      <c r="K721" s="6">
        <v>4.0</v>
      </c>
      <c r="L721" s="9">
        <v>46145.0</v>
      </c>
      <c r="M721" s="6">
        <v>7.0</v>
      </c>
      <c r="N721" s="5" t="s">
        <v>62</v>
      </c>
      <c r="O721" s="5" t="str">
        <f t="shared" si="2"/>
        <v>No</v>
      </c>
      <c r="P721" s="5" t="s">
        <v>62</v>
      </c>
      <c r="Q721" s="5">
        <f t="shared" si="3"/>
        <v>0</v>
      </c>
      <c r="R721" s="5">
        <v>0.0</v>
      </c>
    </row>
    <row r="722" ht="22.5" customHeight="1">
      <c r="A722" s="5" t="s">
        <v>2632</v>
      </c>
      <c r="B722" s="5" t="s">
        <v>65</v>
      </c>
      <c r="C722" s="6">
        <v>6.0</v>
      </c>
      <c r="D722" s="6">
        <v>31.0</v>
      </c>
      <c r="E722" s="6">
        <v>1.7</v>
      </c>
      <c r="F722" s="6">
        <f t="shared" si="1"/>
        <v>1</v>
      </c>
      <c r="G722" s="6">
        <v>1.0</v>
      </c>
      <c r="H722" s="6">
        <v>54.0</v>
      </c>
      <c r="I722" s="6">
        <v>18.0</v>
      </c>
      <c r="J722" s="6">
        <v>17.0</v>
      </c>
      <c r="K722" s="6">
        <v>2.0</v>
      </c>
      <c r="L722" s="9">
        <v>45258.0</v>
      </c>
      <c r="M722" s="6">
        <v>5.0</v>
      </c>
      <c r="N722" s="5" t="s">
        <v>113</v>
      </c>
      <c r="O722" s="5" t="str">
        <f t="shared" si="2"/>
        <v>No</v>
      </c>
      <c r="P722" s="5" t="s">
        <v>62</v>
      </c>
      <c r="Q722" s="5">
        <f t="shared" si="3"/>
        <v>0</v>
      </c>
      <c r="R722" s="5">
        <v>0.0</v>
      </c>
    </row>
    <row r="723" ht="22.5" customHeight="1">
      <c r="A723" s="5" t="s">
        <v>2634</v>
      </c>
      <c r="B723" s="5" t="s">
        <v>22</v>
      </c>
      <c r="C723" s="6">
        <v>7.0</v>
      </c>
      <c r="D723" s="6">
        <v>40.0</v>
      </c>
      <c r="E723" s="6">
        <v>5.6</v>
      </c>
      <c r="F723" s="6">
        <f t="shared" si="1"/>
        <v>5</v>
      </c>
      <c r="G723" s="6">
        <v>5.0</v>
      </c>
      <c r="H723" s="6">
        <v>24.0</v>
      </c>
      <c r="I723" s="6">
        <v>35.0</v>
      </c>
      <c r="J723" s="8"/>
      <c r="K723" s="6">
        <v>5.0</v>
      </c>
      <c r="L723" s="9">
        <v>45969.0</v>
      </c>
      <c r="M723" s="6">
        <v>8.0</v>
      </c>
      <c r="N723" s="5" t="s">
        <v>62</v>
      </c>
      <c r="O723" s="5" t="str">
        <f t="shared" si="2"/>
        <v>No</v>
      </c>
      <c r="P723" s="5" t="s">
        <v>62</v>
      </c>
      <c r="Q723" s="5">
        <f t="shared" si="3"/>
        <v>0</v>
      </c>
      <c r="R723" s="5">
        <v>0.0</v>
      </c>
    </row>
    <row r="724" ht="22.5" customHeight="1">
      <c r="A724" s="5" t="s">
        <v>2637</v>
      </c>
      <c r="B724" s="5" t="s">
        <v>84</v>
      </c>
      <c r="C724" s="6">
        <v>8.0</v>
      </c>
      <c r="D724" s="6">
        <v>12.0</v>
      </c>
      <c r="E724" s="6">
        <v>2.0</v>
      </c>
      <c r="F724" s="6">
        <f t="shared" si="1"/>
        <v>2</v>
      </c>
      <c r="G724" s="6">
        <v>2.0</v>
      </c>
      <c r="H724" s="6">
        <v>31.0</v>
      </c>
      <c r="I724" s="6">
        <v>18.0</v>
      </c>
      <c r="J724" s="6">
        <v>8.0</v>
      </c>
      <c r="K724" s="6">
        <v>0.0</v>
      </c>
      <c r="L724" s="11"/>
      <c r="M724" s="6">
        <v>6.0</v>
      </c>
      <c r="N724" s="5" t="s">
        <v>62</v>
      </c>
      <c r="O724" s="5" t="str">
        <f t="shared" si="2"/>
        <v>Yes</v>
      </c>
      <c r="P724" s="5" t="s">
        <v>113</v>
      </c>
      <c r="Q724" s="5">
        <f t="shared" si="3"/>
        <v>1</v>
      </c>
      <c r="R724" s="5">
        <v>1.0</v>
      </c>
    </row>
    <row r="725" ht="22.5" customHeight="1">
      <c r="A725" s="5" t="s">
        <v>2639</v>
      </c>
      <c r="B725" s="5" t="s">
        <v>22</v>
      </c>
      <c r="C725" s="6">
        <v>6.0</v>
      </c>
      <c r="D725" s="6">
        <v>35.0</v>
      </c>
      <c r="E725" s="6">
        <v>14.0</v>
      </c>
      <c r="F725" s="6">
        <f t="shared" si="1"/>
        <v>14</v>
      </c>
      <c r="G725" s="6">
        <v>14.0</v>
      </c>
      <c r="H725" s="6">
        <v>9.0</v>
      </c>
      <c r="I725" s="6">
        <v>28.0</v>
      </c>
      <c r="J725" s="6">
        <v>12.0</v>
      </c>
      <c r="K725" s="6">
        <v>2.0</v>
      </c>
      <c r="L725" s="9">
        <v>45823.0</v>
      </c>
      <c r="M725" s="6">
        <v>7.0</v>
      </c>
      <c r="N725" s="5" t="s">
        <v>62</v>
      </c>
      <c r="O725" s="5" t="str">
        <f t="shared" si="2"/>
        <v>No</v>
      </c>
      <c r="P725" s="5" t="s">
        <v>62</v>
      </c>
      <c r="Q725" s="5">
        <f t="shared" si="3"/>
        <v>0</v>
      </c>
      <c r="R725" s="5">
        <v>0.0</v>
      </c>
    </row>
    <row r="726" ht="22.5" customHeight="1">
      <c r="A726" s="5" t="s">
        <v>2643</v>
      </c>
      <c r="B726" s="5" t="s">
        <v>84</v>
      </c>
      <c r="C726" s="6">
        <v>4.0</v>
      </c>
      <c r="D726" s="6">
        <v>14.0</v>
      </c>
      <c r="E726" s="6">
        <v>5.0</v>
      </c>
      <c r="F726" s="6">
        <f t="shared" si="1"/>
        <v>5</v>
      </c>
      <c r="G726" s="6">
        <v>5.0</v>
      </c>
      <c r="H726" s="6">
        <v>23.0</v>
      </c>
      <c r="I726" s="6">
        <v>29.0</v>
      </c>
      <c r="J726" s="6">
        <v>12.0</v>
      </c>
      <c r="K726" s="6">
        <v>3.0</v>
      </c>
      <c r="L726" s="9">
        <v>45601.0</v>
      </c>
      <c r="M726" s="6">
        <v>7.0</v>
      </c>
      <c r="N726" s="5" t="s">
        <v>62</v>
      </c>
      <c r="O726" s="5" t="str">
        <f t="shared" si="2"/>
        <v>No</v>
      </c>
      <c r="P726" s="5" t="s">
        <v>62</v>
      </c>
      <c r="Q726" s="5">
        <f t="shared" si="3"/>
        <v>0</v>
      </c>
      <c r="R726" s="5">
        <v>0.0</v>
      </c>
    </row>
    <row r="727" ht="22.5" customHeight="1">
      <c r="A727" s="5" t="s">
        <v>2646</v>
      </c>
      <c r="B727" s="5" t="s">
        <v>170</v>
      </c>
      <c r="C727" s="6">
        <v>6.0</v>
      </c>
      <c r="D727" s="6">
        <v>12.0</v>
      </c>
      <c r="E727" s="6">
        <v>5.7</v>
      </c>
      <c r="F727" s="6">
        <f t="shared" si="1"/>
        <v>5</v>
      </c>
      <c r="G727" s="6">
        <v>5.0</v>
      </c>
      <c r="H727" s="6">
        <v>46.0</v>
      </c>
      <c r="I727" s="6">
        <v>41.0</v>
      </c>
      <c r="J727" s="6">
        <v>3.0</v>
      </c>
      <c r="K727" s="6">
        <v>4.0</v>
      </c>
      <c r="L727" s="9">
        <v>45732.0</v>
      </c>
      <c r="M727" s="6">
        <v>7.0</v>
      </c>
      <c r="N727" s="5" t="s">
        <v>62</v>
      </c>
      <c r="O727" s="5" t="str">
        <f t="shared" si="2"/>
        <v>No</v>
      </c>
      <c r="P727" s="5" t="s">
        <v>62</v>
      </c>
      <c r="Q727" s="5">
        <f t="shared" si="3"/>
        <v>0</v>
      </c>
      <c r="R727" s="5">
        <v>0.0</v>
      </c>
    </row>
    <row r="728" ht="22.5" customHeight="1">
      <c r="A728" s="5" t="s">
        <v>2649</v>
      </c>
      <c r="B728" s="5" t="s">
        <v>22</v>
      </c>
      <c r="C728" s="6">
        <v>8.0</v>
      </c>
      <c r="D728" s="6">
        <v>48.0</v>
      </c>
      <c r="E728" s="6">
        <v>5.9</v>
      </c>
      <c r="F728" s="6">
        <f t="shared" si="1"/>
        <v>5</v>
      </c>
      <c r="G728" s="6">
        <v>5.0</v>
      </c>
      <c r="H728" s="6">
        <v>42.0</v>
      </c>
      <c r="I728" s="6">
        <v>24.0</v>
      </c>
      <c r="J728" s="6">
        <v>20.0</v>
      </c>
      <c r="K728" s="6">
        <v>2.0</v>
      </c>
      <c r="L728" s="9">
        <v>46186.0</v>
      </c>
      <c r="M728" s="6">
        <v>7.0</v>
      </c>
      <c r="N728" s="5" t="s">
        <v>62</v>
      </c>
      <c r="O728" s="5" t="str">
        <f t="shared" si="2"/>
        <v>No</v>
      </c>
      <c r="P728" s="5" t="s">
        <v>62</v>
      </c>
      <c r="Q728" s="5">
        <f t="shared" si="3"/>
        <v>0</v>
      </c>
      <c r="R728" s="5">
        <v>0.0</v>
      </c>
    </row>
    <row r="729" ht="22.5" customHeight="1">
      <c r="A729" s="5" t="s">
        <v>2651</v>
      </c>
      <c r="B729" s="5" t="s">
        <v>65</v>
      </c>
      <c r="C729" s="6">
        <v>8.0</v>
      </c>
      <c r="D729" s="6">
        <v>25.0</v>
      </c>
      <c r="E729" s="6">
        <v>14.2</v>
      </c>
      <c r="F729" s="6">
        <f t="shared" si="1"/>
        <v>14</v>
      </c>
      <c r="G729" s="6">
        <v>14.0</v>
      </c>
      <c r="H729" s="6">
        <v>18.0</v>
      </c>
      <c r="I729" s="6">
        <v>30.0</v>
      </c>
      <c r="J729" s="6">
        <v>1.0</v>
      </c>
      <c r="K729" s="6">
        <v>2.0</v>
      </c>
      <c r="L729" s="9">
        <v>44636.0</v>
      </c>
      <c r="M729" s="6">
        <v>4.0</v>
      </c>
      <c r="N729" s="5" t="s">
        <v>113</v>
      </c>
      <c r="O729" s="5" t="str">
        <f t="shared" si="2"/>
        <v>Yes</v>
      </c>
      <c r="P729" s="5" t="s">
        <v>113</v>
      </c>
      <c r="Q729" s="5">
        <f t="shared" si="3"/>
        <v>1</v>
      </c>
      <c r="R729" s="5">
        <v>1.0</v>
      </c>
    </row>
    <row r="730" ht="22.5" customHeight="1">
      <c r="A730" s="5" t="s">
        <v>2654</v>
      </c>
      <c r="B730" s="5" t="s">
        <v>22</v>
      </c>
      <c r="C730" s="6">
        <v>7.0</v>
      </c>
      <c r="D730" s="6">
        <v>15.0</v>
      </c>
      <c r="E730" s="6">
        <v>5.3</v>
      </c>
      <c r="F730" s="6">
        <f t="shared" si="1"/>
        <v>5</v>
      </c>
      <c r="G730" s="6">
        <v>5.0</v>
      </c>
      <c r="H730" s="6">
        <v>45.0</v>
      </c>
      <c r="I730" s="6">
        <v>10.0</v>
      </c>
      <c r="J730" s="6">
        <v>4.0</v>
      </c>
      <c r="K730" s="6">
        <v>3.0</v>
      </c>
      <c r="L730" s="9">
        <v>46152.0</v>
      </c>
      <c r="M730" s="6">
        <v>7.0</v>
      </c>
      <c r="N730" s="5" t="s">
        <v>62</v>
      </c>
      <c r="O730" s="5" t="str">
        <f t="shared" si="2"/>
        <v>No</v>
      </c>
      <c r="P730" s="5" t="s">
        <v>62</v>
      </c>
      <c r="Q730" s="5">
        <f t="shared" si="3"/>
        <v>0</v>
      </c>
      <c r="R730" s="5">
        <v>0.0</v>
      </c>
    </row>
    <row r="731" ht="22.5" customHeight="1">
      <c r="A731" s="5" t="s">
        <v>2659</v>
      </c>
      <c r="B731" s="5" t="s">
        <v>84</v>
      </c>
      <c r="C731" s="6">
        <v>6.0</v>
      </c>
      <c r="D731" s="6">
        <v>14.0</v>
      </c>
      <c r="E731" s="6">
        <v>4.7</v>
      </c>
      <c r="F731" s="6">
        <f t="shared" si="1"/>
        <v>4</v>
      </c>
      <c r="G731" s="6">
        <v>4.0</v>
      </c>
      <c r="H731" s="6">
        <v>8.0</v>
      </c>
      <c r="I731" s="6">
        <v>30.0</v>
      </c>
      <c r="J731" s="6">
        <v>11.0</v>
      </c>
      <c r="K731" s="6">
        <v>2.0</v>
      </c>
      <c r="L731" s="9">
        <v>45585.0</v>
      </c>
      <c r="M731" s="6">
        <v>6.0</v>
      </c>
      <c r="N731" s="5" t="s">
        <v>62</v>
      </c>
      <c r="O731" s="5" t="str">
        <f t="shared" si="2"/>
        <v>No</v>
      </c>
      <c r="P731" s="5" t="s">
        <v>62</v>
      </c>
      <c r="Q731" s="5">
        <f t="shared" si="3"/>
        <v>0</v>
      </c>
      <c r="R731" s="5">
        <v>0.0</v>
      </c>
    </row>
    <row r="732" ht="22.5" customHeight="1">
      <c r="A732" s="5" t="s">
        <v>2661</v>
      </c>
      <c r="B732" s="5" t="s">
        <v>84</v>
      </c>
      <c r="C732" s="6">
        <v>7.0</v>
      </c>
      <c r="D732" s="6">
        <v>11.0</v>
      </c>
      <c r="E732" s="6">
        <v>7.1</v>
      </c>
      <c r="F732" s="6">
        <f t="shared" si="1"/>
        <v>7</v>
      </c>
      <c r="G732" s="6">
        <v>7.0</v>
      </c>
      <c r="H732" s="6">
        <v>25.0</v>
      </c>
      <c r="I732" s="6">
        <v>12.0</v>
      </c>
      <c r="J732" s="6">
        <v>12.0</v>
      </c>
      <c r="K732" s="6">
        <v>3.0</v>
      </c>
      <c r="L732" s="9">
        <v>45029.0</v>
      </c>
      <c r="M732" s="6">
        <v>2.0</v>
      </c>
      <c r="N732" s="5" t="s">
        <v>113</v>
      </c>
      <c r="O732" s="5" t="str">
        <f t="shared" si="2"/>
        <v>Yes</v>
      </c>
      <c r="P732" s="5" t="s">
        <v>113</v>
      </c>
      <c r="Q732" s="5">
        <f t="shared" si="3"/>
        <v>1</v>
      </c>
      <c r="R732" s="5">
        <v>1.0</v>
      </c>
    </row>
    <row r="733" ht="22.5" customHeight="1">
      <c r="A733" s="5" t="s">
        <v>2664</v>
      </c>
      <c r="B733" s="5" t="s">
        <v>44</v>
      </c>
      <c r="C733" s="6">
        <v>7.0</v>
      </c>
      <c r="D733" s="6">
        <v>32.0</v>
      </c>
      <c r="E733" s="6">
        <v>9.9</v>
      </c>
      <c r="F733" s="6">
        <f t="shared" si="1"/>
        <v>9</v>
      </c>
      <c r="G733" s="6">
        <v>9.0</v>
      </c>
      <c r="H733" s="6">
        <v>22.0</v>
      </c>
      <c r="I733" s="6">
        <v>24.0</v>
      </c>
      <c r="J733" s="6">
        <v>9.0</v>
      </c>
      <c r="K733" s="6">
        <v>0.0</v>
      </c>
      <c r="L733" s="9">
        <v>46085.0</v>
      </c>
      <c r="M733" s="6">
        <v>8.0</v>
      </c>
      <c r="N733" s="5" t="s">
        <v>62</v>
      </c>
      <c r="O733" s="5" t="str">
        <f t="shared" si="2"/>
        <v>No</v>
      </c>
      <c r="P733" s="5" t="s">
        <v>62</v>
      </c>
      <c r="Q733" s="5">
        <f t="shared" si="3"/>
        <v>0</v>
      </c>
      <c r="R733" s="5">
        <v>0.0</v>
      </c>
    </row>
    <row r="734" ht="22.5" customHeight="1">
      <c r="A734" s="5" t="s">
        <v>2666</v>
      </c>
      <c r="B734" s="5" t="s">
        <v>84</v>
      </c>
      <c r="C734" s="6">
        <v>4.0</v>
      </c>
      <c r="D734" s="6">
        <v>11.0</v>
      </c>
      <c r="E734" s="6">
        <v>8.7</v>
      </c>
      <c r="F734" s="6">
        <f t="shared" si="1"/>
        <v>8</v>
      </c>
      <c r="G734" s="6">
        <v>8.0</v>
      </c>
      <c r="H734" s="6">
        <v>24.0</v>
      </c>
      <c r="I734" s="6">
        <v>26.0</v>
      </c>
      <c r="J734" s="6">
        <v>10.0</v>
      </c>
      <c r="K734" s="6">
        <v>4.0</v>
      </c>
      <c r="L734" s="9">
        <v>45248.0</v>
      </c>
      <c r="M734" s="6">
        <v>5.0</v>
      </c>
      <c r="N734" s="5" t="s">
        <v>113</v>
      </c>
      <c r="O734" s="5" t="str">
        <f t="shared" si="2"/>
        <v>No</v>
      </c>
      <c r="P734" s="5" t="s">
        <v>62</v>
      </c>
      <c r="Q734" s="5">
        <f t="shared" si="3"/>
        <v>0</v>
      </c>
      <c r="R734" s="5">
        <v>0.0</v>
      </c>
    </row>
    <row r="735" ht="22.5" customHeight="1">
      <c r="A735" s="5" t="s">
        <v>2669</v>
      </c>
      <c r="B735" s="5" t="s">
        <v>65</v>
      </c>
      <c r="C735" s="6">
        <v>2.0</v>
      </c>
      <c r="D735" s="6">
        <v>7.0</v>
      </c>
      <c r="E735" s="6">
        <v>2.7</v>
      </c>
      <c r="F735" s="6">
        <f t="shared" si="1"/>
        <v>2</v>
      </c>
      <c r="G735" s="6">
        <v>2.0</v>
      </c>
      <c r="H735" s="6">
        <v>45.0</v>
      </c>
      <c r="I735" s="6">
        <v>16.0</v>
      </c>
      <c r="J735" s="6">
        <v>6.0</v>
      </c>
      <c r="K735" s="6">
        <v>0.0</v>
      </c>
      <c r="L735" s="9">
        <v>45872.0</v>
      </c>
      <c r="M735" s="6">
        <v>5.0</v>
      </c>
      <c r="O735" s="10" t="str">
        <f t="shared" si="2"/>
        <v>No</v>
      </c>
      <c r="P735" s="10" t="s">
        <v>62</v>
      </c>
      <c r="Q735" s="10">
        <f t="shared" si="3"/>
        <v>0</v>
      </c>
      <c r="R735" s="10">
        <v>0.0</v>
      </c>
    </row>
    <row r="736" ht="22.5" customHeight="1">
      <c r="A736" s="5" t="s">
        <v>2672</v>
      </c>
      <c r="B736" s="5" t="s">
        <v>65</v>
      </c>
      <c r="C736" s="6">
        <v>11.0</v>
      </c>
      <c r="D736" s="6">
        <v>45.0</v>
      </c>
      <c r="E736" s="6">
        <v>4.4</v>
      </c>
      <c r="F736" s="6">
        <f t="shared" si="1"/>
        <v>4</v>
      </c>
      <c r="G736" s="6">
        <v>4.0</v>
      </c>
      <c r="H736" s="6">
        <v>15.0</v>
      </c>
      <c r="I736" s="6">
        <v>35.0</v>
      </c>
      <c r="J736" s="6">
        <v>1.0</v>
      </c>
      <c r="K736" s="6">
        <v>2.0</v>
      </c>
      <c r="L736" s="9">
        <v>44890.0</v>
      </c>
      <c r="M736" s="6">
        <v>4.0</v>
      </c>
      <c r="N736" s="5" t="s">
        <v>113</v>
      </c>
      <c r="O736" s="5" t="str">
        <f t="shared" si="2"/>
        <v>Yes</v>
      </c>
      <c r="P736" s="5" t="s">
        <v>113</v>
      </c>
      <c r="Q736" s="5">
        <f t="shared" si="3"/>
        <v>1</v>
      </c>
      <c r="R736" s="5">
        <v>1.0</v>
      </c>
    </row>
    <row r="737" ht="22.5" customHeight="1">
      <c r="A737" s="5" t="s">
        <v>2675</v>
      </c>
      <c r="B737" s="5" t="s">
        <v>84</v>
      </c>
      <c r="C737" s="6">
        <v>6.0</v>
      </c>
      <c r="D737" s="6">
        <v>11.0</v>
      </c>
      <c r="E737" s="6">
        <v>10.7</v>
      </c>
      <c r="F737" s="6">
        <f t="shared" si="1"/>
        <v>10</v>
      </c>
      <c r="G737" s="6">
        <v>10.0</v>
      </c>
      <c r="H737" s="6">
        <v>18.0</v>
      </c>
      <c r="I737" s="6">
        <v>28.0</v>
      </c>
      <c r="J737" s="6">
        <v>5.0</v>
      </c>
      <c r="K737" s="6">
        <v>3.0</v>
      </c>
      <c r="L737" s="9">
        <v>46178.0</v>
      </c>
      <c r="M737" s="6">
        <v>6.0</v>
      </c>
      <c r="O737" s="10" t="str">
        <f t="shared" si="2"/>
        <v>No</v>
      </c>
      <c r="P737" s="10" t="s">
        <v>62</v>
      </c>
      <c r="Q737" s="10">
        <f t="shared" si="3"/>
        <v>0</v>
      </c>
      <c r="R737" s="10">
        <v>0.0</v>
      </c>
    </row>
    <row r="738" ht="22.5" customHeight="1">
      <c r="A738" s="5" t="s">
        <v>2677</v>
      </c>
      <c r="B738" s="5" t="s">
        <v>65</v>
      </c>
      <c r="C738" s="6">
        <v>9.0</v>
      </c>
      <c r="D738" s="6">
        <v>29.0</v>
      </c>
      <c r="E738" s="6">
        <v>9.5</v>
      </c>
      <c r="F738" s="6">
        <f t="shared" si="1"/>
        <v>9</v>
      </c>
      <c r="G738" s="6">
        <v>9.0</v>
      </c>
      <c r="H738" s="6">
        <v>21.0</v>
      </c>
      <c r="I738" s="6">
        <v>10.0</v>
      </c>
      <c r="J738" s="6">
        <v>9.0</v>
      </c>
      <c r="K738" s="6">
        <v>4.0</v>
      </c>
      <c r="L738" s="9">
        <v>45540.0</v>
      </c>
      <c r="M738" s="6">
        <v>8.0</v>
      </c>
      <c r="N738" s="5" t="s">
        <v>62</v>
      </c>
      <c r="O738" s="5" t="str">
        <f t="shared" si="2"/>
        <v>No</v>
      </c>
      <c r="P738" s="5" t="s">
        <v>62</v>
      </c>
      <c r="Q738" s="5">
        <f t="shared" si="3"/>
        <v>0</v>
      </c>
      <c r="R738" s="5">
        <v>0.0</v>
      </c>
    </row>
    <row r="739" ht="22.5" customHeight="1">
      <c r="A739" s="5" t="s">
        <v>2680</v>
      </c>
      <c r="B739" s="5" t="s">
        <v>22</v>
      </c>
      <c r="C739" s="6">
        <v>6.0</v>
      </c>
      <c r="D739" s="6">
        <v>10.0</v>
      </c>
      <c r="E739" s="6">
        <v>3.5</v>
      </c>
      <c r="F739" s="6">
        <f t="shared" si="1"/>
        <v>3</v>
      </c>
      <c r="G739" s="6">
        <v>3.0</v>
      </c>
      <c r="H739" s="6">
        <v>57.0</v>
      </c>
      <c r="I739" s="6">
        <v>25.0</v>
      </c>
      <c r="J739" s="6">
        <v>19.0</v>
      </c>
      <c r="K739" s="6">
        <v>1.0</v>
      </c>
      <c r="L739" s="9">
        <v>45754.0</v>
      </c>
      <c r="M739" s="6">
        <v>7.0</v>
      </c>
      <c r="N739" s="5" t="s">
        <v>62</v>
      </c>
      <c r="O739" s="5" t="str">
        <f t="shared" si="2"/>
        <v>No</v>
      </c>
      <c r="P739" s="5" t="s">
        <v>62</v>
      </c>
      <c r="Q739" s="5">
        <f t="shared" si="3"/>
        <v>0</v>
      </c>
      <c r="R739" s="5">
        <v>0.0</v>
      </c>
    </row>
    <row r="740" ht="22.5" customHeight="1">
      <c r="A740" s="5" t="s">
        <v>2683</v>
      </c>
      <c r="B740" s="5" t="s">
        <v>22</v>
      </c>
      <c r="C740" s="6">
        <v>5.0</v>
      </c>
      <c r="D740" s="6">
        <v>29.0</v>
      </c>
      <c r="E740" s="6">
        <v>8.4</v>
      </c>
      <c r="F740" s="6">
        <f t="shared" si="1"/>
        <v>8</v>
      </c>
      <c r="G740" s="6">
        <v>8.0</v>
      </c>
      <c r="H740" s="6">
        <v>40.0</v>
      </c>
      <c r="I740" s="6">
        <v>17.0</v>
      </c>
      <c r="J740" s="6">
        <v>18.0</v>
      </c>
      <c r="K740" s="6">
        <v>2.0</v>
      </c>
      <c r="L740" s="9">
        <v>45680.0</v>
      </c>
      <c r="M740" s="6">
        <v>6.0</v>
      </c>
      <c r="N740" s="5" t="s">
        <v>62</v>
      </c>
      <c r="O740" s="5" t="str">
        <f t="shared" si="2"/>
        <v>No</v>
      </c>
      <c r="P740" s="5" t="s">
        <v>62</v>
      </c>
      <c r="Q740" s="5">
        <f t="shared" si="3"/>
        <v>0</v>
      </c>
      <c r="R740" s="5">
        <v>0.0</v>
      </c>
    </row>
    <row r="741" ht="22.5" customHeight="1">
      <c r="A741" s="5" t="s">
        <v>2687</v>
      </c>
      <c r="B741" s="5" t="s">
        <v>22</v>
      </c>
      <c r="C741" s="6">
        <v>6.0</v>
      </c>
      <c r="D741" s="6">
        <v>25.0</v>
      </c>
      <c r="E741" s="6">
        <v>4.0</v>
      </c>
      <c r="F741" s="6">
        <f t="shared" si="1"/>
        <v>4</v>
      </c>
      <c r="G741" s="6">
        <v>4.0</v>
      </c>
      <c r="H741" s="6">
        <v>13.0</v>
      </c>
      <c r="I741" s="6">
        <v>17.0</v>
      </c>
      <c r="J741" s="6">
        <v>9.0</v>
      </c>
      <c r="K741" s="6">
        <v>2.0</v>
      </c>
      <c r="L741" s="9">
        <v>45961.0</v>
      </c>
      <c r="M741" s="6">
        <v>4.0</v>
      </c>
      <c r="N741" s="5" t="s">
        <v>62</v>
      </c>
      <c r="O741" s="5" t="str">
        <f t="shared" si="2"/>
        <v>No</v>
      </c>
      <c r="P741" s="5" t="s">
        <v>62</v>
      </c>
      <c r="Q741" s="5">
        <f t="shared" si="3"/>
        <v>0</v>
      </c>
      <c r="R741" s="5">
        <v>0.0</v>
      </c>
    </row>
    <row r="742" ht="22.5" customHeight="1">
      <c r="A742" s="5" t="s">
        <v>2689</v>
      </c>
      <c r="B742" s="5" t="s">
        <v>44</v>
      </c>
      <c r="C742" s="6">
        <v>2.0</v>
      </c>
      <c r="D742" s="6">
        <v>7.0</v>
      </c>
      <c r="E742" s="6">
        <v>7.7</v>
      </c>
      <c r="F742" s="6">
        <f t="shared" si="1"/>
        <v>7</v>
      </c>
      <c r="G742" s="6">
        <v>7.0</v>
      </c>
      <c r="H742" s="6">
        <v>34.0</v>
      </c>
      <c r="I742" s="6">
        <v>10.0</v>
      </c>
      <c r="J742" s="6">
        <v>15.0</v>
      </c>
      <c r="K742" s="6">
        <v>5.0</v>
      </c>
      <c r="L742" s="9">
        <v>45089.0</v>
      </c>
      <c r="M742" s="6">
        <v>4.0</v>
      </c>
      <c r="O742" s="10" t="str">
        <f t="shared" si="2"/>
        <v>Yes</v>
      </c>
      <c r="P742" s="10" t="s">
        <v>113</v>
      </c>
      <c r="Q742" s="10">
        <f t="shared" si="3"/>
        <v>1</v>
      </c>
      <c r="R742" s="10">
        <v>1.0</v>
      </c>
    </row>
    <row r="743" ht="22.5" customHeight="1">
      <c r="A743" s="5" t="s">
        <v>2692</v>
      </c>
      <c r="B743" s="5" t="s">
        <v>84</v>
      </c>
      <c r="C743" s="6">
        <v>5.0</v>
      </c>
      <c r="D743" s="6">
        <v>13.0</v>
      </c>
      <c r="E743" s="6">
        <v>14.9</v>
      </c>
      <c r="F743" s="6">
        <f t="shared" si="1"/>
        <v>14</v>
      </c>
      <c r="G743" s="6">
        <v>14.0</v>
      </c>
      <c r="H743" s="6">
        <v>38.0</v>
      </c>
      <c r="I743" s="6">
        <v>23.0</v>
      </c>
      <c r="J743" s="6">
        <v>17.0</v>
      </c>
      <c r="K743" s="6">
        <v>2.0</v>
      </c>
      <c r="L743" s="11"/>
      <c r="M743" s="6">
        <v>3.0</v>
      </c>
      <c r="N743" s="5" t="s">
        <v>113</v>
      </c>
      <c r="O743" s="5" t="str">
        <f t="shared" si="2"/>
        <v>Yes</v>
      </c>
      <c r="P743" s="5" t="s">
        <v>113</v>
      </c>
      <c r="Q743" s="5">
        <f t="shared" si="3"/>
        <v>1</v>
      </c>
      <c r="R743" s="5">
        <v>1.0</v>
      </c>
    </row>
    <row r="744" ht="22.5" customHeight="1">
      <c r="A744" s="5" t="s">
        <v>2694</v>
      </c>
      <c r="B744" s="5" t="s">
        <v>170</v>
      </c>
      <c r="C744" s="6">
        <v>8.0</v>
      </c>
      <c r="D744" s="6">
        <v>35.0</v>
      </c>
      <c r="E744" s="6">
        <v>5.2</v>
      </c>
      <c r="F744" s="6">
        <f t="shared" si="1"/>
        <v>5</v>
      </c>
      <c r="G744" s="6">
        <v>5.0</v>
      </c>
      <c r="H744" s="6">
        <v>52.0</v>
      </c>
      <c r="I744" s="6">
        <v>31.0</v>
      </c>
      <c r="J744" s="6">
        <v>8.0</v>
      </c>
      <c r="K744" s="6">
        <v>2.0</v>
      </c>
      <c r="L744" s="9">
        <v>44919.0</v>
      </c>
      <c r="M744" s="6">
        <v>1.0</v>
      </c>
      <c r="N744" s="5" t="s">
        <v>113</v>
      </c>
      <c r="O744" s="5" t="str">
        <f t="shared" si="2"/>
        <v>Yes</v>
      </c>
      <c r="P744" s="5" t="s">
        <v>113</v>
      </c>
      <c r="Q744" s="5">
        <f t="shared" si="3"/>
        <v>1</v>
      </c>
      <c r="R744" s="5">
        <v>1.0</v>
      </c>
    </row>
    <row r="745" ht="22.5" customHeight="1">
      <c r="A745" s="5" t="s">
        <v>2695</v>
      </c>
      <c r="B745" s="5" t="s">
        <v>65</v>
      </c>
      <c r="C745" s="6">
        <v>9.0</v>
      </c>
      <c r="D745" s="6">
        <v>31.0</v>
      </c>
      <c r="E745" s="6">
        <v>5.3</v>
      </c>
      <c r="F745" s="6">
        <f t="shared" si="1"/>
        <v>5</v>
      </c>
      <c r="G745" s="6">
        <v>5.0</v>
      </c>
      <c r="H745" s="6">
        <v>50.0</v>
      </c>
      <c r="I745" s="6">
        <v>24.0</v>
      </c>
      <c r="J745" s="6">
        <v>16.0</v>
      </c>
      <c r="K745" s="6">
        <v>5.0</v>
      </c>
      <c r="L745" s="9">
        <v>45889.0</v>
      </c>
      <c r="M745" s="6">
        <v>5.0</v>
      </c>
      <c r="N745" s="5" t="s">
        <v>62</v>
      </c>
      <c r="O745" s="5" t="str">
        <f t="shared" si="2"/>
        <v>No</v>
      </c>
      <c r="P745" s="5" t="s">
        <v>62</v>
      </c>
      <c r="Q745" s="5">
        <f t="shared" si="3"/>
        <v>0</v>
      </c>
      <c r="R745" s="5">
        <v>0.0</v>
      </c>
    </row>
    <row r="746" ht="22.5" customHeight="1">
      <c r="A746" s="5" t="s">
        <v>2697</v>
      </c>
      <c r="B746" s="5" t="s">
        <v>84</v>
      </c>
      <c r="C746" s="6">
        <v>9.0</v>
      </c>
      <c r="D746" s="6">
        <v>16.0</v>
      </c>
      <c r="E746" s="6">
        <v>15.2</v>
      </c>
      <c r="F746" s="6">
        <f t="shared" si="1"/>
        <v>15</v>
      </c>
      <c r="G746" s="6">
        <v>15.0</v>
      </c>
      <c r="H746" s="6">
        <v>39.0</v>
      </c>
      <c r="I746" s="6">
        <v>10.0</v>
      </c>
      <c r="J746" s="6">
        <v>2.0</v>
      </c>
      <c r="K746" s="6">
        <v>2.0</v>
      </c>
      <c r="L746" s="9">
        <v>44836.0</v>
      </c>
      <c r="M746" s="6">
        <v>4.0</v>
      </c>
      <c r="N746" s="5" t="s">
        <v>113</v>
      </c>
      <c r="O746" s="5" t="str">
        <f t="shared" si="2"/>
        <v>Yes</v>
      </c>
      <c r="P746" s="5" t="s">
        <v>113</v>
      </c>
      <c r="Q746" s="5">
        <f t="shared" si="3"/>
        <v>1</v>
      </c>
      <c r="R746" s="5">
        <v>1.0</v>
      </c>
    </row>
    <row r="747" ht="22.5" customHeight="1">
      <c r="A747" s="5" t="s">
        <v>2698</v>
      </c>
      <c r="B747" s="5" t="s">
        <v>22</v>
      </c>
      <c r="C747" s="6">
        <v>7.0</v>
      </c>
      <c r="D747" s="6">
        <v>23.0</v>
      </c>
      <c r="E747" s="6">
        <v>7.3</v>
      </c>
      <c r="F747" s="6">
        <f t="shared" si="1"/>
        <v>7</v>
      </c>
      <c r="G747" s="6">
        <v>7.0</v>
      </c>
      <c r="H747" s="6">
        <v>43.0</v>
      </c>
      <c r="I747" s="6">
        <v>24.0</v>
      </c>
      <c r="J747" s="6">
        <v>15.0</v>
      </c>
      <c r="K747" s="6">
        <v>1.0</v>
      </c>
      <c r="L747" s="9">
        <v>46158.0</v>
      </c>
      <c r="M747" s="6">
        <v>6.0</v>
      </c>
      <c r="N747" s="5" t="s">
        <v>62</v>
      </c>
      <c r="O747" s="5" t="str">
        <f t="shared" si="2"/>
        <v>No</v>
      </c>
      <c r="P747" s="5" t="s">
        <v>62</v>
      </c>
      <c r="Q747" s="5">
        <f t="shared" si="3"/>
        <v>0</v>
      </c>
      <c r="R747" s="5">
        <v>0.0</v>
      </c>
    </row>
    <row r="748" ht="22.5" customHeight="1">
      <c r="A748" s="5" t="s">
        <v>2700</v>
      </c>
      <c r="B748" s="5" t="s">
        <v>22</v>
      </c>
      <c r="C748" s="6">
        <v>7.0</v>
      </c>
      <c r="D748" s="6">
        <v>24.0</v>
      </c>
      <c r="E748" s="6">
        <v>9.8</v>
      </c>
      <c r="F748" s="6">
        <f t="shared" si="1"/>
        <v>9</v>
      </c>
      <c r="G748" s="6">
        <v>9.0</v>
      </c>
      <c r="H748" s="6">
        <v>47.0</v>
      </c>
      <c r="I748" s="6">
        <v>25.0</v>
      </c>
      <c r="J748" s="6">
        <v>16.0</v>
      </c>
      <c r="K748" s="6">
        <v>2.0</v>
      </c>
      <c r="L748" s="11"/>
      <c r="M748" s="6">
        <v>5.0</v>
      </c>
      <c r="N748" s="5" t="s">
        <v>62</v>
      </c>
      <c r="O748" s="5" t="str">
        <f t="shared" si="2"/>
        <v>Yes</v>
      </c>
      <c r="P748" s="5" t="s">
        <v>113</v>
      </c>
      <c r="Q748" s="5">
        <f t="shared" si="3"/>
        <v>1</v>
      </c>
      <c r="R748" s="5">
        <v>1.0</v>
      </c>
    </row>
    <row r="749" ht="22.5" customHeight="1">
      <c r="A749" s="5" t="s">
        <v>2703</v>
      </c>
      <c r="B749" s="5" t="s">
        <v>84</v>
      </c>
      <c r="C749" s="6">
        <v>9.0</v>
      </c>
      <c r="D749" s="6">
        <v>14.0</v>
      </c>
      <c r="E749" s="6">
        <v>6.3</v>
      </c>
      <c r="F749" s="6">
        <f t="shared" si="1"/>
        <v>6</v>
      </c>
      <c r="G749" s="6">
        <v>6.0</v>
      </c>
      <c r="H749" s="6">
        <v>12.0</v>
      </c>
      <c r="I749" s="6">
        <v>23.0</v>
      </c>
      <c r="J749" s="6">
        <v>4.0</v>
      </c>
      <c r="K749" s="6">
        <v>5.0</v>
      </c>
      <c r="L749" s="11"/>
      <c r="M749" s="6">
        <v>8.0</v>
      </c>
      <c r="N749" s="5" t="s">
        <v>62</v>
      </c>
      <c r="O749" s="5" t="str">
        <f t="shared" si="2"/>
        <v>Yes</v>
      </c>
      <c r="P749" s="5" t="s">
        <v>113</v>
      </c>
      <c r="Q749" s="5">
        <f t="shared" si="3"/>
        <v>1</v>
      </c>
      <c r="R749" s="5">
        <v>1.0</v>
      </c>
    </row>
    <row r="750" ht="22.5" customHeight="1">
      <c r="A750" s="5" t="s">
        <v>2705</v>
      </c>
      <c r="B750" s="5" t="s">
        <v>44</v>
      </c>
      <c r="C750" s="6">
        <v>5.0</v>
      </c>
      <c r="D750" s="6">
        <v>16.0</v>
      </c>
      <c r="E750" s="6">
        <v>6.6</v>
      </c>
      <c r="F750" s="6">
        <f t="shared" si="1"/>
        <v>6</v>
      </c>
      <c r="G750" s="6">
        <v>6.0</v>
      </c>
      <c r="H750" s="6">
        <v>13.0</v>
      </c>
      <c r="I750" s="6">
        <v>14.0</v>
      </c>
      <c r="J750" s="6">
        <v>18.0</v>
      </c>
      <c r="K750" s="6">
        <v>2.0</v>
      </c>
      <c r="L750" s="9">
        <v>45382.0</v>
      </c>
      <c r="M750" s="6">
        <v>3.0</v>
      </c>
      <c r="N750" s="5" t="s">
        <v>113</v>
      </c>
      <c r="O750" s="5" t="str">
        <f t="shared" si="2"/>
        <v>No</v>
      </c>
      <c r="P750" s="5" t="s">
        <v>62</v>
      </c>
      <c r="Q750" s="5">
        <f t="shared" si="3"/>
        <v>0</v>
      </c>
      <c r="R750" s="5">
        <v>0.0</v>
      </c>
    </row>
    <row r="751" ht="22.5" customHeight="1">
      <c r="A751" s="5" t="s">
        <v>2707</v>
      </c>
      <c r="B751" s="5" t="s">
        <v>44</v>
      </c>
      <c r="C751" s="6">
        <v>5.0</v>
      </c>
      <c r="D751" s="6">
        <v>15.0</v>
      </c>
      <c r="E751" s="6">
        <v>6.3</v>
      </c>
      <c r="F751" s="6">
        <f t="shared" si="1"/>
        <v>6</v>
      </c>
      <c r="G751" s="6">
        <v>6.0</v>
      </c>
      <c r="H751" s="6">
        <v>36.0</v>
      </c>
      <c r="I751" s="6">
        <v>13.0</v>
      </c>
      <c r="J751" s="6">
        <v>15.0</v>
      </c>
      <c r="K751" s="6">
        <v>1.0</v>
      </c>
      <c r="L751" s="9">
        <v>46048.0</v>
      </c>
      <c r="M751" s="6">
        <v>6.0</v>
      </c>
      <c r="O751" s="10" t="str">
        <f t="shared" si="2"/>
        <v>No</v>
      </c>
      <c r="P751" s="10" t="s">
        <v>62</v>
      </c>
      <c r="Q751" s="10">
        <f t="shared" si="3"/>
        <v>0</v>
      </c>
      <c r="R751" s="10">
        <v>0.0</v>
      </c>
    </row>
    <row r="752" ht="22.5" customHeight="1">
      <c r="A752" s="5" t="s">
        <v>2708</v>
      </c>
      <c r="B752" s="5" t="s">
        <v>22</v>
      </c>
      <c r="C752" s="6">
        <v>5.0</v>
      </c>
      <c r="D752" s="6">
        <v>22.0</v>
      </c>
      <c r="E752" s="6">
        <v>4.3</v>
      </c>
      <c r="F752" s="6">
        <f t="shared" si="1"/>
        <v>4</v>
      </c>
      <c r="G752" s="6">
        <v>4.0</v>
      </c>
      <c r="H752" s="6">
        <v>50.0</v>
      </c>
      <c r="I752" s="6">
        <v>38.0</v>
      </c>
      <c r="J752" s="6">
        <v>14.0</v>
      </c>
      <c r="K752" s="6">
        <v>1.0</v>
      </c>
      <c r="L752" s="9">
        <v>45586.0</v>
      </c>
      <c r="M752" s="6">
        <v>8.0</v>
      </c>
      <c r="N752" s="5" t="s">
        <v>62</v>
      </c>
      <c r="O752" s="5" t="str">
        <f t="shared" si="2"/>
        <v>No</v>
      </c>
      <c r="P752" s="5" t="s">
        <v>62</v>
      </c>
      <c r="Q752" s="5">
        <f t="shared" si="3"/>
        <v>0</v>
      </c>
      <c r="R752" s="5">
        <v>0.0</v>
      </c>
    </row>
    <row r="753" ht="22.5" customHeight="1">
      <c r="A753" s="5" t="s">
        <v>2710</v>
      </c>
      <c r="B753" s="5" t="s">
        <v>44</v>
      </c>
      <c r="C753" s="6">
        <v>9.0</v>
      </c>
      <c r="D753" s="6">
        <v>47.0</v>
      </c>
      <c r="E753" s="6">
        <v>9.2</v>
      </c>
      <c r="F753" s="6">
        <f t="shared" si="1"/>
        <v>9</v>
      </c>
      <c r="G753" s="6">
        <v>9.0</v>
      </c>
      <c r="H753" s="6">
        <v>59.0</v>
      </c>
      <c r="I753" s="6">
        <v>24.0</v>
      </c>
      <c r="J753" s="6">
        <v>1.0</v>
      </c>
      <c r="K753" s="6">
        <v>2.0</v>
      </c>
      <c r="L753" s="9">
        <v>45473.0</v>
      </c>
      <c r="M753" s="6">
        <v>2.0</v>
      </c>
      <c r="N753" s="5" t="s">
        <v>113</v>
      </c>
      <c r="O753" s="5" t="str">
        <f t="shared" si="2"/>
        <v>No</v>
      </c>
      <c r="P753" s="5" t="s">
        <v>62</v>
      </c>
      <c r="Q753" s="5">
        <f t="shared" si="3"/>
        <v>0</v>
      </c>
      <c r="R753" s="5">
        <v>0.0</v>
      </c>
    </row>
    <row r="754" ht="22.5" customHeight="1">
      <c r="A754" s="5" t="s">
        <v>2712</v>
      </c>
      <c r="B754" s="5" t="s">
        <v>22</v>
      </c>
      <c r="C754" s="6">
        <v>3.0</v>
      </c>
      <c r="D754" s="6">
        <v>12.0</v>
      </c>
      <c r="E754" s="6">
        <v>12.9</v>
      </c>
      <c r="F754" s="6">
        <f t="shared" si="1"/>
        <v>12</v>
      </c>
      <c r="G754" s="6">
        <v>12.0</v>
      </c>
      <c r="H754" s="6">
        <v>20.0</v>
      </c>
      <c r="I754" s="6">
        <v>27.0</v>
      </c>
      <c r="J754" s="6">
        <v>11.0</v>
      </c>
      <c r="K754" s="6">
        <v>1.0</v>
      </c>
      <c r="L754" s="9">
        <v>45302.0</v>
      </c>
      <c r="M754" s="6">
        <v>1.0</v>
      </c>
      <c r="O754" s="10" t="str">
        <f t="shared" si="2"/>
        <v>No</v>
      </c>
      <c r="P754" s="10" t="s">
        <v>62</v>
      </c>
      <c r="Q754" s="10">
        <f t="shared" si="3"/>
        <v>0</v>
      </c>
      <c r="R754" s="10">
        <v>0.0</v>
      </c>
    </row>
    <row r="755" ht="22.5" customHeight="1">
      <c r="A755" s="5" t="s">
        <v>2715</v>
      </c>
      <c r="B755" s="5" t="s">
        <v>84</v>
      </c>
      <c r="C755" s="6">
        <v>9.0</v>
      </c>
      <c r="D755" s="6">
        <v>28.0</v>
      </c>
      <c r="E755" s="6">
        <v>10.9</v>
      </c>
      <c r="F755" s="6">
        <f t="shared" si="1"/>
        <v>10</v>
      </c>
      <c r="G755" s="6">
        <v>10.0</v>
      </c>
      <c r="H755" s="6">
        <v>50.0</v>
      </c>
      <c r="I755" s="6">
        <v>23.0</v>
      </c>
      <c r="J755" s="6">
        <v>18.0</v>
      </c>
      <c r="K755" s="6">
        <v>3.0</v>
      </c>
      <c r="L755" s="9">
        <v>46021.0</v>
      </c>
      <c r="M755" s="6">
        <v>4.0</v>
      </c>
      <c r="N755" s="5" t="s">
        <v>62</v>
      </c>
      <c r="O755" s="5" t="str">
        <f t="shared" si="2"/>
        <v>No</v>
      </c>
      <c r="P755" s="5" t="s">
        <v>62</v>
      </c>
      <c r="Q755" s="5">
        <f t="shared" si="3"/>
        <v>0</v>
      </c>
      <c r="R755" s="5">
        <v>0.0</v>
      </c>
    </row>
    <row r="756" ht="22.5" customHeight="1">
      <c r="A756" s="5" t="s">
        <v>2717</v>
      </c>
      <c r="B756" s="5" t="s">
        <v>44</v>
      </c>
      <c r="C756" s="6">
        <v>7.0</v>
      </c>
      <c r="D756" s="6">
        <v>14.0</v>
      </c>
      <c r="E756" s="6">
        <v>2.3</v>
      </c>
      <c r="F756" s="6">
        <f t="shared" si="1"/>
        <v>2</v>
      </c>
      <c r="G756" s="6">
        <v>2.0</v>
      </c>
      <c r="H756" s="6">
        <v>43.0</v>
      </c>
      <c r="I756" s="6">
        <v>24.0</v>
      </c>
      <c r="J756" s="6">
        <v>16.0</v>
      </c>
      <c r="K756" s="6">
        <v>3.0</v>
      </c>
      <c r="L756" s="9">
        <v>46061.0</v>
      </c>
      <c r="M756" s="6">
        <v>9.0</v>
      </c>
      <c r="N756" s="5" t="s">
        <v>62</v>
      </c>
      <c r="O756" s="5" t="str">
        <f t="shared" si="2"/>
        <v>No</v>
      </c>
      <c r="P756" s="5" t="s">
        <v>62</v>
      </c>
      <c r="Q756" s="5">
        <f t="shared" si="3"/>
        <v>0</v>
      </c>
      <c r="R756" s="5">
        <v>0.0</v>
      </c>
    </row>
    <row r="757" ht="22.5" customHeight="1">
      <c r="A757" s="5" t="s">
        <v>2720</v>
      </c>
      <c r="B757" s="5" t="s">
        <v>84</v>
      </c>
      <c r="C757" s="6">
        <v>1.0</v>
      </c>
      <c r="D757" s="6">
        <v>2.0</v>
      </c>
      <c r="E757" s="6">
        <v>13.3</v>
      </c>
      <c r="F757" s="6">
        <f t="shared" si="1"/>
        <v>13</v>
      </c>
      <c r="G757" s="6">
        <v>13.0</v>
      </c>
      <c r="H757" s="6">
        <v>22.0</v>
      </c>
      <c r="I757" s="6">
        <v>18.0</v>
      </c>
      <c r="J757" s="6">
        <v>7.0</v>
      </c>
      <c r="K757" s="6">
        <v>0.0</v>
      </c>
      <c r="L757" s="11"/>
      <c r="M757" s="6">
        <v>6.0</v>
      </c>
      <c r="N757" s="5" t="s">
        <v>62</v>
      </c>
      <c r="O757" s="5" t="str">
        <f t="shared" si="2"/>
        <v>Yes</v>
      </c>
      <c r="P757" s="5" t="s">
        <v>113</v>
      </c>
      <c r="Q757" s="5">
        <f t="shared" si="3"/>
        <v>1</v>
      </c>
      <c r="R757" s="5">
        <v>1.0</v>
      </c>
    </row>
    <row r="758" ht="22.5" customHeight="1">
      <c r="A758" s="5" t="s">
        <v>2724</v>
      </c>
      <c r="B758" s="5" t="s">
        <v>170</v>
      </c>
      <c r="C758" s="6">
        <v>3.0</v>
      </c>
      <c r="D758" s="6">
        <v>16.0</v>
      </c>
      <c r="E758" s="6">
        <v>7.4</v>
      </c>
      <c r="F758" s="6">
        <f t="shared" si="1"/>
        <v>7</v>
      </c>
      <c r="G758" s="6">
        <v>7.0</v>
      </c>
      <c r="H758" s="6">
        <v>53.0</v>
      </c>
      <c r="I758" s="6">
        <v>20.0</v>
      </c>
      <c r="J758" s="6">
        <v>11.0</v>
      </c>
      <c r="K758" s="6">
        <v>2.0</v>
      </c>
      <c r="L758" s="9">
        <v>44475.0</v>
      </c>
      <c r="M758" s="6">
        <v>2.0</v>
      </c>
      <c r="N758" s="5" t="s">
        <v>113</v>
      </c>
      <c r="O758" s="5" t="str">
        <f t="shared" si="2"/>
        <v>Yes</v>
      </c>
      <c r="P758" s="5" t="s">
        <v>113</v>
      </c>
      <c r="Q758" s="5">
        <f t="shared" si="3"/>
        <v>1</v>
      </c>
      <c r="R758" s="5">
        <v>1.0</v>
      </c>
    </row>
    <row r="759" ht="22.5" customHeight="1">
      <c r="A759" s="5" t="s">
        <v>2726</v>
      </c>
      <c r="B759" s="5" t="s">
        <v>170</v>
      </c>
      <c r="C759" s="6">
        <v>4.0</v>
      </c>
      <c r="D759" s="6">
        <v>16.0</v>
      </c>
      <c r="E759" s="6">
        <v>5.2</v>
      </c>
      <c r="F759" s="6">
        <f t="shared" si="1"/>
        <v>5</v>
      </c>
      <c r="G759" s="6">
        <v>5.0</v>
      </c>
      <c r="H759" s="6">
        <v>8.0</v>
      </c>
      <c r="I759" s="6">
        <v>31.0</v>
      </c>
      <c r="J759" s="6">
        <v>17.0</v>
      </c>
      <c r="K759" s="6">
        <v>3.0</v>
      </c>
      <c r="L759" s="9">
        <v>44695.0</v>
      </c>
      <c r="M759" s="6">
        <v>5.0</v>
      </c>
      <c r="N759" s="5" t="s">
        <v>113</v>
      </c>
      <c r="O759" s="5" t="str">
        <f t="shared" si="2"/>
        <v>Yes</v>
      </c>
      <c r="P759" s="5" t="s">
        <v>113</v>
      </c>
      <c r="Q759" s="5">
        <f t="shared" si="3"/>
        <v>1</v>
      </c>
      <c r="R759" s="5">
        <v>1.0</v>
      </c>
    </row>
    <row r="760" ht="22.5" customHeight="1">
      <c r="A760" s="5" t="s">
        <v>2729</v>
      </c>
      <c r="B760" s="5" t="s">
        <v>22</v>
      </c>
      <c r="C760" s="6">
        <v>5.0</v>
      </c>
      <c r="D760" s="6">
        <v>25.0</v>
      </c>
      <c r="E760" s="6">
        <v>3.0</v>
      </c>
      <c r="F760" s="6">
        <f t="shared" si="1"/>
        <v>3</v>
      </c>
      <c r="G760" s="6">
        <v>3.0</v>
      </c>
      <c r="H760" s="6">
        <v>18.0</v>
      </c>
      <c r="I760" s="6">
        <v>26.0</v>
      </c>
      <c r="J760" s="6">
        <v>1.0</v>
      </c>
      <c r="K760" s="6">
        <v>0.0</v>
      </c>
      <c r="L760" s="9">
        <v>45298.0</v>
      </c>
      <c r="M760" s="6">
        <v>2.0</v>
      </c>
      <c r="N760" s="5" t="s">
        <v>113</v>
      </c>
      <c r="O760" s="5" t="str">
        <f t="shared" si="2"/>
        <v>No</v>
      </c>
      <c r="P760" s="5" t="s">
        <v>62</v>
      </c>
      <c r="Q760" s="5">
        <f t="shared" si="3"/>
        <v>0</v>
      </c>
      <c r="R760" s="5">
        <v>0.0</v>
      </c>
    </row>
    <row r="761" ht="22.5" customHeight="1">
      <c r="A761" s="5" t="s">
        <v>2731</v>
      </c>
      <c r="B761" s="5" t="s">
        <v>84</v>
      </c>
      <c r="C761" s="6">
        <v>7.0</v>
      </c>
      <c r="D761" s="6">
        <v>13.0</v>
      </c>
      <c r="E761" s="6">
        <v>5.6</v>
      </c>
      <c r="F761" s="6">
        <f t="shared" si="1"/>
        <v>5</v>
      </c>
      <c r="G761" s="6">
        <v>5.0</v>
      </c>
      <c r="H761" s="6">
        <v>25.0</v>
      </c>
      <c r="I761" s="6">
        <v>33.0</v>
      </c>
      <c r="J761" s="6">
        <v>11.0</v>
      </c>
      <c r="K761" s="6">
        <v>5.0</v>
      </c>
      <c r="L761" s="9">
        <v>46131.0</v>
      </c>
      <c r="M761" s="6">
        <v>8.0</v>
      </c>
      <c r="N761" s="5" t="s">
        <v>62</v>
      </c>
      <c r="O761" s="5" t="str">
        <f t="shared" si="2"/>
        <v>No</v>
      </c>
      <c r="P761" s="5" t="s">
        <v>62</v>
      </c>
      <c r="Q761" s="5">
        <f t="shared" si="3"/>
        <v>0</v>
      </c>
      <c r="R761" s="5">
        <v>0.0</v>
      </c>
    </row>
    <row r="762" ht="22.5" customHeight="1">
      <c r="A762" s="5" t="s">
        <v>2734</v>
      </c>
      <c r="B762" s="5" t="s">
        <v>65</v>
      </c>
      <c r="C762" s="6">
        <v>3.0</v>
      </c>
      <c r="D762" s="6">
        <v>11.0</v>
      </c>
      <c r="E762" s="6">
        <v>15.6</v>
      </c>
      <c r="F762" s="6">
        <f t="shared" si="1"/>
        <v>15</v>
      </c>
      <c r="G762" s="6">
        <v>15.0</v>
      </c>
      <c r="H762" s="6">
        <v>27.0</v>
      </c>
      <c r="I762" s="6">
        <v>22.0</v>
      </c>
      <c r="J762" s="6">
        <v>5.0</v>
      </c>
      <c r="K762" s="6">
        <v>2.0</v>
      </c>
      <c r="L762" s="9">
        <v>46215.0</v>
      </c>
      <c r="M762" s="6">
        <v>9.0</v>
      </c>
      <c r="N762" s="5" t="s">
        <v>62</v>
      </c>
      <c r="O762" s="5" t="str">
        <f t="shared" si="2"/>
        <v>No</v>
      </c>
      <c r="P762" s="5" t="s">
        <v>62</v>
      </c>
      <c r="Q762" s="5">
        <f t="shared" si="3"/>
        <v>0</v>
      </c>
      <c r="R762" s="5">
        <v>0.0</v>
      </c>
    </row>
    <row r="763" ht="22.5" customHeight="1">
      <c r="A763" s="5" t="s">
        <v>2736</v>
      </c>
      <c r="B763" s="5" t="s">
        <v>84</v>
      </c>
      <c r="C763" s="6">
        <v>3.0</v>
      </c>
      <c r="D763" s="6">
        <v>15.0</v>
      </c>
      <c r="E763" s="6">
        <v>7.2</v>
      </c>
      <c r="F763" s="6">
        <f t="shared" si="1"/>
        <v>7</v>
      </c>
      <c r="G763" s="6">
        <v>7.0</v>
      </c>
      <c r="H763" s="6">
        <v>58.0</v>
      </c>
      <c r="I763" s="6">
        <v>30.0</v>
      </c>
      <c r="J763" s="6">
        <v>2.0</v>
      </c>
      <c r="K763" s="6">
        <v>5.0</v>
      </c>
      <c r="L763" s="9">
        <v>46243.0</v>
      </c>
      <c r="M763" s="6">
        <v>10.0</v>
      </c>
      <c r="N763" s="5" t="s">
        <v>62</v>
      </c>
      <c r="O763" s="5" t="str">
        <f t="shared" si="2"/>
        <v>No</v>
      </c>
      <c r="P763" s="5" t="s">
        <v>62</v>
      </c>
      <c r="Q763" s="5">
        <f t="shared" si="3"/>
        <v>0</v>
      </c>
      <c r="R763" s="5">
        <v>0.0</v>
      </c>
    </row>
    <row r="764" ht="22.5" customHeight="1">
      <c r="A764" s="5" t="s">
        <v>2739</v>
      </c>
      <c r="B764" s="5" t="s">
        <v>84</v>
      </c>
      <c r="C764" s="6">
        <v>4.0</v>
      </c>
      <c r="D764" s="6">
        <v>21.0</v>
      </c>
      <c r="E764" s="6">
        <v>6.9</v>
      </c>
      <c r="F764" s="6">
        <f t="shared" si="1"/>
        <v>6</v>
      </c>
      <c r="G764" s="6">
        <v>6.0</v>
      </c>
      <c r="H764" s="6">
        <v>5.0</v>
      </c>
      <c r="I764" s="6">
        <v>23.0</v>
      </c>
      <c r="J764" s="6">
        <v>1.0</v>
      </c>
      <c r="K764" s="6">
        <v>1.0</v>
      </c>
      <c r="L764" s="11"/>
      <c r="M764" s="6">
        <v>10.0</v>
      </c>
      <c r="N764" s="5" t="s">
        <v>62</v>
      </c>
      <c r="O764" s="5" t="str">
        <f t="shared" si="2"/>
        <v>Yes</v>
      </c>
      <c r="P764" s="5" t="s">
        <v>113</v>
      </c>
      <c r="Q764" s="5">
        <f t="shared" si="3"/>
        <v>1</v>
      </c>
      <c r="R764" s="5">
        <v>1.0</v>
      </c>
    </row>
    <row r="765" ht="22.5" customHeight="1">
      <c r="A765" s="5" t="s">
        <v>2743</v>
      </c>
      <c r="B765" s="5" t="s">
        <v>84</v>
      </c>
      <c r="C765" s="6">
        <v>8.0</v>
      </c>
      <c r="D765" s="6">
        <v>27.0</v>
      </c>
      <c r="E765" s="6">
        <v>1.7</v>
      </c>
      <c r="F765" s="6">
        <f t="shared" si="1"/>
        <v>1</v>
      </c>
      <c r="G765" s="6">
        <v>1.0</v>
      </c>
      <c r="H765" s="6">
        <v>51.0</v>
      </c>
      <c r="I765" s="6">
        <v>20.0</v>
      </c>
      <c r="J765" s="6">
        <v>8.0</v>
      </c>
      <c r="K765" s="6">
        <v>2.0</v>
      </c>
      <c r="L765" s="9">
        <v>45572.0</v>
      </c>
      <c r="M765" s="6">
        <v>7.0</v>
      </c>
      <c r="N765" s="5" t="s">
        <v>62</v>
      </c>
      <c r="O765" s="5" t="str">
        <f t="shared" si="2"/>
        <v>No</v>
      </c>
      <c r="P765" s="5" t="s">
        <v>62</v>
      </c>
      <c r="Q765" s="5">
        <f t="shared" si="3"/>
        <v>0</v>
      </c>
      <c r="R765" s="5">
        <v>0.0</v>
      </c>
    </row>
    <row r="766" ht="22.5" customHeight="1">
      <c r="A766" s="5" t="s">
        <v>2746</v>
      </c>
      <c r="B766" s="5" t="s">
        <v>170</v>
      </c>
      <c r="C766" s="6">
        <v>8.0</v>
      </c>
      <c r="D766" s="6">
        <v>14.0</v>
      </c>
      <c r="E766" s="6">
        <v>2.5</v>
      </c>
      <c r="F766" s="6">
        <f t="shared" si="1"/>
        <v>2</v>
      </c>
      <c r="G766" s="6">
        <v>2.0</v>
      </c>
      <c r="H766" s="6">
        <v>57.0</v>
      </c>
      <c r="I766" s="6">
        <v>41.0</v>
      </c>
      <c r="J766" s="6">
        <v>12.0</v>
      </c>
      <c r="K766" s="6">
        <v>1.0</v>
      </c>
      <c r="L766" s="11"/>
      <c r="M766" s="6">
        <v>6.0</v>
      </c>
      <c r="N766" s="5" t="s">
        <v>62</v>
      </c>
      <c r="O766" s="5" t="str">
        <f t="shared" si="2"/>
        <v>Yes</v>
      </c>
      <c r="P766" s="5" t="s">
        <v>113</v>
      </c>
      <c r="Q766" s="5">
        <f t="shared" si="3"/>
        <v>1</v>
      </c>
      <c r="R766" s="5">
        <v>1.0</v>
      </c>
    </row>
    <row r="767" ht="22.5" customHeight="1">
      <c r="A767" s="5" t="s">
        <v>2747</v>
      </c>
      <c r="B767" s="5" t="s">
        <v>22</v>
      </c>
      <c r="C767" s="6">
        <v>5.0</v>
      </c>
      <c r="D767" s="6">
        <v>10.0</v>
      </c>
      <c r="E767" s="6">
        <v>3.7</v>
      </c>
      <c r="F767" s="6">
        <f t="shared" si="1"/>
        <v>3</v>
      </c>
      <c r="G767" s="6">
        <v>3.0</v>
      </c>
      <c r="H767" s="6">
        <v>29.0</v>
      </c>
      <c r="I767" s="6">
        <v>24.0</v>
      </c>
      <c r="J767" s="6">
        <v>6.0</v>
      </c>
      <c r="K767" s="6">
        <v>2.0</v>
      </c>
      <c r="L767" s="9">
        <v>45648.0</v>
      </c>
      <c r="M767" s="6">
        <v>7.0</v>
      </c>
      <c r="N767" s="5" t="s">
        <v>62</v>
      </c>
      <c r="O767" s="5" t="str">
        <f t="shared" si="2"/>
        <v>No</v>
      </c>
      <c r="P767" s="5" t="s">
        <v>62</v>
      </c>
      <c r="Q767" s="5">
        <f t="shared" si="3"/>
        <v>0</v>
      </c>
      <c r="R767" s="5">
        <v>0.0</v>
      </c>
    </row>
    <row r="768" ht="22.5" customHeight="1">
      <c r="A768" s="5" t="s">
        <v>2750</v>
      </c>
      <c r="B768" s="5" t="s">
        <v>84</v>
      </c>
      <c r="C768" s="6">
        <v>4.0</v>
      </c>
      <c r="D768" s="6">
        <v>17.0</v>
      </c>
      <c r="E768" s="6">
        <v>11.2</v>
      </c>
      <c r="F768" s="6">
        <f t="shared" si="1"/>
        <v>11</v>
      </c>
      <c r="G768" s="6">
        <v>11.0</v>
      </c>
      <c r="H768" s="6">
        <v>41.0</v>
      </c>
      <c r="I768" s="6">
        <v>28.0</v>
      </c>
      <c r="J768" s="6">
        <v>2.0</v>
      </c>
      <c r="K768" s="6">
        <v>3.0</v>
      </c>
      <c r="L768" s="9">
        <v>44852.0</v>
      </c>
      <c r="M768" s="6">
        <v>4.0</v>
      </c>
      <c r="O768" s="10" t="str">
        <f t="shared" si="2"/>
        <v>Yes</v>
      </c>
      <c r="P768" s="10" t="s">
        <v>113</v>
      </c>
      <c r="Q768" s="10">
        <f t="shared" si="3"/>
        <v>1</v>
      </c>
      <c r="R768" s="10">
        <v>1.0</v>
      </c>
    </row>
    <row r="769" ht="22.5" customHeight="1">
      <c r="A769" s="5" t="s">
        <v>2752</v>
      </c>
      <c r="B769" s="5" t="s">
        <v>84</v>
      </c>
      <c r="C769" s="6">
        <v>8.0</v>
      </c>
      <c r="D769" s="6">
        <v>18.0</v>
      </c>
      <c r="E769" s="6">
        <v>2.2</v>
      </c>
      <c r="F769" s="6">
        <f t="shared" si="1"/>
        <v>2</v>
      </c>
      <c r="G769" s="6">
        <v>2.0</v>
      </c>
      <c r="H769" s="6">
        <v>43.0</v>
      </c>
      <c r="I769" s="6">
        <v>29.0</v>
      </c>
      <c r="J769" s="6">
        <v>14.0</v>
      </c>
      <c r="K769" s="6">
        <v>2.0</v>
      </c>
      <c r="L769" s="9">
        <v>45401.0</v>
      </c>
      <c r="M769" s="6">
        <v>3.0</v>
      </c>
      <c r="N769" s="5" t="s">
        <v>113</v>
      </c>
      <c r="O769" s="5" t="str">
        <f t="shared" si="2"/>
        <v>No</v>
      </c>
      <c r="P769" s="5" t="s">
        <v>62</v>
      </c>
      <c r="Q769" s="5">
        <f t="shared" si="3"/>
        <v>0</v>
      </c>
      <c r="R769" s="5">
        <v>0.0</v>
      </c>
    </row>
    <row r="770" ht="22.5" customHeight="1">
      <c r="A770" s="5" t="s">
        <v>2755</v>
      </c>
      <c r="B770" s="5" t="s">
        <v>84</v>
      </c>
      <c r="C770" s="6">
        <v>4.0</v>
      </c>
      <c r="D770" s="6">
        <v>8.0</v>
      </c>
      <c r="E770" s="6">
        <v>5.9</v>
      </c>
      <c r="F770" s="6">
        <f t="shared" si="1"/>
        <v>5</v>
      </c>
      <c r="G770" s="6">
        <v>5.0</v>
      </c>
      <c r="H770" s="6">
        <v>16.0</v>
      </c>
      <c r="I770" s="6">
        <v>18.0</v>
      </c>
      <c r="J770" s="6">
        <v>19.0</v>
      </c>
      <c r="K770" s="6">
        <v>2.0</v>
      </c>
      <c r="L770" s="9">
        <v>45391.0</v>
      </c>
      <c r="M770" s="6">
        <v>2.0</v>
      </c>
      <c r="N770" s="5" t="s">
        <v>113</v>
      </c>
      <c r="O770" s="5" t="str">
        <f t="shared" si="2"/>
        <v>No</v>
      </c>
      <c r="P770" s="5" t="s">
        <v>62</v>
      </c>
      <c r="Q770" s="5">
        <f t="shared" si="3"/>
        <v>0</v>
      </c>
      <c r="R770" s="5">
        <v>0.0</v>
      </c>
    </row>
    <row r="771" ht="22.5" customHeight="1">
      <c r="A771" s="5" t="s">
        <v>2757</v>
      </c>
      <c r="B771" s="5" t="s">
        <v>22</v>
      </c>
      <c r="C771" s="6">
        <v>7.0</v>
      </c>
      <c r="D771" s="6">
        <v>24.0</v>
      </c>
      <c r="E771" s="6">
        <v>12.8</v>
      </c>
      <c r="F771" s="6">
        <f t="shared" si="1"/>
        <v>12</v>
      </c>
      <c r="G771" s="6">
        <v>12.0</v>
      </c>
      <c r="H771" s="6">
        <v>20.0</v>
      </c>
      <c r="I771" s="6">
        <v>23.0</v>
      </c>
      <c r="J771" s="6">
        <v>17.0</v>
      </c>
      <c r="K771" s="6">
        <v>1.0</v>
      </c>
      <c r="L771" s="9">
        <v>46249.0</v>
      </c>
      <c r="M771" s="6">
        <v>10.0</v>
      </c>
      <c r="N771" s="5" t="s">
        <v>62</v>
      </c>
      <c r="O771" s="5" t="str">
        <f t="shared" si="2"/>
        <v>No</v>
      </c>
      <c r="P771" s="5" t="s">
        <v>62</v>
      </c>
      <c r="Q771" s="5">
        <f t="shared" si="3"/>
        <v>0</v>
      </c>
      <c r="R771" s="5">
        <v>0.0</v>
      </c>
    </row>
    <row r="772" ht="22.5" customHeight="1">
      <c r="A772" s="5" t="s">
        <v>2760</v>
      </c>
      <c r="B772" s="5" t="s">
        <v>84</v>
      </c>
      <c r="C772" s="6">
        <v>5.0</v>
      </c>
      <c r="D772" s="6">
        <v>18.0</v>
      </c>
      <c r="E772" s="6">
        <v>2.0</v>
      </c>
      <c r="F772" s="6">
        <f t="shared" si="1"/>
        <v>2</v>
      </c>
      <c r="G772" s="6">
        <v>2.0</v>
      </c>
      <c r="H772" s="6">
        <v>20.0</v>
      </c>
      <c r="I772" s="6">
        <v>33.0</v>
      </c>
      <c r="J772" s="6">
        <v>5.0</v>
      </c>
      <c r="K772" s="6">
        <v>2.0</v>
      </c>
      <c r="L772" s="9">
        <v>45714.0</v>
      </c>
      <c r="M772" s="6">
        <v>5.0</v>
      </c>
      <c r="N772" s="5" t="s">
        <v>62</v>
      </c>
      <c r="O772" s="5" t="str">
        <f t="shared" si="2"/>
        <v>No</v>
      </c>
      <c r="P772" s="5" t="s">
        <v>62</v>
      </c>
      <c r="Q772" s="5">
        <f t="shared" si="3"/>
        <v>0</v>
      </c>
      <c r="R772" s="5">
        <v>0.0</v>
      </c>
    </row>
    <row r="773" ht="22.5" customHeight="1">
      <c r="A773" s="5" t="s">
        <v>2763</v>
      </c>
      <c r="B773" s="5" t="s">
        <v>84</v>
      </c>
      <c r="C773" s="6">
        <v>7.0</v>
      </c>
      <c r="D773" s="6">
        <v>21.0</v>
      </c>
      <c r="E773" s="6">
        <v>5.1</v>
      </c>
      <c r="F773" s="6">
        <f t="shared" si="1"/>
        <v>5</v>
      </c>
      <c r="G773" s="6">
        <v>5.0</v>
      </c>
      <c r="H773" s="6">
        <v>44.0</v>
      </c>
      <c r="I773" s="6">
        <v>24.0</v>
      </c>
      <c r="J773" s="6">
        <v>7.0</v>
      </c>
      <c r="K773" s="6">
        <v>0.0</v>
      </c>
      <c r="L773" s="9">
        <v>45126.0</v>
      </c>
      <c r="M773" s="6">
        <v>4.0</v>
      </c>
      <c r="N773" s="5" t="s">
        <v>113</v>
      </c>
      <c r="O773" s="5" t="str">
        <f t="shared" si="2"/>
        <v>Yes</v>
      </c>
      <c r="P773" s="5" t="s">
        <v>113</v>
      </c>
      <c r="Q773" s="5">
        <f t="shared" si="3"/>
        <v>1</v>
      </c>
      <c r="R773" s="5">
        <v>1.0</v>
      </c>
    </row>
    <row r="774" ht="22.5" customHeight="1">
      <c r="A774" s="5" t="s">
        <v>2766</v>
      </c>
      <c r="B774" s="5" t="s">
        <v>170</v>
      </c>
      <c r="C774" s="6">
        <v>10.0</v>
      </c>
      <c r="D774" s="6">
        <v>43.0</v>
      </c>
      <c r="E774" s="6">
        <v>15.2</v>
      </c>
      <c r="F774" s="6">
        <f t="shared" si="1"/>
        <v>15</v>
      </c>
      <c r="G774" s="6">
        <v>15.0</v>
      </c>
      <c r="H774" s="6">
        <v>57.0</v>
      </c>
      <c r="I774" s="6">
        <v>19.0</v>
      </c>
      <c r="J774" s="6">
        <v>19.0</v>
      </c>
      <c r="K774" s="6">
        <v>2.0</v>
      </c>
      <c r="L774" s="9">
        <v>44564.0</v>
      </c>
      <c r="M774" s="6">
        <v>3.0</v>
      </c>
      <c r="N774" s="5" t="s">
        <v>113</v>
      </c>
      <c r="O774" s="5" t="str">
        <f t="shared" si="2"/>
        <v>Yes</v>
      </c>
      <c r="P774" s="5" t="s">
        <v>113</v>
      </c>
      <c r="Q774" s="5">
        <f t="shared" si="3"/>
        <v>1</v>
      </c>
      <c r="R774" s="5">
        <v>1.0</v>
      </c>
    </row>
    <row r="775" ht="22.5" customHeight="1">
      <c r="A775" s="5" t="s">
        <v>2769</v>
      </c>
      <c r="B775" s="5" t="s">
        <v>22</v>
      </c>
      <c r="C775" s="6">
        <v>7.0</v>
      </c>
      <c r="D775" s="6">
        <v>39.0</v>
      </c>
      <c r="E775" s="6">
        <v>16.0</v>
      </c>
      <c r="F775" s="6">
        <f t="shared" si="1"/>
        <v>16</v>
      </c>
      <c r="G775" s="6">
        <v>16.0</v>
      </c>
      <c r="H775" s="6">
        <v>11.0</v>
      </c>
      <c r="I775" s="6">
        <v>25.0</v>
      </c>
      <c r="J775" s="6">
        <v>1.0</v>
      </c>
      <c r="K775" s="6">
        <v>2.0</v>
      </c>
      <c r="L775" s="9">
        <v>44841.0</v>
      </c>
      <c r="M775" s="6">
        <v>4.0</v>
      </c>
      <c r="N775" s="5" t="s">
        <v>113</v>
      </c>
      <c r="O775" s="5" t="str">
        <f t="shared" si="2"/>
        <v>Yes</v>
      </c>
      <c r="P775" s="5" t="s">
        <v>113</v>
      </c>
      <c r="Q775" s="5">
        <f t="shared" si="3"/>
        <v>1</v>
      </c>
      <c r="R775" s="5">
        <v>1.0</v>
      </c>
    </row>
    <row r="776" ht="22.5" customHeight="1">
      <c r="A776" s="5" t="s">
        <v>2771</v>
      </c>
      <c r="B776" s="5" t="s">
        <v>65</v>
      </c>
      <c r="C776" s="6">
        <v>11.0</v>
      </c>
      <c r="D776" s="6">
        <v>61.0</v>
      </c>
      <c r="E776" s="6">
        <v>14.4</v>
      </c>
      <c r="F776" s="6">
        <f t="shared" si="1"/>
        <v>14</v>
      </c>
      <c r="G776" s="6">
        <v>14.0</v>
      </c>
      <c r="H776" s="6">
        <v>49.0</v>
      </c>
      <c r="I776" s="6">
        <v>15.0</v>
      </c>
      <c r="J776" s="6">
        <v>2.0</v>
      </c>
      <c r="K776" s="6">
        <v>1.0</v>
      </c>
      <c r="L776" s="9">
        <v>45694.0</v>
      </c>
      <c r="M776" s="6">
        <v>6.0</v>
      </c>
      <c r="N776" s="5" t="s">
        <v>62</v>
      </c>
      <c r="O776" s="5" t="str">
        <f t="shared" si="2"/>
        <v>No</v>
      </c>
      <c r="P776" s="5" t="s">
        <v>62</v>
      </c>
      <c r="Q776" s="5">
        <f t="shared" si="3"/>
        <v>0</v>
      </c>
      <c r="R776" s="5">
        <v>0.0</v>
      </c>
    </row>
    <row r="777" ht="22.5" customHeight="1">
      <c r="A777" s="5" t="s">
        <v>2774</v>
      </c>
      <c r="B777" s="5" t="s">
        <v>84</v>
      </c>
      <c r="C777" s="6">
        <v>7.0</v>
      </c>
      <c r="D777" s="6">
        <v>11.0</v>
      </c>
      <c r="E777" s="6">
        <v>1.5</v>
      </c>
      <c r="F777" s="6">
        <f t="shared" si="1"/>
        <v>1</v>
      </c>
      <c r="G777" s="6">
        <v>1.0</v>
      </c>
      <c r="H777" s="6">
        <v>26.0</v>
      </c>
      <c r="I777" s="6">
        <v>20.0</v>
      </c>
      <c r="J777" s="6">
        <v>17.0</v>
      </c>
      <c r="K777" s="6">
        <v>2.0</v>
      </c>
      <c r="L777" s="9">
        <v>44575.0</v>
      </c>
      <c r="M777" s="6">
        <v>6.0</v>
      </c>
      <c r="N777" s="5" t="s">
        <v>113</v>
      </c>
      <c r="O777" s="5" t="str">
        <f t="shared" si="2"/>
        <v>Yes</v>
      </c>
      <c r="P777" s="5" t="s">
        <v>113</v>
      </c>
      <c r="Q777" s="5">
        <f t="shared" si="3"/>
        <v>1</v>
      </c>
      <c r="R777" s="5">
        <v>1.0</v>
      </c>
    </row>
    <row r="778" ht="22.5" customHeight="1">
      <c r="A778" s="5" t="s">
        <v>2776</v>
      </c>
      <c r="B778" s="5" t="s">
        <v>22</v>
      </c>
      <c r="C778" s="6">
        <v>11.0</v>
      </c>
      <c r="D778" s="6">
        <v>60.0</v>
      </c>
      <c r="E778" s="6">
        <v>7.2</v>
      </c>
      <c r="F778" s="6">
        <f t="shared" si="1"/>
        <v>7</v>
      </c>
      <c r="G778" s="6">
        <v>7.0</v>
      </c>
      <c r="H778" s="6">
        <v>22.0</v>
      </c>
      <c r="I778" s="6">
        <v>22.0</v>
      </c>
      <c r="J778" s="6">
        <v>20.0</v>
      </c>
      <c r="K778" s="6">
        <v>3.0</v>
      </c>
      <c r="L778" s="9">
        <v>45808.0</v>
      </c>
      <c r="M778" s="6">
        <v>9.0</v>
      </c>
      <c r="N778" s="5" t="s">
        <v>62</v>
      </c>
      <c r="O778" s="5" t="str">
        <f t="shared" si="2"/>
        <v>No</v>
      </c>
      <c r="P778" s="5" t="s">
        <v>62</v>
      </c>
      <c r="Q778" s="5">
        <f t="shared" si="3"/>
        <v>0</v>
      </c>
      <c r="R778" s="5">
        <v>0.0</v>
      </c>
    </row>
    <row r="779" ht="22.5" customHeight="1">
      <c r="A779" s="5" t="s">
        <v>2777</v>
      </c>
      <c r="B779" s="5" t="s">
        <v>170</v>
      </c>
      <c r="C779" s="6">
        <v>3.0</v>
      </c>
      <c r="D779" s="6">
        <v>9.0</v>
      </c>
      <c r="E779" s="6">
        <v>2.3</v>
      </c>
      <c r="F779" s="6">
        <f t="shared" si="1"/>
        <v>2</v>
      </c>
      <c r="G779" s="6">
        <v>2.0</v>
      </c>
      <c r="H779" s="6">
        <v>49.0</v>
      </c>
      <c r="I779" s="6">
        <v>17.0</v>
      </c>
      <c r="J779" s="6">
        <v>17.0</v>
      </c>
      <c r="K779" s="6">
        <v>2.0</v>
      </c>
      <c r="L779" s="9">
        <v>45743.0</v>
      </c>
      <c r="M779" s="6">
        <v>4.0</v>
      </c>
      <c r="N779" s="5" t="s">
        <v>62</v>
      </c>
      <c r="O779" s="5" t="str">
        <f t="shared" si="2"/>
        <v>No</v>
      </c>
      <c r="P779" s="5" t="s">
        <v>62</v>
      </c>
      <c r="Q779" s="5">
        <f t="shared" si="3"/>
        <v>0</v>
      </c>
      <c r="R779" s="5">
        <v>0.0</v>
      </c>
    </row>
    <row r="780" ht="22.5" customHeight="1">
      <c r="A780" s="5" t="s">
        <v>2779</v>
      </c>
      <c r="B780" s="5" t="s">
        <v>84</v>
      </c>
      <c r="C780" s="6">
        <v>6.0</v>
      </c>
      <c r="D780" s="6">
        <v>18.0</v>
      </c>
      <c r="E780" s="6">
        <v>10.8</v>
      </c>
      <c r="F780" s="6">
        <f t="shared" si="1"/>
        <v>10</v>
      </c>
      <c r="G780" s="6">
        <v>10.0</v>
      </c>
      <c r="H780" s="6">
        <v>44.0</v>
      </c>
      <c r="I780" s="6">
        <v>10.0</v>
      </c>
      <c r="J780" s="6">
        <v>14.0</v>
      </c>
      <c r="K780" s="6">
        <v>1.0</v>
      </c>
      <c r="L780" s="9">
        <v>46240.0</v>
      </c>
      <c r="M780" s="6">
        <v>8.0</v>
      </c>
      <c r="N780" s="5" t="s">
        <v>62</v>
      </c>
      <c r="O780" s="5" t="str">
        <f t="shared" si="2"/>
        <v>No</v>
      </c>
      <c r="P780" s="5" t="s">
        <v>62</v>
      </c>
      <c r="Q780" s="5">
        <f t="shared" si="3"/>
        <v>0</v>
      </c>
      <c r="R780" s="5">
        <v>0.0</v>
      </c>
    </row>
    <row r="781" ht="22.5" customHeight="1">
      <c r="A781" s="5" t="s">
        <v>2783</v>
      </c>
      <c r="B781" s="5" t="s">
        <v>22</v>
      </c>
      <c r="C781" s="6">
        <v>4.0</v>
      </c>
      <c r="D781" s="6">
        <v>23.0</v>
      </c>
      <c r="E781" s="6">
        <v>10.2</v>
      </c>
      <c r="F781" s="6">
        <f t="shared" si="1"/>
        <v>10</v>
      </c>
      <c r="G781" s="6">
        <v>10.0</v>
      </c>
      <c r="H781" s="6">
        <v>55.0</v>
      </c>
      <c r="I781" s="6">
        <v>19.0</v>
      </c>
      <c r="J781" s="6">
        <v>3.0</v>
      </c>
      <c r="K781" s="6">
        <v>2.0</v>
      </c>
      <c r="L781" s="9">
        <v>46254.0</v>
      </c>
      <c r="M781" s="6">
        <v>5.0</v>
      </c>
      <c r="N781" s="5" t="s">
        <v>62</v>
      </c>
      <c r="O781" s="5" t="str">
        <f t="shared" si="2"/>
        <v>No</v>
      </c>
      <c r="P781" s="5" t="s">
        <v>62</v>
      </c>
      <c r="Q781" s="5">
        <f t="shared" si="3"/>
        <v>0</v>
      </c>
      <c r="R781" s="5">
        <v>0.0</v>
      </c>
    </row>
    <row r="782" ht="22.5" customHeight="1">
      <c r="A782" s="5" t="s">
        <v>2785</v>
      </c>
      <c r="B782" s="5" t="s">
        <v>84</v>
      </c>
      <c r="C782" s="6">
        <v>6.0</v>
      </c>
      <c r="D782" s="6">
        <v>12.0</v>
      </c>
      <c r="E782" s="6">
        <v>2.9</v>
      </c>
      <c r="F782" s="6">
        <f t="shared" si="1"/>
        <v>2</v>
      </c>
      <c r="G782" s="6">
        <v>2.0</v>
      </c>
      <c r="H782" s="6">
        <v>17.0</v>
      </c>
      <c r="I782" s="6">
        <v>26.0</v>
      </c>
      <c r="J782" s="6">
        <v>12.0</v>
      </c>
      <c r="K782" s="6">
        <v>2.0</v>
      </c>
      <c r="L782" s="9">
        <v>44857.0</v>
      </c>
      <c r="M782" s="6">
        <v>2.0</v>
      </c>
      <c r="N782" s="5" t="s">
        <v>113</v>
      </c>
      <c r="O782" s="5" t="str">
        <f t="shared" si="2"/>
        <v>Yes</v>
      </c>
      <c r="P782" s="5" t="s">
        <v>113</v>
      </c>
      <c r="Q782" s="5">
        <f t="shared" si="3"/>
        <v>1</v>
      </c>
      <c r="R782" s="5">
        <v>1.0</v>
      </c>
    </row>
    <row r="783" ht="22.5" customHeight="1">
      <c r="A783" s="5" t="s">
        <v>2787</v>
      </c>
      <c r="B783" s="5" t="s">
        <v>84</v>
      </c>
      <c r="C783" s="6">
        <v>6.0</v>
      </c>
      <c r="D783" s="6">
        <v>25.0</v>
      </c>
      <c r="E783" s="6">
        <v>5.2</v>
      </c>
      <c r="F783" s="6">
        <f t="shared" si="1"/>
        <v>5</v>
      </c>
      <c r="G783" s="6">
        <v>5.0</v>
      </c>
      <c r="H783" s="6">
        <v>5.0</v>
      </c>
      <c r="I783" s="6">
        <v>26.0</v>
      </c>
      <c r="J783" s="6">
        <v>1.0</v>
      </c>
      <c r="K783" s="6">
        <v>1.0</v>
      </c>
      <c r="L783" s="9">
        <v>44600.0</v>
      </c>
      <c r="M783" s="6">
        <v>2.0</v>
      </c>
      <c r="N783" s="5" t="s">
        <v>113</v>
      </c>
      <c r="O783" s="5" t="str">
        <f t="shared" si="2"/>
        <v>Yes</v>
      </c>
      <c r="P783" s="5" t="s">
        <v>113</v>
      </c>
      <c r="Q783" s="5">
        <f t="shared" si="3"/>
        <v>1</v>
      </c>
      <c r="R783" s="5">
        <v>1.0</v>
      </c>
    </row>
    <row r="784" ht="22.5" customHeight="1">
      <c r="A784" s="5" t="s">
        <v>2789</v>
      </c>
      <c r="B784" s="5" t="s">
        <v>84</v>
      </c>
      <c r="C784" s="6">
        <v>4.0</v>
      </c>
      <c r="D784" s="6">
        <v>19.0</v>
      </c>
      <c r="E784" s="6">
        <v>10.5</v>
      </c>
      <c r="F784" s="6">
        <f t="shared" si="1"/>
        <v>10</v>
      </c>
      <c r="G784" s="6">
        <v>10.0</v>
      </c>
      <c r="H784" s="6">
        <v>32.0</v>
      </c>
      <c r="I784" s="6">
        <v>19.0</v>
      </c>
      <c r="J784" s="8"/>
      <c r="K784" s="6">
        <v>5.0</v>
      </c>
      <c r="L784" s="9">
        <v>45407.0</v>
      </c>
      <c r="M784" s="6">
        <v>3.0</v>
      </c>
      <c r="N784" s="5" t="s">
        <v>113</v>
      </c>
      <c r="O784" s="5" t="str">
        <f t="shared" si="2"/>
        <v>No</v>
      </c>
      <c r="P784" s="5" t="s">
        <v>62</v>
      </c>
      <c r="Q784" s="5">
        <f t="shared" si="3"/>
        <v>0</v>
      </c>
      <c r="R784" s="5">
        <v>0.0</v>
      </c>
    </row>
    <row r="785" ht="22.5" customHeight="1">
      <c r="A785" s="5" t="s">
        <v>2792</v>
      </c>
      <c r="B785" s="5" t="s">
        <v>84</v>
      </c>
      <c r="C785" s="6">
        <v>10.0</v>
      </c>
      <c r="D785" s="6">
        <v>19.0</v>
      </c>
      <c r="E785" s="6">
        <v>10.1</v>
      </c>
      <c r="F785" s="6">
        <f t="shared" si="1"/>
        <v>10</v>
      </c>
      <c r="G785" s="6">
        <v>10.0</v>
      </c>
      <c r="H785" s="6">
        <v>34.0</v>
      </c>
      <c r="I785" s="6">
        <v>39.0</v>
      </c>
      <c r="J785" s="6">
        <v>3.0</v>
      </c>
      <c r="K785" s="6">
        <v>1.0</v>
      </c>
      <c r="L785" s="9">
        <v>45345.0</v>
      </c>
      <c r="M785" s="6">
        <v>1.0</v>
      </c>
      <c r="N785" s="5" t="s">
        <v>113</v>
      </c>
      <c r="O785" s="5" t="str">
        <f t="shared" si="2"/>
        <v>No</v>
      </c>
      <c r="P785" s="5" t="s">
        <v>62</v>
      </c>
      <c r="Q785" s="5">
        <f t="shared" si="3"/>
        <v>0</v>
      </c>
      <c r="R785" s="5">
        <v>0.0</v>
      </c>
    </row>
    <row r="786" ht="22.5" customHeight="1">
      <c r="A786" s="5" t="s">
        <v>2795</v>
      </c>
      <c r="B786" s="5" t="s">
        <v>44</v>
      </c>
      <c r="C786" s="6">
        <v>9.0</v>
      </c>
      <c r="D786" s="6">
        <v>16.0</v>
      </c>
      <c r="E786" s="6">
        <v>8.3</v>
      </c>
      <c r="F786" s="6">
        <f t="shared" si="1"/>
        <v>8</v>
      </c>
      <c r="G786" s="6">
        <v>8.0</v>
      </c>
      <c r="H786" s="6">
        <v>46.0</v>
      </c>
      <c r="I786" s="6">
        <v>19.0</v>
      </c>
      <c r="J786" s="6">
        <v>4.0</v>
      </c>
      <c r="K786" s="6">
        <v>2.0</v>
      </c>
      <c r="L786" s="9">
        <v>45988.0</v>
      </c>
      <c r="M786" s="6">
        <v>7.0</v>
      </c>
      <c r="N786" s="5" t="s">
        <v>62</v>
      </c>
      <c r="O786" s="5" t="str">
        <f t="shared" si="2"/>
        <v>No</v>
      </c>
      <c r="P786" s="5" t="s">
        <v>62</v>
      </c>
      <c r="Q786" s="5">
        <f t="shared" si="3"/>
        <v>0</v>
      </c>
      <c r="R786" s="5">
        <v>0.0</v>
      </c>
    </row>
    <row r="787" ht="22.5" customHeight="1">
      <c r="A787" s="5" t="s">
        <v>2797</v>
      </c>
      <c r="B787" s="5" t="s">
        <v>65</v>
      </c>
      <c r="C787" s="6">
        <v>6.0</v>
      </c>
      <c r="D787" s="6">
        <v>17.0</v>
      </c>
      <c r="E787" s="6">
        <v>2.4</v>
      </c>
      <c r="F787" s="6">
        <f t="shared" si="1"/>
        <v>2</v>
      </c>
      <c r="G787" s="6">
        <v>2.0</v>
      </c>
      <c r="H787" s="6">
        <v>13.0</v>
      </c>
      <c r="I787" s="6">
        <v>21.0</v>
      </c>
      <c r="J787" s="6">
        <v>17.0</v>
      </c>
      <c r="K787" s="6">
        <v>3.0</v>
      </c>
      <c r="L787" s="9">
        <v>45331.0</v>
      </c>
      <c r="M787" s="6">
        <v>3.0</v>
      </c>
      <c r="N787" s="5" t="s">
        <v>113</v>
      </c>
      <c r="O787" s="5" t="str">
        <f t="shared" si="2"/>
        <v>No</v>
      </c>
      <c r="P787" s="5" t="s">
        <v>62</v>
      </c>
      <c r="Q787" s="5">
        <f t="shared" si="3"/>
        <v>0</v>
      </c>
      <c r="R787" s="5">
        <v>0.0</v>
      </c>
    </row>
    <row r="788" ht="22.5" customHeight="1">
      <c r="A788" s="5" t="s">
        <v>2800</v>
      </c>
      <c r="B788" s="5" t="s">
        <v>22</v>
      </c>
      <c r="C788" s="6">
        <v>8.0</v>
      </c>
      <c r="D788" s="6">
        <v>45.0</v>
      </c>
      <c r="E788" s="6">
        <v>15.8</v>
      </c>
      <c r="F788" s="6">
        <f t="shared" si="1"/>
        <v>15</v>
      </c>
      <c r="G788" s="6">
        <v>15.0</v>
      </c>
      <c r="H788" s="6">
        <v>46.0</v>
      </c>
      <c r="I788" s="6">
        <v>21.0</v>
      </c>
      <c r="J788" s="6">
        <v>3.0</v>
      </c>
      <c r="K788" s="6">
        <v>0.0</v>
      </c>
      <c r="L788" s="11"/>
      <c r="M788" s="6">
        <v>2.0</v>
      </c>
      <c r="N788" s="5" t="s">
        <v>113</v>
      </c>
      <c r="O788" s="5" t="str">
        <f t="shared" si="2"/>
        <v>Yes</v>
      </c>
      <c r="P788" s="5" t="s">
        <v>113</v>
      </c>
      <c r="Q788" s="5">
        <f t="shared" si="3"/>
        <v>1</v>
      </c>
      <c r="R788" s="5">
        <v>1.0</v>
      </c>
    </row>
    <row r="789" ht="22.5" customHeight="1">
      <c r="A789" s="5" t="s">
        <v>2801</v>
      </c>
      <c r="B789" s="5" t="s">
        <v>65</v>
      </c>
      <c r="C789" s="6">
        <v>4.0</v>
      </c>
      <c r="D789" s="6">
        <v>14.0</v>
      </c>
      <c r="E789" s="6">
        <v>10.1</v>
      </c>
      <c r="F789" s="6">
        <f t="shared" si="1"/>
        <v>10</v>
      </c>
      <c r="G789" s="6">
        <v>10.0</v>
      </c>
      <c r="H789" s="6">
        <v>39.0</v>
      </c>
      <c r="I789" s="6">
        <v>36.0</v>
      </c>
      <c r="J789" s="6">
        <v>13.0</v>
      </c>
      <c r="K789" s="6">
        <v>4.0</v>
      </c>
      <c r="L789" s="9">
        <v>45090.0</v>
      </c>
      <c r="M789" s="6">
        <v>1.0</v>
      </c>
      <c r="N789" s="5" t="s">
        <v>113</v>
      </c>
      <c r="O789" s="5" t="str">
        <f t="shared" si="2"/>
        <v>Yes</v>
      </c>
      <c r="P789" s="5" t="s">
        <v>113</v>
      </c>
      <c r="Q789" s="5">
        <f t="shared" si="3"/>
        <v>1</v>
      </c>
      <c r="R789" s="5">
        <v>1.0</v>
      </c>
    </row>
    <row r="790" ht="22.5" customHeight="1">
      <c r="A790" s="5" t="s">
        <v>2803</v>
      </c>
      <c r="B790" s="5" t="s">
        <v>44</v>
      </c>
      <c r="C790" s="6">
        <v>4.0</v>
      </c>
      <c r="D790" s="6">
        <v>10.0</v>
      </c>
      <c r="E790" s="6">
        <v>2.3</v>
      </c>
      <c r="F790" s="6">
        <f t="shared" si="1"/>
        <v>2</v>
      </c>
      <c r="G790" s="6">
        <v>2.0</v>
      </c>
      <c r="H790" s="6">
        <v>58.0</v>
      </c>
      <c r="I790" s="6">
        <v>10.0</v>
      </c>
      <c r="J790" s="6">
        <v>20.0</v>
      </c>
      <c r="K790" s="6">
        <v>0.0</v>
      </c>
      <c r="L790" s="9">
        <v>44956.0</v>
      </c>
      <c r="M790" s="6">
        <v>2.0</v>
      </c>
      <c r="N790" s="5" t="s">
        <v>113</v>
      </c>
      <c r="O790" s="5" t="str">
        <f t="shared" si="2"/>
        <v>Yes</v>
      </c>
      <c r="P790" s="5" t="s">
        <v>113</v>
      </c>
      <c r="Q790" s="5">
        <f t="shared" si="3"/>
        <v>1</v>
      </c>
      <c r="R790" s="5">
        <v>1.0</v>
      </c>
    </row>
    <row r="791" ht="22.5" customHeight="1">
      <c r="A791" s="5" t="s">
        <v>2806</v>
      </c>
      <c r="B791" s="5" t="s">
        <v>65</v>
      </c>
      <c r="C791" s="6">
        <v>10.0</v>
      </c>
      <c r="D791" s="6">
        <v>28.0</v>
      </c>
      <c r="E791" s="6">
        <v>6.3</v>
      </c>
      <c r="F791" s="6">
        <f t="shared" si="1"/>
        <v>6</v>
      </c>
      <c r="G791" s="6">
        <v>6.0</v>
      </c>
      <c r="H791" s="6">
        <v>46.0</v>
      </c>
      <c r="I791" s="6">
        <v>27.0</v>
      </c>
      <c r="J791" s="6">
        <v>8.0</v>
      </c>
      <c r="K791" s="6">
        <v>2.0</v>
      </c>
      <c r="L791" s="9">
        <v>46206.0</v>
      </c>
      <c r="M791" s="6">
        <v>6.0</v>
      </c>
      <c r="N791" s="5" t="s">
        <v>62</v>
      </c>
      <c r="O791" s="5" t="str">
        <f t="shared" si="2"/>
        <v>No</v>
      </c>
      <c r="P791" s="5" t="s">
        <v>62</v>
      </c>
      <c r="Q791" s="5">
        <f t="shared" si="3"/>
        <v>0</v>
      </c>
      <c r="R791" s="5">
        <v>0.0</v>
      </c>
    </row>
    <row r="792" ht="22.5" customHeight="1">
      <c r="A792" s="5" t="s">
        <v>2809</v>
      </c>
      <c r="B792" s="5" t="s">
        <v>44</v>
      </c>
      <c r="C792" s="6">
        <v>3.0</v>
      </c>
      <c r="D792" s="6">
        <v>9.0</v>
      </c>
      <c r="E792" s="6">
        <v>17.0</v>
      </c>
      <c r="F792" s="6">
        <f t="shared" si="1"/>
        <v>17</v>
      </c>
      <c r="G792" s="6">
        <v>17.0</v>
      </c>
      <c r="H792" s="6">
        <v>39.0</v>
      </c>
      <c r="I792" s="6">
        <v>17.0</v>
      </c>
      <c r="J792" s="6">
        <v>2.0</v>
      </c>
      <c r="K792" s="6">
        <v>2.0</v>
      </c>
      <c r="L792" s="9">
        <v>45778.0</v>
      </c>
      <c r="M792" s="6">
        <v>7.0</v>
      </c>
      <c r="N792" s="5" t="s">
        <v>62</v>
      </c>
      <c r="O792" s="5" t="str">
        <f t="shared" si="2"/>
        <v>No</v>
      </c>
      <c r="P792" s="5" t="s">
        <v>62</v>
      </c>
      <c r="Q792" s="5">
        <f t="shared" si="3"/>
        <v>0</v>
      </c>
      <c r="R792" s="5">
        <v>0.0</v>
      </c>
    </row>
    <row r="793" ht="22.5" customHeight="1">
      <c r="A793" s="5" t="s">
        <v>2811</v>
      </c>
      <c r="B793" s="5" t="s">
        <v>84</v>
      </c>
      <c r="C793" s="6">
        <v>3.0</v>
      </c>
      <c r="D793" s="6">
        <v>14.0</v>
      </c>
      <c r="E793" s="6">
        <v>3.8</v>
      </c>
      <c r="F793" s="6">
        <f t="shared" si="1"/>
        <v>3</v>
      </c>
      <c r="G793" s="6">
        <v>3.0</v>
      </c>
      <c r="H793" s="6">
        <v>14.0</v>
      </c>
      <c r="I793" s="6">
        <v>30.0</v>
      </c>
      <c r="J793" s="6">
        <v>14.0</v>
      </c>
      <c r="K793" s="6">
        <v>2.0</v>
      </c>
      <c r="L793" s="9">
        <v>46230.0</v>
      </c>
      <c r="M793" s="6">
        <v>7.0</v>
      </c>
      <c r="N793" s="5" t="s">
        <v>62</v>
      </c>
      <c r="O793" s="5" t="str">
        <f t="shared" si="2"/>
        <v>No</v>
      </c>
      <c r="P793" s="5" t="s">
        <v>62</v>
      </c>
      <c r="Q793" s="5">
        <f t="shared" si="3"/>
        <v>0</v>
      </c>
      <c r="R793" s="5">
        <v>0.0</v>
      </c>
    </row>
    <row r="794" ht="22.5" customHeight="1">
      <c r="A794" s="5" t="s">
        <v>2814</v>
      </c>
      <c r="B794" s="5" t="s">
        <v>170</v>
      </c>
      <c r="C794" s="6">
        <v>6.0</v>
      </c>
      <c r="D794" s="6">
        <v>14.0</v>
      </c>
      <c r="E794" s="6">
        <v>6.2</v>
      </c>
      <c r="F794" s="6">
        <f t="shared" si="1"/>
        <v>6</v>
      </c>
      <c r="G794" s="6">
        <v>6.0</v>
      </c>
      <c r="H794" s="6">
        <v>8.0</v>
      </c>
      <c r="I794" s="6">
        <v>26.0</v>
      </c>
      <c r="J794" s="6">
        <v>14.0</v>
      </c>
      <c r="K794" s="6">
        <v>1.0</v>
      </c>
      <c r="L794" s="9">
        <v>45671.0</v>
      </c>
      <c r="M794" s="6">
        <v>7.0</v>
      </c>
      <c r="N794" s="5" t="s">
        <v>62</v>
      </c>
      <c r="O794" s="5" t="str">
        <f t="shared" si="2"/>
        <v>No</v>
      </c>
      <c r="P794" s="5" t="s">
        <v>62</v>
      </c>
      <c r="Q794" s="5">
        <f t="shared" si="3"/>
        <v>0</v>
      </c>
      <c r="R794" s="5">
        <v>0.0</v>
      </c>
    </row>
    <row r="795" ht="22.5" customHeight="1">
      <c r="A795" s="5" t="s">
        <v>2817</v>
      </c>
      <c r="B795" s="5" t="s">
        <v>22</v>
      </c>
      <c r="C795" s="6">
        <v>5.0</v>
      </c>
      <c r="D795" s="6">
        <v>21.0</v>
      </c>
      <c r="E795" s="6">
        <v>2.5</v>
      </c>
      <c r="F795" s="6">
        <f t="shared" si="1"/>
        <v>2</v>
      </c>
      <c r="G795" s="6">
        <v>2.0</v>
      </c>
      <c r="H795" s="6">
        <v>51.0</v>
      </c>
      <c r="I795" s="6">
        <v>27.0</v>
      </c>
      <c r="J795" s="6">
        <v>20.0</v>
      </c>
      <c r="K795" s="6">
        <v>2.0</v>
      </c>
      <c r="L795" s="9">
        <v>46209.0</v>
      </c>
      <c r="M795" s="6">
        <v>1.0</v>
      </c>
      <c r="N795" s="5" t="s">
        <v>62</v>
      </c>
      <c r="O795" s="5" t="str">
        <f t="shared" si="2"/>
        <v>No</v>
      </c>
      <c r="P795" s="5" t="s">
        <v>62</v>
      </c>
      <c r="Q795" s="5">
        <f t="shared" si="3"/>
        <v>0</v>
      </c>
      <c r="R795" s="5">
        <v>0.0</v>
      </c>
    </row>
    <row r="796" ht="22.5" customHeight="1">
      <c r="A796" s="5" t="s">
        <v>2819</v>
      </c>
      <c r="B796" s="5" t="s">
        <v>44</v>
      </c>
      <c r="C796" s="6">
        <v>5.0</v>
      </c>
      <c r="D796" s="6">
        <v>22.0</v>
      </c>
      <c r="E796" s="6">
        <v>2.2</v>
      </c>
      <c r="F796" s="6">
        <f t="shared" si="1"/>
        <v>2</v>
      </c>
      <c r="G796" s="6">
        <v>2.0</v>
      </c>
      <c r="H796" s="6">
        <v>39.0</v>
      </c>
      <c r="I796" s="6">
        <v>29.0</v>
      </c>
      <c r="J796" s="6">
        <v>12.0</v>
      </c>
      <c r="K796" s="6">
        <v>0.0</v>
      </c>
      <c r="L796" s="9">
        <v>45822.0</v>
      </c>
      <c r="M796" s="6">
        <v>7.0</v>
      </c>
      <c r="N796" s="5" t="s">
        <v>62</v>
      </c>
      <c r="O796" s="5" t="str">
        <f t="shared" si="2"/>
        <v>No</v>
      </c>
      <c r="P796" s="5" t="s">
        <v>62</v>
      </c>
      <c r="Q796" s="5">
        <f t="shared" si="3"/>
        <v>0</v>
      </c>
      <c r="R796" s="5">
        <v>0.0</v>
      </c>
    </row>
    <row r="797" ht="22.5" customHeight="1">
      <c r="A797" s="5" t="s">
        <v>2822</v>
      </c>
      <c r="B797" s="5" t="s">
        <v>65</v>
      </c>
      <c r="C797" s="6">
        <v>9.0</v>
      </c>
      <c r="D797" s="6">
        <v>37.0</v>
      </c>
      <c r="E797" s="6">
        <v>2.5</v>
      </c>
      <c r="F797" s="6">
        <f t="shared" si="1"/>
        <v>2</v>
      </c>
      <c r="G797" s="6">
        <v>2.0</v>
      </c>
      <c r="H797" s="6">
        <v>38.0</v>
      </c>
      <c r="I797" s="6">
        <v>21.0</v>
      </c>
      <c r="J797" s="6">
        <v>11.0</v>
      </c>
      <c r="K797" s="6">
        <v>2.0</v>
      </c>
      <c r="L797" s="9">
        <v>45391.0</v>
      </c>
      <c r="M797" s="6">
        <v>5.0</v>
      </c>
      <c r="N797" s="5" t="s">
        <v>113</v>
      </c>
      <c r="O797" s="5" t="str">
        <f t="shared" si="2"/>
        <v>No</v>
      </c>
      <c r="P797" s="5" t="s">
        <v>62</v>
      </c>
      <c r="Q797" s="5">
        <f t="shared" si="3"/>
        <v>0</v>
      </c>
      <c r="R797" s="5">
        <v>0.0</v>
      </c>
    </row>
    <row r="798" ht="22.5" customHeight="1">
      <c r="A798" s="5" t="s">
        <v>2823</v>
      </c>
      <c r="B798" s="5" t="s">
        <v>65</v>
      </c>
      <c r="C798" s="6">
        <v>6.0</v>
      </c>
      <c r="D798" s="6">
        <v>10.0</v>
      </c>
      <c r="E798" s="6">
        <v>8.9</v>
      </c>
      <c r="F798" s="6">
        <f t="shared" si="1"/>
        <v>8</v>
      </c>
      <c r="G798" s="6">
        <v>8.0</v>
      </c>
      <c r="H798" s="6">
        <v>8.0</v>
      </c>
      <c r="I798" s="6">
        <v>30.0</v>
      </c>
      <c r="J798" s="6">
        <v>4.0</v>
      </c>
      <c r="K798" s="6">
        <v>0.0</v>
      </c>
      <c r="L798" s="9">
        <v>45347.0</v>
      </c>
      <c r="M798" s="6">
        <v>4.0</v>
      </c>
      <c r="N798" s="5" t="s">
        <v>113</v>
      </c>
      <c r="O798" s="5" t="str">
        <f t="shared" si="2"/>
        <v>No</v>
      </c>
      <c r="P798" s="5" t="s">
        <v>62</v>
      </c>
      <c r="Q798" s="5">
        <f t="shared" si="3"/>
        <v>0</v>
      </c>
      <c r="R798" s="5">
        <v>0.0</v>
      </c>
    </row>
    <row r="799" ht="22.5" customHeight="1">
      <c r="A799" s="5" t="s">
        <v>2826</v>
      </c>
      <c r="B799" s="5" t="s">
        <v>44</v>
      </c>
      <c r="C799" s="6">
        <v>3.0</v>
      </c>
      <c r="D799" s="6">
        <v>7.0</v>
      </c>
      <c r="E799" s="6">
        <v>5.1</v>
      </c>
      <c r="F799" s="6">
        <f t="shared" si="1"/>
        <v>5</v>
      </c>
      <c r="G799" s="6">
        <v>5.0</v>
      </c>
      <c r="H799" s="6">
        <v>10.0</v>
      </c>
      <c r="I799" s="6">
        <v>30.0</v>
      </c>
      <c r="J799" s="6">
        <v>7.0</v>
      </c>
      <c r="K799" s="6">
        <v>0.0</v>
      </c>
      <c r="L799" s="9">
        <v>44974.0</v>
      </c>
      <c r="M799" s="6">
        <v>4.0</v>
      </c>
      <c r="N799" s="5" t="s">
        <v>113</v>
      </c>
      <c r="O799" s="5" t="str">
        <f t="shared" si="2"/>
        <v>Yes</v>
      </c>
      <c r="P799" s="5" t="s">
        <v>113</v>
      </c>
      <c r="Q799" s="5">
        <f t="shared" si="3"/>
        <v>1</v>
      </c>
      <c r="R799" s="5">
        <v>1.0</v>
      </c>
    </row>
    <row r="800" ht="22.5" customHeight="1">
      <c r="A800" s="5" t="s">
        <v>2829</v>
      </c>
      <c r="B800" s="5" t="s">
        <v>22</v>
      </c>
      <c r="C800" s="6">
        <v>7.0</v>
      </c>
      <c r="D800" s="6">
        <v>25.0</v>
      </c>
      <c r="E800" s="6">
        <v>12.0</v>
      </c>
      <c r="F800" s="6">
        <f t="shared" si="1"/>
        <v>12</v>
      </c>
      <c r="G800" s="6">
        <v>12.0</v>
      </c>
      <c r="H800" s="6">
        <v>39.0</v>
      </c>
      <c r="I800" s="6">
        <v>37.0</v>
      </c>
      <c r="J800" s="6">
        <v>11.0</v>
      </c>
      <c r="K800" s="6">
        <v>3.0</v>
      </c>
      <c r="L800" s="9">
        <v>45464.0</v>
      </c>
      <c r="M800" s="6">
        <v>4.0</v>
      </c>
      <c r="N800" s="5" t="s">
        <v>113</v>
      </c>
      <c r="O800" s="5" t="str">
        <f t="shared" si="2"/>
        <v>No</v>
      </c>
      <c r="P800" s="5" t="s">
        <v>62</v>
      </c>
      <c r="Q800" s="5">
        <f t="shared" si="3"/>
        <v>0</v>
      </c>
      <c r="R800" s="5">
        <v>0.0</v>
      </c>
    </row>
    <row r="801" ht="22.5" customHeight="1">
      <c r="A801" s="5" t="s">
        <v>2831</v>
      </c>
      <c r="B801" s="5" t="s">
        <v>65</v>
      </c>
      <c r="C801" s="6">
        <v>5.0</v>
      </c>
      <c r="D801" s="6">
        <v>14.0</v>
      </c>
      <c r="E801" s="6">
        <v>9.0</v>
      </c>
      <c r="F801" s="6">
        <f t="shared" si="1"/>
        <v>9</v>
      </c>
      <c r="G801" s="6">
        <v>9.0</v>
      </c>
      <c r="H801" s="6">
        <v>26.0</v>
      </c>
      <c r="I801" s="6">
        <v>32.0</v>
      </c>
      <c r="J801" s="6">
        <v>16.0</v>
      </c>
      <c r="K801" s="6">
        <v>1.0</v>
      </c>
      <c r="L801" s="9">
        <v>46187.0</v>
      </c>
      <c r="M801" s="6">
        <v>9.0</v>
      </c>
      <c r="N801" s="5" t="s">
        <v>62</v>
      </c>
      <c r="O801" s="5" t="str">
        <f t="shared" si="2"/>
        <v>No</v>
      </c>
      <c r="P801" s="5" t="s">
        <v>62</v>
      </c>
      <c r="Q801" s="5">
        <f t="shared" si="3"/>
        <v>0</v>
      </c>
      <c r="R801" s="5">
        <v>0.0</v>
      </c>
    </row>
    <row r="802" ht="22.5" customHeight="1">
      <c r="A802" s="5" t="s">
        <v>2833</v>
      </c>
      <c r="B802" s="5" t="s">
        <v>22</v>
      </c>
      <c r="C802" s="6">
        <v>4.0</v>
      </c>
      <c r="D802" s="6">
        <v>15.0</v>
      </c>
      <c r="E802" s="6">
        <v>3.0</v>
      </c>
      <c r="F802" s="6">
        <f t="shared" si="1"/>
        <v>3</v>
      </c>
      <c r="G802" s="6">
        <v>3.0</v>
      </c>
      <c r="H802" s="6">
        <v>10.0</v>
      </c>
      <c r="I802" s="6">
        <v>37.0</v>
      </c>
      <c r="J802" s="6">
        <v>2.0</v>
      </c>
      <c r="K802" s="6">
        <v>2.0</v>
      </c>
      <c r="L802" s="9">
        <v>45991.0</v>
      </c>
      <c r="M802" s="6">
        <v>5.0</v>
      </c>
      <c r="O802" s="10" t="str">
        <f t="shared" si="2"/>
        <v>No</v>
      </c>
      <c r="P802" s="10" t="s">
        <v>62</v>
      </c>
      <c r="Q802" s="10">
        <f t="shared" si="3"/>
        <v>0</v>
      </c>
      <c r="R802" s="10">
        <v>0.0</v>
      </c>
    </row>
    <row r="803" ht="22.5" customHeight="1">
      <c r="A803" s="5" t="s">
        <v>2835</v>
      </c>
      <c r="B803" s="5" t="s">
        <v>84</v>
      </c>
      <c r="C803" s="6">
        <v>8.0</v>
      </c>
      <c r="D803" s="6">
        <v>35.0</v>
      </c>
      <c r="E803" s="6">
        <v>3.8</v>
      </c>
      <c r="F803" s="6">
        <f t="shared" si="1"/>
        <v>3</v>
      </c>
      <c r="G803" s="6">
        <v>3.0</v>
      </c>
      <c r="H803" s="6">
        <v>48.0</v>
      </c>
      <c r="I803" s="6">
        <v>25.0</v>
      </c>
      <c r="J803" s="6">
        <v>3.0</v>
      </c>
      <c r="K803" s="6">
        <v>0.0</v>
      </c>
      <c r="L803" s="9">
        <v>45887.0</v>
      </c>
      <c r="M803" s="6">
        <v>5.0</v>
      </c>
      <c r="N803" s="5" t="s">
        <v>62</v>
      </c>
      <c r="O803" s="5" t="str">
        <f t="shared" si="2"/>
        <v>No</v>
      </c>
      <c r="P803" s="5" t="s">
        <v>62</v>
      </c>
      <c r="Q803" s="5">
        <f t="shared" si="3"/>
        <v>0</v>
      </c>
      <c r="R803" s="5">
        <v>0.0</v>
      </c>
    </row>
    <row r="804" ht="22.5" customHeight="1">
      <c r="A804" s="5" t="s">
        <v>2837</v>
      </c>
      <c r="B804" s="5" t="s">
        <v>22</v>
      </c>
      <c r="C804" s="6">
        <v>6.0</v>
      </c>
      <c r="D804" s="6">
        <v>32.0</v>
      </c>
      <c r="E804" s="6">
        <v>7.6</v>
      </c>
      <c r="F804" s="6">
        <f t="shared" si="1"/>
        <v>7</v>
      </c>
      <c r="G804" s="6">
        <v>7.0</v>
      </c>
      <c r="H804" s="6">
        <v>42.0</v>
      </c>
      <c r="I804" s="6">
        <v>14.0</v>
      </c>
      <c r="J804" s="6">
        <v>20.0</v>
      </c>
      <c r="K804" s="6">
        <v>1.0</v>
      </c>
      <c r="L804" s="9">
        <v>46252.0</v>
      </c>
      <c r="M804" s="6">
        <v>5.0</v>
      </c>
      <c r="N804" s="5" t="s">
        <v>62</v>
      </c>
      <c r="O804" s="5" t="str">
        <f t="shared" si="2"/>
        <v>No</v>
      </c>
      <c r="P804" s="5" t="s">
        <v>62</v>
      </c>
      <c r="Q804" s="5">
        <f t="shared" si="3"/>
        <v>0</v>
      </c>
      <c r="R804" s="5">
        <v>0.0</v>
      </c>
    </row>
    <row r="805" ht="22.5" customHeight="1">
      <c r="A805" s="5" t="s">
        <v>2838</v>
      </c>
      <c r="B805" s="5" t="s">
        <v>170</v>
      </c>
      <c r="C805" s="6">
        <v>7.0</v>
      </c>
      <c r="D805" s="6">
        <v>29.0</v>
      </c>
      <c r="E805" s="6">
        <v>13.1</v>
      </c>
      <c r="F805" s="6">
        <f t="shared" si="1"/>
        <v>13</v>
      </c>
      <c r="G805" s="6">
        <v>13.0</v>
      </c>
      <c r="H805" s="6">
        <v>58.0</v>
      </c>
      <c r="I805" s="6">
        <v>31.0</v>
      </c>
      <c r="J805" s="6">
        <v>11.0</v>
      </c>
      <c r="K805" s="6">
        <v>3.0</v>
      </c>
      <c r="L805" s="9">
        <v>45982.0</v>
      </c>
      <c r="M805" s="6">
        <v>8.0</v>
      </c>
      <c r="N805" s="5" t="s">
        <v>62</v>
      </c>
      <c r="O805" s="5" t="str">
        <f t="shared" si="2"/>
        <v>No</v>
      </c>
      <c r="P805" s="5" t="s">
        <v>62</v>
      </c>
      <c r="Q805" s="5">
        <f t="shared" si="3"/>
        <v>0</v>
      </c>
      <c r="R805" s="5">
        <v>0.0</v>
      </c>
    </row>
    <row r="806" ht="22.5" customHeight="1">
      <c r="A806" s="5" t="s">
        <v>2840</v>
      </c>
      <c r="B806" s="5" t="s">
        <v>84</v>
      </c>
      <c r="C806" s="6">
        <v>9.0</v>
      </c>
      <c r="D806" s="6">
        <v>16.0</v>
      </c>
      <c r="E806" s="6">
        <v>7.6</v>
      </c>
      <c r="F806" s="6">
        <f t="shared" si="1"/>
        <v>7</v>
      </c>
      <c r="G806" s="6">
        <v>7.0</v>
      </c>
      <c r="H806" s="6">
        <v>21.0</v>
      </c>
      <c r="I806" s="6">
        <v>15.0</v>
      </c>
      <c r="J806" s="6">
        <v>20.0</v>
      </c>
      <c r="K806" s="6">
        <v>3.0</v>
      </c>
      <c r="L806" s="9">
        <v>44648.0</v>
      </c>
      <c r="M806" s="6">
        <v>1.0</v>
      </c>
      <c r="N806" s="5" t="s">
        <v>113</v>
      </c>
      <c r="O806" s="5" t="str">
        <f t="shared" si="2"/>
        <v>Yes</v>
      </c>
      <c r="P806" s="5" t="s">
        <v>113</v>
      </c>
      <c r="Q806" s="5">
        <f t="shared" si="3"/>
        <v>1</v>
      </c>
      <c r="R806" s="5">
        <v>1.0</v>
      </c>
    </row>
  </sheetData>
  <dataValidations>
    <dataValidation type="custom" allowBlank="1" showDropDown="1" sqref="L2:L806">
      <formula1>OR(NOT(ISERROR(DATEVALUE(L2))), AND(ISNUMBER(L2), LEFT(CELL("format", L2))="D"))</formula1>
    </dataValidation>
    <dataValidation type="custom" allowBlank="1" showDropDown="1" sqref="C2:E806 H2:K806 M2:M806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8.0"/>
    <col customWidth="1" min="3" max="3" width="19.63"/>
    <col customWidth="1" min="4" max="4" width="17.75"/>
    <col customWidth="1" min="5" max="5" width="26.13"/>
    <col customWidth="1" min="6" max="6" width="24.5"/>
    <col customWidth="1" min="7" max="7" width="30.75"/>
    <col customWidth="1" min="8" max="8" width="17.38"/>
    <col customWidth="1" min="9" max="9" width="25.38"/>
    <col customWidth="1" min="10" max="10" width="20.13"/>
    <col customWidth="1" min="11" max="11" width="22.63"/>
    <col customWidth="1" min="12" max="12" width="28.38"/>
    <col customWidth="1" min="13" max="13" width="28.25"/>
  </cols>
  <sheetData>
    <row r="1" ht="22.5" customHeight="1">
      <c r="A1" s="3" t="s">
        <v>0</v>
      </c>
      <c r="B1" s="3" t="s">
        <v>1</v>
      </c>
      <c r="C1" s="3" t="s">
        <v>3</v>
      </c>
      <c r="D1" s="3" t="s">
        <v>5</v>
      </c>
      <c r="E1" s="3" t="s">
        <v>7</v>
      </c>
      <c r="F1" s="3" t="s">
        <v>9</v>
      </c>
      <c r="G1" s="3" t="s">
        <v>10</v>
      </c>
      <c r="H1" s="3" t="s">
        <v>12</v>
      </c>
      <c r="I1" s="3" t="s">
        <v>14</v>
      </c>
      <c r="J1" s="3" t="s">
        <v>16</v>
      </c>
      <c r="K1" s="3" t="s">
        <v>17</v>
      </c>
      <c r="L1" s="3" t="s">
        <v>2881</v>
      </c>
      <c r="M1" s="3" t="s">
        <v>2884</v>
      </c>
    </row>
    <row r="2" ht="22.5" customHeight="1">
      <c r="A2" s="5" t="s">
        <v>21</v>
      </c>
      <c r="B2" s="5" t="s">
        <v>22</v>
      </c>
      <c r="C2" s="6">
        <v>6.0</v>
      </c>
      <c r="D2" s="6">
        <v>14.0</v>
      </c>
      <c r="E2" s="6">
        <v>10.0</v>
      </c>
      <c r="F2" s="6">
        <v>13.0</v>
      </c>
      <c r="G2" s="6">
        <v>17.0</v>
      </c>
      <c r="H2" s="6">
        <v>7.0</v>
      </c>
      <c r="I2" s="6">
        <v>4.0</v>
      </c>
      <c r="J2" s="9">
        <v>45838.0</v>
      </c>
      <c r="K2" s="6">
        <v>6.0</v>
      </c>
      <c r="L2" s="10" t="s">
        <v>62</v>
      </c>
      <c r="M2" s="10">
        <v>0.0</v>
      </c>
    </row>
    <row r="3" ht="22.5" customHeight="1">
      <c r="A3" s="5" t="s">
        <v>40</v>
      </c>
      <c r="B3" s="5" t="s">
        <v>44</v>
      </c>
      <c r="C3" s="6">
        <v>5.0</v>
      </c>
      <c r="D3" s="6">
        <v>28.0</v>
      </c>
      <c r="E3" s="6">
        <v>9.0</v>
      </c>
      <c r="F3" s="6">
        <v>44.0</v>
      </c>
      <c r="G3" s="6">
        <v>30.0</v>
      </c>
      <c r="H3" s="6">
        <v>13.0</v>
      </c>
      <c r="I3" s="6">
        <v>1.0</v>
      </c>
      <c r="J3" s="9">
        <v>46027.0</v>
      </c>
      <c r="K3" s="6">
        <v>6.0</v>
      </c>
      <c r="L3" s="5" t="s">
        <v>62</v>
      </c>
      <c r="M3" s="5">
        <v>0.0</v>
      </c>
    </row>
    <row r="4" ht="22.5" customHeight="1">
      <c r="A4" s="5" t="s">
        <v>57</v>
      </c>
      <c r="B4" s="5" t="s">
        <v>65</v>
      </c>
      <c r="C4" s="6">
        <v>5.0</v>
      </c>
      <c r="D4" s="6">
        <v>24.0</v>
      </c>
      <c r="E4" s="6">
        <v>12.0</v>
      </c>
      <c r="F4" s="6">
        <v>29.0</v>
      </c>
      <c r="G4" s="6">
        <v>31.0</v>
      </c>
      <c r="H4" s="6">
        <v>10.0</v>
      </c>
      <c r="I4" s="6">
        <v>2.0</v>
      </c>
      <c r="J4" s="9">
        <v>45928.0</v>
      </c>
      <c r="K4" s="6">
        <v>6.0</v>
      </c>
      <c r="L4" s="5" t="s">
        <v>62</v>
      </c>
      <c r="M4" s="5">
        <v>0.0</v>
      </c>
    </row>
    <row r="5" ht="22.5" customHeight="1">
      <c r="A5" s="5" t="s">
        <v>72</v>
      </c>
      <c r="B5" s="5" t="s">
        <v>84</v>
      </c>
      <c r="C5" s="6">
        <v>6.0</v>
      </c>
      <c r="D5" s="6">
        <v>34.0</v>
      </c>
      <c r="E5" s="6">
        <v>7.0</v>
      </c>
      <c r="F5" s="6">
        <v>44.0</v>
      </c>
      <c r="G5" s="6">
        <v>24.0</v>
      </c>
      <c r="H5" s="6">
        <v>18.0</v>
      </c>
      <c r="I5" s="6">
        <v>4.0</v>
      </c>
      <c r="J5" s="9">
        <v>45591.0</v>
      </c>
      <c r="K5" s="6">
        <v>7.0</v>
      </c>
      <c r="L5" s="5" t="s">
        <v>62</v>
      </c>
      <c r="M5" s="5">
        <v>0.0</v>
      </c>
    </row>
    <row r="6" ht="22.5" customHeight="1">
      <c r="A6" s="5" t="s">
        <v>87</v>
      </c>
      <c r="B6" s="5" t="s">
        <v>22</v>
      </c>
      <c r="C6" s="6">
        <v>6.0</v>
      </c>
      <c r="D6" s="6">
        <v>29.0</v>
      </c>
      <c r="E6" s="6">
        <v>5.0</v>
      </c>
      <c r="F6" s="6">
        <v>32.0</v>
      </c>
      <c r="G6" s="6">
        <v>20.0</v>
      </c>
      <c r="H6" s="6">
        <v>11.0</v>
      </c>
      <c r="I6" s="6">
        <v>5.0</v>
      </c>
      <c r="J6" s="9">
        <v>45303.0</v>
      </c>
      <c r="K6" s="6">
        <v>2.0</v>
      </c>
      <c r="L6" s="5" t="s">
        <v>62</v>
      </c>
      <c r="M6" s="5">
        <v>0.0</v>
      </c>
    </row>
    <row r="7" ht="22.5" customHeight="1">
      <c r="A7" s="5" t="s">
        <v>99</v>
      </c>
      <c r="B7" s="5" t="s">
        <v>22</v>
      </c>
      <c r="C7" s="6">
        <v>4.0</v>
      </c>
      <c r="D7" s="6">
        <v>17.0</v>
      </c>
      <c r="E7" s="6">
        <v>8.0</v>
      </c>
      <c r="F7" s="6">
        <v>36.0</v>
      </c>
      <c r="G7" s="6">
        <v>17.0</v>
      </c>
      <c r="H7" s="6">
        <v>1.0</v>
      </c>
      <c r="I7" s="6">
        <v>3.0</v>
      </c>
      <c r="J7" s="9">
        <v>44653.0</v>
      </c>
      <c r="K7" s="6">
        <v>5.0</v>
      </c>
      <c r="L7" s="5" t="s">
        <v>113</v>
      </c>
      <c r="M7" s="5">
        <v>1.0</v>
      </c>
    </row>
    <row r="8" ht="22.5" customHeight="1">
      <c r="A8" s="5" t="s">
        <v>119</v>
      </c>
      <c r="B8" s="5" t="s">
        <v>44</v>
      </c>
      <c r="C8" s="6">
        <v>5.0</v>
      </c>
      <c r="D8" s="6">
        <v>28.0</v>
      </c>
      <c r="E8" s="6">
        <v>7.0</v>
      </c>
      <c r="F8" s="6">
        <v>44.0</v>
      </c>
      <c r="G8" s="6">
        <v>35.0</v>
      </c>
      <c r="H8" s="6">
        <v>18.0</v>
      </c>
      <c r="I8" s="6">
        <v>0.0</v>
      </c>
      <c r="J8" s="9">
        <v>45143.0</v>
      </c>
      <c r="K8" s="6">
        <v>4.0</v>
      </c>
      <c r="L8" s="5" t="s">
        <v>113</v>
      </c>
      <c r="M8" s="5">
        <v>1.0</v>
      </c>
    </row>
    <row r="9" ht="22.5" customHeight="1">
      <c r="A9" s="5" t="s">
        <v>126</v>
      </c>
      <c r="B9" s="5" t="s">
        <v>84</v>
      </c>
      <c r="C9" s="6">
        <v>7.0</v>
      </c>
      <c r="D9" s="6">
        <v>29.0</v>
      </c>
      <c r="E9" s="6">
        <v>6.0</v>
      </c>
      <c r="F9" s="6">
        <v>20.0</v>
      </c>
      <c r="G9" s="6">
        <v>21.0</v>
      </c>
      <c r="H9" s="6">
        <v>15.0</v>
      </c>
      <c r="I9" s="6">
        <v>2.0</v>
      </c>
      <c r="J9" s="9">
        <v>45710.0</v>
      </c>
      <c r="K9" s="6">
        <v>10.0</v>
      </c>
      <c r="L9" s="5" t="s">
        <v>62</v>
      </c>
      <c r="M9" s="5">
        <v>0.0</v>
      </c>
    </row>
    <row r="10" ht="22.5" customHeight="1">
      <c r="A10" s="5" t="s">
        <v>134</v>
      </c>
      <c r="B10" s="5" t="s">
        <v>65</v>
      </c>
      <c r="C10" s="6">
        <v>8.0</v>
      </c>
      <c r="D10" s="6">
        <v>35.0</v>
      </c>
      <c r="E10" s="6">
        <v>8.0</v>
      </c>
      <c r="F10" s="6">
        <v>32.0</v>
      </c>
      <c r="G10" s="6">
        <v>33.0</v>
      </c>
      <c r="H10" s="6">
        <v>16.0</v>
      </c>
      <c r="I10" s="6">
        <v>4.0</v>
      </c>
      <c r="J10" s="9">
        <v>46069.0</v>
      </c>
      <c r="K10" s="6">
        <v>9.0</v>
      </c>
      <c r="L10" s="10" t="s">
        <v>62</v>
      </c>
      <c r="M10" s="10">
        <v>0.0</v>
      </c>
    </row>
    <row r="11" ht="22.5" customHeight="1">
      <c r="A11" s="5" t="s">
        <v>145</v>
      </c>
      <c r="B11" s="5" t="s">
        <v>170</v>
      </c>
      <c r="C11" s="6">
        <v>3.0</v>
      </c>
      <c r="D11" s="6">
        <v>7.0</v>
      </c>
      <c r="E11" s="6">
        <v>11.0</v>
      </c>
      <c r="F11" s="6">
        <v>46.0</v>
      </c>
      <c r="G11" s="6">
        <v>24.0</v>
      </c>
      <c r="H11" s="6">
        <v>3.0</v>
      </c>
      <c r="I11" s="6">
        <v>4.0</v>
      </c>
      <c r="J11" s="9">
        <v>46104.0</v>
      </c>
      <c r="K11" s="6">
        <v>6.0</v>
      </c>
      <c r="L11" s="10" t="s">
        <v>62</v>
      </c>
      <c r="M11" s="10">
        <v>0.0</v>
      </c>
    </row>
    <row r="12" ht="22.5" customHeight="1">
      <c r="A12" s="5" t="s">
        <v>156</v>
      </c>
      <c r="B12" s="5" t="s">
        <v>44</v>
      </c>
      <c r="C12" s="6">
        <v>6.0</v>
      </c>
      <c r="D12" s="6">
        <v>22.0</v>
      </c>
      <c r="E12" s="6">
        <v>9.0</v>
      </c>
      <c r="F12" s="6">
        <v>21.0</v>
      </c>
      <c r="G12" s="6">
        <v>20.0</v>
      </c>
      <c r="H12" s="6">
        <v>3.0</v>
      </c>
      <c r="I12" s="6">
        <v>1.0</v>
      </c>
      <c r="J12" s="9">
        <v>46200.0</v>
      </c>
      <c r="K12" s="6">
        <v>8.0</v>
      </c>
      <c r="L12" s="5" t="s">
        <v>62</v>
      </c>
      <c r="M12" s="5">
        <v>0.0</v>
      </c>
    </row>
    <row r="13" ht="22.5" customHeight="1">
      <c r="A13" s="5" t="s">
        <v>169</v>
      </c>
      <c r="B13" s="5" t="s">
        <v>65</v>
      </c>
      <c r="C13" s="6">
        <v>6.0</v>
      </c>
      <c r="D13" s="6">
        <v>28.0</v>
      </c>
      <c r="E13" s="6">
        <v>4.0</v>
      </c>
      <c r="F13" s="6">
        <v>38.0</v>
      </c>
      <c r="G13" s="6">
        <v>16.0</v>
      </c>
      <c r="H13" s="6">
        <v>12.0</v>
      </c>
      <c r="I13" s="6">
        <v>0.0</v>
      </c>
      <c r="J13" s="9">
        <v>45776.0</v>
      </c>
      <c r="K13" s="6">
        <v>7.0</v>
      </c>
      <c r="L13" s="5" t="s">
        <v>62</v>
      </c>
      <c r="M13" s="5">
        <v>0.0</v>
      </c>
    </row>
    <row r="14" ht="22.5" customHeight="1">
      <c r="A14" s="5" t="s">
        <v>182</v>
      </c>
      <c r="B14" s="5" t="s">
        <v>22</v>
      </c>
      <c r="C14" s="6">
        <v>7.0</v>
      </c>
      <c r="D14" s="6">
        <v>19.0</v>
      </c>
      <c r="E14" s="6">
        <v>10.0</v>
      </c>
      <c r="F14" s="6">
        <v>32.0</v>
      </c>
      <c r="G14" s="6">
        <v>20.0</v>
      </c>
      <c r="H14" s="6">
        <v>19.0</v>
      </c>
      <c r="I14" s="6">
        <v>1.0</v>
      </c>
      <c r="J14" s="9">
        <v>44647.0</v>
      </c>
      <c r="K14" s="6">
        <v>1.0</v>
      </c>
      <c r="L14" s="5" t="s">
        <v>113</v>
      </c>
      <c r="M14" s="5">
        <v>1.0</v>
      </c>
    </row>
    <row r="15" ht="22.5" customHeight="1">
      <c r="A15" s="5" t="s">
        <v>192</v>
      </c>
      <c r="B15" s="5" t="s">
        <v>22</v>
      </c>
      <c r="C15" s="6">
        <v>5.0</v>
      </c>
      <c r="D15" s="6">
        <v>12.0</v>
      </c>
      <c r="E15" s="6">
        <v>15.0</v>
      </c>
      <c r="F15" s="6">
        <v>47.0</v>
      </c>
      <c r="G15" s="6">
        <v>36.0</v>
      </c>
      <c r="H15" s="6">
        <v>13.0</v>
      </c>
      <c r="I15" s="6">
        <v>5.0</v>
      </c>
      <c r="J15" s="11"/>
      <c r="K15" s="6">
        <v>10.0</v>
      </c>
      <c r="L15" s="5" t="s">
        <v>113</v>
      </c>
      <c r="M15" s="5">
        <v>1.0</v>
      </c>
    </row>
    <row r="16" ht="22.5" customHeight="1">
      <c r="A16" s="5" t="s">
        <v>202</v>
      </c>
      <c r="B16" s="5" t="s">
        <v>22</v>
      </c>
      <c r="C16" s="6">
        <v>7.0</v>
      </c>
      <c r="D16" s="6">
        <v>20.0</v>
      </c>
      <c r="E16" s="6">
        <v>12.0</v>
      </c>
      <c r="F16" s="6">
        <v>36.0</v>
      </c>
      <c r="G16" s="6">
        <v>16.0</v>
      </c>
      <c r="H16" s="6">
        <v>8.0</v>
      </c>
      <c r="I16" s="6">
        <v>3.0</v>
      </c>
      <c r="J16" s="9">
        <v>44573.0</v>
      </c>
      <c r="K16" s="6">
        <v>4.0</v>
      </c>
      <c r="L16" s="5" t="s">
        <v>113</v>
      </c>
      <c r="M16" s="5">
        <v>1.0</v>
      </c>
    </row>
    <row r="17" ht="22.5" customHeight="1">
      <c r="A17" s="5" t="s">
        <v>214</v>
      </c>
      <c r="B17" s="5" t="s">
        <v>22</v>
      </c>
      <c r="C17" s="6">
        <v>7.0</v>
      </c>
      <c r="D17" s="6">
        <v>18.0</v>
      </c>
      <c r="E17" s="6">
        <v>2.0</v>
      </c>
      <c r="F17" s="6">
        <v>52.0</v>
      </c>
      <c r="G17" s="6">
        <v>42.0</v>
      </c>
      <c r="H17" s="6">
        <v>17.0</v>
      </c>
      <c r="I17" s="6">
        <v>3.0</v>
      </c>
      <c r="J17" s="9">
        <v>44861.0</v>
      </c>
      <c r="K17" s="6">
        <v>4.0</v>
      </c>
      <c r="L17" s="5" t="s">
        <v>113</v>
      </c>
      <c r="M17" s="5">
        <v>1.0</v>
      </c>
    </row>
    <row r="18" ht="22.5" customHeight="1">
      <c r="A18" s="5" t="s">
        <v>225</v>
      </c>
      <c r="B18" s="5" t="s">
        <v>84</v>
      </c>
      <c r="C18" s="6">
        <v>2.0</v>
      </c>
      <c r="D18" s="6">
        <v>5.0</v>
      </c>
      <c r="E18" s="6">
        <v>9.0</v>
      </c>
      <c r="F18" s="6">
        <v>58.0</v>
      </c>
      <c r="G18" s="6">
        <v>18.0</v>
      </c>
      <c r="H18" s="6">
        <v>3.0</v>
      </c>
      <c r="I18" s="6">
        <v>4.0</v>
      </c>
      <c r="J18" s="9">
        <v>46171.0</v>
      </c>
      <c r="K18" s="6">
        <v>6.0</v>
      </c>
      <c r="L18" s="5" t="s">
        <v>62</v>
      </c>
      <c r="M18" s="5">
        <v>0.0</v>
      </c>
    </row>
    <row r="19" ht="22.5" customHeight="1">
      <c r="A19" s="5" t="s">
        <v>233</v>
      </c>
      <c r="B19" s="5" t="s">
        <v>84</v>
      </c>
      <c r="C19" s="6">
        <v>8.0</v>
      </c>
      <c r="D19" s="6">
        <v>27.0</v>
      </c>
      <c r="E19" s="6">
        <v>3.0</v>
      </c>
      <c r="F19" s="6">
        <v>60.0</v>
      </c>
      <c r="G19" s="6">
        <v>31.0</v>
      </c>
      <c r="H19" s="6">
        <v>4.0</v>
      </c>
      <c r="I19" s="6">
        <v>4.0</v>
      </c>
      <c r="J19" s="9">
        <v>44761.0</v>
      </c>
      <c r="K19" s="6">
        <v>2.0</v>
      </c>
      <c r="L19" s="5" t="s">
        <v>113</v>
      </c>
      <c r="M19" s="5">
        <v>1.0</v>
      </c>
    </row>
    <row r="20" ht="22.5" customHeight="1">
      <c r="A20" s="5" t="s">
        <v>242</v>
      </c>
      <c r="B20" s="5" t="s">
        <v>22</v>
      </c>
      <c r="C20" s="6">
        <v>3.0</v>
      </c>
      <c r="D20" s="6">
        <v>17.0</v>
      </c>
      <c r="E20" s="6">
        <v>5.0</v>
      </c>
      <c r="F20" s="6">
        <v>35.0</v>
      </c>
      <c r="G20" s="6">
        <v>24.0</v>
      </c>
      <c r="H20" s="6">
        <v>4.0</v>
      </c>
      <c r="I20" s="6">
        <v>5.0</v>
      </c>
      <c r="J20" s="9">
        <v>45614.0</v>
      </c>
      <c r="K20" s="6">
        <v>6.0</v>
      </c>
      <c r="L20" s="5" t="s">
        <v>62</v>
      </c>
      <c r="M20" s="5">
        <v>0.0</v>
      </c>
    </row>
    <row r="21" ht="22.5" customHeight="1">
      <c r="A21" s="5" t="s">
        <v>253</v>
      </c>
      <c r="B21" s="5" t="s">
        <v>84</v>
      </c>
      <c r="C21" s="6">
        <v>12.0</v>
      </c>
      <c r="D21" s="6">
        <v>45.0</v>
      </c>
      <c r="E21" s="6">
        <v>8.0</v>
      </c>
      <c r="F21" s="6">
        <v>11.0</v>
      </c>
      <c r="G21" s="6">
        <v>22.0</v>
      </c>
      <c r="H21" s="6">
        <v>3.0</v>
      </c>
      <c r="I21" s="6">
        <v>3.0</v>
      </c>
      <c r="J21" s="9">
        <v>45597.0</v>
      </c>
      <c r="K21" s="6">
        <v>8.0</v>
      </c>
      <c r="L21" s="5" t="s">
        <v>62</v>
      </c>
      <c r="M21" s="5">
        <v>0.0</v>
      </c>
    </row>
    <row r="22" ht="22.5" customHeight="1">
      <c r="A22" s="5" t="s">
        <v>262</v>
      </c>
      <c r="B22" s="5" t="s">
        <v>22</v>
      </c>
      <c r="C22" s="6">
        <v>5.0</v>
      </c>
      <c r="D22" s="6">
        <v>12.0</v>
      </c>
      <c r="E22" s="6">
        <v>7.0</v>
      </c>
      <c r="F22" s="6">
        <v>28.0</v>
      </c>
      <c r="G22" s="6">
        <v>15.0</v>
      </c>
      <c r="H22" s="6">
        <v>19.0</v>
      </c>
      <c r="I22" s="6">
        <v>3.0</v>
      </c>
      <c r="J22" s="9">
        <v>44767.0</v>
      </c>
      <c r="K22" s="6">
        <v>4.0</v>
      </c>
      <c r="L22" s="5" t="s">
        <v>113</v>
      </c>
      <c r="M22" s="5">
        <v>1.0</v>
      </c>
    </row>
    <row r="23" ht="22.5" customHeight="1">
      <c r="A23" s="5" t="s">
        <v>274</v>
      </c>
      <c r="B23" s="5" t="s">
        <v>22</v>
      </c>
      <c r="C23" s="6">
        <v>4.0</v>
      </c>
      <c r="D23" s="6">
        <v>7.0</v>
      </c>
      <c r="E23" s="6">
        <v>11.0</v>
      </c>
      <c r="F23" s="6">
        <v>5.0</v>
      </c>
      <c r="G23" s="6">
        <v>24.0</v>
      </c>
      <c r="H23" s="6">
        <v>5.0</v>
      </c>
      <c r="I23" s="6">
        <v>5.0</v>
      </c>
      <c r="J23" s="9">
        <v>44502.0</v>
      </c>
      <c r="K23" s="6">
        <v>3.0</v>
      </c>
      <c r="L23" s="5" t="s">
        <v>113</v>
      </c>
      <c r="M23" s="5">
        <v>1.0</v>
      </c>
    </row>
    <row r="24" ht="22.5" customHeight="1">
      <c r="A24" s="5" t="s">
        <v>281</v>
      </c>
      <c r="B24" s="5" t="s">
        <v>22</v>
      </c>
      <c r="C24" s="6">
        <v>9.0</v>
      </c>
      <c r="D24" s="6">
        <v>42.0</v>
      </c>
      <c r="E24" s="6">
        <v>16.0</v>
      </c>
      <c r="F24" s="6">
        <v>12.0</v>
      </c>
      <c r="G24" s="6">
        <v>16.0</v>
      </c>
      <c r="H24" s="6">
        <v>18.0</v>
      </c>
      <c r="I24" s="6">
        <v>5.0</v>
      </c>
      <c r="J24" s="9">
        <v>45965.0</v>
      </c>
      <c r="K24" s="6">
        <v>6.0</v>
      </c>
      <c r="L24" s="5" t="s">
        <v>62</v>
      </c>
      <c r="M24" s="5">
        <v>0.0</v>
      </c>
    </row>
    <row r="25" ht="22.5" customHeight="1">
      <c r="A25" s="5" t="s">
        <v>291</v>
      </c>
      <c r="B25" s="5" t="s">
        <v>84</v>
      </c>
      <c r="C25" s="6">
        <v>4.0</v>
      </c>
      <c r="D25" s="6">
        <v>13.0</v>
      </c>
      <c r="E25" s="6">
        <v>8.0</v>
      </c>
      <c r="F25" s="6">
        <v>12.0</v>
      </c>
      <c r="G25" s="6">
        <v>12.0</v>
      </c>
      <c r="H25" s="6">
        <v>11.0</v>
      </c>
      <c r="I25" s="6">
        <v>3.0</v>
      </c>
      <c r="J25" s="9">
        <v>46077.0</v>
      </c>
      <c r="K25" s="6">
        <v>7.0</v>
      </c>
      <c r="L25" s="5" t="s">
        <v>62</v>
      </c>
      <c r="M25" s="5">
        <v>0.0</v>
      </c>
    </row>
    <row r="26" ht="22.5" customHeight="1">
      <c r="A26" s="5" t="s">
        <v>298</v>
      </c>
      <c r="B26" s="5" t="s">
        <v>65</v>
      </c>
      <c r="C26" s="6">
        <v>4.0</v>
      </c>
      <c r="D26" s="6">
        <v>21.0</v>
      </c>
      <c r="E26" s="6">
        <v>5.0</v>
      </c>
      <c r="F26" s="6">
        <v>41.0</v>
      </c>
      <c r="G26" s="6">
        <v>26.0</v>
      </c>
      <c r="H26" s="6">
        <v>16.0</v>
      </c>
      <c r="I26" s="6">
        <v>2.0</v>
      </c>
      <c r="J26" s="9">
        <v>46086.0</v>
      </c>
      <c r="K26" s="6">
        <v>6.0</v>
      </c>
      <c r="L26" s="5" t="s">
        <v>62</v>
      </c>
      <c r="M26" s="5">
        <v>0.0</v>
      </c>
    </row>
    <row r="27" ht="22.5" customHeight="1">
      <c r="A27" s="5" t="s">
        <v>306</v>
      </c>
      <c r="B27" s="5" t="s">
        <v>22</v>
      </c>
      <c r="C27" s="6">
        <v>6.0</v>
      </c>
      <c r="D27" s="6">
        <v>27.0</v>
      </c>
      <c r="E27" s="6">
        <v>1.0</v>
      </c>
      <c r="F27" s="6">
        <v>25.0</v>
      </c>
      <c r="G27" s="6">
        <v>20.0</v>
      </c>
      <c r="H27" s="6">
        <v>17.0</v>
      </c>
      <c r="I27" s="6">
        <v>1.0</v>
      </c>
      <c r="J27" s="9">
        <v>45908.0</v>
      </c>
      <c r="K27" s="6">
        <v>8.0</v>
      </c>
      <c r="L27" s="5" t="s">
        <v>62</v>
      </c>
      <c r="M27" s="5">
        <v>0.0</v>
      </c>
    </row>
    <row r="28" ht="22.5" customHeight="1">
      <c r="A28" s="5" t="s">
        <v>314</v>
      </c>
      <c r="B28" s="5" t="s">
        <v>84</v>
      </c>
      <c r="C28" s="6">
        <v>9.0</v>
      </c>
      <c r="D28" s="6">
        <v>46.0</v>
      </c>
      <c r="E28" s="6">
        <v>13.0</v>
      </c>
      <c r="F28" s="6">
        <v>13.0</v>
      </c>
      <c r="G28" s="6">
        <v>38.0</v>
      </c>
      <c r="H28" s="8"/>
      <c r="I28" s="6">
        <v>1.0</v>
      </c>
      <c r="J28" s="11"/>
      <c r="K28" s="6">
        <v>7.0</v>
      </c>
      <c r="L28" s="5" t="s">
        <v>113</v>
      </c>
      <c r="M28" s="5">
        <v>1.0</v>
      </c>
    </row>
    <row r="29" ht="22.5" customHeight="1">
      <c r="A29" s="5" t="s">
        <v>321</v>
      </c>
      <c r="B29" s="5" t="s">
        <v>84</v>
      </c>
      <c r="C29" s="6">
        <v>4.0</v>
      </c>
      <c r="D29" s="6">
        <v>11.0</v>
      </c>
      <c r="E29" s="6">
        <v>6.0</v>
      </c>
      <c r="F29" s="6">
        <v>37.0</v>
      </c>
      <c r="G29" s="6">
        <v>33.0</v>
      </c>
      <c r="H29" s="6">
        <v>12.0</v>
      </c>
      <c r="I29" s="6">
        <v>2.0</v>
      </c>
      <c r="J29" s="9">
        <v>44550.0</v>
      </c>
      <c r="K29" s="6">
        <v>1.0</v>
      </c>
      <c r="L29" s="5" t="s">
        <v>113</v>
      </c>
      <c r="M29" s="5">
        <v>1.0</v>
      </c>
    </row>
    <row r="30" ht="22.5" customHeight="1">
      <c r="A30" s="5" t="s">
        <v>329</v>
      </c>
      <c r="B30" s="5" t="s">
        <v>170</v>
      </c>
      <c r="C30" s="6">
        <v>3.0</v>
      </c>
      <c r="D30" s="6">
        <v>14.0</v>
      </c>
      <c r="E30" s="6">
        <v>6.0</v>
      </c>
      <c r="F30" s="6">
        <v>33.0</v>
      </c>
      <c r="G30" s="6">
        <v>39.0</v>
      </c>
      <c r="H30" s="8"/>
      <c r="I30" s="6">
        <v>5.0</v>
      </c>
      <c r="J30" s="9">
        <v>45833.0</v>
      </c>
      <c r="K30" s="6">
        <v>6.0</v>
      </c>
      <c r="L30" s="5" t="s">
        <v>62</v>
      </c>
      <c r="M30" s="5">
        <v>0.0</v>
      </c>
    </row>
    <row r="31" ht="22.5" customHeight="1">
      <c r="A31" s="5" t="s">
        <v>335</v>
      </c>
      <c r="B31" s="5" t="s">
        <v>84</v>
      </c>
      <c r="C31" s="6">
        <v>6.0</v>
      </c>
      <c r="D31" s="6">
        <v>16.0</v>
      </c>
      <c r="E31" s="6">
        <v>6.0</v>
      </c>
      <c r="F31" s="6">
        <v>54.0</v>
      </c>
      <c r="G31" s="6">
        <v>20.0</v>
      </c>
      <c r="H31" s="6">
        <v>11.0</v>
      </c>
      <c r="I31" s="6">
        <v>5.0</v>
      </c>
      <c r="J31" s="9">
        <v>45184.0</v>
      </c>
      <c r="K31" s="6">
        <v>1.0</v>
      </c>
      <c r="L31" s="5" t="s">
        <v>62</v>
      </c>
      <c r="M31" s="5">
        <v>0.0</v>
      </c>
    </row>
    <row r="32" ht="22.5" customHeight="1">
      <c r="A32" s="5" t="s">
        <v>341</v>
      </c>
      <c r="B32" s="5" t="s">
        <v>22</v>
      </c>
      <c r="C32" s="6">
        <v>4.0</v>
      </c>
      <c r="D32" s="6">
        <v>23.0</v>
      </c>
      <c r="E32" s="6">
        <v>8.0</v>
      </c>
      <c r="F32" s="6">
        <v>21.0</v>
      </c>
      <c r="G32" s="6">
        <v>26.0</v>
      </c>
      <c r="H32" s="6">
        <v>13.0</v>
      </c>
      <c r="I32" s="6">
        <v>3.0</v>
      </c>
      <c r="J32" s="9">
        <v>46170.0</v>
      </c>
      <c r="K32" s="6">
        <v>3.0</v>
      </c>
      <c r="L32" s="5" t="s">
        <v>62</v>
      </c>
      <c r="M32" s="5">
        <v>0.0</v>
      </c>
    </row>
    <row r="33" ht="22.5" customHeight="1">
      <c r="A33" s="5" t="s">
        <v>349</v>
      </c>
      <c r="B33" s="5" t="s">
        <v>170</v>
      </c>
      <c r="C33" s="6">
        <v>9.0</v>
      </c>
      <c r="D33" s="6">
        <v>39.0</v>
      </c>
      <c r="E33" s="6">
        <v>8.0</v>
      </c>
      <c r="F33" s="6">
        <v>17.0</v>
      </c>
      <c r="G33" s="6">
        <v>10.0</v>
      </c>
      <c r="H33" s="6">
        <v>15.0</v>
      </c>
      <c r="I33" s="6">
        <v>5.0</v>
      </c>
      <c r="J33" s="9">
        <v>45885.0</v>
      </c>
      <c r="K33" s="6">
        <v>8.0</v>
      </c>
      <c r="L33" s="5" t="s">
        <v>62</v>
      </c>
      <c r="M33" s="5">
        <v>0.0</v>
      </c>
    </row>
    <row r="34" ht="22.5" customHeight="1">
      <c r="A34" s="5" t="s">
        <v>356</v>
      </c>
      <c r="B34" s="5" t="s">
        <v>44</v>
      </c>
      <c r="C34" s="6">
        <v>11.0</v>
      </c>
      <c r="D34" s="6">
        <v>33.0</v>
      </c>
      <c r="E34" s="6">
        <v>5.0</v>
      </c>
      <c r="F34" s="6">
        <v>17.0</v>
      </c>
      <c r="G34" s="6">
        <v>23.0</v>
      </c>
      <c r="H34" s="6">
        <v>9.0</v>
      </c>
      <c r="I34" s="6">
        <v>5.0</v>
      </c>
      <c r="J34" s="9">
        <v>44833.0</v>
      </c>
      <c r="K34" s="6">
        <v>3.0</v>
      </c>
      <c r="L34" s="5" t="s">
        <v>113</v>
      </c>
      <c r="M34" s="5">
        <v>1.0</v>
      </c>
    </row>
    <row r="35" ht="22.5" customHeight="1">
      <c r="A35" s="5" t="s">
        <v>362</v>
      </c>
      <c r="B35" s="5" t="s">
        <v>44</v>
      </c>
      <c r="C35" s="6">
        <v>4.0</v>
      </c>
      <c r="D35" s="6">
        <v>11.0</v>
      </c>
      <c r="E35" s="6">
        <v>6.0</v>
      </c>
      <c r="F35" s="6">
        <v>26.0</v>
      </c>
      <c r="G35" s="6">
        <v>26.0</v>
      </c>
      <c r="H35" s="6">
        <v>12.0</v>
      </c>
      <c r="I35" s="6">
        <v>2.0</v>
      </c>
      <c r="J35" s="9">
        <v>44807.0</v>
      </c>
      <c r="K35" s="6">
        <v>3.0</v>
      </c>
      <c r="L35" s="5" t="s">
        <v>113</v>
      </c>
      <c r="M35" s="5">
        <v>1.0</v>
      </c>
    </row>
    <row r="36" ht="22.5" customHeight="1">
      <c r="A36" s="5" t="s">
        <v>367</v>
      </c>
      <c r="B36" s="5" t="s">
        <v>65</v>
      </c>
      <c r="C36" s="6">
        <v>3.0</v>
      </c>
      <c r="D36" s="6">
        <v>7.0</v>
      </c>
      <c r="E36" s="6">
        <v>4.0</v>
      </c>
      <c r="F36" s="6">
        <v>25.0</v>
      </c>
      <c r="G36" s="6">
        <v>26.0</v>
      </c>
      <c r="H36" s="6">
        <v>16.0</v>
      </c>
      <c r="I36" s="6">
        <v>0.0</v>
      </c>
      <c r="J36" s="9">
        <v>46145.0</v>
      </c>
      <c r="K36" s="6">
        <v>4.0</v>
      </c>
      <c r="L36" s="5" t="s">
        <v>62</v>
      </c>
      <c r="M36" s="5">
        <v>0.0</v>
      </c>
    </row>
    <row r="37" ht="22.5" customHeight="1">
      <c r="A37" s="5" t="s">
        <v>373</v>
      </c>
      <c r="B37" s="5" t="s">
        <v>22</v>
      </c>
      <c r="C37" s="6">
        <v>6.0</v>
      </c>
      <c r="D37" s="6">
        <v>28.0</v>
      </c>
      <c r="E37" s="6">
        <v>4.0</v>
      </c>
      <c r="F37" s="6">
        <v>12.0</v>
      </c>
      <c r="G37" s="6">
        <v>25.0</v>
      </c>
      <c r="H37" s="6">
        <v>1.0</v>
      </c>
      <c r="I37" s="6">
        <v>5.0</v>
      </c>
      <c r="J37" s="9">
        <v>44439.0</v>
      </c>
      <c r="K37" s="6">
        <v>1.0</v>
      </c>
      <c r="L37" s="5" t="s">
        <v>113</v>
      </c>
      <c r="M37" s="5">
        <v>1.0</v>
      </c>
    </row>
    <row r="38" ht="22.5" customHeight="1">
      <c r="A38" s="5" t="s">
        <v>380</v>
      </c>
      <c r="B38" s="5" t="s">
        <v>170</v>
      </c>
      <c r="C38" s="6">
        <v>8.0</v>
      </c>
      <c r="D38" s="6">
        <v>20.0</v>
      </c>
      <c r="E38" s="6">
        <v>4.0</v>
      </c>
      <c r="F38" s="6">
        <v>60.0</v>
      </c>
      <c r="G38" s="6">
        <v>26.0</v>
      </c>
      <c r="H38" s="6">
        <v>8.0</v>
      </c>
      <c r="I38" s="6">
        <v>5.0</v>
      </c>
      <c r="J38" s="9">
        <v>45923.0</v>
      </c>
      <c r="K38" s="6">
        <v>8.0</v>
      </c>
      <c r="L38" s="5" t="s">
        <v>62</v>
      </c>
      <c r="M38" s="5">
        <v>0.0</v>
      </c>
    </row>
    <row r="39" ht="22.5" customHeight="1">
      <c r="A39" s="5" t="s">
        <v>389</v>
      </c>
      <c r="B39" s="5" t="s">
        <v>65</v>
      </c>
      <c r="C39" s="6">
        <v>7.0</v>
      </c>
      <c r="D39" s="6">
        <v>29.0</v>
      </c>
      <c r="E39" s="6">
        <v>6.0</v>
      </c>
      <c r="F39" s="6">
        <v>40.0</v>
      </c>
      <c r="G39" s="6">
        <v>10.0</v>
      </c>
      <c r="H39" s="6">
        <v>12.0</v>
      </c>
      <c r="I39" s="6">
        <v>1.0</v>
      </c>
      <c r="J39" s="9">
        <v>45610.0</v>
      </c>
      <c r="K39" s="6">
        <v>9.0</v>
      </c>
      <c r="L39" s="5" t="s">
        <v>62</v>
      </c>
      <c r="M39" s="5">
        <v>0.0</v>
      </c>
    </row>
    <row r="40" ht="22.5" customHeight="1">
      <c r="A40" s="5" t="s">
        <v>398</v>
      </c>
      <c r="B40" s="5" t="s">
        <v>84</v>
      </c>
      <c r="C40" s="6">
        <v>7.0</v>
      </c>
      <c r="D40" s="6">
        <v>19.0</v>
      </c>
      <c r="E40" s="6">
        <v>3.0</v>
      </c>
      <c r="F40" s="6">
        <v>51.0</v>
      </c>
      <c r="G40" s="6">
        <v>27.0</v>
      </c>
      <c r="H40" s="6">
        <v>6.0</v>
      </c>
      <c r="I40" s="6">
        <v>0.0</v>
      </c>
      <c r="J40" s="9">
        <v>46228.0</v>
      </c>
      <c r="K40" s="6">
        <v>8.0</v>
      </c>
      <c r="L40" s="5" t="s">
        <v>62</v>
      </c>
      <c r="M40" s="5">
        <v>0.0</v>
      </c>
    </row>
    <row r="41" ht="22.5" customHeight="1">
      <c r="A41" s="5" t="s">
        <v>404</v>
      </c>
      <c r="B41" s="5" t="s">
        <v>22</v>
      </c>
      <c r="C41" s="6">
        <v>3.0</v>
      </c>
      <c r="D41" s="6">
        <v>13.0</v>
      </c>
      <c r="E41" s="6">
        <v>1.0</v>
      </c>
      <c r="F41" s="6">
        <v>27.0</v>
      </c>
      <c r="G41" s="6">
        <v>29.0</v>
      </c>
      <c r="H41" s="6">
        <v>1.0</v>
      </c>
      <c r="I41" s="6">
        <v>2.0</v>
      </c>
      <c r="J41" s="9">
        <v>46179.0</v>
      </c>
      <c r="K41" s="6">
        <v>7.0</v>
      </c>
      <c r="L41" s="5" t="s">
        <v>62</v>
      </c>
      <c r="M41" s="5">
        <v>0.0</v>
      </c>
    </row>
    <row r="42" ht="22.5" customHeight="1">
      <c r="A42" s="5" t="s">
        <v>410</v>
      </c>
      <c r="B42" s="5" t="s">
        <v>84</v>
      </c>
      <c r="C42" s="6">
        <v>5.0</v>
      </c>
      <c r="D42" s="6">
        <v>26.0</v>
      </c>
      <c r="E42" s="6">
        <v>5.0</v>
      </c>
      <c r="F42" s="6">
        <v>27.0</v>
      </c>
      <c r="G42" s="6">
        <v>36.0</v>
      </c>
      <c r="H42" s="6">
        <v>10.0</v>
      </c>
      <c r="I42" s="6">
        <v>2.0</v>
      </c>
      <c r="J42" s="9">
        <v>45711.0</v>
      </c>
      <c r="K42" s="6">
        <v>9.0</v>
      </c>
      <c r="L42" s="5" t="s">
        <v>62</v>
      </c>
      <c r="M42" s="5">
        <v>0.0</v>
      </c>
    </row>
    <row r="43" ht="22.5" customHeight="1">
      <c r="A43" s="5" t="s">
        <v>415</v>
      </c>
      <c r="B43" s="5" t="s">
        <v>170</v>
      </c>
      <c r="C43" s="6">
        <v>10.0</v>
      </c>
      <c r="D43" s="6">
        <v>50.0</v>
      </c>
      <c r="E43" s="6">
        <v>2.0</v>
      </c>
      <c r="F43" s="6">
        <v>23.0</v>
      </c>
      <c r="G43" s="6">
        <v>28.0</v>
      </c>
      <c r="H43" s="6">
        <v>14.0</v>
      </c>
      <c r="I43" s="6">
        <v>4.0</v>
      </c>
      <c r="J43" s="9">
        <v>45820.0</v>
      </c>
      <c r="K43" s="6">
        <v>9.0</v>
      </c>
      <c r="L43" s="5" t="s">
        <v>62</v>
      </c>
      <c r="M43" s="5">
        <v>0.0</v>
      </c>
    </row>
    <row r="44" ht="22.5" customHeight="1">
      <c r="A44" s="5" t="s">
        <v>421</v>
      </c>
      <c r="B44" s="5" t="s">
        <v>44</v>
      </c>
      <c r="C44" s="6">
        <v>8.0</v>
      </c>
      <c r="D44" s="6">
        <v>39.0</v>
      </c>
      <c r="E44" s="6">
        <v>7.0</v>
      </c>
      <c r="F44" s="6">
        <v>39.0</v>
      </c>
      <c r="G44" s="6">
        <v>24.0</v>
      </c>
      <c r="H44" s="6">
        <v>17.0</v>
      </c>
      <c r="I44" s="6">
        <v>5.0</v>
      </c>
      <c r="J44" s="9">
        <v>45170.0</v>
      </c>
      <c r="K44" s="6">
        <v>2.0</v>
      </c>
      <c r="L44" s="5" t="s">
        <v>113</v>
      </c>
      <c r="M44" s="5">
        <v>1.0</v>
      </c>
    </row>
    <row r="45" ht="22.5" customHeight="1">
      <c r="A45" s="5" t="s">
        <v>426</v>
      </c>
      <c r="B45" s="5" t="s">
        <v>22</v>
      </c>
      <c r="C45" s="6">
        <v>12.0</v>
      </c>
      <c r="D45" s="6">
        <v>28.0</v>
      </c>
      <c r="E45" s="6">
        <v>4.0</v>
      </c>
      <c r="F45" s="6">
        <v>48.0</v>
      </c>
      <c r="G45" s="6">
        <v>34.0</v>
      </c>
      <c r="H45" s="6">
        <v>12.0</v>
      </c>
      <c r="I45" s="6">
        <v>0.0</v>
      </c>
      <c r="J45" s="9">
        <v>44696.0</v>
      </c>
      <c r="K45" s="6">
        <v>2.0</v>
      </c>
      <c r="L45" s="5" t="s">
        <v>113</v>
      </c>
      <c r="M45" s="5">
        <v>1.0</v>
      </c>
    </row>
    <row r="46" ht="22.5" customHeight="1">
      <c r="A46" s="5" t="s">
        <v>431</v>
      </c>
      <c r="B46" s="5" t="s">
        <v>65</v>
      </c>
      <c r="C46" s="6">
        <v>9.0</v>
      </c>
      <c r="D46" s="6">
        <v>17.0</v>
      </c>
      <c r="E46" s="6">
        <v>8.0</v>
      </c>
      <c r="F46" s="6">
        <v>16.0</v>
      </c>
      <c r="G46" s="6">
        <v>10.0</v>
      </c>
      <c r="H46" s="6">
        <v>19.0</v>
      </c>
      <c r="I46" s="6">
        <v>5.0</v>
      </c>
      <c r="J46" s="9">
        <v>45441.0</v>
      </c>
      <c r="K46" s="6">
        <v>4.0</v>
      </c>
      <c r="L46" s="10" t="s">
        <v>62</v>
      </c>
      <c r="M46" s="10">
        <v>0.0</v>
      </c>
    </row>
    <row r="47" ht="22.5" customHeight="1">
      <c r="A47" s="5" t="s">
        <v>438</v>
      </c>
      <c r="B47" s="5" t="s">
        <v>22</v>
      </c>
      <c r="C47" s="6">
        <v>4.0</v>
      </c>
      <c r="D47" s="6">
        <v>19.0</v>
      </c>
      <c r="E47" s="6">
        <v>3.0</v>
      </c>
      <c r="F47" s="6">
        <v>10.0</v>
      </c>
      <c r="G47" s="6">
        <v>21.0</v>
      </c>
      <c r="H47" s="6">
        <v>18.0</v>
      </c>
      <c r="I47" s="6">
        <v>5.0</v>
      </c>
      <c r="J47" s="9">
        <v>46250.0</v>
      </c>
      <c r="K47" s="6">
        <v>7.0</v>
      </c>
      <c r="L47" s="5" t="s">
        <v>62</v>
      </c>
      <c r="M47" s="5">
        <v>0.0</v>
      </c>
    </row>
    <row r="48" ht="22.5" customHeight="1">
      <c r="A48" s="5" t="s">
        <v>443</v>
      </c>
      <c r="B48" s="5" t="s">
        <v>84</v>
      </c>
      <c r="C48" s="6">
        <v>3.0</v>
      </c>
      <c r="D48" s="6">
        <v>9.0</v>
      </c>
      <c r="E48" s="6">
        <v>1.0</v>
      </c>
      <c r="F48" s="6">
        <v>18.0</v>
      </c>
      <c r="G48" s="6">
        <v>19.0</v>
      </c>
      <c r="H48" s="6">
        <v>3.0</v>
      </c>
      <c r="I48" s="6">
        <v>4.0</v>
      </c>
      <c r="J48" s="9">
        <v>45420.0</v>
      </c>
      <c r="K48" s="6">
        <v>3.0</v>
      </c>
      <c r="L48" s="5" t="s">
        <v>62</v>
      </c>
      <c r="M48" s="5">
        <v>0.0</v>
      </c>
    </row>
    <row r="49" ht="22.5" customHeight="1">
      <c r="A49" s="5" t="s">
        <v>450</v>
      </c>
      <c r="B49" s="5" t="s">
        <v>84</v>
      </c>
      <c r="C49" s="6">
        <v>4.0</v>
      </c>
      <c r="D49" s="6">
        <v>14.0</v>
      </c>
      <c r="E49" s="6">
        <v>6.0</v>
      </c>
      <c r="F49" s="6">
        <v>46.0</v>
      </c>
      <c r="G49" s="6">
        <v>25.0</v>
      </c>
      <c r="H49" s="6">
        <v>6.0</v>
      </c>
      <c r="I49" s="6">
        <v>5.0</v>
      </c>
      <c r="J49" s="9">
        <v>45749.0</v>
      </c>
      <c r="K49" s="6">
        <v>6.0</v>
      </c>
      <c r="L49" s="5" t="s">
        <v>62</v>
      </c>
      <c r="M49" s="5">
        <v>0.0</v>
      </c>
    </row>
    <row r="50" ht="22.5" customHeight="1">
      <c r="A50" s="5" t="s">
        <v>455</v>
      </c>
      <c r="B50" s="5" t="s">
        <v>22</v>
      </c>
      <c r="C50" s="6">
        <v>5.0</v>
      </c>
      <c r="D50" s="6">
        <v>8.0</v>
      </c>
      <c r="E50" s="6">
        <v>5.0</v>
      </c>
      <c r="F50" s="6">
        <v>60.0</v>
      </c>
      <c r="G50" s="6">
        <v>10.0</v>
      </c>
      <c r="H50" s="6">
        <v>19.0</v>
      </c>
      <c r="I50" s="6">
        <v>1.0</v>
      </c>
      <c r="J50" s="9">
        <v>44605.0</v>
      </c>
      <c r="K50" s="6">
        <v>3.0</v>
      </c>
      <c r="L50" s="10" t="s">
        <v>113</v>
      </c>
      <c r="M50" s="10">
        <v>1.0</v>
      </c>
    </row>
    <row r="51" ht="22.5" customHeight="1">
      <c r="A51" s="5" t="s">
        <v>467</v>
      </c>
      <c r="B51" s="5" t="s">
        <v>44</v>
      </c>
      <c r="C51" s="6">
        <v>6.0</v>
      </c>
      <c r="D51" s="6">
        <v>16.0</v>
      </c>
      <c r="E51" s="6">
        <v>2.0</v>
      </c>
      <c r="F51" s="6">
        <v>36.0</v>
      </c>
      <c r="G51" s="6">
        <v>36.0</v>
      </c>
      <c r="H51" s="6">
        <v>4.0</v>
      </c>
      <c r="I51" s="6">
        <v>3.0</v>
      </c>
      <c r="J51" s="9">
        <v>45366.0</v>
      </c>
      <c r="K51" s="6">
        <v>5.0</v>
      </c>
      <c r="L51" s="5" t="s">
        <v>62</v>
      </c>
      <c r="M51" s="5">
        <v>0.0</v>
      </c>
    </row>
    <row r="52" ht="22.5" customHeight="1">
      <c r="A52" s="5" t="s">
        <v>472</v>
      </c>
      <c r="B52" s="5" t="s">
        <v>65</v>
      </c>
      <c r="C52" s="6">
        <v>6.0</v>
      </c>
      <c r="D52" s="6">
        <v>10.0</v>
      </c>
      <c r="E52" s="6">
        <v>10.0</v>
      </c>
      <c r="F52" s="6">
        <v>46.0</v>
      </c>
      <c r="G52" s="6">
        <v>23.0</v>
      </c>
      <c r="H52" s="6">
        <v>2.0</v>
      </c>
      <c r="I52" s="6">
        <v>2.0</v>
      </c>
      <c r="J52" s="9">
        <v>45184.0</v>
      </c>
      <c r="K52" s="6">
        <v>4.0</v>
      </c>
      <c r="L52" s="5" t="s">
        <v>62</v>
      </c>
      <c r="M52" s="5">
        <v>0.0</v>
      </c>
    </row>
    <row r="53" ht="22.5" customHeight="1">
      <c r="A53" s="5" t="s">
        <v>479</v>
      </c>
      <c r="B53" s="5" t="s">
        <v>44</v>
      </c>
      <c r="C53" s="6">
        <v>5.0</v>
      </c>
      <c r="D53" s="6">
        <v>27.0</v>
      </c>
      <c r="E53" s="6">
        <v>3.0</v>
      </c>
      <c r="F53" s="6">
        <v>24.0</v>
      </c>
      <c r="G53" s="6">
        <v>28.0</v>
      </c>
      <c r="H53" s="6">
        <v>5.0</v>
      </c>
      <c r="I53" s="6">
        <v>3.0</v>
      </c>
      <c r="J53" s="9">
        <v>45764.0</v>
      </c>
      <c r="K53" s="6">
        <v>7.0</v>
      </c>
      <c r="L53" s="5" t="s">
        <v>62</v>
      </c>
      <c r="M53" s="5">
        <v>0.0</v>
      </c>
    </row>
    <row r="54" ht="22.5" customHeight="1">
      <c r="A54" s="5" t="s">
        <v>484</v>
      </c>
      <c r="B54" s="5" t="s">
        <v>44</v>
      </c>
      <c r="C54" s="6">
        <v>4.0</v>
      </c>
      <c r="D54" s="6">
        <v>10.0</v>
      </c>
      <c r="E54" s="6">
        <v>4.0</v>
      </c>
      <c r="F54" s="6">
        <v>58.0</v>
      </c>
      <c r="G54" s="6">
        <v>27.0</v>
      </c>
      <c r="H54" s="6">
        <v>18.0</v>
      </c>
      <c r="I54" s="6">
        <v>4.0</v>
      </c>
      <c r="J54" s="9">
        <v>45690.0</v>
      </c>
      <c r="K54" s="6">
        <v>7.0</v>
      </c>
      <c r="L54" s="5" t="s">
        <v>62</v>
      </c>
      <c r="M54" s="5">
        <v>0.0</v>
      </c>
    </row>
    <row r="55" ht="22.5" customHeight="1">
      <c r="A55" s="5" t="s">
        <v>493</v>
      </c>
      <c r="B55" s="5" t="s">
        <v>84</v>
      </c>
      <c r="C55" s="6">
        <v>9.0</v>
      </c>
      <c r="D55" s="6">
        <v>36.0</v>
      </c>
      <c r="E55" s="6">
        <v>11.0</v>
      </c>
      <c r="F55" s="6">
        <v>10.0</v>
      </c>
      <c r="G55" s="6">
        <v>35.0</v>
      </c>
      <c r="H55" s="6">
        <v>2.0</v>
      </c>
      <c r="I55" s="6">
        <v>4.0</v>
      </c>
      <c r="J55" s="9">
        <v>45255.0</v>
      </c>
      <c r="K55" s="6">
        <v>1.0</v>
      </c>
      <c r="L55" s="5" t="s">
        <v>62</v>
      </c>
      <c r="M55" s="5">
        <v>0.0</v>
      </c>
    </row>
    <row r="56" ht="22.5" customHeight="1">
      <c r="A56" s="5" t="s">
        <v>502</v>
      </c>
      <c r="B56" s="5" t="s">
        <v>44</v>
      </c>
      <c r="C56" s="6">
        <v>3.0</v>
      </c>
      <c r="D56" s="6">
        <v>5.0</v>
      </c>
      <c r="E56" s="6">
        <v>9.0</v>
      </c>
      <c r="F56" s="6">
        <v>34.0</v>
      </c>
      <c r="G56" s="6">
        <v>10.0</v>
      </c>
      <c r="H56" s="6">
        <v>8.0</v>
      </c>
      <c r="I56" s="6">
        <v>4.0</v>
      </c>
      <c r="J56" s="9">
        <v>46171.0</v>
      </c>
      <c r="K56" s="6">
        <v>9.0</v>
      </c>
      <c r="L56" s="5" t="s">
        <v>62</v>
      </c>
      <c r="M56" s="5">
        <v>0.0</v>
      </c>
    </row>
    <row r="57" ht="22.5" customHeight="1">
      <c r="A57" s="5" t="s">
        <v>507</v>
      </c>
      <c r="B57" s="5" t="s">
        <v>170</v>
      </c>
      <c r="C57" s="6">
        <v>2.0</v>
      </c>
      <c r="D57" s="6">
        <v>9.0</v>
      </c>
      <c r="E57" s="6">
        <v>3.0</v>
      </c>
      <c r="F57" s="6">
        <v>25.0</v>
      </c>
      <c r="G57" s="6">
        <v>26.0</v>
      </c>
      <c r="H57" s="6">
        <v>9.0</v>
      </c>
      <c r="I57" s="6">
        <v>5.0</v>
      </c>
      <c r="J57" s="9">
        <v>45893.0</v>
      </c>
      <c r="K57" s="6">
        <v>8.0</v>
      </c>
      <c r="L57" s="5" t="s">
        <v>62</v>
      </c>
      <c r="M57" s="5">
        <v>0.0</v>
      </c>
    </row>
    <row r="58" ht="22.5" customHeight="1">
      <c r="A58" s="5" t="s">
        <v>513</v>
      </c>
      <c r="B58" s="5" t="s">
        <v>22</v>
      </c>
      <c r="C58" s="6">
        <v>5.0</v>
      </c>
      <c r="D58" s="6">
        <v>15.0</v>
      </c>
      <c r="E58" s="6">
        <v>5.0</v>
      </c>
      <c r="F58" s="6">
        <v>31.0</v>
      </c>
      <c r="G58" s="6">
        <v>34.0</v>
      </c>
      <c r="H58" s="6">
        <v>8.0</v>
      </c>
      <c r="I58" s="6">
        <v>5.0</v>
      </c>
      <c r="J58" s="9">
        <v>45876.0</v>
      </c>
      <c r="K58" s="6">
        <v>8.0</v>
      </c>
      <c r="L58" s="5" t="s">
        <v>62</v>
      </c>
      <c r="M58" s="5">
        <v>0.0</v>
      </c>
    </row>
    <row r="59" ht="22.5" customHeight="1">
      <c r="A59" s="5" t="s">
        <v>519</v>
      </c>
      <c r="B59" s="5" t="s">
        <v>170</v>
      </c>
      <c r="C59" s="6">
        <v>6.0</v>
      </c>
      <c r="D59" s="6">
        <v>33.0</v>
      </c>
      <c r="E59" s="6">
        <v>2.0</v>
      </c>
      <c r="F59" s="6">
        <v>8.0</v>
      </c>
      <c r="G59" s="6">
        <v>24.0</v>
      </c>
      <c r="H59" s="6">
        <v>4.0</v>
      </c>
      <c r="I59" s="6">
        <v>3.0</v>
      </c>
      <c r="J59" s="9">
        <v>45082.0</v>
      </c>
      <c r="K59" s="6">
        <v>4.0</v>
      </c>
      <c r="L59" s="5" t="s">
        <v>113</v>
      </c>
      <c r="M59" s="5">
        <v>1.0</v>
      </c>
    </row>
    <row r="60" ht="22.5" customHeight="1">
      <c r="A60" s="5" t="s">
        <v>524</v>
      </c>
      <c r="B60" s="5" t="s">
        <v>22</v>
      </c>
      <c r="C60" s="6">
        <v>5.0</v>
      </c>
      <c r="D60" s="6">
        <v>27.0</v>
      </c>
      <c r="E60" s="6">
        <v>11.0</v>
      </c>
      <c r="F60" s="6">
        <v>44.0</v>
      </c>
      <c r="G60" s="6">
        <v>17.0</v>
      </c>
      <c r="H60" s="6">
        <v>18.0</v>
      </c>
      <c r="I60" s="6">
        <v>4.0</v>
      </c>
      <c r="J60" s="11"/>
      <c r="K60" s="6">
        <v>6.0</v>
      </c>
      <c r="L60" s="10" t="s">
        <v>113</v>
      </c>
      <c r="M60" s="10">
        <v>1.0</v>
      </c>
    </row>
    <row r="61" ht="22.5" customHeight="1">
      <c r="A61" s="5" t="s">
        <v>530</v>
      </c>
      <c r="B61" s="5" t="s">
        <v>22</v>
      </c>
      <c r="C61" s="6">
        <v>4.0</v>
      </c>
      <c r="D61" s="6">
        <v>12.0</v>
      </c>
      <c r="E61" s="6">
        <v>11.0</v>
      </c>
      <c r="F61" s="6">
        <v>40.0</v>
      </c>
      <c r="G61" s="6">
        <v>20.0</v>
      </c>
      <c r="H61" s="6">
        <v>7.0</v>
      </c>
      <c r="I61" s="6">
        <v>3.0</v>
      </c>
      <c r="J61" s="9">
        <v>45668.0</v>
      </c>
      <c r="K61" s="6">
        <v>6.0</v>
      </c>
      <c r="L61" s="10" t="s">
        <v>62</v>
      </c>
      <c r="M61" s="10">
        <v>0.0</v>
      </c>
    </row>
    <row r="62" ht="22.5" customHeight="1">
      <c r="A62" s="5" t="s">
        <v>535</v>
      </c>
      <c r="B62" s="5" t="s">
        <v>22</v>
      </c>
      <c r="C62" s="6">
        <v>5.0</v>
      </c>
      <c r="D62" s="6">
        <v>28.0</v>
      </c>
      <c r="E62" s="6">
        <v>17.0</v>
      </c>
      <c r="F62" s="6">
        <v>16.0</v>
      </c>
      <c r="G62" s="6">
        <v>22.0</v>
      </c>
      <c r="H62" s="6">
        <v>13.0</v>
      </c>
      <c r="I62" s="6">
        <v>0.0</v>
      </c>
      <c r="J62" s="9">
        <v>44790.0</v>
      </c>
      <c r="K62" s="6">
        <v>3.0</v>
      </c>
      <c r="L62" s="5" t="s">
        <v>113</v>
      </c>
      <c r="M62" s="5">
        <v>1.0</v>
      </c>
    </row>
    <row r="63" ht="22.5" customHeight="1">
      <c r="A63" s="5" t="s">
        <v>541</v>
      </c>
      <c r="B63" s="5" t="s">
        <v>65</v>
      </c>
      <c r="C63" s="6">
        <v>9.0</v>
      </c>
      <c r="D63" s="6">
        <v>54.0</v>
      </c>
      <c r="E63" s="6">
        <v>21.0</v>
      </c>
      <c r="F63" s="6">
        <v>29.0</v>
      </c>
      <c r="G63" s="6">
        <v>19.0</v>
      </c>
      <c r="H63" s="6">
        <v>16.0</v>
      </c>
      <c r="I63" s="6">
        <v>5.0</v>
      </c>
      <c r="J63" s="9">
        <v>45444.0</v>
      </c>
      <c r="K63" s="6">
        <v>3.0</v>
      </c>
      <c r="L63" s="5" t="s">
        <v>62</v>
      </c>
      <c r="M63" s="5">
        <v>0.0</v>
      </c>
    </row>
    <row r="64" ht="22.5" customHeight="1">
      <c r="A64" s="5" t="s">
        <v>548</v>
      </c>
      <c r="B64" s="5" t="s">
        <v>22</v>
      </c>
      <c r="C64" s="6">
        <v>3.0</v>
      </c>
      <c r="D64" s="6">
        <v>16.0</v>
      </c>
      <c r="E64" s="6">
        <v>4.0</v>
      </c>
      <c r="F64" s="6">
        <v>54.0</v>
      </c>
      <c r="G64" s="6">
        <v>24.0</v>
      </c>
      <c r="H64" s="6">
        <v>19.0</v>
      </c>
      <c r="I64" s="6">
        <v>4.0</v>
      </c>
      <c r="J64" s="9">
        <v>45223.0</v>
      </c>
      <c r="K64" s="6">
        <v>4.0</v>
      </c>
      <c r="L64" s="5" t="s">
        <v>62</v>
      </c>
      <c r="M64" s="5">
        <v>0.0</v>
      </c>
    </row>
    <row r="65" ht="22.5" customHeight="1">
      <c r="A65" s="5" t="s">
        <v>554</v>
      </c>
      <c r="B65" s="5" t="s">
        <v>22</v>
      </c>
      <c r="C65" s="6">
        <v>3.0</v>
      </c>
      <c r="D65" s="6">
        <v>16.0</v>
      </c>
      <c r="E65" s="6">
        <v>10.0</v>
      </c>
      <c r="F65" s="6">
        <v>44.0</v>
      </c>
      <c r="G65" s="6">
        <v>37.0</v>
      </c>
      <c r="H65" s="6">
        <v>18.0</v>
      </c>
      <c r="I65" s="6">
        <v>3.0</v>
      </c>
      <c r="J65" s="9">
        <v>45621.0</v>
      </c>
      <c r="K65" s="6">
        <v>8.0</v>
      </c>
      <c r="L65" s="5" t="s">
        <v>62</v>
      </c>
      <c r="M65" s="5">
        <v>0.0</v>
      </c>
    </row>
    <row r="66" ht="22.5" customHeight="1">
      <c r="A66" s="5" t="s">
        <v>563</v>
      </c>
      <c r="B66" s="5" t="s">
        <v>84</v>
      </c>
      <c r="C66" s="6">
        <v>3.0</v>
      </c>
      <c r="D66" s="6">
        <v>8.0</v>
      </c>
      <c r="E66" s="6">
        <v>1.0</v>
      </c>
      <c r="F66" s="6">
        <v>19.0</v>
      </c>
      <c r="G66" s="6">
        <v>20.0</v>
      </c>
      <c r="H66" s="6">
        <v>4.0</v>
      </c>
      <c r="I66" s="6">
        <v>2.0</v>
      </c>
      <c r="J66" s="9">
        <v>45128.0</v>
      </c>
      <c r="K66" s="6">
        <v>5.0</v>
      </c>
      <c r="L66" s="5" t="s">
        <v>113</v>
      </c>
      <c r="M66" s="5">
        <v>1.0</v>
      </c>
    </row>
    <row r="67" ht="22.5" customHeight="1">
      <c r="A67" s="5" t="s">
        <v>568</v>
      </c>
      <c r="B67" s="5" t="s">
        <v>22</v>
      </c>
      <c r="C67" s="6">
        <v>8.0</v>
      </c>
      <c r="D67" s="6">
        <v>33.0</v>
      </c>
      <c r="E67" s="6">
        <v>7.0</v>
      </c>
      <c r="F67" s="6">
        <v>28.0</v>
      </c>
      <c r="G67" s="6">
        <v>21.0</v>
      </c>
      <c r="H67" s="6">
        <v>1.0</v>
      </c>
      <c r="I67" s="6">
        <v>0.0</v>
      </c>
      <c r="J67" s="9">
        <v>46184.0</v>
      </c>
      <c r="K67" s="6">
        <v>5.0</v>
      </c>
      <c r="L67" s="10" t="s">
        <v>62</v>
      </c>
      <c r="M67" s="10">
        <v>0.0</v>
      </c>
    </row>
    <row r="68" ht="22.5" customHeight="1">
      <c r="A68" s="5" t="s">
        <v>574</v>
      </c>
      <c r="B68" s="5" t="s">
        <v>65</v>
      </c>
      <c r="C68" s="6">
        <v>7.0</v>
      </c>
      <c r="D68" s="6">
        <v>13.0</v>
      </c>
      <c r="E68" s="6">
        <v>8.0</v>
      </c>
      <c r="F68" s="6">
        <v>6.0</v>
      </c>
      <c r="G68" s="6">
        <v>29.0</v>
      </c>
      <c r="H68" s="6">
        <v>1.0</v>
      </c>
      <c r="I68" s="6">
        <v>5.0</v>
      </c>
      <c r="J68" s="9">
        <v>44434.0</v>
      </c>
      <c r="K68" s="6">
        <v>3.0</v>
      </c>
      <c r="L68" s="5" t="s">
        <v>113</v>
      </c>
      <c r="M68" s="5">
        <v>1.0</v>
      </c>
    </row>
    <row r="69" ht="22.5" customHeight="1">
      <c r="A69" s="5" t="s">
        <v>580</v>
      </c>
      <c r="B69" s="5" t="s">
        <v>170</v>
      </c>
      <c r="C69" s="6">
        <v>8.0</v>
      </c>
      <c r="D69" s="6">
        <v>15.0</v>
      </c>
      <c r="E69" s="6">
        <v>3.0</v>
      </c>
      <c r="F69" s="6">
        <v>55.0</v>
      </c>
      <c r="G69" s="6">
        <v>24.0</v>
      </c>
      <c r="H69" s="6">
        <v>16.0</v>
      </c>
      <c r="I69" s="6">
        <v>5.0</v>
      </c>
      <c r="J69" s="9">
        <v>45595.0</v>
      </c>
      <c r="K69" s="6">
        <v>9.0</v>
      </c>
      <c r="L69" s="5" t="s">
        <v>62</v>
      </c>
      <c r="M69" s="5">
        <v>0.0</v>
      </c>
    </row>
    <row r="70" ht="22.5" customHeight="1">
      <c r="A70" s="5" t="s">
        <v>586</v>
      </c>
      <c r="B70" s="5" t="s">
        <v>44</v>
      </c>
      <c r="C70" s="6">
        <v>7.0</v>
      </c>
      <c r="D70" s="6">
        <v>42.0</v>
      </c>
      <c r="E70" s="6">
        <v>4.0</v>
      </c>
      <c r="F70" s="6">
        <v>31.0</v>
      </c>
      <c r="G70" s="6">
        <v>14.0</v>
      </c>
      <c r="H70" s="6">
        <v>12.0</v>
      </c>
      <c r="I70" s="6">
        <v>5.0</v>
      </c>
      <c r="J70" s="9">
        <v>46049.0</v>
      </c>
      <c r="K70" s="6">
        <v>5.0</v>
      </c>
      <c r="L70" s="5" t="s">
        <v>62</v>
      </c>
      <c r="M70" s="5">
        <v>0.0</v>
      </c>
    </row>
    <row r="71" ht="22.5" customHeight="1">
      <c r="A71" s="5" t="s">
        <v>589</v>
      </c>
      <c r="B71" s="5" t="s">
        <v>65</v>
      </c>
      <c r="C71" s="6">
        <v>8.0</v>
      </c>
      <c r="D71" s="6">
        <v>24.0</v>
      </c>
      <c r="E71" s="6">
        <v>11.0</v>
      </c>
      <c r="F71" s="6">
        <v>58.0</v>
      </c>
      <c r="G71" s="6">
        <v>25.0</v>
      </c>
      <c r="H71" s="6">
        <v>7.0</v>
      </c>
      <c r="I71" s="6">
        <v>4.0</v>
      </c>
      <c r="J71" s="9">
        <v>46208.0</v>
      </c>
      <c r="K71" s="6">
        <v>6.0</v>
      </c>
      <c r="L71" s="5" t="s">
        <v>62</v>
      </c>
      <c r="M71" s="5">
        <v>0.0</v>
      </c>
    </row>
    <row r="72" ht="22.5" customHeight="1">
      <c r="A72" s="5" t="s">
        <v>595</v>
      </c>
      <c r="B72" s="5" t="s">
        <v>22</v>
      </c>
      <c r="C72" s="6">
        <v>7.0</v>
      </c>
      <c r="D72" s="6">
        <v>34.0</v>
      </c>
      <c r="E72" s="6">
        <v>8.0</v>
      </c>
      <c r="F72" s="6">
        <v>52.0</v>
      </c>
      <c r="G72" s="6">
        <v>24.0</v>
      </c>
      <c r="H72" s="6">
        <v>1.0</v>
      </c>
      <c r="I72" s="6">
        <v>3.0</v>
      </c>
      <c r="J72" s="9">
        <v>45827.0</v>
      </c>
      <c r="K72" s="6">
        <v>6.0</v>
      </c>
      <c r="L72" s="5" t="s">
        <v>62</v>
      </c>
      <c r="M72" s="5">
        <v>0.0</v>
      </c>
    </row>
    <row r="73" ht="22.5" customHeight="1">
      <c r="A73" s="5" t="s">
        <v>600</v>
      </c>
      <c r="B73" s="5" t="s">
        <v>170</v>
      </c>
      <c r="C73" s="6">
        <v>5.0</v>
      </c>
      <c r="D73" s="6">
        <v>26.0</v>
      </c>
      <c r="E73" s="6">
        <v>16.0</v>
      </c>
      <c r="F73" s="6">
        <v>19.0</v>
      </c>
      <c r="G73" s="6">
        <v>33.0</v>
      </c>
      <c r="H73" s="6">
        <v>2.0</v>
      </c>
      <c r="I73" s="6">
        <v>0.0</v>
      </c>
      <c r="J73" s="9">
        <v>45808.0</v>
      </c>
      <c r="K73" s="6">
        <v>6.0</v>
      </c>
      <c r="L73" s="10" t="s">
        <v>62</v>
      </c>
      <c r="M73" s="10">
        <v>0.0</v>
      </c>
    </row>
    <row r="74" ht="22.5" customHeight="1">
      <c r="A74" s="5" t="s">
        <v>603</v>
      </c>
      <c r="B74" s="5" t="s">
        <v>65</v>
      </c>
      <c r="C74" s="6">
        <v>3.0</v>
      </c>
      <c r="D74" s="6">
        <v>16.0</v>
      </c>
      <c r="E74" s="6">
        <v>15.0</v>
      </c>
      <c r="F74" s="6">
        <v>15.0</v>
      </c>
      <c r="G74" s="6">
        <v>17.0</v>
      </c>
      <c r="H74" s="6">
        <v>19.0</v>
      </c>
      <c r="I74" s="6">
        <v>0.0</v>
      </c>
      <c r="J74" s="9">
        <v>45733.0</v>
      </c>
      <c r="K74" s="6">
        <v>7.0</v>
      </c>
      <c r="L74" s="5" t="s">
        <v>62</v>
      </c>
      <c r="M74" s="5">
        <v>0.0</v>
      </c>
    </row>
    <row r="75" ht="22.5" customHeight="1">
      <c r="A75" s="5" t="s">
        <v>606</v>
      </c>
      <c r="B75" s="5" t="s">
        <v>65</v>
      </c>
      <c r="C75" s="6">
        <v>4.0</v>
      </c>
      <c r="D75" s="6">
        <v>24.0</v>
      </c>
      <c r="E75" s="6">
        <v>1.0</v>
      </c>
      <c r="F75" s="6">
        <v>8.0</v>
      </c>
      <c r="G75" s="6">
        <v>33.0</v>
      </c>
      <c r="H75" s="6">
        <v>2.0</v>
      </c>
      <c r="I75" s="6">
        <v>0.0</v>
      </c>
      <c r="J75" s="9">
        <v>46203.0</v>
      </c>
      <c r="K75" s="6">
        <v>7.0</v>
      </c>
      <c r="L75" s="5" t="s">
        <v>62</v>
      </c>
      <c r="M75" s="5">
        <v>0.0</v>
      </c>
    </row>
    <row r="76" ht="22.5" customHeight="1">
      <c r="A76" s="5" t="s">
        <v>610</v>
      </c>
      <c r="B76" s="5" t="s">
        <v>65</v>
      </c>
      <c r="C76" s="6">
        <v>5.0</v>
      </c>
      <c r="D76" s="6">
        <v>13.0</v>
      </c>
      <c r="E76" s="6">
        <v>4.0</v>
      </c>
      <c r="F76" s="6">
        <v>16.0</v>
      </c>
      <c r="G76" s="6">
        <v>24.0</v>
      </c>
      <c r="H76" s="6">
        <v>6.0</v>
      </c>
      <c r="I76" s="6">
        <v>1.0</v>
      </c>
      <c r="J76" s="9">
        <v>44883.0</v>
      </c>
      <c r="K76" s="6">
        <v>2.0</v>
      </c>
      <c r="L76" s="5" t="s">
        <v>113</v>
      </c>
      <c r="M76" s="5">
        <v>1.0</v>
      </c>
    </row>
    <row r="77" ht="22.5" customHeight="1">
      <c r="A77" s="5" t="s">
        <v>615</v>
      </c>
      <c r="B77" s="5" t="s">
        <v>65</v>
      </c>
      <c r="C77" s="6">
        <v>8.0</v>
      </c>
      <c r="D77" s="6">
        <v>13.0</v>
      </c>
      <c r="E77" s="6">
        <v>3.0</v>
      </c>
      <c r="F77" s="6">
        <v>40.0</v>
      </c>
      <c r="G77" s="6">
        <v>16.0</v>
      </c>
      <c r="H77" s="6">
        <v>14.0</v>
      </c>
      <c r="I77" s="6">
        <v>4.0</v>
      </c>
      <c r="J77" s="9">
        <v>45366.0</v>
      </c>
      <c r="K77" s="6">
        <v>2.0</v>
      </c>
      <c r="L77" s="5" t="s">
        <v>62</v>
      </c>
      <c r="M77" s="5">
        <v>0.0</v>
      </c>
    </row>
    <row r="78" ht="22.5" customHeight="1">
      <c r="A78" s="5" t="s">
        <v>619</v>
      </c>
      <c r="B78" s="5" t="s">
        <v>170</v>
      </c>
      <c r="C78" s="6">
        <v>5.0</v>
      </c>
      <c r="D78" s="6">
        <v>17.0</v>
      </c>
      <c r="E78" s="6">
        <v>10.0</v>
      </c>
      <c r="F78" s="6">
        <v>20.0</v>
      </c>
      <c r="G78" s="6">
        <v>15.0</v>
      </c>
      <c r="H78" s="6">
        <v>17.0</v>
      </c>
      <c r="I78" s="6">
        <v>1.0</v>
      </c>
      <c r="J78" s="9">
        <v>45581.0</v>
      </c>
      <c r="K78" s="6">
        <v>7.0</v>
      </c>
      <c r="L78" s="5" t="s">
        <v>62</v>
      </c>
      <c r="M78" s="5">
        <v>0.0</v>
      </c>
    </row>
    <row r="79" ht="22.5" customHeight="1">
      <c r="A79" s="5" t="s">
        <v>623</v>
      </c>
      <c r="B79" s="5" t="s">
        <v>22</v>
      </c>
      <c r="C79" s="6">
        <v>4.0</v>
      </c>
      <c r="D79" s="6">
        <v>8.0</v>
      </c>
      <c r="E79" s="6">
        <v>7.0</v>
      </c>
      <c r="F79" s="6">
        <v>14.0</v>
      </c>
      <c r="G79" s="6">
        <v>40.0</v>
      </c>
      <c r="H79" s="6">
        <v>2.0</v>
      </c>
      <c r="I79" s="6">
        <v>1.0</v>
      </c>
      <c r="J79" s="9">
        <v>45802.0</v>
      </c>
      <c r="K79" s="6">
        <v>10.0</v>
      </c>
      <c r="L79" s="5" t="s">
        <v>62</v>
      </c>
      <c r="M79" s="5">
        <v>0.0</v>
      </c>
    </row>
    <row r="80" ht="22.5" customHeight="1">
      <c r="A80" s="5" t="s">
        <v>628</v>
      </c>
      <c r="B80" s="5" t="s">
        <v>22</v>
      </c>
      <c r="C80" s="6">
        <v>3.0</v>
      </c>
      <c r="D80" s="6">
        <v>5.0</v>
      </c>
      <c r="E80" s="6">
        <v>3.0</v>
      </c>
      <c r="F80" s="6">
        <v>25.0</v>
      </c>
      <c r="G80" s="6">
        <v>24.0</v>
      </c>
      <c r="H80" s="6">
        <v>1.0</v>
      </c>
      <c r="I80" s="6">
        <v>1.0</v>
      </c>
      <c r="J80" s="9">
        <v>45538.0</v>
      </c>
      <c r="K80" s="6">
        <v>5.0</v>
      </c>
      <c r="L80" s="5" t="s">
        <v>62</v>
      </c>
      <c r="M80" s="5">
        <v>0.0</v>
      </c>
    </row>
    <row r="81" ht="22.5" customHeight="1">
      <c r="A81" s="5" t="s">
        <v>633</v>
      </c>
      <c r="B81" s="5" t="s">
        <v>44</v>
      </c>
      <c r="C81" s="6">
        <v>7.0</v>
      </c>
      <c r="D81" s="6">
        <v>22.0</v>
      </c>
      <c r="E81" s="6">
        <v>3.0</v>
      </c>
      <c r="F81" s="6">
        <v>37.0</v>
      </c>
      <c r="G81" s="6">
        <v>32.0</v>
      </c>
      <c r="H81" s="6">
        <v>10.0</v>
      </c>
      <c r="I81" s="6">
        <v>0.0</v>
      </c>
      <c r="J81" s="9">
        <v>45738.0</v>
      </c>
      <c r="K81" s="6">
        <v>6.0</v>
      </c>
      <c r="L81" s="5" t="s">
        <v>62</v>
      </c>
      <c r="M81" s="5">
        <v>0.0</v>
      </c>
    </row>
    <row r="82" ht="22.5" customHeight="1">
      <c r="A82" s="5" t="s">
        <v>636</v>
      </c>
      <c r="B82" s="5" t="s">
        <v>22</v>
      </c>
      <c r="C82" s="6">
        <v>6.0</v>
      </c>
      <c r="D82" s="6">
        <v>24.0</v>
      </c>
      <c r="E82" s="6">
        <v>5.0</v>
      </c>
      <c r="F82" s="6">
        <v>37.0</v>
      </c>
      <c r="G82" s="6">
        <v>46.0</v>
      </c>
      <c r="H82" s="6">
        <v>10.0</v>
      </c>
      <c r="I82" s="6">
        <v>4.0</v>
      </c>
      <c r="J82" s="9">
        <v>46025.0</v>
      </c>
      <c r="K82" s="6">
        <v>7.0</v>
      </c>
      <c r="L82" s="5" t="s">
        <v>62</v>
      </c>
      <c r="M82" s="5">
        <v>0.0</v>
      </c>
    </row>
    <row r="83" ht="22.5" customHeight="1">
      <c r="A83" s="5" t="s">
        <v>640</v>
      </c>
      <c r="B83" s="5" t="s">
        <v>170</v>
      </c>
      <c r="C83" s="6">
        <v>10.0</v>
      </c>
      <c r="D83" s="6">
        <v>29.0</v>
      </c>
      <c r="E83" s="6">
        <v>1.0</v>
      </c>
      <c r="F83" s="6">
        <v>20.0</v>
      </c>
      <c r="G83" s="6">
        <v>32.0</v>
      </c>
      <c r="H83" s="6">
        <v>8.0</v>
      </c>
      <c r="I83" s="6">
        <v>3.0</v>
      </c>
      <c r="J83" s="9">
        <v>46072.0</v>
      </c>
      <c r="K83" s="6">
        <v>5.0</v>
      </c>
      <c r="L83" s="5" t="s">
        <v>62</v>
      </c>
      <c r="M83" s="5">
        <v>0.0</v>
      </c>
    </row>
    <row r="84" ht="22.5" customHeight="1">
      <c r="A84" s="5" t="s">
        <v>644</v>
      </c>
      <c r="B84" s="5" t="s">
        <v>22</v>
      </c>
      <c r="C84" s="6">
        <v>7.0</v>
      </c>
      <c r="D84" s="6">
        <v>31.0</v>
      </c>
      <c r="E84" s="6">
        <v>3.0</v>
      </c>
      <c r="F84" s="6">
        <v>10.0</v>
      </c>
      <c r="G84" s="6">
        <v>23.0</v>
      </c>
      <c r="H84" s="6">
        <v>3.0</v>
      </c>
      <c r="I84" s="6">
        <v>2.0</v>
      </c>
      <c r="J84" s="9">
        <v>44598.0</v>
      </c>
      <c r="K84" s="6">
        <v>3.0</v>
      </c>
      <c r="L84" s="5" t="s">
        <v>113</v>
      </c>
      <c r="M84" s="5">
        <v>1.0</v>
      </c>
    </row>
    <row r="85" ht="22.5" customHeight="1">
      <c r="A85" s="5" t="s">
        <v>649</v>
      </c>
      <c r="B85" s="5" t="s">
        <v>22</v>
      </c>
      <c r="C85" s="6">
        <v>7.0</v>
      </c>
      <c r="D85" s="6">
        <v>18.0</v>
      </c>
      <c r="E85" s="6">
        <v>17.0</v>
      </c>
      <c r="F85" s="6">
        <v>6.0</v>
      </c>
      <c r="G85" s="6">
        <v>23.0</v>
      </c>
      <c r="H85" s="6">
        <v>18.0</v>
      </c>
      <c r="I85" s="6">
        <v>1.0</v>
      </c>
      <c r="J85" s="9">
        <v>44919.0</v>
      </c>
      <c r="K85" s="6">
        <v>6.0</v>
      </c>
      <c r="L85" s="5" t="s">
        <v>113</v>
      </c>
      <c r="M85" s="5">
        <v>1.0</v>
      </c>
    </row>
    <row r="86" ht="22.5" customHeight="1">
      <c r="A86" s="5" t="s">
        <v>653</v>
      </c>
      <c r="B86" s="5" t="s">
        <v>65</v>
      </c>
      <c r="C86" s="6">
        <v>10.0</v>
      </c>
      <c r="D86" s="6">
        <v>16.0</v>
      </c>
      <c r="E86" s="6">
        <v>11.0</v>
      </c>
      <c r="F86" s="6">
        <v>40.0</v>
      </c>
      <c r="G86" s="6">
        <v>31.0</v>
      </c>
      <c r="H86" s="6">
        <v>1.0</v>
      </c>
      <c r="I86" s="6">
        <v>5.0</v>
      </c>
      <c r="J86" s="9">
        <v>45657.0</v>
      </c>
      <c r="K86" s="6">
        <v>6.0</v>
      </c>
      <c r="L86" s="5" t="s">
        <v>62</v>
      </c>
      <c r="M86" s="5">
        <v>0.0</v>
      </c>
    </row>
    <row r="87" ht="22.5" customHeight="1">
      <c r="A87" s="5" t="s">
        <v>657</v>
      </c>
      <c r="B87" s="5" t="s">
        <v>65</v>
      </c>
      <c r="C87" s="6">
        <v>5.0</v>
      </c>
      <c r="D87" s="6">
        <v>25.0</v>
      </c>
      <c r="E87" s="6">
        <v>2.0</v>
      </c>
      <c r="F87" s="6">
        <v>50.0</v>
      </c>
      <c r="G87" s="6">
        <v>30.0</v>
      </c>
      <c r="H87" s="6">
        <v>10.0</v>
      </c>
      <c r="I87" s="6">
        <v>1.0</v>
      </c>
      <c r="J87" s="9">
        <v>45605.0</v>
      </c>
      <c r="K87" s="6">
        <v>8.0</v>
      </c>
      <c r="L87" s="5" t="s">
        <v>62</v>
      </c>
      <c r="M87" s="5">
        <v>0.0</v>
      </c>
    </row>
    <row r="88" ht="22.5" customHeight="1">
      <c r="A88" s="5" t="s">
        <v>661</v>
      </c>
      <c r="B88" s="5" t="s">
        <v>44</v>
      </c>
      <c r="C88" s="6">
        <v>10.0</v>
      </c>
      <c r="D88" s="6">
        <v>43.0</v>
      </c>
      <c r="E88" s="6">
        <v>7.0</v>
      </c>
      <c r="F88" s="6">
        <v>41.0</v>
      </c>
      <c r="G88" s="6">
        <v>26.0</v>
      </c>
      <c r="H88" s="6">
        <v>10.0</v>
      </c>
      <c r="I88" s="6">
        <v>4.0</v>
      </c>
      <c r="J88" s="9">
        <v>44612.0</v>
      </c>
      <c r="K88" s="6">
        <v>4.0</v>
      </c>
      <c r="L88" s="5" t="s">
        <v>113</v>
      </c>
      <c r="M88" s="5">
        <v>1.0</v>
      </c>
    </row>
    <row r="89" ht="22.5" customHeight="1">
      <c r="A89" s="5" t="s">
        <v>665</v>
      </c>
      <c r="B89" s="5" t="s">
        <v>84</v>
      </c>
      <c r="C89" s="6">
        <v>3.0</v>
      </c>
      <c r="D89" s="6">
        <v>15.0</v>
      </c>
      <c r="E89" s="6">
        <v>11.0</v>
      </c>
      <c r="F89" s="6">
        <v>38.0</v>
      </c>
      <c r="G89" s="6">
        <v>25.0</v>
      </c>
      <c r="H89" s="6">
        <v>17.0</v>
      </c>
      <c r="I89" s="6">
        <v>4.0</v>
      </c>
      <c r="J89" s="9">
        <v>45042.0</v>
      </c>
      <c r="K89" s="6">
        <v>4.0</v>
      </c>
      <c r="L89" s="5" t="s">
        <v>113</v>
      </c>
      <c r="M89" s="5">
        <v>1.0</v>
      </c>
    </row>
    <row r="90" ht="22.5" customHeight="1">
      <c r="A90" s="5" t="s">
        <v>671</v>
      </c>
      <c r="B90" s="5" t="s">
        <v>22</v>
      </c>
      <c r="C90" s="6">
        <v>11.0</v>
      </c>
      <c r="D90" s="6">
        <v>18.0</v>
      </c>
      <c r="E90" s="6">
        <v>1.0</v>
      </c>
      <c r="F90" s="6">
        <v>16.0</v>
      </c>
      <c r="G90" s="6">
        <v>29.0</v>
      </c>
      <c r="H90" s="6">
        <v>13.0</v>
      </c>
      <c r="I90" s="6">
        <v>0.0</v>
      </c>
      <c r="J90" s="9">
        <v>44661.0</v>
      </c>
      <c r="K90" s="6">
        <v>3.0</v>
      </c>
      <c r="L90" s="5" t="s">
        <v>113</v>
      </c>
      <c r="M90" s="5">
        <v>1.0</v>
      </c>
    </row>
    <row r="91" ht="22.5" customHeight="1">
      <c r="A91" s="5" t="s">
        <v>674</v>
      </c>
      <c r="B91" s="5" t="s">
        <v>65</v>
      </c>
      <c r="C91" s="6">
        <v>7.0</v>
      </c>
      <c r="D91" s="6">
        <v>37.0</v>
      </c>
      <c r="E91" s="6">
        <v>12.0</v>
      </c>
      <c r="F91" s="6">
        <v>22.0</v>
      </c>
      <c r="G91" s="6">
        <v>11.0</v>
      </c>
      <c r="H91" s="6">
        <v>1.0</v>
      </c>
      <c r="I91" s="6">
        <v>5.0</v>
      </c>
      <c r="J91" s="9">
        <v>44528.0</v>
      </c>
      <c r="K91" s="6">
        <v>3.0</v>
      </c>
      <c r="L91" s="5" t="s">
        <v>113</v>
      </c>
      <c r="M91" s="5">
        <v>1.0</v>
      </c>
    </row>
    <row r="92" ht="22.5" customHeight="1">
      <c r="A92" s="5" t="s">
        <v>679</v>
      </c>
      <c r="B92" s="5" t="s">
        <v>65</v>
      </c>
      <c r="C92" s="6">
        <v>10.0</v>
      </c>
      <c r="D92" s="6">
        <v>43.0</v>
      </c>
      <c r="E92" s="6">
        <v>8.0</v>
      </c>
      <c r="F92" s="6">
        <v>12.0</v>
      </c>
      <c r="G92" s="6">
        <v>22.0</v>
      </c>
      <c r="H92" s="6">
        <v>2.0</v>
      </c>
      <c r="I92" s="6">
        <v>1.0</v>
      </c>
      <c r="J92" s="9">
        <v>45580.0</v>
      </c>
      <c r="K92" s="6">
        <v>9.0</v>
      </c>
      <c r="L92" s="5" t="s">
        <v>62</v>
      </c>
      <c r="M92" s="5">
        <v>0.0</v>
      </c>
    </row>
    <row r="93" ht="22.5" customHeight="1">
      <c r="A93" s="5" t="s">
        <v>683</v>
      </c>
      <c r="B93" s="5" t="s">
        <v>84</v>
      </c>
      <c r="C93" s="6">
        <v>5.0</v>
      </c>
      <c r="D93" s="6">
        <v>20.0</v>
      </c>
      <c r="E93" s="6">
        <v>4.0</v>
      </c>
      <c r="F93" s="6">
        <v>52.0</v>
      </c>
      <c r="G93" s="6">
        <v>12.0</v>
      </c>
      <c r="H93" s="6">
        <v>11.0</v>
      </c>
      <c r="I93" s="6">
        <v>4.0</v>
      </c>
      <c r="J93" s="9">
        <v>46108.0</v>
      </c>
      <c r="K93" s="6">
        <v>7.0</v>
      </c>
      <c r="L93" s="5" t="s">
        <v>62</v>
      </c>
      <c r="M93" s="5">
        <v>0.0</v>
      </c>
    </row>
    <row r="94" ht="22.5" customHeight="1">
      <c r="A94" s="5" t="s">
        <v>687</v>
      </c>
      <c r="B94" s="5" t="s">
        <v>65</v>
      </c>
      <c r="C94" s="6">
        <v>2.0</v>
      </c>
      <c r="D94" s="6">
        <v>9.0</v>
      </c>
      <c r="E94" s="6">
        <v>9.0</v>
      </c>
      <c r="F94" s="6">
        <v>26.0</v>
      </c>
      <c r="G94" s="6">
        <v>30.0</v>
      </c>
      <c r="H94" s="6">
        <v>18.0</v>
      </c>
      <c r="I94" s="6">
        <v>5.0</v>
      </c>
      <c r="J94" s="9">
        <v>45682.0</v>
      </c>
      <c r="K94" s="6">
        <v>10.0</v>
      </c>
      <c r="L94" s="5" t="s">
        <v>62</v>
      </c>
      <c r="M94" s="5">
        <v>0.0</v>
      </c>
    </row>
    <row r="95" ht="22.5" customHeight="1">
      <c r="A95" s="5" t="s">
        <v>693</v>
      </c>
      <c r="B95" s="5" t="s">
        <v>84</v>
      </c>
      <c r="C95" s="6">
        <v>7.0</v>
      </c>
      <c r="D95" s="6">
        <v>38.0</v>
      </c>
      <c r="E95" s="6">
        <v>8.0</v>
      </c>
      <c r="F95" s="6">
        <v>9.0</v>
      </c>
      <c r="G95" s="6">
        <v>20.0</v>
      </c>
      <c r="H95" s="6">
        <v>1.0</v>
      </c>
      <c r="I95" s="6">
        <v>1.0</v>
      </c>
      <c r="J95" s="9">
        <v>45643.0</v>
      </c>
      <c r="K95" s="6">
        <v>9.0</v>
      </c>
      <c r="L95" s="5" t="s">
        <v>62</v>
      </c>
      <c r="M95" s="5">
        <v>0.0</v>
      </c>
    </row>
    <row r="96" ht="22.5" customHeight="1">
      <c r="A96" s="5" t="s">
        <v>695</v>
      </c>
      <c r="B96" s="5" t="s">
        <v>84</v>
      </c>
      <c r="C96" s="6">
        <v>9.0</v>
      </c>
      <c r="D96" s="6">
        <v>37.0</v>
      </c>
      <c r="E96" s="6">
        <v>8.0</v>
      </c>
      <c r="F96" s="6">
        <v>60.0</v>
      </c>
      <c r="G96" s="6">
        <v>12.0</v>
      </c>
      <c r="H96" s="6">
        <v>11.0</v>
      </c>
      <c r="I96" s="6">
        <v>5.0</v>
      </c>
      <c r="J96" s="9">
        <v>45716.0</v>
      </c>
      <c r="K96" s="6">
        <v>7.0</v>
      </c>
      <c r="L96" s="10" t="s">
        <v>62</v>
      </c>
      <c r="M96" s="10">
        <v>0.0</v>
      </c>
    </row>
    <row r="97" ht="22.5" customHeight="1">
      <c r="A97" s="5" t="s">
        <v>701</v>
      </c>
      <c r="B97" s="5" t="s">
        <v>84</v>
      </c>
      <c r="C97" s="6">
        <v>7.0</v>
      </c>
      <c r="D97" s="6">
        <v>29.0</v>
      </c>
      <c r="E97" s="6">
        <v>7.0</v>
      </c>
      <c r="F97" s="6">
        <v>25.0</v>
      </c>
      <c r="G97" s="6">
        <v>19.0</v>
      </c>
      <c r="H97" s="6">
        <v>6.0</v>
      </c>
      <c r="I97" s="6">
        <v>2.0</v>
      </c>
      <c r="J97" s="9">
        <v>45995.0</v>
      </c>
      <c r="K97" s="6">
        <v>9.0</v>
      </c>
      <c r="L97" s="5" t="s">
        <v>62</v>
      </c>
      <c r="M97" s="5">
        <v>0.0</v>
      </c>
    </row>
    <row r="98" ht="22.5" customHeight="1">
      <c r="A98" s="5" t="s">
        <v>704</v>
      </c>
      <c r="B98" s="5" t="s">
        <v>170</v>
      </c>
      <c r="C98" s="6">
        <v>3.0</v>
      </c>
      <c r="D98" s="6">
        <v>18.0</v>
      </c>
      <c r="E98" s="6">
        <v>3.0</v>
      </c>
      <c r="F98" s="6">
        <v>53.0</v>
      </c>
      <c r="G98" s="6">
        <v>26.0</v>
      </c>
      <c r="H98" s="6">
        <v>13.0</v>
      </c>
      <c r="I98" s="6">
        <v>1.0</v>
      </c>
      <c r="J98" s="9">
        <v>45776.0</v>
      </c>
      <c r="K98" s="6">
        <v>3.0</v>
      </c>
      <c r="L98" s="5" t="s">
        <v>62</v>
      </c>
      <c r="M98" s="5">
        <v>0.0</v>
      </c>
    </row>
    <row r="99" ht="22.5" customHeight="1">
      <c r="A99" s="5" t="s">
        <v>707</v>
      </c>
      <c r="B99" s="5" t="s">
        <v>22</v>
      </c>
      <c r="C99" s="6">
        <v>4.0</v>
      </c>
      <c r="D99" s="6">
        <v>20.0</v>
      </c>
      <c r="E99" s="6">
        <v>4.0</v>
      </c>
      <c r="F99" s="6">
        <v>45.0</v>
      </c>
      <c r="G99" s="6">
        <v>23.0</v>
      </c>
      <c r="H99" s="6">
        <v>9.0</v>
      </c>
      <c r="I99" s="6">
        <v>5.0</v>
      </c>
      <c r="J99" s="9">
        <v>45513.0</v>
      </c>
      <c r="K99" s="6">
        <v>3.0</v>
      </c>
      <c r="L99" s="5" t="s">
        <v>62</v>
      </c>
      <c r="M99" s="5">
        <v>0.0</v>
      </c>
    </row>
    <row r="100" ht="22.5" customHeight="1">
      <c r="A100" s="5" t="s">
        <v>712</v>
      </c>
      <c r="B100" s="5" t="s">
        <v>170</v>
      </c>
      <c r="C100" s="6">
        <v>6.0</v>
      </c>
      <c r="D100" s="6">
        <v>21.0</v>
      </c>
      <c r="E100" s="6">
        <v>5.0</v>
      </c>
      <c r="F100" s="6">
        <v>30.0</v>
      </c>
      <c r="G100" s="6">
        <v>16.0</v>
      </c>
      <c r="H100" s="6">
        <v>6.0</v>
      </c>
      <c r="I100" s="6">
        <v>1.0</v>
      </c>
      <c r="J100" s="9">
        <v>45586.0</v>
      </c>
      <c r="K100" s="6">
        <v>7.0</v>
      </c>
      <c r="L100" s="5" t="s">
        <v>62</v>
      </c>
      <c r="M100" s="5">
        <v>0.0</v>
      </c>
    </row>
    <row r="101" ht="22.5" customHeight="1">
      <c r="A101" s="5" t="s">
        <v>717</v>
      </c>
      <c r="B101" s="5" t="s">
        <v>65</v>
      </c>
      <c r="C101" s="6">
        <v>4.0</v>
      </c>
      <c r="D101" s="6">
        <v>19.0</v>
      </c>
      <c r="E101" s="6">
        <v>6.0</v>
      </c>
      <c r="F101" s="6">
        <v>33.0</v>
      </c>
      <c r="G101" s="6">
        <v>11.0</v>
      </c>
      <c r="H101" s="6">
        <v>12.0</v>
      </c>
      <c r="I101" s="6">
        <v>5.0</v>
      </c>
      <c r="J101" s="9">
        <v>45890.0</v>
      </c>
      <c r="K101" s="6">
        <v>5.0</v>
      </c>
      <c r="L101" s="5" t="s">
        <v>62</v>
      </c>
      <c r="M101" s="5">
        <v>0.0</v>
      </c>
    </row>
    <row r="102" ht="22.5" customHeight="1">
      <c r="A102" s="5" t="s">
        <v>722</v>
      </c>
      <c r="B102" s="5" t="s">
        <v>22</v>
      </c>
      <c r="C102" s="6">
        <v>4.0</v>
      </c>
      <c r="D102" s="6">
        <v>13.0</v>
      </c>
      <c r="E102" s="6">
        <v>9.0</v>
      </c>
      <c r="F102" s="6">
        <v>9.0</v>
      </c>
      <c r="G102" s="6">
        <v>26.0</v>
      </c>
      <c r="H102" s="6">
        <v>1.0</v>
      </c>
      <c r="I102" s="6">
        <v>5.0</v>
      </c>
      <c r="J102" s="9">
        <v>45374.0</v>
      </c>
      <c r="K102" s="6">
        <v>1.0</v>
      </c>
      <c r="L102" s="5" t="s">
        <v>62</v>
      </c>
      <c r="M102" s="5">
        <v>0.0</v>
      </c>
    </row>
    <row r="103" ht="22.5" customHeight="1">
      <c r="A103" s="5" t="s">
        <v>727</v>
      </c>
      <c r="B103" s="5" t="s">
        <v>84</v>
      </c>
      <c r="C103" s="6">
        <v>6.0</v>
      </c>
      <c r="D103" s="6">
        <v>15.0</v>
      </c>
      <c r="E103" s="6">
        <v>18.0</v>
      </c>
      <c r="F103" s="6">
        <v>13.0</v>
      </c>
      <c r="G103" s="6">
        <v>20.0</v>
      </c>
      <c r="H103" s="6">
        <v>14.0</v>
      </c>
      <c r="I103" s="6">
        <v>3.0</v>
      </c>
      <c r="J103" s="9">
        <v>44902.0</v>
      </c>
      <c r="K103" s="6">
        <v>2.0</v>
      </c>
      <c r="L103" s="10" t="s">
        <v>113</v>
      </c>
      <c r="M103" s="10">
        <v>1.0</v>
      </c>
    </row>
    <row r="104" ht="22.5" customHeight="1">
      <c r="A104" s="5" t="s">
        <v>730</v>
      </c>
      <c r="B104" s="5" t="s">
        <v>44</v>
      </c>
      <c r="C104" s="6">
        <v>7.0</v>
      </c>
      <c r="D104" s="6">
        <v>29.0</v>
      </c>
      <c r="E104" s="6">
        <v>7.0</v>
      </c>
      <c r="F104" s="6">
        <v>44.0</v>
      </c>
      <c r="G104" s="6">
        <v>23.0</v>
      </c>
      <c r="H104" s="6">
        <v>12.0</v>
      </c>
      <c r="I104" s="6">
        <v>0.0</v>
      </c>
      <c r="J104" s="9">
        <v>44789.0</v>
      </c>
      <c r="K104" s="6">
        <v>4.0</v>
      </c>
      <c r="L104" s="5" t="s">
        <v>113</v>
      </c>
      <c r="M104" s="5">
        <v>1.0</v>
      </c>
    </row>
    <row r="105" ht="22.5" customHeight="1">
      <c r="A105" s="5" t="s">
        <v>737</v>
      </c>
      <c r="B105" s="5" t="s">
        <v>22</v>
      </c>
      <c r="C105" s="6">
        <v>6.0</v>
      </c>
      <c r="D105" s="6">
        <v>34.0</v>
      </c>
      <c r="E105" s="6">
        <v>9.0</v>
      </c>
      <c r="F105" s="6">
        <v>52.0</v>
      </c>
      <c r="G105" s="6">
        <v>24.0</v>
      </c>
      <c r="H105" s="6">
        <v>17.0</v>
      </c>
      <c r="I105" s="6">
        <v>4.0</v>
      </c>
      <c r="J105" s="9">
        <v>45649.0</v>
      </c>
      <c r="K105" s="6">
        <v>8.0</v>
      </c>
      <c r="L105" s="5" t="s">
        <v>62</v>
      </c>
      <c r="M105" s="5">
        <v>0.0</v>
      </c>
    </row>
    <row r="106" ht="22.5" customHeight="1">
      <c r="A106" s="5" t="s">
        <v>741</v>
      </c>
      <c r="B106" s="5" t="s">
        <v>22</v>
      </c>
      <c r="C106" s="6">
        <v>4.0</v>
      </c>
      <c r="D106" s="6">
        <v>23.0</v>
      </c>
      <c r="E106" s="6">
        <v>11.0</v>
      </c>
      <c r="F106" s="6">
        <v>31.0</v>
      </c>
      <c r="G106" s="6">
        <v>28.0</v>
      </c>
      <c r="H106" s="6">
        <v>14.0</v>
      </c>
      <c r="I106" s="6">
        <v>5.0</v>
      </c>
      <c r="J106" s="9">
        <v>45626.0</v>
      </c>
      <c r="K106" s="6">
        <v>7.0</v>
      </c>
      <c r="L106" s="5" t="s">
        <v>62</v>
      </c>
      <c r="M106" s="5">
        <v>0.0</v>
      </c>
    </row>
    <row r="107" ht="22.5" customHeight="1">
      <c r="A107" s="5" t="s">
        <v>744</v>
      </c>
      <c r="B107" s="5" t="s">
        <v>65</v>
      </c>
      <c r="C107" s="6">
        <v>6.0</v>
      </c>
      <c r="D107" s="6">
        <v>18.0</v>
      </c>
      <c r="E107" s="6">
        <v>10.0</v>
      </c>
      <c r="F107" s="6">
        <v>37.0</v>
      </c>
      <c r="G107" s="6">
        <v>32.0</v>
      </c>
      <c r="H107" s="6">
        <v>7.0</v>
      </c>
      <c r="I107" s="6">
        <v>0.0</v>
      </c>
      <c r="J107" s="9">
        <v>44978.0</v>
      </c>
      <c r="K107" s="6">
        <v>4.0</v>
      </c>
      <c r="L107" s="5" t="s">
        <v>113</v>
      </c>
      <c r="M107" s="5">
        <v>1.0</v>
      </c>
    </row>
    <row r="108" ht="22.5" customHeight="1">
      <c r="A108" s="5" t="s">
        <v>749</v>
      </c>
      <c r="B108" s="5" t="s">
        <v>22</v>
      </c>
      <c r="C108" s="6">
        <v>4.0</v>
      </c>
      <c r="D108" s="6">
        <v>15.0</v>
      </c>
      <c r="E108" s="6">
        <v>3.0</v>
      </c>
      <c r="F108" s="6">
        <v>46.0</v>
      </c>
      <c r="G108" s="6">
        <v>26.0</v>
      </c>
      <c r="H108" s="6">
        <v>5.0</v>
      </c>
      <c r="I108" s="6">
        <v>2.0</v>
      </c>
      <c r="J108" s="9">
        <v>45460.0</v>
      </c>
      <c r="K108" s="6">
        <v>5.0</v>
      </c>
      <c r="L108" s="5" t="s">
        <v>62</v>
      </c>
      <c r="M108" s="5">
        <v>0.0</v>
      </c>
    </row>
    <row r="109" ht="22.5" customHeight="1">
      <c r="A109" s="5" t="s">
        <v>751</v>
      </c>
      <c r="B109" s="5" t="s">
        <v>170</v>
      </c>
      <c r="C109" s="6">
        <v>4.0</v>
      </c>
      <c r="D109" s="6">
        <v>10.0</v>
      </c>
      <c r="E109" s="6">
        <v>13.0</v>
      </c>
      <c r="F109" s="6">
        <v>35.0</v>
      </c>
      <c r="G109" s="6">
        <v>22.0</v>
      </c>
      <c r="H109" s="6">
        <v>18.0</v>
      </c>
      <c r="I109" s="6">
        <v>2.0</v>
      </c>
      <c r="J109" s="9">
        <v>44763.0</v>
      </c>
      <c r="K109" s="6">
        <v>3.0</v>
      </c>
      <c r="L109" s="5" t="s">
        <v>113</v>
      </c>
      <c r="M109" s="5">
        <v>1.0</v>
      </c>
    </row>
    <row r="110" ht="22.5" customHeight="1">
      <c r="A110" s="5" t="s">
        <v>756</v>
      </c>
      <c r="B110" s="5" t="s">
        <v>22</v>
      </c>
      <c r="C110" s="6">
        <v>7.0</v>
      </c>
      <c r="D110" s="6">
        <v>42.0</v>
      </c>
      <c r="E110" s="6">
        <v>12.0</v>
      </c>
      <c r="F110" s="6">
        <v>17.0</v>
      </c>
      <c r="G110" s="6">
        <v>25.0</v>
      </c>
      <c r="H110" s="6">
        <v>8.0</v>
      </c>
      <c r="I110" s="6">
        <v>3.0</v>
      </c>
      <c r="J110" s="9">
        <v>45234.0</v>
      </c>
      <c r="K110" s="6">
        <v>3.0</v>
      </c>
      <c r="L110" s="5" t="s">
        <v>62</v>
      </c>
      <c r="M110" s="5">
        <v>0.0</v>
      </c>
    </row>
    <row r="111" ht="22.5" customHeight="1">
      <c r="A111" s="5" t="s">
        <v>762</v>
      </c>
      <c r="B111" s="5" t="s">
        <v>22</v>
      </c>
      <c r="C111" s="6">
        <v>6.0</v>
      </c>
      <c r="D111" s="6">
        <v>35.0</v>
      </c>
      <c r="E111" s="6">
        <v>7.0</v>
      </c>
      <c r="F111" s="6">
        <v>52.0</v>
      </c>
      <c r="G111" s="6">
        <v>22.0</v>
      </c>
      <c r="H111" s="6">
        <v>16.0</v>
      </c>
      <c r="I111" s="6">
        <v>4.0</v>
      </c>
      <c r="J111" s="9">
        <v>45277.0</v>
      </c>
      <c r="K111" s="6">
        <v>2.0</v>
      </c>
      <c r="L111" s="5" t="s">
        <v>62</v>
      </c>
      <c r="M111" s="5">
        <v>0.0</v>
      </c>
    </row>
    <row r="112" ht="22.5" customHeight="1">
      <c r="A112" s="5" t="s">
        <v>766</v>
      </c>
      <c r="B112" s="5" t="s">
        <v>44</v>
      </c>
      <c r="C112" s="6">
        <v>7.0</v>
      </c>
      <c r="D112" s="6">
        <v>31.0</v>
      </c>
      <c r="E112" s="6">
        <v>3.0</v>
      </c>
      <c r="F112" s="6">
        <v>12.0</v>
      </c>
      <c r="G112" s="6">
        <v>12.0</v>
      </c>
      <c r="H112" s="6">
        <v>2.0</v>
      </c>
      <c r="I112" s="6">
        <v>3.0</v>
      </c>
      <c r="J112" s="9">
        <v>45808.0</v>
      </c>
      <c r="K112" s="6">
        <v>8.0</v>
      </c>
      <c r="L112" s="5" t="s">
        <v>62</v>
      </c>
      <c r="M112" s="5">
        <v>0.0</v>
      </c>
    </row>
    <row r="113" ht="22.5" customHeight="1">
      <c r="A113" s="5" t="s">
        <v>768</v>
      </c>
      <c r="B113" s="5" t="s">
        <v>65</v>
      </c>
      <c r="C113" s="6">
        <v>3.0</v>
      </c>
      <c r="D113" s="6">
        <v>15.0</v>
      </c>
      <c r="E113" s="6">
        <v>6.0</v>
      </c>
      <c r="F113" s="6">
        <v>34.0</v>
      </c>
      <c r="G113" s="6">
        <v>34.0</v>
      </c>
      <c r="H113" s="6">
        <v>2.0</v>
      </c>
      <c r="I113" s="6">
        <v>5.0</v>
      </c>
      <c r="J113" s="11"/>
      <c r="K113" s="6">
        <v>2.0</v>
      </c>
      <c r="L113" s="5" t="s">
        <v>113</v>
      </c>
      <c r="M113" s="5">
        <v>1.0</v>
      </c>
    </row>
    <row r="114" ht="22.5" customHeight="1">
      <c r="A114" s="5" t="s">
        <v>771</v>
      </c>
      <c r="B114" s="5" t="s">
        <v>65</v>
      </c>
      <c r="C114" s="6">
        <v>5.0</v>
      </c>
      <c r="D114" s="6">
        <v>24.0</v>
      </c>
      <c r="E114" s="6">
        <v>2.0</v>
      </c>
      <c r="F114" s="6">
        <v>46.0</v>
      </c>
      <c r="G114" s="6">
        <v>32.0</v>
      </c>
      <c r="H114" s="6">
        <v>4.0</v>
      </c>
      <c r="I114" s="6">
        <v>5.0</v>
      </c>
      <c r="J114" s="9">
        <v>46015.0</v>
      </c>
      <c r="K114" s="6">
        <v>7.0</v>
      </c>
      <c r="L114" s="5" t="s">
        <v>62</v>
      </c>
      <c r="M114" s="5">
        <v>0.0</v>
      </c>
    </row>
    <row r="115" ht="22.5" customHeight="1">
      <c r="A115" s="5" t="s">
        <v>775</v>
      </c>
      <c r="B115" s="5" t="s">
        <v>44</v>
      </c>
      <c r="C115" s="6">
        <v>8.0</v>
      </c>
      <c r="D115" s="6">
        <v>33.0</v>
      </c>
      <c r="E115" s="6">
        <v>14.0</v>
      </c>
      <c r="F115" s="6">
        <v>27.0</v>
      </c>
      <c r="G115" s="6">
        <v>41.0</v>
      </c>
      <c r="H115" s="6">
        <v>12.0</v>
      </c>
      <c r="I115" s="6">
        <v>3.0</v>
      </c>
      <c r="J115" s="9">
        <v>45876.0</v>
      </c>
      <c r="K115" s="6">
        <v>8.0</v>
      </c>
      <c r="L115" s="5" t="s">
        <v>62</v>
      </c>
      <c r="M115" s="5">
        <v>0.0</v>
      </c>
    </row>
    <row r="116" ht="22.5" customHeight="1">
      <c r="A116" s="5" t="s">
        <v>780</v>
      </c>
      <c r="B116" s="5" t="s">
        <v>65</v>
      </c>
      <c r="C116" s="6">
        <v>7.0</v>
      </c>
      <c r="D116" s="6">
        <v>12.0</v>
      </c>
      <c r="E116" s="6">
        <v>4.0</v>
      </c>
      <c r="F116" s="6">
        <v>11.0</v>
      </c>
      <c r="G116" s="6">
        <v>43.0</v>
      </c>
      <c r="H116" s="6">
        <v>7.0</v>
      </c>
      <c r="I116" s="6">
        <v>3.0</v>
      </c>
      <c r="J116" s="9">
        <v>44561.0</v>
      </c>
      <c r="K116" s="6">
        <v>5.0</v>
      </c>
      <c r="L116" s="5" t="s">
        <v>113</v>
      </c>
      <c r="M116" s="5">
        <v>1.0</v>
      </c>
    </row>
    <row r="117" ht="22.5" customHeight="1">
      <c r="A117" s="5" t="s">
        <v>783</v>
      </c>
      <c r="B117" s="5" t="s">
        <v>22</v>
      </c>
      <c r="C117" s="6">
        <v>6.0</v>
      </c>
      <c r="D117" s="6">
        <v>21.0</v>
      </c>
      <c r="E117" s="6">
        <v>5.0</v>
      </c>
      <c r="F117" s="6">
        <v>50.0</v>
      </c>
      <c r="G117" s="6">
        <v>16.0</v>
      </c>
      <c r="H117" s="6">
        <v>15.0</v>
      </c>
      <c r="I117" s="6">
        <v>4.0</v>
      </c>
      <c r="J117" s="9">
        <v>44988.0</v>
      </c>
      <c r="K117" s="6">
        <v>4.0</v>
      </c>
      <c r="L117" s="5" t="s">
        <v>113</v>
      </c>
      <c r="M117" s="5">
        <v>1.0</v>
      </c>
    </row>
    <row r="118" ht="22.5" customHeight="1">
      <c r="A118" s="5" t="s">
        <v>786</v>
      </c>
      <c r="B118" s="5" t="s">
        <v>44</v>
      </c>
      <c r="C118" s="6">
        <v>5.0</v>
      </c>
      <c r="D118" s="6">
        <v>23.0</v>
      </c>
      <c r="E118" s="6">
        <v>14.0</v>
      </c>
      <c r="F118" s="6">
        <v>40.0</v>
      </c>
      <c r="G118" s="6">
        <v>22.0</v>
      </c>
      <c r="H118" s="6">
        <v>4.0</v>
      </c>
      <c r="I118" s="6">
        <v>3.0</v>
      </c>
      <c r="J118" s="9">
        <v>46215.0</v>
      </c>
      <c r="K118" s="6">
        <v>8.0</v>
      </c>
      <c r="L118" s="5" t="s">
        <v>62</v>
      </c>
      <c r="M118" s="5">
        <v>0.0</v>
      </c>
    </row>
    <row r="119" ht="22.5" customHeight="1">
      <c r="A119" s="5" t="s">
        <v>791</v>
      </c>
      <c r="B119" s="5" t="s">
        <v>84</v>
      </c>
      <c r="C119" s="6">
        <v>4.0</v>
      </c>
      <c r="D119" s="6">
        <v>18.0</v>
      </c>
      <c r="E119" s="6">
        <v>13.0</v>
      </c>
      <c r="F119" s="6">
        <v>10.0</v>
      </c>
      <c r="G119" s="6">
        <v>45.0</v>
      </c>
      <c r="H119" s="6">
        <v>12.0</v>
      </c>
      <c r="I119" s="6">
        <v>0.0</v>
      </c>
      <c r="J119" s="9">
        <v>45488.0</v>
      </c>
      <c r="K119" s="6">
        <v>2.0</v>
      </c>
      <c r="L119" s="5" t="s">
        <v>62</v>
      </c>
      <c r="M119" s="5">
        <v>0.0</v>
      </c>
    </row>
    <row r="120" ht="22.5" customHeight="1">
      <c r="A120" s="5" t="s">
        <v>795</v>
      </c>
      <c r="B120" s="5" t="s">
        <v>65</v>
      </c>
      <c r="C120" s="6">
        <v>4.0</v>
      </c>
      <c r="D120" s="6">
        <v>13.0</v>
      </c>
      <c r="E120" s="6">
        <v>8.0</v>
      </c>
      <c r="F120" s="6">
        <v>11.0</v>
      </c>
      <c r="G120" s="6">
        <v>25.0</v>
      </c>
      <c r="H120" s="6">
        <v>17.0</v>
      </c>
      <c r="I120" s="6">
        <v>2.0</v>
      </c>
      <c r="J120" s="9">
        <v>44741.0</v>
      </c>
      <c r="K120" s="6">
        <v>2.0</v>
      </c>
      <c r="L120" s="5" t="s">
        <v>113</v>
      </c>
      <c r="M120" s="5">
        <v>1.0</v>
      </c>
    </row>
    <row r="121" ht="22.5" customHeight="1">
      <c r="A121" s="5" t="s">
        <v>798</v>
      </c>
      <c r="B121" s="5" t="s">
        <v>44</v>
      </c>
      <c r="C121" s="6">
        <v>8.0</v>
      </c>
      <c r="D121" s="6">
        <v>46.0</v>
      </c>
      <c r="E121" s="6">
        <v>16.0</v>
      </c>
      <c r="F121" s="6">
        <v>44.0</v>
      </c>
      <c r="G121" s="6">
        <v>27.0</v>
      </c>
      <c r="H121" s="8"/>
      <c r="I121" s="6">
        <v>4.0</v>
      </c>
      <c r="J121" s="9">
        <v>45010.0</v>
      </c>
      <c r="K121" s="6">
        <v>1.0</v>
      </c>
      <c r="L121" s="5" t="s">
        <v>113</v>
      </c>
      <c r="M121" s="5">
        <v>1.0</v>
      </c>
    </row>
    <row r="122" ht="22.5" customHeight="1">
      <c r="A122" s="5" t="s">
        <v>801</v>
      </c>
      <c r="B122" s="5" t="s">
        <v>22</v>
      </c>
      <c r="C122" s="6">
        <v>8.0</v>
      </c>
      <c r="D122" s="6">
        <v>18.0</v>
      </c>
      <c r="E122" s="6">
        <v>3.0</v>
      </c>
      <c r="F122" s="6">
        <v>9.0</v>
      </c>
      <c r="G122" s="6">
        <v>13.0</v>
      </c>
      <c r="H122" s="6">
        <v>15.0</v>
      </c>
      <c r="I122" s="6">
        <v>0.0</v>
      </c>
      <c r="J122" s="9">
        <v>44709.0</v>
      </c>
      <c r="K122" s="6">
        <v>1.0</v>
      </c>
      <c r="L122" s="5" t="s">
        <v>113</v>
      </c>
      <c r="M122" s="5">
        <v>1.0</v>
      </c>
    </row>
    <row r="123" ht="22.5" customHeight="1">
      <c r="A123" s="5" t="s">
        <v>805</v>
      </c>
      <c r="B123" s="5" t="s">
        <v>22</v>
      </c>
      <c r="C123" s="6">
        <v>7.0</v>
      </c>
      <c r="D123" s="6">
        <v>26.0</v>
      </c>
      <c r="E123" s="6">
        <v>8.0</v>
      </c>
      <c r="F123" s="6">
        <v>54.0</v>
      </c>
      <c r="G123" s="6">
        <v>26.0</v>
      </c>
      <c r="H123" s="6">
        <v>16.0</v>
      </c>
      <c r="I123" s="6">
        <v>3.0</v>
      </c>
      <c r="J123" s="9">
        <v>45634.0</v>
      </c>
      <c r="K123" s="6">
        <v>8.0</v>
      </c>
      <c r="L123" s="5" t="s">
        <v>62</v>
      </c>
      <c r="M123" s="5">
        <v>0.0</v>
      </c>
    </row>
    <row r="124" ht="22.5" customHeight="1">
      <c r="A124" s="5" t="s">
        <v>811</v>
      </c>
      <c r="B124" s="5" t="s">
        <v>22</v>
      </c>
      <c r="C124" s="6">
        <v>7.0</v>
      </c>
      <c r="D124" s="6">
        <v>32.0</v>
      </c>
      <c r="E124" s="6">
        <v>3.0</v>
      </c>
      <c r="F124" s="6">
        <v>24.0</v>
      </c>
      <c r="G124" s="6">
        <v>40.0</v>
      </c>
      <c r="H124" s="6">
        <v>12.0</v>
      </c>
      <c r="I124" s="6">
        <v>0.0</v>
      </c>
      <c r="J124" s="9">
        <v>45045.0</v>
      </c>
      <c r="K124" s="6">
        <v>4.0</v>
      </c>
      <c r="L124" s="5" t="s">
        <v>113</v>
      </c>
      <c r="M124" s="5">
        <v>1.0</v>
      </c>
    </row>
    <row r="125" ht="22.5" customHeight="1">
      <c r="A125" s="5" t="s">
        <v>815</v>
      </c>
      <c r="B125" s="5" t="s">
        <v>84</v>
      </c>
      <c r="C125" s="6">
        <v>8.0</v>
      </c>
      <c r="D125" s="6">
        <v>37.0</v>
      </c>
      <c r="E125" s="6">
        <v>12.0</v>
      </c>
      <c r="F125" s="6">
        <v>57.0</v>
      </c>
      <c r="G125" s="6">
        <v>35.0</v>
      </c>
      <c r="H125" s="6">
        <v>8.0</v>
      </c>
      <c r="I125" s="6">
        <v>2.0</v>
      </c>
      <c r="J125" s="11"/>
      <c r="K125" s="6">
        <v>8.0</v>
      </c>
      <c r="L125" s="5" t="s">
        <v>113</v>
      </c>
      <c r="M125" s="5">
        <v>1.0</v>
      </c>
    </row>
    <row r="126" ht="22.5" customHeight="1">
      <c r="A126" s="5" t="s">
        <v>819</v>
      </c>
      <c r="B126" s="5" t="s">
        <v>65</v>
      </c>
      <c r="C126" s="6">
        <v>9.0</v>
      </c>
      <c r="D126" s="6">
        <v>40.0</v>
      </c>
      <c r="E126" s="6">
        <v>12.0</v>
      </c>
      <c r="F126" s="6">
        <v>51.0</v>
      </c>
      <c r="G126" s="6">
        <v>20.0</v>
      </c>
      <c r="H126" s="6">
        <v>16.0</v>
      </c>
      <c r="I126" s="6">
        <v>5.0</v>
      </c>
      <c r="J126" s="9">
        <v>44474.0</v>
      </c>
      <c r="K126" s="6">
        <v>6.0</v>
      </c>
      <c r="L126" s="5" t="s">
        <v>113</v>
      </c>
      <c r="M126" s="5">
        <v>1.0</v>
      </c>
    </row>
    <row r="127" ht="22.5" customHeight="1">
      <c r="A127" s="5" t="s">
        <v>822</v>
      </c>
      <c r="B127" s="5" t="s">
        <v>44</v>
      </c>
      <c r="C127" s="6">
        <v>7.0</v>
      </c>
      <c r="D127" s="6">
        <v>19.0</v>
      </c>
      <c r="E127" s="6">
        <v>16.0</v>
      </c>
      <c r="F127" s="6">
        <v>41.0</v>
      </c>
      <c r="G127" s="6">
        <v>22.0</v>
      </c>
      <c r="H127" s="6">
        <v>18.0</v>
      </c>
      <c r="I127" s="6">
        <v>2.0</v>
      </c>
      <c r="J127" s="11"/>
      <c r="K127" s="6">
        <v>3.0</v>
      </c>
      <c r="L127" s="5" t="s">
        <v>113</v>
      </c>
      <c r="M127" s="5">
        <v>1.0</v>
      </c>
    </row>
    <row r="128" ht="22.5" customHeight="1">
      <c r="A128" s="5" t="s">
        <v>826</v>
      </c>
      <c r="B128" s="5" t="s">
        <v>170</v>
      </c>
      <c r="C128" s="6">
        <v>4.0</v>
      </c>
      <c r="D128" s="6">
        <v>9.0</v>
      </c>
      <c r="E128" s="6">
        <v>6.0</v>
      </c>
      <c r="F128" s="6">
        <v>27.0</v>
      </c>
      <c r="G128" s="6">
        <v>16.0</v>
      </c>
      <c r="H128" s="6">
        <v>7.0</v>
      </c>
      <c r="I128" s="6">
        <v>1.0</v>
      </c>
      <c r="J128" s="9">
        <v>45671.0</v>
      </c>
      <c r="K128" s="6">
        <v>8.0</v>
      </c>
      <c r="L128" s="5" t="s">
        <v>62</v>
      </c>
      <c r="M128" s="5">
        <v>0.0</v>
      </c>
    </row>
    <row r="129" ht="22.5" customHeight="1">
      <c r="A129" s="5" t="s">
        <v>830</v>
      </c>
      <c r="B129" s="5" t="s">
        <v>84</v>
      </c>
      <c r="C129" s="6">
        <v>8.0</v>
      </c>
      <c r="D129" s="6">
        <v>35.0</v>
      </c>
      <c r="E129" s="6">
        <v>19.0</v>
      </c>
      <c r="F129" s="6">
        <v>56.0</v>
      </c>
      <c r="G129" s="6">
        <v>18.0</v>
      </c>
      <c r="H129" s="6">
        <v>11.0</v>
      </c>
      <c r="I129" s="6">
        <v>4.0</v>
      </c>
      <c r="J129" s="9">
        <v>45632.0</v>
      </c>
      <c r="K129" s="6">
        <v>7.0</v>
      </c>
      <c r="L129" s="5" t="s">
        <v>62</v>
      </c>
      <c r="M129" s="5">
        <v>0.0</v>
      </c>
    </row>
    <row r="130" ht="22.5" customHeight="1">
      <c r="A130" s="5" t="s">
        <v>834</v>
      </c>
      <c r="B130" s="5" t="s">
        <v>22</v>
      </c>
      <c r="C130" s="6">
        <v>6.0</v>
      </c>
      <c r="D130" s="6">
        <v>25.0</v>
      </c>
      <c r="E130" s="6">
        <v>3.0</v>
      </c>
      <c r="F130" s="6">
        <v>7.0</v>
      </c>
      <c r="G130" s="6">
        <v>10.0</v>
      </c>
      <c r="H130" s="6">
        <v>7.0</v>
      </c>
      <c r="I130" s="6">
        <v>1.0</v>
      </c>
      <c r="J130" s="9">
        <v>45979.0</v>
      </c>
      <c r="K130" s="6">
        <v>4.0</v>
      </c>
      <c r="L130" s="5" t="s">
        <v>62</v>
      </c>
      <c r="M130" s="5">
        <v>0.0</v>
      </c>
    </row>
    <row r="131" ht="22.5" customHeight="1">
      <c r="A131" s="5" t="s">
        <v>837</v>
      </c>
      <c r="B131" s="5" t="s">
        <v>22</v>
      </c>
      <c r="C131" s="6">
        <v>6.0</v>
      </c>
      <c r="D131" s="6">
        <v>14.0</v>
      </c>
      <c r="E131" s="6">
        <v>6.0</v>
      </c>
      <c r="F131" s="6">
        <v>30.0</v>
      </c>
      <c r="G131" s="6">
        <v>24.0</v>
      </c>
      <c r="H131" s="6">
        <v>13.0</v>
      </c>
      <c r="I131" s="6">
        <v>4.0</v>
      </c>
      <c r="J131" s="9">
        <v>45006.0</v>
      </c>
      <c r="K131" s="6">
        <v>3.0</v>
      </c>
      <c r="L131" s="5" t="s">
        <v>113</v>
      </c>
      <c r="M131" s="5">
        <v>1.0</v>
      </c>
    </row>
    <row r="132" ht="22.5" customHeight="1">
      <c r="A132" s="5" t="s">
        <v>841</v>
      </c>
      <c r="B132" s="5" t="s">
        <v>22</v>
      </c>
      <c r="C132" s="6">
        <v>8.0</v>
      </c>
      <c r="D132" s="6">
        <v>37.0</v>
      </c>
      <c r="E132" s="6">
        <v>3.0</v>
      </c>
      <c r="F132" s="6">
        <v>35.0</v>
      </c>
      <c r="G132" s="6">
        <v>37.0</v>
      </c>
      <c r="H132" s="6">
        <v>17.0</v>
      </c>
      <c r="I132" s="6">
        <v>4.0</v>
      </c>
      <c r="J132" s="9">
        <v>45198.0</v>
      </c>
      <c r="K132" s="6">
        <v>3.0</v>
      </c>
      <c r="L132" s="5" t="s">
        <v>62</v>
      </c>
      <c r="M132" s="5">
        <v>0.0</v>
      </c>
    </row>
    <row r="133" ht="22.5" customHeight="1">
      <c r="A133" s="5" t="s">
        <v>845</v>
      </c>
      <c r="B133" s="5" t="s">
        <v>22</v>
      </c>
      <c r="C133" s="6">
        <v>5.0</v>
      </c>
      <c r="D133" s="6">
        <v>18.0</v>
      </c>
      <c r="E133" s="6">
        <v>7.0</v>
      </c>
      <c r="F133" s="6">
        <v>22.0</v>
      </c>
      <c r="G133" s="6">
        <v>28.0</v>
      </c>
      <c r="H133" s="6">
        <v>9.0</v>
      </c>
      <c r="I133" s="6">
        <v>2.0</v>
      </c>
      <c r="J133" s="9">
        <v>44494.0</v>
      </c>
      <c r="K133" s="6">
        <v>4.0</v>
      </c>
      <c r="L133" s="5" t="s">
        <v>113</v>
      </c>
      <c r="M133" s="5">
        <v>1.0</v>
      </c>
    </row>
    <row r="134" ht="22.5" customHeight="1">
      <c r="A134" s="5" t="s">
        <v>849</v>
      </c>
      <c r="B134" s="5" t="s">
        <v>44</v>
      </c>
      <c r="C134" s="6">
        <v>10.0</v>
      </c>
      <c r="D134" s="6">
        <v>45.0</v>
      </c>
      <c r="E134" s="6">
        <v>3.0</v>
      </c>
      <c r="F134" s="6">
        <v>59.0</v>
      </c>
      <c r="G134" s="6">
        <v>36.0</v>
      </c>
      <c r="H134" s="6">
        <v>20.0</v>
      </c>
      <c r="I134" s="6">
        <v>1.0</v>
      </c>
      <c r="J134" s="9">
        <v>44738.0</v>
      </c>
      <c r="K134" s="6">
        <v>3.0</v>
      </c>
      <c r="L134" s="5" t="s">
        <v>113</v>
      </c>
      <c r="M134" s="5">
        <v>1.0</v>
      </c>
    </row>
    <row r="135" ht="22.5" customHeight="1">
      <c r="A135" s="5" t="s">
        <v>854</v>
      </c>
      <c r="B135" s="5" t="s">
        <v>22</v>
      </c>
      <c r="C135" s="6">
        <v>5.0</v>
      </c>
      <c r="D135" s="6">
        <v>26.0</v>
      </c>
      <c r="E135" s="6">
        <v>12.0</v>
      </c>
      <c r="F135" s="6">
        <v>14.0</v>
      </c>
      <c r="G135" s="6">
        <v>34.0</v>
      </c>
      <c r="H135" s="8"/>
      <c r="I135" s="6">
        <v>3.0</v>
      </c>
      <c r="J135" s="9">
        <v>45807.0</v>
      </c>
      <c r="K135" s="6">
        <v>6.0</v>
      </c>
      <c r="L135" s="5" t="s">
        <v>62</v>
      </c>
      <c r="M135" s="5">
        <v>0.0</v>
      </c>
    </row>
    <row r="136" ht="22.5" customHeight="1">
      <c r="A136" s="5" t="s">
        <v>857</v>
      </c>
      <c r="B136" s="5" t="s">
        <v>84</v>
      </c>
      <c r="C136" s="6">
        <v>6.0</v>
      </c>
      <c r="D136" s="6">
        <v>14.0</v>
      </c>
      <c r="E136" s="6">
        <v>8.0</v>
      </c>
      <c r="F136" s="6">
        <v>13.0</v>
      </c>
      <c r="G136" s="6">
        <v>21.0</v>
      </c>
      <c r="H136" s="6">
        <v>7.0</v>
      </c>
      <c r="I136" s="6">
        <v>5.0</v>
      </c>
      <c r="J136" s="9">
        <v>44843.0</v>
      </c>
      <c r="K136" s="6">
        <v>4.0</v>
      </c>
      <c r="L136" s="5" t="s">
        <v>113</v>
      </c>
      <c r="M136" s="5">
        <v>1.0</v>
      </c>
    </row>
    <row r="137" ht="22.5" customHeight="1">
      <c r="A137" s="5" t="s">
        <v>861</v>
      </c>
      <c r="B137" s="5" t="s">
        <v>65</v>
      </c>
      <c r="C137" s="6">
        <v>3.0</v>
      </c>
      <c r="D137" s="6">
        <v>5.0</v>
      </c>
      <c r="E137" s="6">
        <v>3.0</v>
      </c>
      <c r="F137" s="6">
        <v>48.0</v>
      </c>
      <c r="G137" s="6">
        <v>19.0</v>
      </c>
      <c r="H137" s="6">
        <v>7.0</v>
      </c>
      <c r="I137" s="6">
        <v>2.0</v>
      </c>
      <c r="J137" s="9">
        <v>45911.0</v>
      </c>
      <c r="K137" s="6">
        <v>6.0</v>
      </c>
      <c r="L137" s="5" t="s">
        <v>62</v>
      </c>
      <c r="M137" s="5">
        <v>0.0</v>
      </c>
    </row>
    <row r="138" ht="22.5" customHeight="1">
      <c r="A138" s="5" t="s">
        <v>864</v>
      </c>
      <c r="B138" s="5" t="s">
        <v>22</v>
      </c>
      <c r="C138" s="6">
        <v>7.0</v>
      </c>
      <c r="D138" s="6">
        <v>35.0</v>
      </c>
      <c r="E138" s="6">
        <v>10.0</v>
      </c>
      <c r="F138" s="6">
        <v>36.0</v>
      </c>
      <c r="G138" s="6">
        <v>19.0</v>
      </c>
      <c r="H138" s="6">
        <v>13.0</v>
      </c>
      <c r="I138" s="6">
        <v>5.0</v>
      </c>
      <c r="J138" s="9">
        <v>45883.0</v>
      </c>
      <c r="K138" s="6">
        <v>6.0</v>
      </c>
      <c r="L138" s="5" t="s">
        <v>62</v>
      </c>
      <c r="M138" s="5">
        <v>0.0</v>
      </c>
    </row>
    <row r="139" ht="22.5" customHeight="1">
      <c r="A139" s="5" t="s">
        <v>871</v>
      </c>
      <c r="B139" s="5" t="s">
        <v>44</v>
      </c>
      <c r="C139" s="6">
        <v>4.0</v>
      </c>
      <c r="D139" s="6">
        <v>17.0</v>
      </c>
      <c r="E139" s="6">
        <v>15.0</v>
      </c>
      <c r="F139" s="6">
        <v>53.0</v>
      </c>
      <c r="G139" s="6">
        <v>11.0</v>
      </c>
      <c r="H139" s="6">
        <v>10.0</v>
      </c>
      <c r="I139" s="6">
        <v>5.0</v>
      </c>
      <c r="J139" s="9">
        <v>44791.0</v>
      </c>
      <c r="K139" s="6">
        <v>1.0</v>
      </c>
      <c r="L139" s="5" t="s">
        <v>113</v>
      </c>
      <c r="M139" s="5">
        <v>1.0</v>
      </c>
    </row>
    <row r="140" ht="22.5" customHeight="1">
      <c r="A140" s="5" t="s">
        <v>876</v>
      </c>
      <c r="B140" s="5" t="s">
        <v>44</v>
      </c>
      <c r="C140" s="6">
        <v>7.0</v>
      </c>
      <c r="D140" s="6">
        <v>33.0</v>
      </c>
      <c r="E140" s="6">
        <v>9.0</v>
      </c>
      <c r="F140" s="6">
        <v>39.0</v>
      </c>
      <c r="G140" s="6">
        <v>25.0</v>
      </c>
      <c r="H140" s="6">
        <v>1.0</v>
      </c>
      <c r="I140" s="6">
        <v>1.0</v>
      </c>
      <c r="J140" s="9">
        <v>45717.0</v>
      </c>
      <c r="K140" s="6">
        <v>9.0</v>
      </c>
      <c r="L140" s="5" t="s">
        <v>62</v>
      </c>
      <c r="M140" s="5">
        <v>0.0</v>
      </c>
    </row>
    <row r="141" ht="22.5" customHeight="1">
      <c r="A141" s="5" t="s">
        <v>881</v>
      </c>
      <c r="B141" s="5" t="s">
        <v>22</v>
      </c>
      <c r="C141" s="6">
        <v>3.0</v>
      </c>
      <c r="D141" s="6">
        <v>16.0</v>
      </c>
      <c r="E141" s="6">
        <v>2.0</v>
      </c>
      <c r="F141" s="6">
        <v>6.0</v>
      </c>
      <c r="G141" s="6">
        <v>10.0</v>
      </c>
      <c r="H141" s="6">
        <v>17.0</v>
      </c>
      <c r="I141" s="6">
        <v>4.0</v>
      </c>
      <c r="J141" s="9">
        <v>44961.0</v>
      </c>
      <c r="K141" s="6">
        <v>2.0</v>
      </c>
      <c r="L141" s="5" t="s">
        <v>113</v>
      </c>
      <c r="M141" s="5">
        <v>1.0</v>
      </c>
    </row>
    <row r="142" ht="22.5" customHeight="1">
      <c r="A142" s="5" t="s">
        <v>884</v>
      </c>
      <c r="B142" s="5" t="s">
        <v>84</v>
      </c>
      <c r="C142" s="6">
        <v>4.0</v>
      </c>
      <c r="D142" s="6">
        <v>20.0</v>
      </c>
      <c r="E142" s="6">
        <v>6.0</v>
      </c>
      <c r="F142" s="6">
        <v>38.0</v>
      </c>
      <c r="G142" s="6">
        <v>30.0</v>
      </c>
      <c r="H142" s="6">
        <v>14.0</v>
      </c>
      <c r="I142" s="6">
        <v>1.0</v>
      </c>
      <c r="J142" s="9">
        <v>45044.0</v>
      </c>
      <c r="K142" s="6">
        <v>1.0</v>
      </c>
      <c r="L142" s="5" t="s">
        <v>113</v>
      </c>
      <c r="M142" s="5">
        <v>1.0</v>
      </c>
    </row>
    <row r="143" ht="22.5" customHeight="1">
      <c r="A143" s="5" t="s">
        <v>889</v>
      </c>
      <c r="B143" s="5" t="s">
        <v>22</v>
      </c>
      <c r="C143" s="6">
        <v>6.0</v>
      </c>
      <c r="D143" s="6">
        <v>35.0</v>
      </c>
      <c r="E143" s="6">
        <v>10.0</v>
      </c>
      <c r="F143" s="6">
        <v>49.0</v>
      </c>
      <c r="G143" s="6">
        <v>26.0</v>
      </c>
      <c r="H143" s="8"/>
      <c r="I143" s="6">
        <v>5.0</v>
      </c>
      <c r="J143" s="9">
        <v>45777.0</v>
      </c>
      <c r="K143" s="6">
        <v>7.0</v>
      </c>
      <c r="L143" s="5" t="s">
        <v>62</v>
      </c>
      <c r="M143" s="5">
        <v>0.0</v>
      </c>
    </row>
    <row r="144" ht="22.5" customHeight="1">
      <c r="A144" s="5" t="s">
        <v>892</v>
      </c>
      <c r="B144" s="5" t="s">
        <v>22</v>
      </c>
      <c r="C144" s="6">
        <v>4.0</v>
      </c>
      <c r="D144" s="6">
        <v>16.0</v>
      </c>
      <c r="E144" s="6">
        <v>5.0</v>
      </c>
      <c r="F144" s="6">
        <v>14.0</v>
      </c>
      <c r="G144" s="6">
        <v>29.0</v>
      </c>
      <c r="H144" s="6">
        <v>16.0</v>
      </c>
      <c r="I144" s="6">
        <v>4.0</v>
      </c>
      <c r="J144" s="9">
        <v>45236.0</v>
      </c>
      <c r="K144" s="6">
        <v>3.0</v>
      </c>
      <c r="L144" s="5" t="s">
        <v>62</v>
      </c>
      <c r="M144" s="5">
        <v>0.0</v>
      </c>
    </row>
    <row r="145" ht="22.5" customHeight="1">
      <c r="A145" s="5" t="s">
        <v>897</v>
      </c>
      <c r="B145" s="5" t="s">
        <v>170</v>
      </c>
      <c r="C145" s="6">
        <v>5.0</v>
      </c>
      <c r="D145" s="6">
        <v>18.0</v>
      </c>
      <c r="E145" s="6">
        <v>3.0</v>
      </c>
      <c r="F145" s="6">
        <v>13.0</v>
      </c>
      <c r="G145" s="6">
        <v>33.0</v>
      </c>
      <c r="H145" s="6">
        <v>6.0</v>
      </c>
      <c r="I145" s="6">
        <v>3.0</v>
      </c>
      <c r="J145" s="9">
        <v>45911.0</v>
      </c>
      <c r="K145" s="6">
        <v>9.0</v>
      </c>
      <c r="L145" s="5" t="s">
        <v>62</v>
      </c>
      <c r="M145" s="5">
        <v>0.0</v>
      </c>
    </row>
    <row r="146" ht="22.5" customHeight="1">
      <c r="A146" s="5" t="s">
        <v>901</v>
      </c>
      <c r="B146" s="5" t="s">
        <v>84</v>
      </c>
      <c r="C146" s="6">
        <v>6.0</v>
      </c>
      <c r="D146" s="6">
        <v>20.0</v>
      </c>
      <c r="E146" s="6">
        <v>13.0</v>
      </c>
      <c r="F146" s="6">
        <v>58.0</v>
      </c>
      <c r="G146" s="6">
        <v>27.0</v>
      </c>
      <c r="H146" s="6">
        <v>12.0</v>
      </c>
      <c r="I146" s="6">
        <v>4.0</v>
      </c>
      <c r="J146" s="9">
        <v>45639.0</v>
      </c>
      <c r="K146" s="6">
        <v>10.0</v>
      </c>
      <c r="L146" s="5" t="s">
        <v>62</v>
      </c>
      <c r="M146" s="5">
        <v>0.0</v>
      </c>
    </row>
    <row r="147" ht="22.5" customHeight="1">
      <c r="A147" s="5" t="s">
        <v>906</v>
      </c>
      <c r="B147" s="5" t="s">
        <v>84</v>
      </c>
      <c r="C147" s="6">
        <v>7.0</v>
      </c>
      <c r="D147" s="6">
        <v>15.0</v>
      </c>
      <c r="E147" s="6">
        <v>5.0</v>
      </c>
      <c r="F147" s="6">
        <v>51.0</v>
      </c>
      <c r="G147" s="6">
        <v>38.0</v>
      </c>
      <c r="H147" s="6">
        <v>17.0</v>
      </c>
      <c r="I147" s="6">
        <v>4.0</v>
      </c>
      <c r="J147" s="9">
        <v>46002.0</v>
      </c>
      <c r="K147" s="6">
        <v>9.0</v>
      </c>
      <c r="L147" s="5" t="s">
        <v>62</v>
      </c>
      <c r="M147" s="5">
        <v>0.0</v>
      </c>
    </row>
    <row r="148" ht="22.5" customHeight="1">
      <c r="A148" s="5" t="s">
        <v>910</v>
      </c>
      <c r="B148" s="5" t="s">
        <v>170</v>
      </c>
      <c r="C148" s="6">
        <v>4.0</v>
      </c>
      <c r="D148" s="6">
        <v>16.0</v>
      </c>
      <c r="E148" s="6">
        <v>15.0</v>
      </c>
      <c r="F148" s="6">
        <v>33.0</v>
      </c>
      <c r="G148" s="6">
        <v>30.0</v>
      </c>
      <c r="H148" s="6">
        <v>3.0</v>
      </c>
      <c r="I148" s="6">
        <v>0.0</v>
      </c>
      <c r="J148" s="9">
        <v>45996.0</v>
      </c>
      <c r="K148" s="6">
        <v>8.0</v>
      </c>
      <c r="L148" s="5" t="s">
        <v>62</v>
      </c>
      <c r="M148" s="5">
        <v>0.0</v>
      </c>
    </row>
    <row r="149" ht="22.5" customHeight="1">
      <c r="A149" s="5" t="s">
        <v>915</v>
      </c>
      <c r="B149" s="5" t="s">
        <v>22</v>
      </c>
      <c r="C149" s="6">
        <v>4.0</v>
      </c>
      <c r="D149" s="6">
        <v>11.0</v>
      </c>
      <c r="E149" s="6">
        <v>4.0</v>
      </c>
      <c r="F149" s="6">
        <v>10.0</v>
      </c>
      <c r="G149" s="6">
        <v>19.0</v>
      </c>
      <c r="H149" s="6">
        <v>5.0</v>
      </c>
      <c r="I149" s="6">
        <v>3.0</v>
      </c>
      <c r="J149" s="9">
        <v>46152.0</v>
      </c>
      <c r="K149" s="6">
        <v>8.0</v>
      </c>
      <c r="L149" s="5" t="s">
        <v>62</v>
      </c>
      <c r="M149" s="5">
        <v>0.0</v>
      </c>
    </row>
    <row r="150" ht="22.5" customHeight="1">
      <c r="A150" s="5" t="s">
        <v>919</v>
      </c>
      <c r="B150" s="5" t="s">
        <v>44</v>
      </c>
      <c r="C150" s="6">
        <v>5.0</v>
      </c>
      <c r="D150" s="6">
        <v>28.0</v>
      </c>
      <c r="E150" s="6">
        <v>5.0</v>
      </c>
      <c r="F150" s="6">
        <v>13.0</v>
      </c>
      <c r="G150" s="6">
        <v>23.0</v>
      </c>
      <c r="H150" s="6">
        <v>3.0</v>
      </c>
      <c r="I150" s="6">
        <v>3.0</v>
      </c>
      <c r="J150" s="9">
        <v>45860.0</v>
      </c>
      <c r="K150" s="6">
        <v>8.0</v>
      </c>
      <c r="L150" s="5" t="s">
        <v>62</v>
      </c>
      <c r="M150" s="5">
        <v>0.0</v>
      </c>
    </row>
    <row r="151" ht="22.5" customHeight="1">
      <c r="A151" s="5" t="s">
        <v>922</v>
      </c>
      <c r="B151" s="5" t="s">
        <v>22</v>
      </c>
      <c r="C151" s="6">
        <v>6.0</v>
      </c>
      <c r="D151" s="6">
        <v>25.0</v>
      </c>
      <c r="E151" s="6">
        <v>4.0</v>
      </c>
      <c r="F151" s="6">
        <v>51.0</v>
      </c>
      <c r="G151" s="6">
        <v>10.0</v>
      </c>
      <c r="H151" s="6">
        <v>4.0</v>
      </c>
      <c r="I151" s="6">
        <v>3.0</v>
      </c>
      <c r="J151" s="9">
        <v>45041.0</v>
      </c>
      <c r="K151" s="6">
        <v>3.0</v>
      </c>
      <c r="L151" s="5" t="s">
        <v>113</v>
      </c>
      <c r="M151" s="5">
        <v>1.0</v>
      </c>
    </row>
    <row r="152" ht="22.5" customHeight="1">
      <c r="A152" s="5" t="s">
        <v>924</v>
      </c>
      <c r="B152" s="5" t="s">
        <v>22</v>
      </c>
      <c r="C152" s="6">
        <v>5.0</v>
      </c>
      <c r="D152" s="6">
        <v>21.0</v>
      </c>
      <c r="E152" s="6">
        <v>6.0</v>
      </c>
      <c r="F152" s="6">
        <v>48.0</v>
      </c>
      <c r="G152" s="6">
        <v>18.0</v>
      </c>
      <c r="H152" s="6">
        <v>11.0</v>
      </c>
      <c r="I152" s="6">
        <v>3.0</v>
      </c>
      <c r="J152" s="9">
        <v>45516.0</v>
      </c>
      <c r="K152" s="6">
        <v>3.0</v>
      </c>
      <c r="L152" s="5" t="s">
        <v>62</v>
      </c>
      <c r="M152" s="5">
        <v>0.0</v>
      </c>
    </row>
    <row r="153" ht="22.5" customHeight="1">
      <c r="A153" s="5" t="s">
        <v>928</v>
      </c>
      <c r="B153" s="5" t="s">
        <v>84</v>
      </c>
      <c r="C153" s="6">
        <v>3.0</v>
      </c>
      <c r="D153" s="6">
        <v>9.0</v>
      </c>
      <c r="E153" s="6">
        <v>8.0</v>
      </c>
      <c r="F153" s="6">
        <v>45.0</v>
      </c>
      <c r="G153" s="6">
        <v>22.0</v>
      </c>
      <c r="H153" s="8"/>
      <c r="I153" s="6">
        <v>4.0</v>
      </c>
      <c r="J153" s="9">
        <v>44429.0</v>
      </c>
      <c r="K153" s="6">
        <v>5.0</v>
      </c>
      <c r="L153" s="5" t="s">
        <v>113</v>
      </c>
      <c r="M153" s="5">
        <v>1.0</v>
      </c>
    </row>
    <row r="154" ht="22.5" customHeight="1">
      <c r="A154" s="5" t="s">
        <v>931</v>
      </c>
      <c r="B154" s="5" t="s">
        <v>44</v>
      </c>
      <c r="C154" s="6">
        <v>7.0</v>
      </c>
      <c r="D154" s="6">
        <v>12.0</v>
      </c>
      <c r="E154" s="6">
        <v>3.0</v>
      </c>
      <c r="F154" s="6">
        <v>9.0</v>
      </c>
      <c r="G154" s="6">
        <v>29.0</v>
      </c>
      <c r="H154" s="6">
        <v>10.0</v>
      </c>
      <c r="I154" s="6">
        <v>4.0</v>
      </c>
      <c r="J154" s="11"/>
      <c r="K154" s="6">
        <v>9.0</v>
      </c>
      <c r="L154" s="5" t="s">
        <v>113</v>
      </c>
      <c r="M154" s="5">
        <v>1.0</v>
      </c>
    </row>
    <row r="155" ht="22.5" customHeight="1">
      <c r="A155" s="5" t="s">
        <v>934</v>
      </c>
      <c r="B155" s="5" t="s">
        <v>22</v>
      </c>
      <c r="C155" s="6">
        <v>7.0</v>
      </c>
      <c r="D155" s="6">
        <v>11.0</v>
      </c>
      <c r="E155" s="6">
        <v>3.0</v>
      </c>
      <c r="F155" s="6">
        <v>29.0</v>
      </c>
      <c r="G155" s="6">
        <v>19.0</v>
      </c>
      <c r="H155" s="6">
        <v>19.0</v>
      </c>
      <c r="I155" s="6">
        <v>0.0</v>
      </c>
      <c r="J155" s="9">
        <v>45135.0</v>
      </c>
      <c r="K155" s="6">
        <v>4.0</v>
      </c>
      <c r="L155" s="5" t="s">
        <v>113</v>
      </c>
      <c r="M155" s="5">
        <v>1.0</v>
      </c>
    </row>
    <row r="156" ht="22.5" customHeight="1">
      <c r="A156" s="5" t="s">
        <v>936</v>
      </c>
      <c r="B156" s="5" t="s">
        <v>65</v>
      </c>
      <c r="C156" s="6">
        <v>9.0</v>
      </c>
      <c r="D156" s="6">
        <v>31.0</v>
      </c>
      <c r="E156" s="6">
        <v>1.0</v>
      </c>
      <c r="F156" s="6">
        <v>55.0</v>
      </c>
      <c r="G156" s="6">
        <v>15.0</v>
      </c>
      <c r="H156" s="6">
        <v>5.0</v>
      </c>
      <c r="I156" s="6">
        <v>5.0</v>
      </c>
      <c r="J156" s="9">
        <v>44695.0</v>
      </c>
      <c r="K156" s="6">
        <v>2.0</v>
      </c>
      <c r="L156" s="5" t="s">
        <v>113</v>
      </c>
      <c r="M156" s="5">
        <v>1.0</v>
      </c>
    </row>
    <row r="157" ht="22.5" customHeight="1">
      <c r="A157" s="5" t="s">
        <v>940</v>
      </c>
      <c r="B157" s="5" t="s">
        <v>65</v>
      </c>
      <c r="C157" s="6">
        <v>2.0</v>
      </c>
      <c r="D157" s="6">
        <v>4.0</v>
      </c>
      <c r="E157" s="6">
        <v>1.0</v>
      </c>
      <c r="F157" s="6">
        <v>31.0</v>
      </c>
      <c r="G157" s="6">
        <v>10.0</v>
      </c>
      <c r="H157" s="6">
        <v>4.0</v>
      </c>
      <c r="I157" s="6">
        <v>3.0</v>
      </c>
      <c r="J157" s="9">
        <v>45563.0</v>
      </c>
      <c r="K157" s="6">
        <v>7.0</v>
      </c>
      <c r="L157" s="5" t="s">
        <v>62</v>
      </c>
      <c r="M157" s="5">
        <v>0.0</v>
      </c>
    </row>
    <row r="158" ht="22.5" customHeight="1">
      <c r="A158" s="5" t="s">
        <v>943</v>
      </c>
      <c r="B158" s="5" t="s">
        <v>22</v>
      </c>
      <c r="C158" s="6">
        <v>7.0</v>
      </c>
      <c r="D158" s="6">
        <v>30.0</v>
      </c>
      <c r="E158" s="6">
        <v>2.0</v>
      </c>
      <c r="F158" s="6">
        <v>24.0</v>
      </c>
      <c r="G158" s="6">
        <v>20.0</v>
      </c>
      <c r="H158" s="6">
        <v>4.0</v>
      </c>
      <c r="I158" s="6">
        <v>4.0</v>
      </c>
      <c r="J158" s="9">
        <v>45119.0</v>
      </c>
      <c r="K158" s="6">
        <v>2.0</v>
      </c>
      <c r="L158" s="5" t="s">
        <v>113</v>
      </c>
      <c r="M158" s="5">
        <v>1.0</v>
      </c>
    </row>
    <row r="159" ht="22.5" customHeight="1">
      <c r="A159" s="5" t="s">
        <v>947</v>
      </c>
      <c r="B159" s="5" t="s">
        <v>65</v>
      </c>
      <c r="C159" s="6">
        <v>3.0</v>
      </c>
      <c r="D159" s="6">
        <v>16.0</v>
      </c>
      <c r="E159" s="6">
        <v>4.0</v>
      </c>
      <c r="F159" s="6">
        <v>46.0</v>
      </c>
      <c r="G159" s="6">
        <v>41.0</v>
      </c>
      <c r="H159" s="6">
        <v>4.0</v>
      </c>
      <c r="I159" s="6">
        <v>0.0</v>
      </c>
      <c r="J159" s="9">
        <v>46140.0</v>
      </c>
      <c r="K159" s="6">
        <v>9.0</v>
      </c>
      <c r="L159" s="5" t="s">
        <v>62</v>
      </c>
      <c r="M159" s="5">
        <v>0.0</v>
      </c>
    </row>
    <row r="160" ht="22.5" customHeight="1">
      <c r="A160" s="5" t="s">
        <v>950</v>
      </c>
      <c r="B160" s="5" t="s">
        <v>22</v>
      </c>
      <c r="C160" s="6">
        <v>6.0</v>
      </c>
      <c r="D160" s="6">
        <v>33.0</v>
      </c>
      <c r="E160" s="6">
        <v>7.0</v>
      </c>
      <c r="F160" s="6">
        <v>23.0</v>
      </c>
      <c r="G160" s="6">
        <v>27.0</v>
      </c>
      <c r="H160" s="6">
        <v>14.0</v>
      </c>
      <c r="I160" s="6">
        <v>0.0</v>
      </c>
      <c r="J160" s="9">
        <v>45119.0</v>
      </c>
      <c r="K160" s="6">
        <v>3.0</v>
      </c>
      <c r="L160" s="5" t="s">
        <v>113</v>
      </c>
      <c r="M160" s="5">
        <v>1.0</v>
      </c>
    </row>
    <row r="161" ht="22.5" customHeight="1">
      <c r="A161" s="5" t="s">
        <v>954</v>
      </c>
      <c r="B161" s="5" t="s">
        <v>65</v>
      </c>
      <c r="C161" s="6">
        <v>3.0</v>
      </c>
      <c r="D161" s="6">
        <v>13.0</v>
      </c>
      <c r="E161" s="6">
        <v>8.0</v>
      </c>
      <c r="F161" s="6">
        <v>56.0</v>
      </c>
      <c r="G161" s="6">
        <v>33.0</v>
      </c>
      <c r="H161" s="6">
        <v>15.0</v>
      </c>
      <c r="I161" s="6">
        <v>2.0</v>
      </c>
      <c r="J161" s="9">
        <v>45209.0</v>
      </c>
      <c r="K161" s="6">
        <v>3.0</v>
      </c>
      <c r="L161" s="5" t="s">
        <v>62</v>
      </c>
      <c r="M161" s="5">
        <v>0.0</v>
      </c>
    </row>
    <row r="162" ht="22.5" customHeight="1">
      <c r="A162" s="5" t="s">
        <v>957</v>
      </c>
      <c r="B162" s="5" t="s">
        <v>65</v>
      </c>
      <c r="C162" s="6">
        <v>7.0</v>
      </c>
      <c r="D162" s="6">
        <v>17.0</v>
      </c>
      <c r="E162" s="6">
        <v>7.0</v>
      </c>
      <c r="F162" s="6">
        <v>25.0</v>
      </c>
      <c r="G162" s="6">
        <v>18.0</v>
      </c>
      <c r="H162" s="6">
        <v>2.0</v>
      </c>
      <c r="I162" s="6">
        <v>0.0</v>
      </c>
      <c r="J162" s="9">
        <v>45533.0</v>
      </c>
      <c r="K162" s="6">
        <v>8.0</v>
      </c>
      <c r="L162" s="5" t="s">
        <v>62</v>
      </c>
      <c r="M162" s="5">
        <v>0.0</v>
      </c>
    </row>
    <row r="163" ht="22.5" customHeight="1">
      <c r="A163" s="5" t="s">
        <v>962</v>
      </c>
      <c r="B163" s="5" t="s">
        <v>84</v>
      </c>
      <c r="C163" s="6">
        <v>5.0</v>
      </c>
      <c r="D163" s="6">
        <v>27.0</v>
      </c>
      <c r="E163" s="6">
        <v>14.0</v>
      </c>
      <c r="F163" s="6">
        <v>20.0</v>
      </c>
      <c r="G163" s="6">
        <v>12.0</v>
      </c>
      <c r="H163" s="6">
        <v>5.0</v>
      </c>
      <c r="I163" s="6">
        <v>4.0</v>
      </c>
      <c r="J163" s="9">
        <v>44833.0</v>
      </c>
      <c r="K163" s="6">
        <v>4.0</v>
      </c>
      <c r="L163" s="5" t="s">
        <v>113</v>
      </c>
      <c r="M163" s="5">
        <v>1.0</v>
      </c>
    </row>
    <row r="164" ht="22.5" customHeight="1">
      <c r="A164" s="5" t="s">
        <v>965</v>
      </c>
      <c r="B164" s="5" t="s">
        <v>170</v>
      </c>
      <c r="C164" s="6">
        <v>4.0</v>
      </c>
      <c r="D164" s="6">
        <v>22.0</v>
      </c>
      <c r="E164" s="6">
        <v>17.0</v>
      </c>
      <c r="F164" s="6">
        <v>55.0</v>
      </c>
      <c r="G164" s="6">
        <v>15.0</v>
      </c>
      <c r="H164" s="6">
        <v>19.0</v>
      </c>
      <c r="I164" s="6">
        <v>5.0</v>
      </c>
      <c r="J164" s="9">
        <v>45834.0</v>
      </c>
      <c r="K164" s="6">
        <v>6.0</v>
      </c>
      <c r="L164" s="5" t="s">
        <v>62</v>
      </c>
      <c r="M164" s="5">
        <v>0.0</v>
      </c>
    </row>
    <row r="165" ht="22.5" customHeight="1">
      <c r="A165" s="5" t="s">
        <v>969</v>
      </c>
      <c r="B165" s="5" t="s">
        <v>65</v>
      </c>
      <c r="C165" s="6">
        <v>6.0</v>
      </c>
      <c r="D165" s="6">
        <v>14.0</v>
      </c>
      <c r="E165" s="6">
        <v>5.0</v>
      </c>
      <c r="F165" s="6">
        <v>56.0</v>
      </c>
      <c r="G165" s="6">
        <v>24.0</v>
      </c>
      <c r="H165" s="6">
        <v>6.0</v>
      </c>
      <c r="I165" s="6">
        <v>1.0</v>
      </c>
      <c r="J165" s="9">
        <v>45767.0</v>
      </c>
      <c r="K165" s="6">
        <v>7.0</v>
      </c>
      <c r="L165" s="5" t="s">
        <v>62</v>
      </c>
      <c r="M165" s="5">
        <v>0.0</v>
      </c>
    </row>
    <row r="166" ht="22.5" customHeight="1">
      <c r="A166" s="5" t="s">
        <v>975</v>
      </c>
      <c r="B166" s="5" t="s">
        <v>22</v>
      </c>
      <c r="C166" s="6">
        <v>7.0</v>
      </c>
      <c r="D166" s="6">
        <v>34.0</v>
      </c>
      <c r="E166" s="6">
        <v>3.0</v>
      </c>
      <c r="F166" s="6">
        <v>26.0</v>
      </c>
      <c r="G166" s="6">
        <v>10.0</v>
      </c>
      <c r="H166" s="6">
        <v>5.0</v>
      </c>
      <c r="I166" s="6">
        <v>4.0</v>
      </c>
      <c r="J166" s="9">
        <v>45659.0</v>
      </c>
      <c r="K166" s="6">
        <v>10.0</v>
      </c>
      <c r="L166" s="5" t="s">
        <v>62</v>
      </c>
      <c r="M166" s="5">
        <v>0.0</v>
      </c>
    </row>
    <row r="167" ht="22.5" customHeight="1">
      <c r="A167" s="5" t="s">
        <v>979</v>
      </c>
      <c r="B167" s="5" t="s">
        <v>22</v>
      </c>
      <c r="C167" s="6">
        <v>4.0</v>
      </c>
      <c r="D167" s="6">
        <v>11.0</v>
      </c>
      <c r="E167" s="6">
        <v>20.0</v>
      </c>
      <c r="F167" s="6">
        <v>10.0</v>
      </c>
      <c r="G167" s="6">
        <v>17.0</v>
      </c>
      <c r="H167" s="6">
        <v>8.0</v>
      </c>
      <c r="I167" s="6">
        <v>2.0</v>
      </c>
      <c r="J167" s="9">
        <v>45463.0</v>
      </c>
      <c r="K167" s="6">
        <v>4.0</v>
      </c>
      <c r="L167" s="5" t="s">
        <v>62</v>
      </c>
      <c r="M167" s="5">
        <v>0.0</v>
      </c>
    </row>
    <row r="168" ht="22.5" customHeight="1">
      <c r="A168" s="5" t="s">
        <v>982</v>
      </c>
      <c r="B168" s="5" t="s">
        <v>170</v>
      </c>
      <c r="C168" s="6">
        <v>5.0</v>
      </c>
      <c r="D168" s="6">
        <v>26.0</v>
      </c>
      <c r="E168" s="6">
        <v>12.0</v>
      </c>
      <c r="F168" s="6">
        <v>44.0</v>
      </c>
      <c r="G168" s="6">
        <v>20.0</v>
      </c>
      <c r="H168" s="6">
        <v>7.0</v>
      </c>
      <c r="I168" s="6">
        <v>2.0</v>
      </c>
      <c r="J168" s="9">
        <v>45037.0</v>
      </c>
      <c r="K168" s="6">
        <v>3.0</v>
      </c>
      <c r="L168" s="5" t="s">
        <v>113</v>
      </c>
      <c r="M168" s="5">
        <v>1.0</v>
      </c>
    </row>
    <row r="169" ht="22.5" customHeight="1">
      <c r="A169" s="5" t="s">
        <v>986</v>
      </c>
      <c r="B169" s="5" t="s">
        <v>84</v>
      </c>
      <c r="C169" s="6">
        <v>9.0</v>
      </c>
      <c r="D169" s="6">
        <v>54.0</v>
      </c>
      <c r="E169" s="6">
        <v>12.0</v>
      </c>
      <c r="F169" s="6">
        <v>59.0</v>
      </c>
      <c r="G169" s="6">
        <v>14.0</v>
      </c>
      <c r="H169" s="6">
        <v>18.0</v>
      </c>
      <c r="I169" s="6">
        <v>5.0</v>
      </c>
      <c r="J169" s="9">
        <v>45187.0</v>
      </c>
      <c r="K169" s="6">
        <v>4.0</v>
      </c>
      <c r="L169" s="5" t="s">
        <v>62</v>
      </c>
      <c r="M169" s="5">
        <v>0.0</v>
      </c>
    </row>
    <row r="170" ht="22.5" customHeight="1">
      <c r="A170" s="5" t="s">
        <v>989</v>
      </c>
      <c r="B170" s="5" t="s">
        <v>65</v>
      </c>
      <c r="C170" s="6">
        <v>5.0</v>
      </c>
      <c r="D170" s="6">
        <v>8.0</v>
      </c>
      <c r="E170" s="6">
        <v>4.0</v>
      </c>
      <c r="F170" s="6">
        <v>51.0</v>
      </c>
      <c r="G170" s="6">
        <v>10.0</v>
      </c>
      <c r="H170" s="6">
        <v>14.0</v>
      </c>
      <c r="I170" s="6">
        <v>0.0</v>
      </c>
      <c r="J170" s="9">
        <v>44734.0</v>
      </c>
      <c r="K170" s="6">
        <v>4.0</v>
      </c>
      <c r="L170" s="5" t="s">
        <v>113</v>
      </c>
      <c r="M170" s="5">
        <v>1.0</v>
      </c>
    </row>
    <row r="171" ht="22.5" customHeight="1">
      <c r="A171" s="5" t="s">
        <v>992</v>
      </c>
      <c r="B171" s="5" t="s">
        <v>170</v>
      </c>
      <c r="C171" s="6">
        <v>11.0</v>
      </c>
      <c r="D171" s="6">
        <v>61.0</v>
      </c>
      <c r="E171" s="6">
        <v>10.0</v>
      </c>
      <c r="F171" s="6">
        <v>7.0</v>
      </c>
      <c r="G171" s="6">
        <v>27.0</v>
      </c>
      <c r="H171" s="6">
        <v>18.0</v>
      </c>
      <c r="I171" s="6">
        <v>1.0</v>
      </c>
      <c r="J171" s="9">
        <v>46008.0</v>
      </c>
      <c r="K171" s="6">
        <v>6.0</v>
      </c>
      <c r="L171" s="5" t="s">
        <v>62</v>
      </c>
      <c r="M171" s="5">
        <v>0.0</v>
      </c>
    </row>
    <row r="172" ht="22.5" customHeight="1">
      <c r="A172" s="5" t="s">
        <v>995</v>
      </c>
      <c r="B172" s="5" t="s">
        <v>84</v>
      </c>
      <c r="C172" s="6">
        <v>5.0</v>
      </c>
      <c r="D172" s="6">
        <v>22.0</v>
      </c>
      <c r="E172" s="6">
        <v>7.0</v>
      </c>
      <c r="F172" s="6">
        <v>54.0</v>
      </c>
      <c r="G172" s="6">
        <v>25.0</v>
      </c>
      <c r="H172" s="6">
        <v>3.0</v>
      </c>
      <c r="I172" s="6">
        <v>0.0</v>
      </c>
      <c r="J172" s="9">
        <v>45500.0</v>
      </c>
      <c r="K172" s="6">
        <v>3.0</v>
      </c>
      <c r="L172" s="5" t="s">
        <v>62</v>
      </c>
      <c r="M172" s="5">
        <v>0.0</v>
      </c>
    </row>
    <row r="173" ht="22.5" customHeight="1">
      <c r="A173" s="5" t="s">
        <v>998</v>
      </c>
      <c r="B173" s="5" t="s">
        <v>22</v>
      </c>
      <c r="C173" s="6">
        <v>6.0</v>
      </c>
      <c r="D173" s="6">
        <v>35.0</v>
      </c>
      <c r="E173" s="6">
        <v>6.0</v>
      </c>
      <c r="F173" s="6">
        <v>44.0</v>
      </c>
      <c r="G173" s="6">
        <v>31.0</v>
      </c>
      <c r="H173" s="6">
        <v>3.0</v>
      </c>
      <c r="I173" s="6">
        <v>3.0</v>
      </c>
      <c r="J173" s="9">
        <v>44894.0</v>
      </c>
      <c r="K173" s="6">
        <v>4.0</v>
      </c>
      <c r="L173" s="5" t="s">
        <v>113</v>
      </c>
      <c r="M173" s="5">
        <v>1.0</v>
      </c>
    </row>
    <row r="174" ht="22.5" customHeight="1">
      <c r="A174" s="5" t="s">
        <v>1002</v>
      </c>
      <c r="B174" s="5" t="s">
        <v>65</v>
      </c>
      <c r="C174" s="6">
        <v>11.0</v>
      </c>
      <c r="D174" s="6">
        <v>40.0</v>
      </c>
      <c r="E174" s="6">
        <v>6.0</v>
      </c>
      <c r="F174" s="6">
        <v>58.0</v>
      </c>
      <c r="G174" s="6">
        <v>16.0</v>
      </c>
      <c r="H174" s="6">
        <v>2.0</v>
      </c>
      <c r="I174" s="6">
        <v>5.0</v>
      </c>
      <c r="J174" s="9">
        <v>45192.0</v>
      </c>
      <c r="K174" s="6">
        <v>3.0</v>
      </c>
      <c r="L174" s="10" t="s">
        <v>62</v>
      </c>
      <c r="M174" s="10">
        <v>0.0</v>
      </c>
    </row>
    <row r="175" ht="22.5" customHeight="1">
      <c r="A175" s="5" t="s">
        <v>1003</v>
      </c>
      <c r="B175" s="5" t="s">
        <v>22</v>
      </c>
      <c r="C175" s="6">
        <v>4.0</v>
      </c>
      <c r="D175" s="6">
        <v>21.0</v>
      </c>
      <c r="E175" s="6">
        <v>9.0</v>
      </c>
      <c r="F175" s="6">
        <v>59.0</v>
      </c>
      <c r="G175" s="6">
        <v>31.0</v>
      </c>
      <c r="H175" s="6">
        <v>10.0</v>
      </c>
      <c r="I175" s="6">
        <v>3.0</v>
      </c>
      <c r="J175" s="9">
        <v>45369.0</v>
      </c>
      <c r="K175" s="6">
        <v>4.0</v>
      </c>
      <c r="L175" s="5" t="s">
        <v>62</v>
      </c>
      <c r="M175" s="5">
        <v>0.0</v>
      </c>
    </row>
    <row r="176" ht="22.5" customHeight="1">
      <c r="A176" s="5" t="s">
        <v>1006</v>
      </c>
      <c r="B176" s="5" t="s">
        <v>65</v>
      </c>
      <c r="C176" s="6">
        <v>5.0</v>
      </c>
      <c r="D176" s="6">
        <v>9.0</v>
      </c>
      <c r="E176" s="6">
        <v>14.0</v>
      </c>
      <c r="F176" s="6">
        <v>35.0</v>
      </c>
      <c r="G176" s="6">
        <v>37.0</v>
      </c>
      <c r="H176" s="6">
        <v>7.0</v>
      </c>
      <c r="I176" s="6">
        <v>1.0</v>
      </c>
      <c r="J176" s="9">
        <v>45833.0</v>
      </c>
      <c r="K176" s="6">
        <v>9.0</v>
      </c>
      <c r="L176" s="5" t="s">
        <v>62</v>
      </c>
      <c r="M176" s="5">
        <v>0.0</v>
      </c>
    </row>
    <row r="177" ht="22.5" customHeight="1">
      <c r="A177" s="5" t="s">
        <v>1010</v>
      </c>
      <c r="B177" s="5" t="s">
        <v>44</v>
      </c>
      <c r="C177" s="6">
        <v>6.0</v>
      </c>
      <c r="D177" s="6">
        <v>11.0</v>
      </c>
      <c r="E177" s="6">
        <v>5.0</v>
      </c>
      <c r="F177" s="6">
        <v>50.0</v>
      </c>
      <c r="G177" s="6">
        <v>20.0</v>
      </c>
      <c r="H177" s="6">
        <v>13.0</v>
      </c>
      <c r="I177" s="6">
        <v>5.0</v>
      </c>
      <c r="J177" s="9">
        <v>45956.0</v>
      </c>
      <c r="K177" s="6">
        <v>4.0</v>
      </c>
      <c r="L177" s="5" t="s">
        <v>62</v>
      </c>
      <c r="M177" s="5">
        <v>0.0</v>
      </c>
    </row>
    <row r="178" ht="22.5" customHeight="1">
      <c r="A178" s="5" t="s">
        <v>1012</v>
      </c>
      <c r="B178" s="5" t="s">
        <v>22</v>
      </c>
      <c r="C178" s="6">
        <v>11.0</v>
      </c>
      <c r="D178" s="6">
        <v>65.0</v>
      </c>
      <c r="E178" s="6">
        <v>7.0</v>
      </c>
      <c r="F178" s="6">
        <v>42.0</v>
      </c>
      <c r="G178" s="6">
        <v>26.0</v>
      </c>
      <c r="H178" s="6">
        <v>14.0</v>
      </c>
      <c r="I178" s="6">
        <v>4.0</v>
      </c>
      <c r="J178" s="9">
        <v>45988.0</v>
      </c>
      <c r="K178" s="6">
        <v>8.0</v>
      </c>
      <c r="L178" s="5" t="s">
        <v>62</v>
      </c>
      <c r="M178" s="5">
        <v>0.0</v>
      </c>
    </row>
    <row r="179" ht="22.5" customHeight="1">
      <c r="A179" s="5" t="s">
        <v>1016</v>
      </c>
      <c r="B179" s="5" t="s">
        <v>22</v>
      </c>
      <c r="C179" s="6">
        <v>5.0</v>
      </c>
      <c r="D179" s="6">
        <v>26.0</v>
      </c>
      <c r="E179" s="6">
        <v>6.0</v>
      </c>
      <c r="F179" s="6">
        <v>21.0</v>
      </c>
      <c r="G179" s="6">
        <v>20.0</v>
      </c>
      <c r="H179" s="6">
        <v>4.0</v>
      </c>
      <c r="I179" s="6">
        <v>4.0</v>
      </c>
      <c r="J179" s="9">
        <v>46082.0</v>
      </c>
      <c r="K179" s="6">
        <v>7.0</v>
      </c>
      <c r="L179" s="5" t="s">
        <v>62</v>
      </c>
      <c r="M179" s="5">
        <v>0.0</v>
      </c>
    </row>
    <row r="180" ht="22.5" customHeight="1">
      <c r="A180" s="5" t="s">
        <v>1019</v>
      </c>
      <c r="B180" s="5" t="s">
        <v>22</v>
      </c>
      <c r="C180" s="6">
        <v>3.0</v>
      </c>
      <c r="D180" s="6">
        <v>16.0</v>
      </c>
      <c r="E180" s="6">
        <v>8.0</v>
      </c>
      <c r="F180" s="6">
        <v>27.0</v>
      </c>
      <c r="G180" s="6">
        <v>18.0</v>
      </c>
      <c r="H180" s="6">
        <v>19.0</v>
      </c>
      <c r="I180" s="6">
        <v>4.0</v>
      </c>
      <c r="J180" s="9">
        <v>46209.0</v>
      </c>
      <c r="K180" s="6">
        <v>5.0</v>
      </c>
      <c r="L180" s="5" t="s">
        <v>62</v>
      </c>
      <c r="M180" s="5">
        <v>0.0</v>
      </c>
    </row>
    <row r="181" ht="22.5" customHeight="1">
      <c r="A181" s="5" t="s">
        <v>1023</v>
      </c>
      <c r="B181" s="5" t="s">
        <v>44</v>
      </c>
      <c r="C181" s="6">
        <v>4.0</v>
      </c>
      <c r="D181" s="6">
        <v>23.0</v>
      </c>
      <c r="E181" s="6">
        <v>5.0</v>
      </c>
      <c r="F181" s="6">
        <v>40.0</v>
      </c>
      <c r="G181" s="6">
        <v>30.0</v>
      </c>
      <c r="H181" s="6">
        <v>11.0</v>
      </c>
      <c r="I181" s="6">
        <v>3.0</v>
      </c>
      <c r="J181" s="9">
        <v>45964.0</v>
      </c>
      <c r="K181" s="6">
        <v>7.0</v>
      </c>
      <c r="L181" s="5" t="s">
        <v>62</v>
      </c>
      <c r="M181" s="5">
        <v>0.0</v>
      </c>
    </row>
    <row r="182" ht="22.5" customHeight="1">
      <c r="A182" s="5" t="s">
        <v>1029</v>
      </c>
      <c r="B182" s="5" t="s">
        <v>44</v>
      </c>
      <c r="C182" s="6">
        <v>6.0</v>
      </c>
      <c r="D182" s="6">
        <v>11.0</v>
      </c>
      <c r="E182" s="6">
        <v>19.0</v>
      </c>
      <c r="F182" s="6">
        <v>30.0</v>
      </c>
      <c r="G182" s="6">
        <v>24.0</v>
      </c>
      <c r="H182" s="6">
        <v>17.0</v>
      </c>
      <c r="I182" s="6">
        <v>1.0</v>
      </c>
      <c r="J182" s="9">
        <v>45593.0</v>
      </c>
      <c r="K182" s="6">
        <v>8.0</v>
      </c>
      <c r="L182" s="5" t="s">
        <v>62</v>
      </c>
      <c r="M182" s="5">
        <v>0.0</v>
      </c>
    </row>
    <row r="183" ht="22.5" customHeight="1">
      <c r="A183" s="5" t="s">
        <v>1031</v>
      </c>
      <c r="B183" s="5" t="s">
        <v>22</v>
      </c>
      <c r="C183" s="6">
        <v>9.0</v>
      </c>
      <c r="D183" s="6">
        <v>29.0</v>
      </c>
      <c r="E183" s="6">
        <v>4.0</v>
      </c>
      <c r="F183" s="6">
        <v>54.0</v>
      </c>
      <c r="G183" s="6">
        <v>35.0</v>
      </c>
      <c r="H183" s="6">
        <v>19.0</v>
      </c>
      <c r="I183" s="6">
        <v>2.0</v>
      </c>
      <c r="J183" s="9">
        <v>45231.0</v>
      </c>
      <c r="K183" s="6">
        <v>1.0</v>
      </c>
      <c r="L183" s="5" t="s">
        <v>62</v>
      </c>
      <c r="M183" s="5">
        <v>0.0</v>
      </c>
    </row>
    <row r="184" ht="22.5" customHeight="1">
      <c r="A184" s="5" t="s">
        <v>1034</v>
      </c>
      <c r="B184" s="5" t="s">
        <v>65</v>
      </c>
      <c r="C184" s="6">
        <v>5.0</v>
      </c>
      <c r="D184" s="6">
        <v>9.0</v>
      </c>
      <c r="E184" s="6">
        <v>5.0</v>
      </c>
      <c r="F184" s="6">
        <v>58.0</v>
      </c>
      <c r="G184" s="6">
        <v>21.0</v>
      </c>
      <c r="H184" s="6">
        <v>2.0</v>
      </c>
      <c r="I184" s="6">
        <v>5.0</v>
      </c>
      <c r="J184" s="9">
        <v>44990.0</v>
      </c>
      <c r="K184" s="6">
        <v>5.0</v>
      </c>
      <c r="L184" s="5" t="s">
        <v>113</v>
      </c>
      <c r="M184" s="5">
        <v>1.0</v>
      </c>
    </row>
    <row r="185" ht="22.5" customHeight="1">
      <c r="A185" s="5" t="s">
        <v>1038</v>
      </c>
      <c r="B185" s="5" t="s">
        <v>65</v>
      </c>
      <c r="C185" s="6">
        <v>4.0</v>
      </c>
      <c r="D185" s="6">
        <v>10.0</v>
      </c>
      <c r="E185" s="6">
        <v>4.0</v>
      </c>
      <c r="F185" s="6">
        <v>46.0</v>
      </c>
      <c r="G185" s="6">
        <v>22.0</v>
      </c>
      <c r="H185" s="6">
        <v>20.0</v>
      </c>
      <c r="I185" s="6">
        <v>5.0</v>
      </c>
      <c r="J185" s="9">
        <v>44990.0</v>
      </c>
      <c r="K185" s="6">
        <v>2.0</v>
      </c>
      <c r="L185" s="10" t="s">
        <v>113</v>
      </c>
      <c r="M185" s="10">
        <v>1.0</v>
      </c>
    </row>
    <row r="186" ht="22.5" customHeight="1">
      <c r="A186" s="5" t="s">
        <v>1043</v>
      </c>
      <c r="B186" s="5" t="s">
        <v>84</v>
      </c>
      <c r="C186" s="6">
        <v>9.0</v>
      </c>
      <c r="D186" s="6">
        <v>23.0</v>
      </c>
      <c r="E186" s="6">
        <v>6.0</v>
      </c>
      <c r="F186" s="6">
        <v>36.0</v>
      </c>
      <c r="G186" s="6">
        <v>20.0</v>
      </c>
      <c r="H186" s="6">
        <v>9.0</v>
      </c>
      <c r="I186" s="6">
        <v>5.0</v>
      </c>
      <c r="J186" s="9">
        <v>45271.0</v>
      </c>
      <c r="K186" s="6">
        <v>2.0</v>
      </c>
      <c r="L186" s="5" t="s">
        <v>62</v>
      </c>
      <c r="M186" s="5">
        <v>0.0</v>
      </c>
    </row>
    <row r="187" ht="22.5" customHeight="1">
      <c r="A187" s="5" t="s">
        <v>1047</v>
      </c>
      <c r="B187" s="5" t="s">
        <v>84</v>
      </c>
      <c r="C187" s="6">
        <v>7.0</v>
      </c>
      <c r="D187" s="6">
        <v>25.0</v>
      </c>
      <c r="E187" s="6">
        <v>2.0</v>
      </c>
      <c r="F187" s="6">
        <v>31.0</v>
      </c>
      <c r="G187" s="6">
        <v>16.0</v>
      </c>
      <c r="H187" s="6">
        <v>12.0</v>
      </c>
      <c r="I187" s="6">
        <v>1.0</v>
      </c>
      <c r="J187" s="9">
        <v>44790.0</v>
      </c>
      <c r="K187" s="6">
        <v>2.0</v>
      </c>
      <c r="L187" s="5" t="s">
        <v>113</v>
      </c>
      <c r="M187" s="5">
        <v>1.0</v>
      </c>
    </row>
    <row r="188" ht="22.5" customHeight="1">
      <c r="A188" s="5" t="s">
        <v>1051</v>
      </c>
      <c r="B188" s="5" t="s">
        <v>22</v>
      </c>
      <c r="C188" s="6">
        <v>9.0</v>
      </c>
      <c r="D188" s="6">
        <v>24.0</v>
      </c>
      <c r="E188" s="6">
        <v>4.0</v>
      </c>
      <c r="F188" s="6">
        <v>15.0</v>
      </c>
      <c r="G188" s="6">
        <v>32.0</v>
      </c>
      <c r="H188" s="6">
        <v>5.0</v>
      </c>
      <c r="I188" s="6">
        <v>5.0</v>
      </c>
      <c r="J188" s="9">
        <v>45378.0</v>
      </c>
      <c r="K188" s="6">
        <v>3.0</v>
      </c>
      <c r="L188" s="5" t="s">
        <v>62</v>
      </c>
      <c r="M188" s="5">
        <v>0.0</v>
      </c>
    </row>
    <row r="189" ht="22.5" customHeight="1">
      <c r="A189" s="5" t="s">
        <v>1054</v>
      </c>
      <c r="B189" s="5" t="s">
        <v>170</v>
      </c>
      <c r="C189" s="6">
        <v>4.0</v>
      </c>
      <c r="D189" s="6">
        <v>8.0</v>
      </c>
      <c r="E189" s="6">
        <v>8.0</v>
      </c>
      <c r="F189" s="6">
        <v>58.0</v>
      </c>
      <c r="G189" s="6">
        <v>42.0</v>
      </c>
      <c r="H189" s="6">
        <v>14.0</v>
      </c>
      <c r="I189" s="6">
        <v>4.0</v>
      </c>
      <c r="J189" s="9">
        <v>45752.0</v>
      </c>
      <c r="K189" s="6">
        <v>6.0</v>
      </c>
      <c r="L189" s="5" t="s">
        <v>62</v>
      </c>
      <c r="M189" s="5">
        <v>0.0</v>
      </c>
    </row>
    <row r="190" ht="22.5" customHeight="1">
      <c r="A190" s="5" t="s">
        <v>1056</v>
      </c>
      <c r="B190" s="5" t="s">
        <v>44</v>
      </c>
      <c r="C190" s="6">
        <v>4.0</v>
      </c>
      <c r="D190" s="6">
        <v>9.0</v>
      </c>
      <c r="E190" s="6">
        <v>8.0</v>
      </c>
      <c r="F190" s="6">
        <v>50.0</v>
      </c>
      <c r="G190" s="6">
        <v>22.0</v>
      </c>
      <c r="H190" s="6">
        <v>10.0</v>
      </c>
      <c r="I190" s="6">
        <v>3.0</v>
      </c>
      <c r="J190" s="9">
        <v>45587.0</v>
      </c>
      <c r="K190" s="6">
        <v>10.0</v>
      </c>
      <c r="L190" s="5" t="s">
        <v>62</v>
      </c>
      <c r="M190" s="5">
        <v>0.0</v>
      </c>
    </row>
    <row r="191" ht="22.5" customHeight="1">
      <c r="A191" s="5" t="s">
        <v>1059</v>
      </c>
      <c r="B191" s="5" t="s">
        <v>44</v>
      </c>
      <c r="C191" s="6">
        <v>6.0</v>
      </c>
      <c r="D191" s="6">
        <v>13.0</v>
      </c>
      <c r="E191" s="6">
        <v>7.0</v>
      </c>
      <c r="F191" s="6">
        <v>23.0</v>
      </c>
      <c r="G191" s="6">
        <v>20.0</v>
      </c>
      <c r="H191" s="6">
        <v>16.0</v>
      </c>
      <c r="I191" s="6">
        <v>3.0</v>
      </c>
      <c r="J191" s="9">
        <v>45825.0</v>
      </c>
      <c r="K191" s="6">
        <v>6.0</v>
      </c>
      <c r="L191" s="10" t="s">
        <v>62</v>
      </c>
      <c r="M191" s="10">
        <v>0.0</v>
      </c>
    </row>
    <row r="192" ht="22.5" customHeight="1">
      <c r="A192" s="5" t="s">
        <v>1063</v>
      </c>
      <c r="B192" s="5" t="s">
        <v>65</v>
      </c>
      <c r="C192" s="6">
        <v>12.0</v>
      </c>
      <c r="D192" s="6">
        <v>71.0</v>
      </c>
      <c r="E192" s="6">
        <v>14.0</v>
      </c>
      <c r="F192" s="6">
        <v>39.0</v>
      </c>
      <c r="G192" s="6">
        <v>19.0</v>
      </c>
      <c r="H192" s="6">
        <v>2.0</v>
      </c>
      <c r="I192" s="6">
        <v>1.0</v>
      </c>
      <c r="J192" s="9">
        <v>45092.0</v>
      </c>
      <c r="K192" s="6">
        <v>3.0</v>
      </c>
      <c r="L192" s="5" t="s">
        <v>113</v>
      </c>
      <c r="M192" s="5">
        <v>1.0</v>
      </c>
    </row>
    <row r="193" ht="22.5" customHeight="1">
      <c r="A193" s="5" t="s">
        <v>1066</v>
      </c>
      <c r="B193" s="5" t="s">
        <v>22</v>
      </c>
      <c r="C193" s="6">
        <v>8.0</v>
      </c>
      <c r="D193" s="6">
        <v>39.0</v>
      </c>
      <c r="E193" s="6">
        <v>8.0</v>
      </c>
      <c r="F193" s="6">
        <v>10.0</v>
      </c>
      <c r="G193" s="6">
        <v>20.0</v>
      </c>
      <c r="H193" s="6">
        <v>10.0</v>
      </c>
      <c r="I193" s="6">
        <v>4.0</v>
      </c>
      <c r="J193" s="9">
        <v>46113.0</v>
      </c>
      <c r="K193" s="6">
        <v>7.0</v>
      </c>
      <c r="L193" s="5" t="s">
        <v>62</v>
      </c>
      <c r="M193" s="5">
        <v>0.0</v>
      </c>
    </row>
    <row r="194" ht="22.5" customHeight="1">
      <c r="A194" s="5" t="s">
        <v>1068</v>
      </c>
      <c r="B194" s="5" t="s">
        <v>22</v>
      </c>
      <c r="C194" s="6">
        <v>5.0</v>
      </c>
      <c r="D194" s="6">
        <v>29.0</v>
      </c>
      <c r="E194" s="6">
        <v>13.0</v>
      </c>
      <c r="F194" s="6">
        <v>49.0</v>
      </c>
      <c r="G194" s="6">
        <v>38.0</v>
      </c>
      <c r="H194" s="6">
        <v>3.0</v>
      </c>
      <c r="I194" s="6">
        <v>4.0</v>
      </c>
      <c r="J194" s="9">
        <v>45234.0</v>
      </c>
      <c r="K194" s="6">
        <v>3.0</v>
      </c>
      <c r="L194" s="5" t="s">
        <v>62</v>
      </c>
      <c r="M194" s="5">
        <v>0.0</v>
      </c>
    </row>
    <row r="195" ht="22.5" customHeight="1">
      <c r="A195" s="5" t="s">
        <v>1072</v>
      </c>
      <c r="B195" s="5" t="s">
        <v>65</v>
      </c>
      <c r="C195" s="6">
        <v>4.0</v>
      </c>
      <c r="D195" s="6">
        <v>14.0</v>
      </c>
      <c r="E195" s="6">
        <v>20.0</v>
      </c>
      <c r="F195" s="6">
        <v>41.0</v>
      </c>
      <c r="G195" s="6">
        <v>19.0</v>
      </c>
      <c r="H195" s="6">
        <v>18.0</v>
      </c>
      <c r="I195" s="6">
        <v>3.0</v>
      </c>
      <c r="J195" s="9">
        <v>46137.0</v>
      </c>
      <c r="K195" s="6">
        <v>8.0</v>
      </c>
      <c r="L195" s="5" t="s">
        <v>62</v>
      </c>
      <c r="M195" s="5">
        <v>0.0</v>
      </c>
    </row>
    <row r="196" ht="22.5" customHeight="1">
      <c r="A196" s="5" t="s">
        <v>1076</v>
      </c>
      <c r="B196" s="5" t="s">
        <v>44</v>
      </c>
      <c r="C196" s="6">
        <v>9.0</v>
      </c>
      <c r="D196" s="6">
        <v>25.0</v>
      </c>
      <c r="E196" s="6">
        <v>11.0</v>
      </c>
      <c r="F196" s="6">
        <v>17.0</v>
      </c>
      <c r="G196" s="6">
        <v>20.0</v>
      </c>
      <c r="H196" s="6">
        <v>8.0</v>
      </c>
      <c r="I196" s="6">
        <v>3.0</v>
      </c>
      <c r="J196" s="11"/>
      <c r="K196" s="6">
        <v>8.0</v>
      </c>
      <c r="L196" s="5" t="s">
        <v>113</v>
      </c>
      <c r="M196" s="5">
        <v>1.0</v>
      </c>
    </row>
    <row r="197" ht="22.5" customHeight="1">
      <c r="A197" s="5" t="s">
        <v>1080</v>
      </c>
      <c r="B197" s="5" t="s">
        <v>44</v>
      </c>
      <c r="C197" s="6">
        <v>9.0</v>
      </c>
      <c r="D197" s="6">
        <v>46.0</v>
      </c>
      <c r="E197" s="6">
        <v>2.0</v>
      </c>
      <c r="F197" s="6">
        <v>56.0</v>
      </c>
      <c r="G197" s="6">
        <v>15.0</v>
      </c>
      <c r="H197" s="6">
        <v>18.0</v>
      </c>
      <c r="I197" s="6">
        <v>5.0</v>
      </c>
      <c r="J197" s="9">
        <v>45667.0</v>
      </c>
      <c r="K197" s="6">
        <v>5.0</v>
      </c>
      <c r="L197" s="5" t="s">
        <v>62</v>
      </c>
      <c r="M197" s="5">
        <v>0.0</v>
      </c>
    </row>
    <row r="198" ht="22.5" customHeight="1">
      <c r="A198" s="5" t="s">
        <v>1084</v>
      </c>
      <c r="B198" s="5" t="s">
        <v>65</v>
      </c>
      <c r="C198" s="6">
        <v>4.0</v>
      </c>
      <c r="D198" s="6">
        <v>12.0</v>
      </c>
      <c r="E198" s="6">
        <v>7.0</v>
      </c>
      <c r="F198" s="6">
        <v>41.0</v>
      </c>
      <c r="G198" s="6">
        <v>27.0</v>
      </c>
      <c r="H198" s="6">
        <v>8.0</v>
      </c>
      <c r="I198" s="6">
        <v>5.0</v>
      </c>
      <c r="J198" s="9">
        <v>46101.0</v>
      </c>
      <c r="K198" s="6">
        <v>4.0</v>
      </c>
      <c r="L198" s="5" t="s">
        <v>62</v>
      </c>
      <c r="M198" s="5">
        <v>0.0</v>
      </c>
    </row>
    <row r="199" ht="22.5" customHeight="1">
      <c r="A199" s="5" t="s">
        <v>1087</v>
      </c>
      <c r="B199" s="5" t="s">
        <v>65</v>
      </c>
      <c r="C199" s="6">
        <v>4.0</v>
      </c>
      <c r="D199" s="6">
        <v>11.0</v>
      </c>
      <c r="E199" s="6">
        <v>7.0</v>
      </c>
      <c r="F199" s="6">
        <v>27.0</v>
      </c>
      <c r="G199" s="6">
        <v>24.0</v>
      </c>
      <c r="H199" s="6">
        <v>14.0</v>
      </c>
      <c r="I199" s="6">
        <v>1.0</v>
      </c>
      <c r="J199" s="9">
        <v>45004.0</v>
      </c>
      <c r="K199" s="6">
        <v>2.0</v>
      </c>
      <c r="L199" s="10" t="s">
        <v>113</v>
      </c>
      <c r="M199" s="10">
        <v>1.0</v>
      </c>
    </row>
    <row r="200" ht="22.5" customHeight="1">
      <c r="A200" s="5" t="s">
        <v>1090</v>
      </c>
      <c r="B200" s="5" t="s">
        <v>170</v>
      </c>
      <c r="C200" s="6">
        <v>7.0</v>
      </c>
      <c r="D200" s="6">
        <v>18.0</v>
      </c>
      <c r="E200" s="6">
        <v>15.0</v>
      </c>
      <c r="F200" s="6">
        <v>8.0</v>
      </c>
      <c r="G200" s="6">
        <v>16.0</v>
      </c>
      <c r="H200" s="6">
        <v>13.0</v>
      </c>
      <c r="I200" s="6">
        <v>1.0</v>
      </c>
      <c r="J200" s="9">
        <v>46158.0</v>
      </c>
      <c r="K200" s="6">
        <v>8.0</v>
      </c>
      <c r="L200" s="10" t="s">
        <v>62</v>
      </c>
      <c r="M200" s="10">
        <v>0.0</v>
      </c>
    </row>
    <row r="201" ht="22.5" customHeight="1">
      <c r="A201" s="5" t="s">
        <v>1095</v>
      </c>
      <c r="B201" s="5" t="s">
        <v>22</v>
      </c>
      <c r="C201" s="6">
        <v>3.0</v>
      </c>
      <c r="D201" s="6">
        <v>6.0</v>
      </c>
      <c r="E201" s="6">
        <v>6.0</v>
      </c>
      <c r="F201" s="6">
        <v>41.0</v>
      </c>
      <c r="G201" s="6">
        <v>18.0</v>
      </c>
      <c r="H201" s="6">
        <v>12.0</v>
      </c>
      <c r="I201" s="6">
        <v>5.0</v>
      </c>
      <c r="J201" s="9">
        <v>44681.0</v>
      </c>
      <c r="K201" s="6">
        <v>3.0</v>
      </c>
      <c r="L201" s="10" t="s">
        <v>113</v>
      </c>
      <c r="M201" s="10">
        <v>1.0</v>
      </c>
    </row>
    <row r="202" ht="22.5" customHeight="1">
      <c r="A202" s="5" t="s">
        <v>1099</v>
      </c>
      <c r="B202" s="5" t="s">
        <v>44</v>
      </c>
      <c r="C202" s="6">
        <v>8.0</v>
      </c>
      <c r="D202" s="6">
        <v>21.0</v>
      </c>
      <c r="E202" s="6">
        <v>3.0</v>
      </c>
      <c r="F202" s="6">
        <v>23.0</v>
      </c>
      <c r="G202" s="6">
        <v>37.0</v>
      </c>
      <c r="H202" s="6">
        <v>5.0</v>
      </c>
      <c r="I202" s="6">
        <v>1.0</v>
      </c>
      <c r="J202" s="9">
        <v>46231.0</v>
      </c>
      <c r="K202" s="6">
        <v>9.0</v>
      </c>
      <c r="L202" s="5" t="s">
        <v>62</v>
      </c>
      <c r="M202" s="5">
        <v>0.0</v>
      </c>
    </row>
    <row r="203" ht="22.5" customHeight="1">
      <c r="A203" s="5" t="s">
        <v>1102</v>
      </c>
      <c r="B203" s="5" t="s">
        <v>84</v>
      </c>
      <c r="C203" s="6">
        <v>6.0</v>
      </c>
      <c r="D203" s="6">
        <v>19.0</v>
      </c>
      <c r="E203" s="6">
        <v>4.0</v>
      </c>
      <c r="F203" s="6">
        <v>18.0</v>
      </c>
      <c r="G203" s="6">
        <v>25.0</v>
      </c>
      <c r="H203" s="6">
        <v>7.0</v>
      </c>
      <c r="I203" s="6">
        <v>1.0</v>
      </c>
      <c r="J203" s="11"/>
      <c r="K203" s="6">
        <v>4.0</v>
      </c>
      <c r="L203" s="5" t="s">
        <v>113</v>
      </c>
      <c r="M203" s="5">
        <v>1.0</v>
      </c>
    </row>
    <row r="204" ht="22.5" customHeight="1">
      <c r="A204" s="5" t="s">
        <v>1104</v>
      </c>
      <c r="B204" s="5" t="s">
        <v>170</v>
      </c>
      <c r="C204" s="6">
        <v>6.0</v>
      </c>
      <c r="D204" s="6">
        <v>27.0</v>
      </c>
      <c r="E204" s="6">
        <v>2.0</v>
      </c>
      <c r="F204" s="6">
        <v>37.0</v>
      </c>
      <c r="G204" s="6">
        <v>26.0</v>
      </c>
      <c r="H204" s="6">
        <v>15.0</v>
      </c>
      <c r="I204" s="6">
        <v>1.0</v>
      </c>
      <c r="J204" s="9">
        <v>45688.0</v>
      </c>
      <c r="K204" s="6">
        <v>8.0</v>
      </c>
      <c r="L204" s="5" t="s">
        <v>62</v>
      </c>
      <c r="M204" s="5">
        <v>0.0</v>
      </c>
    </row>
    <row r="205" ht="22.5" customHeight="1">
      <c r="A205" s="5" t="s">
        <v>1108</v>
      </c>
      <c r="B205" s="5" t="s">
        <v>22</v>
      </c>
      <c r="C205" s="6">
        <v>7.0</v>
      </c>
      <c r="D205" s="6">
        <v>12.0</v>
      </c>
      <c r="E205" s="6">
        <v>1.0</v>
      </c>
      <c r="F205" s="6">
        <v>35.0</v>
      </c>
      <c r="G205" s="6">
        <v>26.0</v>
      </c>
      <c r="H205" s="6">
        <v>18.0</v>
      </c>
      <c r="I205" s="6">
        <v>0.0</v>
      </c>
      <c r="J205" s="9">
        <v>45223.0</v>
      </c>
      <c r="K205" s="6">
        <v>2.0</v>
      </c>
      <c r="L205" s="5" t="s">
        <v>62</v>
      </c>
      <c r="M205" s="5">
        <v>0.0</v>
      </c>
    </row>
    <row r="206" ht="22.5" customHeight="1">
      <c r="A206" s="5" t="s">
        <v>1111</v>
      </c>
      <c r="B206" s="5" t="s">
        <v>65</v>
      </c>
      <c r="C206" s="6">
        <v>2.0</v>
      </c>
      <c r="D206" s="6">
        <v>5.0</v>
      </c>
      <c r="E206" s="6">
        <v>19.0</v>
      </c>
      <c r="F206" s="6">
        <v>8.0</v>
      </c>
      <c r="G206" s="6">
        <v>36.0</v>
      </c>
      <c r="H206" s="6">
        <v>10.0</v>
      </c>
      <c r="I206" s="6">
        <v>2.0</v>
      </c>
      <c r="J206" s="9">
        <v>45673.0</v>
      </c>
      <c r="K206" s="6">
        <v>7.0</v>
      </c>
      <c r="L206" s="5" t="s">
        <v>62</v>
      </c>
      <c r="M206" s="5">
        <v>0.0</v>
      </c>
    </row>
    <row r="207" ht="22.5" customHeight="1">
      <c r="A207" s="5" t="s">
        <v>1114</v>
      </c>
      <c r="B207" s="5" t="s">
        <v>170</v>
      </c>
      <c r="C207" s="6">
        <v>11.0</v>
      </c>
      <c r="D207" s="6">
        <v>57.0</v>
      </c>
      <c r="E207" s="6">
        <v>6.0</v>
      </c>
      <c r="F207" s="6">
        <v>21.0</v>
      </c>
      <c r="G207" s="6">
        <v>17.0</v>
      </c>
      <c r="H207" s="6">
        <v>9.0</v>
      </c>
      <c r="I207" s="6">
        <v>2.0</v>
      </c>
      <c r="J207" s="9">
        <v>46022.0</v>
      </c>
      <c r="K207" s="6">
        <v>6.0</v>
      </c>
      <c r="L207" s="5" t="s">
        <v>62</v>
      </c>
      <c r="M207" s="5">
        <v>0.0</v>
      </c>
    </row>
    <row r="208" ht="22.5" customHeight="1">
      <c r="A208" s="5" t="s">
        <v>1118</v>
      </c>
      <c r="B208" s="5" t="s">
        <v>22</v>
      </c>
      <c r="C208" s="6">
        <v>3.0</v>
      </c>
      <c r="D208" s="6">
        <v>6.0</v>
      </c>
      <c r="E208" s="6">
        <v>2.0</v>
      </c>
      <c r="F208" s="6">
        <v>20.0</v>
      </c>
      <c r="G208" s="6">
        <v>22.0</v>
      </c>
      <c r="H208" s="6">
        <v>1.0</v>
      </c>
      <c r="I208" s="6">
        <v>1.0</v>
      </c>
      <c r="J208" s="9">
        <v>45711.0</v>
      </c>
      <c r="K208" s="6">
        <v>10.0</v>
      </c>
      <c r="L208" s="5" t="s">
        <v>62</v>
      </c>
      <c r="M208" s="5">
        <v>0.0</v>
      </c>
    </row>
    <row r="209" ht="22.5" customHeight="1">
      <c r="A209" s="5" t="s">
        <v>1121</v>
      </c>
      <c r="B209" s="5" t="s">
        <v>84</v>
      </c>
      <c r="C209" s="6">
        <v>6.0</v>
      </c>
      <c r="D209" s="6">
        <v>18.0</v>
      </c>
      <c r="E209" s="6">
        <v>16.0</v>
      </c>
      <c r="F209" s="6">
        <v>8.0</v>
      </c>
      <c r="G209" s="6">
        <v>24.0</v>
      </c>
      <c r="H209" s="6">
        <v>11.0</v>
      </c>
      <c r="I209" s="6">
        <v>2.0</v>
      </c>
      <c r="J209" s="9">
        <v>45426.0</v>
      </c>
      <c r="K209" s="6">
        <v>2.0</v>
      </c>
      <c r="L209" s="5" t="s">
        <v>62</v>
      </c>
      <c r="M209" s="5">
        <v>0.0</v>
      </c>
    </row>
    <row r="210" ht="22.5" customHeight="1">
      <c r="A210" s="5" t="s">
        <v>1123</v>
      </c>
      <c r="B210" s="5" t="s">
        <v>65</v>
      </c>
      <c r="C210" s="6">
        <v>5.0</v>
      </c>
      <c r="D210" s="6">
        <v>27.0</v>
      </c>
      <c r="E210" s="6">
        <v>17.0</v>
      </c>
      <c r="F210" s="6">
        <v>60.0</v>
      </c>
      <c r="G210" s="6">
        <v>11.0</v>
      </c>
      <c r="H210" s="6">
        <v>15.0</v>
      </c>
      <c r="I210" s="6">
        <v>4.0</v>
      </c>
      <c r="J210" s="9">
        <v>46029.0</v>
      </c>
      <c r="K210" s="6">
        <v>9.0</v>
      </c>
      <c r="L210" s="5" t="s">
        <v>62</v>
      </c>
      <c r="M210" s="5">
        <v>0.0</v>
      </c>
    </row>
    <row r="211" ht="22.5" customHeight="1">
      <c r="A211" s="5" t="s">
        <v>1127</v>
      </c>
      <c r="B211" s="5" t="s">
        <v>65</v>
      </c>
      <c r="C211" s="6">
        <v>6.0</v>
      </c>
      <c r="D211" s="6">
        <v>13.0</v>
      </c>
      <c r="E211" s="6">
        <v>7.0</v>
      </c>
      <c r="F211" s="6">
        <v>56.0</v>
      </c>
      <c r="G211" s="6">
        <v>18.0</v>
      </c>
      <c r="H211" s="6">
        <v>13.0</v>
      </c>
      <c r="I211" s="6">
        <v>2.0</v>
      </c>
      <c r="J211" s="9">
        <v>45690.0</v>
      </c>
      <c r="K211" s="6">
        <v>7.0</v>
      </c>
      <c r="L211" s="10" t="s">
        <v>62</v>
      </c>
      <c r="M211" s="10">
        <v>0.0</v>
      </c>
    </row>
    <row r="212" ht="22.5" customHeight="1">
      <c r="A212" s="5" t="s">
        <v>1129</v>
      </c>
      <c r="B212" s="5" t="s">
        <v>22</v>
      </c>
      <c r="C212" s="6">
        <v>5.0</v>
      </c>
      <c r="D212" s="6">
        <v>9.0</v>
      </c>
      <c r="E212" s="6">
        <v>2.0</v>
      </c>
      <c r="F212" s="6">
        <v>42.0</v>
      </c>
      <c r="G212" s="6">
        <v>33.0</v>
      </c>
      <c r="H212" s="6">
        <v>10.0</v>
      </c>
      <c r="I212" s="6">
        <v>4.0</v>
      </c>
      <c r="J212" s="9">
        <v>44780.0</v>
      </c>
      <c r="K212" s="6">
        <v>5.0</v>
      </c>
      <c r="L212" s="5" t="s">
        <v>113</v>
      </c>
      <c r="M212" s="5">
        <v>1.0</v>
      </c>
    </row>
    <row r="213" ht="22.5" customHeight="1">
      <c r="A213" s="5" t="s">
        <v>1132</v>
      </c>
      <c r="B213" s="5" t="s">
        <v>65</v>
      </c>
      <c r="C213" s="6">
        <v>6.0</v>
      </c>
      <c r="D213" s="6">
        <v>22.0</v>
      </c>
      <c r="E213" s="6">
        <v>5.0</v>
      </c>
      <c r="F213" s="6">
        <v>22.0</v>
      </c>
      <c r="G213" s="6">
        <v>31.0</v>
      </c>
      <c r="H213" s="6">
        <v>4.0</v>
      </c>
      <c r="I213" s="6">
        <v>5.0</v>
      </c>
      <c r="J213" s="9">
        <v>46126.0</v>
      </c>
      <c r="K213" s="6">
        <v>6.0</v>
      </c>
      <c r="L213" s="5" t="s">
        <v>62</v>
      </c>
      <c r="M213" s="5">
        <v>0.0</v>
      </c>
    </row>
    <row r="214" ht="22.5" customHeight="1">
      <c r="A214" s="5" t="s">
        <v>1135</v>
      </c>
      <c r="B214" s="5" t="s">
        <v>22</v>
      </c>
      <c r="C214" s="6">
        <v>7.0</v>
      </c>
      <c r="D214" s="6">
        <v>20.0</v>
      </c>
      <c r="E214" s="6">
        <v>5.0</v>
      </c>
      <c r="F214" s="6">
        <v>10.0</v>
      </c>
      <c r="G214" s="6">
        <v>32.0</v>
      </c>
      <c r="H214" s="6">
        <v>10.0</v>
      </c>
      <c r="I214" s="6">
        <v>0.0</v>
      </c>
      <c r="J214" s="9">
        <v>46147.0</v>
      </c>
      <c r="K214" s="6">
        <v>7.0</v>
      </c>
      <c r="L214" s="5" t="s">
        <v>62</v>
      </c>
      <c r="M214" s="5">
        <v>0.0</v>
      </c>
    </row>
    <row r="215" ht="22.5" customHeight="1">
      <c r="A215" s="5" t="s">
        <v>1138</v>
      </c>
      <c r="B215" s="5" t="s">
        <v>22</v>
      </c>
      <c r="C215" s="6">
        <v>2.0</v>
      </c>
      <c r="D215" s="6">
        <v>8.0</v>
      </c>
      <c r="E215" s="6">
        <v>6.0</v>
      </c>
      <c r="F215" s="6">
        <v>29.0</v>
      </c>
      <c r="G215" s="6">
        <v>20.0</v>
      </c>
      <c r="H215" s="6">
        <v>20.0</v>
      </c>
      <c r="I215" s="6">
        <v>1.0</v>
      </c>
      <c r="J215" s="9">
        <v>46132.0</v>
      </c>
      <c r="K215" s="6">
        <v>7.0</v>
      </c>
      <c r="L215" s="5" t="s">
        <v>62</v>
      </c>
      <c r="M215" s="5">
        <v>0.0</v>
      </c>
    </row>
    <row r="216" ht="22.5" customHeight="1">
      <c r="A216" s="5" t="s">
        <v>1142</v>
      </c>
      <c r="B216" s="5" t="s">
        <v>65</v>
      </c>
      <c r="C216" s="6">
        <v>4.0</v>
      </c>
      <c r="D216" s="6">
        <v>20.0</v>
      </c>
      <c r="E216" s="6">
        <v>3.0</v>
      </c>
      <c r="F216" s="6">
        <v>50.0</v>
      </c>
      <c r="G216" s="6">
        <v>21.0</v>
      </c>
      <c r="H216" s="6">
        <v>17.0</v>
      </c>
      <c r="I216" s="6">
        <v>5.0</v>
      </c>
      <c r="J216" s="9">
        <v>45520.0</v>
      </c>
      <c r="K216" s="6">
        <v>2.0</v>
      </c>
      <c r="L216" s="5" t="s">
        <v>62</v>
      </c>
      <c r="M216" s="5">
        <v>0.0</v>
      </c>
    </row>
    <row r="217" ht="22.5" customHeight="1">
      <c r="A217" s="5" t="s">
        <v>1145</v>
      </c>
      <c r="B217" s="5" t="s">
        <v>65</v>
      </c>
      <c r="C217" s="6">
        <v>3.0</v>
      </c>
      <c r="D217" s="6">
        <v>6.0</v>
      </c>
      <c r="E217" s="6">
        <v>11.0</v>
      </c>
      <c r="F217" s="6">
        <v>54.0</v>
      </c>
      <c r="G217" s="6">
        <v>11.0</v>
      </c>
      <c r="H217" s="6">
        <v>17.0</v>
      </c>
      <c r="I217" s="6">
        <v>5.0</v>
      </c>
      <c r="J217" s="9">
        <v>45989.0</v>
      </c>
      <c r="K217" s="6">
        <v>7.0</v>
      </c>
      <c r="L217" s="5" t="s">
        <v>62</v>
      </c>
      <c r="M217" s="5">
        <v>0.0</v>
      </c>
    </row>
    <row r="218" ht="22.5" customHeight="1">
      <c r="A218" s="5" t="s">
        <v>1148</v>
      </c>
      <c r="B218" s="5" t="s">
        <v>65</v>
      </c>
      <c r="C218" s="6">
        <v>6.0</v>
      </c>
      <c r="D218" s="6">
        <v>25.0</v>
      </c>
      <c r="E218" s="6">
        <v>1.0</v>
      </c>
      <c r="F218" s="6">
        <v>11.0</v>
      </c>
      <c r="G218" s="6">
        <v>32.0</v>
      </c>
      <c r="H218" s="6">
        <v>10.0</v>
      </c>
      <c r="I218" s="6">
        <v>4.0</v>
      </c>
      <c r="J218" s="9">
        <v>44740.0</v>
      </c>
      <c r="K218" s="6">
        <v>4.0</v>
      </c>
      <c r="L218" s="5" t="s">
        <v>113</v>
      </c>
      <c r="M218" s="5">
        <v>1.0</v>
      </c>
    </row>
    <row r="219" ht="22.5" customHeight="1">
      <c r="A219" s="5" t="s">
        <v>1152</v>
      </c>
      <c r="B219" s="5" t="s">
        <v>65</v>
      </c>
      <c r="C219" s="6">
        <v>5.0</v>
      </c>
      <c r="D219" s="6">
        <v>19.0</v>
      </c>
      <c r="E219" s="6">
        <v>12.0</v>
      </c>
      <c r="F219" s="6">
        <v>25.0</v>
      </c>
      <c r="G219" s="6">
        <v>34.0</v>
      </c>
      <c r="H219" s="6">
        <v>3.0</v>
      </c>
      <c r="I219" s="6">
        <v>0.0</v>
      </c>
      <c r="J219" s="9">
        <v>45492.0</v>
      </c>
      <c r="K219" s="6">
        <v>4.0</v>
      </c>
      <c r="L219" s="5" t="s">
        <v>62</v>
      </c>
      <c r="M219" s="5">
        <v>0.0</v>
      </c>
    </row>
    <row r="220" ht="22.5" customHeight="1">
      <c r="A220" s="5" t="s">
        <v>1155</v>
      </c>
      <c r="B220" s="5" t="s">
        <v>84</v>
      </c>
      <c r="C220" s="6">
        <v>8.0</v>
      </c>
      <c r="D220" s="6">
        <v>17.0</v>
      </c>
      <c r="E220" s="6">
        <v>14.0</v>
      </c>
      <c r="F220" s="6">
        <v>53.0</v>
      </c>
      <c r="G220" s="6">
        <v>34.0</v>
      </c>
      <c r="H220" s="6">
        <v>14.0</v>
      </c>
      <c r="I220" s="6">
        <v>1.0</v>
      </c>
      <c r="J220" s="9">
        <v>44501.0</v>
      </c>
      <c r="K220" s="6">
        <v>3.0</v>
      </c>
      <c r="L220" s="5" t="s">
        <v>113</v>
      </c>
      <c r="M220" s="5">
        <v>1.0</v>
      </c>
    </row>
    <row r="221" ht="22.5" customHeight="1">
      <c r="A221" s="5" t="s">
        <v>1158</v>
      </c>
      <c r="B221" s="5" t="s">
        <v>170</v>
      </c>
      <c r="C221" s="6">
        <v>8.0</v>
      </c>
      <c r="D221" s="6">
        <v>34.0</v>
      </c>
      <c r="E221" s="6">
        <v>5.0</v>
      </c>
      <c r="F221" s="6">
        <v>12.0</v>
      </c>
      <c r="G221" s="6">
        <v>38.0</v>
      </c>
      <c r="H221" s="6">
        <v>19.0</v>
      </c>
      <c r="I221" s="6">
        <v>2.0</v>
      </c>
      <c r="J221" s="9">
        <v>45621.0</v>
      </c>
      <c r="K221" s="6">
        <v>7.0</v>
      </c>
      <c r="L221" s="5" t="s">
        <v>62</v>
      </c>
      <c r="M221" s="5">
        <v>0.0</v>
      </c>
    </row>
    <row r="222" ht="22.5" customHeight="1">
      <c r="A222" s="5" t="s">
        <v>1163</v>
      </c>
      <c r="B222" s="5" t="s">
        <v>22</v>
      </c>
      <c r="C222" s="6">
        <v>7.0</v>
      </c>
      <c r="D222" s="6">
        <v>26.0</v>
      </c>
      <c r="E222" s="6">
        <v>15.0</v>
      </c>
      <c r="F222" s="6">
        <v>33.0</v>
      </c>
      <c r="G222" s="6">
        <v>37.0</v>
      </c>
      <c r="H222" s="6">
        <v>20.0</v>
      </c>
      <c r="I222" s="6">
        <v>3.0</v>
      </c>
      <c r="J222" s="9">
        <v>45279.0</v>
      </c>
      <c r="K222" s="6">
        <v>5.0</v>
      </c>
      <c r="L222" s="5" t="s">
        <v>62</v>
      </c>
      <c r="M222" s="5">
        <v>0.0</v>
      </c>
    </row>
    <row r="223" ht="22.5" customHeight="1">
      <c r="A223" s="5" t="s">
        <v>1165</v>
      </c>
      <c r="B223" s="5" t="s">
        <v>22</v>
      </c>
      <c r="C223" s="6">
        <v>8.0</v>
      </c>
      <c r="D223" s="6">
        <v>15.0</v>
      </c>
      <c r="E223" s="6">
        <v>9.0</v>
      </c>
      <c r="F223" s="6">
        <v>38.0</v>
      </c>
      <c r="G223" s="6">
        <v>23.0</v>
      </c>
      <c r="H223" s="6">
        <v>12.0</v>
      </c>
      <c r="I223" s="6">
        <v>5.0</v>
      </c>
      <c r="J223" s="9">
        <v>45909.0</v>
      </c>
      <c r="K223" s="6">
        <v>6.0</v>
      </c>
      <c r="L223" s="5" t="s">
        <v>62</v>
      </c>
      <c r="M223" s="5">
        <v>0.0</v>
      </c>
    </row>
    <row r="224" ht="22.5" customHeight="1">
      <c r="A224" s="5" t="s">
        <v>1169</v>
      </c>
      <c r="B224" s="5" t="s">
        <v>44</v>
      </c>
      <c r="C224" s="6">
        <v>3.0</v>
      </c>
      <c r="D224" s="6">
        <v>11.0</v>
      </c>
      <c r="E224" s="6">
        <v>5.0</v>
      </c>
      <c r="F224" s="6">
        <v>19.0</v>
      </c>
      <c r="G224" s="6">
        <v>11.0</v>
      </c>
      <c r="H224" s="6">
        <v>19.0</v>
      </c>
      <c r="I224" s="6">
        <v>4.0</v>
      </c>
      <c r="J224" s="9">
        <v>45048.0</v>
      </c>
      <c r="K224" s="6">
        <v>3.0</v>
      </c>
      <c r="L224" s="5" t="s">
        <v>113</v>
      </c>
      <c r="M224" s="5">
        <v>1.0</v>
      </c>
    </row>
    <row r="225" ht="22.5" customHeight="1">
      <c r="A225" s="5" t="s">
        <v>1173</v>
      </c>
      <c r="B225" s="5" t="s">
        <v>22</v>
      </c>
      <c r="C225" s="6">
        <v>8.0</v>
      </c>
      <c r="D225" s="6">
        <v>23.0</v>
      </c>
      <c r="E225" s="6">
        <v>5.0</v>
      </c>
      <c r="F225" s="6">
        <v>9.0</v>
      </c>
      <c r="G225" s="6">
        <v>32.0</v>
      </c>
      <c r="H225" s="6">
        <v>3.0</v>
      </c>
      <c r="I225" s="6">
        <v>3.0</v>
      </c>
      <c r="J225" s="9">
        <v>45348.0</v>
      </c>
      <c r="K225" s="6">
        <v>3.0</v>
      </c>
      <c r="L225" s="5" t="s">
        <v>62</v>
      </c>
      <c r="M225" s="5">
        <v>0.0</v>
      </c>
    </row>
    <row r="226" ht="22.5" customHeight="1">
      <c r="A226" s="5" t="s">
        <v>1175</v>
      </c>
      <c r="B226" s="5" t="s">
        <v>44</v>
      </c>
      <c r="C226" s="6">
        <v>6.0</v>
      </c>
      <c r="D226" s="6">
        <v>31.0</v>
      </c>
      <c r="E226" s="6">
        <v>9.0</v>
      </c>
      <c r="F226" s="6">
        <v>28.0</v>
      </c>
      <c r="G226" s="6">
        <v>11.0</v>
      </c>
      <c r="H226" s="6">
        <v>15.0</v>
      </c>
      <c r="I226" s="6">
        <v>1.0</v>
      </c>
      <c r="J226" s="9">
        <v>44962.0</v>
      </c>
      <c r="K226" s="6">
        <v>3.0</v>
      </c>
      <c r="L226" s="5" t="s">
        <v>113</v>
      </c>
      <c r="M226" s="5">
        <v>1.0</v>
      </c>
    </row>
    <row r="227" ht="22.5" customHeight="1">
      <c r="A227" s="5" t="s">
        <v>1179</v>
      </c>
      <c r="B227" s="5" t="s">
        <v>65</v>
      </c>
      <c r="C227" s="6">
        <v>8.0</v>
      </c>
      <c r="D227" s="6">
        <v>14.0</v>
      </c>
      <c r="E227" s="6">
        <v>18.0</v>
      </c>
      <c r="F227" s="6">
        <v>36.0</v>
      </c>
      <c r="G227" s="6">
        <v>26.0</v>
      </c>
      <c r="H227" s="6">
        <v>2.0</v>
      </c>
      <c r="I227" s="6">
        <v>3.0</v>
      </c>
      <c r="J227" s="9">
        <v>45873.0</v>
      </c>
      <c r="K227" s="6">
        <v>8.0</v>
      </c>
      <c r="L227" s="5" t="s">
        <v>62</v>
      </c>
      <c r="M227" s="5">
        <v>0.0</v>
      </c>
    </row>
    <row r="228" ht="22.5" customHeight="1">
      <c r="A228" s="5" t="s">
        <v>1182</v>
      </c>
      <c r="B228" s="5" t="s">
        <v>65</v>
      </c>
      <c r="C228" s="6">
        <v>7.0</v>
      </c>
      <c r="D228" s="6">
        <v>24.0</v>
      </c>
      <c r="E228" s="6">
        <v>5.0</v>
      </c>
      <c r="F228" s="6">
        <v>46.0</v>
      </c>
      <c r="G228" s="6">
        <v>33.0</v>
      </c>
      <c r="H228" s="6">
        <v>19.0</v>
      </c>
      <c r="I228" s="6">
        <v>2.0</v>
      </c>
      <c r="J228" s="9">
        <v>44632.0</v>
      </c>
      <c r="K228" s="6">
        <v>2.0</v>
      </c>
      <c r="L228" s="5" t="s">
        <v>113</v>
      </c>
      <c r="M228" s="5">
        <v>1.0</v>
      </c>
    </row>
    <row r="229" ht="22.5" customHeight="1">
      <c r="A229" s="5" t="s">
        <v>1185</v>
      </c>
      <c r="B229" s="5" t="s">
        <v>84</v>
      </c>
      <c r="C229" s="6">
        <v>6.0</v>
      </c>
      <c r="D229" s="6">
        <v>21.0</v>
      </c>
      <c r="E229" s="6">
        <v>5.0</v>
      </c>
      <c r="F229" s="6">
        <v>45.0</v>
      </c>
      <c r="G229" s="6">
        <v>28.0</v>
      </c>
      <c r="H229" s="6">
        <v>13.0</v>
      </c>
      <c r="I229" s="6">
        <v>1.0</v>
      </c>
      <c r="J229" s="9">
        <v>45607.0</v>
      </c>
      <c r="K229" s="6">
        <v>8.0</v>
      </c>
      <c r="L229" s="5" t="s">
        <v>62</v>
      </c>
      <c r="M229" s="5">
        <v>0.0</v>
      </c>
    </row>
    <row r="230" ht="22.5" customHeight="1">
      <c r="A230" s="5" t="s">
        <v>1191</v>
      </c>
      <c r="B230" s="5" t="s">
        <v>84</v>
      </c>
      <c r="C230" s="6">
        <v>7.0</v>
      </c>
      <c r="D230" s="6">
        <v>33.0</v>
      </c>
      <c r="E230" s="6">
        <v>6.0</v>
      </c>
      <c r="F230" s="6">
        <v>41.0</v>
      </c>
      <c r="G230" s="6">
        <v>43.0</v>
      </c>
      <c r="H230" s="6">
        <v>9.0</v>
      </c>
      <c r="I230" s="6">
        <v>3.0</v>
      </c>
      <c r="J230" s="9">
        <v>44711.0</v>
      </c>
      <c r="K230" s="6">
        <v>3.0</v>
      </c>
      <c r="L230" s="5" t="s">
        <v>113</v>
      </c>
      <c r="M230" s="5">
        <v>1.0</v>
      </c>
    </row>
    <row r="231" ht="22.5" customHeight="1">
      <c r="A231" s="5" t="s">
        <v>1193</v>
      </c>
      <c r="B231" s="5" t="s">
        <v>84</v>
      </c>
      <c r="C231" s="6">
        <v>6.0</v>
      </c>
      <c r="D231" s="6">
        <v>25.0</v>
      </c>
      <c r="E231" s="6">
        <v>6.0</v>
      </c>
      <c r="F231" s="6">
        <v>27.0</v>
      </c>
      <c r="G231" s="6">
        <v>10.0</v>
      </c>
      <c r="H231" s="6">
        <v>14.0</v>
      </c>
      <c r="I231" s="6">
        <v>1.0</v>
      </c>
      <c r="J231" s="9">
        <v>46168.0</v>
      </c>
      <c r="K231" s="6">
        <v>8.0</v>
      </c>
      <c r="L231" s="10" t="s">
        <v>62</v>
      </c>
      <c r="M231" s="10">
        <v>0.0</v>
      </c>
    </row>
    <row r="232" ht="22.5" customHeight="1">
      <c r="A232" s="5" t="s">
        <v>1196</v>
      </c>
      <c r="B232" s="5" t="s">
        <v>22</v>
      </c>
      <c r="C232" s="6">
        <v>5.0</v>
      </c>
      <c r="D232" s="6">
        <v>23.0</v>
      </c>
      <c r="E232" s="6">
        <v>8.0</v>
      </c>
      <c r="F232" s="6">
        <v>36.0</v>
      </c>
      <c r="G232" s="6">
        <v>24.0</v>
      </c>
      <c r="H232" s="6">
        <v>3.0</v>
      </c>
      <c r="I232" s="6">
        <v>1.0</v>
      </c>
      <c r="J232" s="9">
        <v>45781.0</v>
      </c>
      <c r="K232" s="6">
        <v>7.0</v>
      </c>
      <c r="L232" s="5" t="s">
        <v>62</v>
      </c>
      <c r="M232" s="5">
        <v>0.0</v>
      </c>
    </row>
    <row r="233" ht="22.5" customHeight="1">
      <c r="A233" s="5" t="s">
        <v>1198</v>
      </c>
      <c r="B233" s="5" t="s">
        <v>65</v>
      </c>
      <c r="C233" s="6">
        <v>8.0</v>
      </c>
      <c r="D233" s="6">
        <v>40.0</v>
      </c>
      <c r="E233" s="6">
        <v>6.0</v>
      </c>
      <c r="F233" s="6">
        <v>34.0</v>
      </c>
      <c r="G233" s="6">
        <v>25.0</v>
      </c>
      <c r="H233" s="6">
        <v>14.0</v>
      </c>
      <c r="I233" s="6">
        <v>2.0</v>
      </c>
      <c r="J233" s="9">
        <v>45081.0</v>
      </c>
      <c r="K233" s="6">
        <v>2.0</v>
      </c>
      <c r="L233" s="5" t="s">
        <v>113</v>
      </c>
      <c r="M233" s="5">
        <v>1.0</v>
      </c>
    </row>
    <row r="234" ht="22.5" customHeight="1">
      <c r="A234" s="5" t="s">
        <v>1201</v>
      </c>
      <c r="B234" s="5" t="s">
        <v>22</v>
      </c>
      <c r="C234" s="6">
        <v>2.0</v>
      </c>
      <c r="D234" s="6">
        <v>11.0</v>
      </c>
      <c r="E234" s="6">
        <v>13.0</v>
      </c>
      <c r="F234" s="6">
        <v>53.0</v>
      </c>
      <c r="G234" s="6">
        <v>14.0</v>
      </c>
      <c r="H234" s="6">
        <v>17.0</v>
      </c>
      <c r="I234" s="6">
        <v>4.0</v>
      </c>
      <c r="J234" s="9">
        <v>45925.0</v>
      </c>
      <c r="K234" s="6">
        <v>5.0</v>
      </c>
      <c r="L234" s="5" t="s">
        <v>62</v>
      </c>
      <c r="M234" s="5">
        <v>0.0</v>
      </c>
    </row>
    <row r="235" ht="22.5" customHeight="1">
      <c r="A235" s="5" t="s">
        <v>1204</v>
      </c>
      <c r="B235" s="5" t="s">
        <v>170</v>
      </c>
      <c r="C235" s="6">
        <v>9.0</v>
      </c>
      <c r="D235" s="6">
        <v>26.0</v>
      </c>
      <c r="E235" s="6">
        <v>3.0</v>
      </c>
      <c r="F235" s="6">
        <v>54.0</v>
      </c>
      <c r="G235" s="6">
        <v>16.0</v>
      </c>
      <c r="H235" s="6">
        <v>5.0</v>
      </c>
      <c r="I235" s="6">
        <v>3.0</v>
      </c>
      <c r="J235" s="9">
        <v>45560.0</v>
      </c>
      <c r="K235" s="6">
        <v>4.0</v>
      </c>
      <c r="L235" s="5" t="s">
        <v>62</v>
      </c>
      <c r="M235" s="5">
        <v>0.0</v>
      </c>
    </row>
    <row r="236" ht="22.5" customHeight="1">
      <c r="A236" s="5" t="s">
        <v>1206</v>
      </c>
      <c r="B236" s="5" t="s">
        <v>65</v>
      </c>
      <c r="C236" s="6">
        <v>5.0</v>
      </c>
      <c r="D236" s="6">
        <v>20.0</v>
      </c>
      <c r="E236" s="6">
        <v>8.0</v>
      </c>
      <c r="F236" s="6">
        <v>27.0</v>
      </c>
      <c r="G236" s="6">
        <v>18.0</v>
      </c>
      <c r="H236" s="6">
        <v>5.0</v>
      </c>
      <c r="I236" s="6">
        <v>0.0</v>
      </c>
      <c r="J236" s="9">
        <v>45277.0</v>
      </c>
      <c r="K236" s="6">
        <v>2.0</v>
      </c>
      <c r="L236" s="5" t="s">
        <v>62</v>
      </c>
      <c r="M236" s="5">
        <v>0.0</v>
      </c>
    </row>
    <row r="237" ht="22.5" customHeight="1">
      <c r="A237" s="5" t="s">
        <v>1210</v>
      </c>
      <c r="B237" s="5" t="s">
        <v>22</v>
      </c>
      <c r="C237" s="6">
        <v>6.0</v>
      </c>
      <c r="D237" s="6">
        <v>32.0</v>
      </c>
      <c r="E237" s="6">
        <v>8.0</v>
      </c>
      <c r="F237" s="6">
        <v>21.0</v>
      </c>
      <c r="G237" s="6">
        <v>16.0</v>
      </c>
      <c r="H237" s="6">
        <v>20.0</v>
      </c>
      <c r="I237" s="6">
        <v>3.0</v>
      </c>
      <c r="J237" s="9">
        <v>45317.0</v>
      </c>
      <c r="K237" s="6">
        <v>1.0</v>
      </c>
      <c r="L237" s="5" t="s">
        <v>62</v>
      </c>
      <c r="M237" s="5">
        <v>0.0</v>
      </c>
    </row>
    <row r="238" ht="22.5" customHeight="1">
      <c r="A238" s="5" t="s">
        <v>1213</v>
      </c>
      <c r="B238" s="5" t="s">
        <v>44</v>
      </c>
      <c r="C238" s="6">
        <v>4.0</v>
      </c>
      <c r="D238" s="6">
        <v>24.0</v>
      </c>
      <c r="E238" s="6">
        <v>3.0</v>
      </c>
      <c r="F238" s="6">
        <v>26.0</v>
      </c>
      <c r="G238" s="6">
        <v>24.0</v>
      </c>
      <c r="H238" s="6">
        <v>10.0</v>
      </c>
      <c r="I238" s="6">
        <v>2.0</v>
      </c>
      <c r="J238" s="9">
        <v>45543.0</v>
      </c>
      <c r="K238" s="6">
        <v>9.0</v>
      </c>
      <c r="L238" s="10" t="s">
        <v>62</v>
      </c>
      <c r="M238" s="10">
        <v>0.0</v>
      </c>
    </row>
    <row r="239" ht="22.5" customHeight="1">
      <c r="A239" s="5" t="s">
        <v>1215</v>
      </c>
      <c r="B239" s="5" t="s">
        <v>44</v>
      </c>
      <c r="C239" s="6">
        <v>8.0</v>
      </c>
      <c r="D239" s="6">
        <v>44.0</v>
      </c>
      <c r="E239" s="6">
        <v>8.0</v>
      </c>
      <c r="F239" s="6">
        <v>48.0</v>
      </c>
      <c r="G239" s="6">
        <v>20.0</v>
      </c>
      <c r="H239" s="6">
        <v>18.0</v>
      </c>
      <c r="I239" s="6">
        <v>0.0</v>
      </c>
      <c r="J239" s="9">
        <v>45817.0</v>
      </c>
      <c r="K239" s="6">
        <v>6.0</v>
      </c>
      <c r="L239" s="5" t="s">
        <v>62</v>
      </c>
      <c r="M239" s="5">
        <v>0.0</v>
      </c>
    </row>
    <row r="240" ht="22.5" customHeight="1">
      <c r="A240" s="5" t="s">
        <v>1218</v>
      </c>
      <c r="B240" s="5" t="s">
        <v>44</v>
      </c>
      <c r="C240" s="6">
        <v>3.0</v>
      </c>
      <c r="D240" s="6">
        <v>10.0</v>
      </c>
      <c r="E240" s="6">
        <v>8.0</v>
      </c>
      <c r="F240" s="6">
        <v>48.0</v>
      </c>
      <c r="G240" s="6">
        <v>28.0</v>
      </c>
      <c r="H240" s="6">
        <v>2.0</v>
      </c>
      <c r="I240" s="6">
        <v>3.0</v>
      </c>
      <c r="J240" s="9">
        <v>44893.0</v>
      </c>
      <c r="K240" s="6">
        <v>2.0</v>
      </c>
      <c r="L240" s="10" t="s">
        <v>113</v>
      </c>
      <c r="M240" s="10">
        <v>1.0</v>
      </c>
    </row>
    <row r="241" ht="22.5" customHeight="1">
      <c r="A241" s="5" t="s">
        <v>1221</v>
      </c>
      <c r="B241" s="5" t="s">
        <v>22</v>
      </c>
      <c r="C241" s="6">
        <v>6.0</v>
      </c>
      <c r="D241" s="6">
        <v>14.0</v>
      </c>
      <c r="E241" s="6">
        <v>1.0</v>
      </c>
      <c r="F241" s="6">
        <v>32.0</v>
      </c>
      <c r="G241" s="6">
        <v>30.0</v>
      </c>
      <c r="H241" s="6">
        <v>8.0</v>
      </c>
      <c r="I241" s="6">
        <v>4.0</v>
      </c>
      <c r="J241" s="9">
        <v>45343.0</v>
      </c>
      <c r="K241" s="6">
        <v>4.0</v>
      </c>
      <c r="L241" s="5" t="s">
        <v>62</v>
      </c>
      <c r="M241" s="5">
        <v>0.0</v>
      </c>
    </row>
    <row r="242" ht="22.5" customHeight="1">
      <c r="A242" s="5" t="s">
        <v>1224</v>
      </c>
      <c r="B242" s="5" t="s">
        <v>170</v>
      </c>
      <c r="C242" s="6">
        <v>11.0</v>
      </c>
      <c r="D242" s="6">
        <v>41.0</v>
      </c>
      <c r="E242" s="6">
        <v>3.0</v>
      </c>
      <c r="F242" s="6">
        <v>47.0</v>
      </c>
      <c r="G242" s="6">
        <v>30.0</v>
      </c>
      <c r="H242" s="6">
        <v>18.0</v>
      </c>
      <c r="I242" s="6">
        <v>3.0</v>
      </c>
      <c r="J242" s="9">
        <v>44810.0</v>
      </c>
      <c r="K242" s="6">
        <v>3.0</v>
      </c>
      <c r="L242" s="5" t="s">
        <v>113</v>
      </c>
      <c r="M242" s="5">
        <v>1.0</v>
      </c>
    </row>
    <row r="243" ht="22.5" customHeight="1">
      <c r="A243" s="5" t="s">
        <v>1227</v>
      </c>
      <c r="B243" s="5" t="s">
        <v>44</v>
      </c>
      <c r="C243" s="6">
        <v>8.0</v>
      </c>
      <c r="D243" s="6">
        <v>39.0</v>
      </c>
      <c r="E243" s="6">
        <v>15.0</v>
      </c>
      <c r="F243" s="6">
        <v>6.0</v>
      </c>
      <c r="G243" s="6">
        <v>22.0</v>
      </c>
      <c r="H243" s="6">
        <v>8.0</v>
      </c>
      <c r="I243" s="6">
        <v>0.0</v>
      </c>
      <c r="J243" s="9">
        <v>45852.0</v>
      </c>
      <c r="K243" s="6">
        <v>4.0</v>
      </c>
      <c r="L243" s="5" t="s">
        <v>62</v>
      </c>
      <c r="M243" s="5">
        <v>0.0</v>
      </c>
    </row>
    <row r="244" ht="22.5" customHeight="1">
      <c r="A244" s="5" t="s">
        <v>1229</v>
      </c>
      <c r="B244" s="5" t="s">
        <v>84</v>
      </c>
      <c r="C244" s="6">
        <v>8.0</v>
      </c>
      <c r="D244" s="6">
        <v>30.0</v>
      </c>
      <c r="E244" s="6">
        <v>4.0</v>
      </c>
      <c r="F244" s="6">
        <v>37.0</v>
      </c>
      <c r="G244" s="6">
        <v>27.0</v>
      </c>
      <c r="H244" s="6">
        <v>7.0</v>
      </c>
      <c r="I244" s="6">
        <v>2.0</v>
      </c>
      <c r="J244" s="9">
        <v>45322.0</v>
      </c>
      <c r="K244" s="6">
        <v>3.0</v>
      </c>
      <c r="L244" s="5" t="s">
        <v>62</v>
      </c>
      <c r="M244" s="5">
        <v>0.0</v>
      </c>
    </row>
    <row r="245" ht="22.5" customHeight="1">
      <c r="A245" s="5" t="s">
        <v>1230</v>
      </c>
      <c r="B245" s="5" t="s">
        <v>44</v>
      </c>
      <c r="C245" s="6">
        <v>11.0</v>
      </c>
      <c r="D245" s="6">
        <v>40.0</v>
      </c>
      <c r="E245" s="6">
        <v>2.0</v>
      </c>
      <c r="F245" s="6">
        <v>14.0</v>
      </c>
      <c r="G245" s="6">
        <v>33.0</v>
      </c>
      <c r="H245" s="6">
        <v>17.0</v>
      </c>
      <c r="I245" s="6">
        <v>4.0</v>
      </c>
      <c r="J245" s="9">
        <v>45712.0</v>
      </c>
      <c r="K245" s="6">
        <v>7.0</v>
      </c>
      <c r="L245" s="5" t="s">
        <v>62</v>
      </c>
      <c r="M245" s="5">
        <v>0.0</v>
      </c>
    </row>
    <row r="246" ht="22.5" customHeight="1">
      <c r="A246" s="5" t="s">
        <v>1234</v>
      </c>
      <c r="B246" s="5" t="s">
        <v>44</v>
      </c>
      <c r="C246" s="6">
        <v>2.0</v>
      </c>
      <c r="D246" s="6">
        <v>11.0</v>
      </c>
      <c r="E246" s="6">
        <v>1.0</v>
      </c>
      <c r="F246" s="6">
        <v>29.0</v>
      </c>
      <c r="G246" s="6">
        <v>29.0</v>
      </c>
      <c r="H246" s="6">
        <v>1.0</v>
      </c>
      <c r="I246" s="6">
        <v>0.0</v>
      </c>
      <c r="J246" s="9">
        <v>45680.0</v>
      </c>
      <c r="K246" s="6">
        <v>7.0</v>
      </c>
      <c r="L246" s="5" t="s">
        <v>62</v>
      </c>
      <c r="M246" s="5">
        <v>0.0</v>
      </c>
    </row>
    <row r="247" ht="22.5" customHeight="1">
      <c r="A247" s="5" t="s">
        <v>1236</v>
      </c>
      <c r="B247" s="5" t="s">
        <v>44</v>
      </c>
      <c r="C247" s="6">
        <v>6.0</v>
      </c>
      <c r="D247" s="6">
        <v>19.0</v>
      </c>
      <c r="E247" s="6">
        <v>3.0</v>
      </c>
      <c r="F247" s="6">
        <v>35.0</v>
      </c>
      <c r="G247" s="6">
        <v>40.0</v>
      </c>
      <c r="H247" s="6">
        <v>16.0</v>
      </c>
      <c r="I247" s="6">
        <v>2.0</v>
      </c>
      <c r="J247" s="9">
        <v>46226.0</v>
      </c>
      <c r="K247" s="6">
        <v>9.0</v>
      </c>
      <c r="L247" s="5" t="s">
        <v>62</v>
      </c>
      <c r="M247" s="5">
        <v>0.0</v>
      </c>
    </row>
    <row r="248" ht="22.5" customHeight="1">
      <c r="A248" s="5" t="s">
        <v>1241</v>
      </c>
      <c r="B248" s="5" t="s">
        <v>22</v>
      </c>
      <c r="C248" s="6">
        <v>4.0</v>
      </c>
      <c r="D248" s="6">
        <v>21.0</v>
      </c>
      <c r="E248" s="6">
        <v>6.0</v>
      </c>
      <c r="F248" s="6">
        <v>9.0</v>
      </c>
      <c r="G248" s="6">
        <v>33.0</v>
      </c>
      <c r="H248" s="6">
        <v>13.0</v>
      </c>
      <c r="I248" s="6">
        <v>0.0</v>
      </c>
      <c r="J248" s="9">
        <v>46056.0</v>
      </c>
      <c r="K248" s="6">
        <v>7.0</v>
      </c>
      <c r="L248" s="5" t="s">
        <v>62</v>
      </c>
      <c r="M248" s="5">
        <v>0.0</v>
      </c>
    </row>
    <row r="249" ht="22.5" customHeight="1">
      <c r="A249" s="5" t="s">
        <v>1245</v>
      </c>
      <c r="B249" s="5" t="s">
        <v>22</v>
      </c>
      <c r="C249" s="6">
        <v>9.0</v>
      </c>
      <c r="D249" s="6">
        <v>30.0</v>
      </c>
      <c r="E249" s="6">
        <v>2.0</v>
      </c>
      <c r="F249" s="6">
        <v>48.0</v>
      </c>
      <c r="G249" s="6">
        <v>39.0</v>
      </c>
      <c r="H249" s="6">
        <v>7.0</v>
      </c>
      <c r="I249" s="6">
        <v>2.0</v>
      </c>
      <c r="J249" s="9">
        <v>44439.0</v>
      </c>
      <c r="K249" s="6">
        <v>3.0</v>
      </c>
      <c r="L249" s="5" t="s">
        <v>113</v>
      </c>
      <c r="M249" s="5">
        <v>1.0</v>
      </c>
    </row>
    <row r="250" ht="22.5" customHeight="1">
      <c r="A250" s="5" t="s">
        <v>1248</v>
      </c>
      <c r="B250" s="5" t="s">
        <v>44</v>
      </c>
      <c r="C250" s="6">
        <v>8.0</v>
      </c>
      <c r="D250" s="6">
        <v>24.0</v>
      </c>
      <c r="E250" s="6">
        <v>9.0</v>
      </c>
      <c r="F250" s="6">
        <v>32.0</v>
      </c>
      <c r="G250" s="6">
        <v>10.0</v>
      </c>
      <c r="H250" s="6">
        <v>10.0</v>
      </c>
      <c r="I250" s="6">
        <v>4.0</v>
      </c>
      <c r="J250" s="9">
        <v>45358.0</v>
      </c>
      <c r="K250" s="6">
        <v>2.0</v>
      </c>
      <c r="L250" s="5" t="s">
        <v>62</v>
      </c>
      <c r="M250" s="5">
        <v>0.0</v>
      </c>
    </row>
    <row r="251" ht="22.5" customHeight="1">
      <c r="A251" s="5" t="s">
        <v>1251</v>
      </c>
      <c r="B251" s="5" t="s">
        <v>22</v>
      </c>
      <c r="C251" s="6">
        <v>4.0</v>
      </c>
      <c r="D251" s="6">
        <v>14.0</v>
      </c>
      <c r="E251" s="6">
        <v>3.0</v>
      </c>
      <c r="F251" s="6">
        <v>43.0</v>
      </c>
      <c r="G251" s="6">
        <v>26.0</v>
      </c>
      <c r="H251" s="6">
        <v>8.0</v>
      </c>
      <c r="I251" s="6">
        <v>3.0</v>
      </c>
      <c r="J251" s="9">
        <v>45768.0</v>
      </c>
      <c r="K251" s="6">
        <v>8.0</v>
      </c>
      <c r="L251" s="10" t="s">
        <v>62</v>
      </c>
      <c r="M251" s="10">
        <v>0.0</v>
      </c>
    </row>
    <row r="252" ht="22.5" customHeight="1">
      <c r="A252" s="5" t="s">
        <v>1255</v>
      </c>
      <c r="B252" s="5" t="s">
        <v>22</v>
      </c>
      <c r="C252" s="6">
        <v>2.0</v>
      </c>
      <c r="D252" s="6">
        <v>10.0</v>
      </c>
      <c r="E252" s="6">
        <v>8.0</v>
      </c>
      <c r="F252" s="6">
        <v>35.0</v>
      </c>
      <c r="G252" s="6">
        <v>22.0</v>
      </c>
      <c r="H252" s="6">
        <v>8.0</v>
      </c>
      <c r="I252" s="6">
        <v>2.0</v>
      </c>
      <c r="J252" s="9">
        <v>44587.0</v>
      </c>
      <c r="K252" s="6">
        <v>2.0</v>
      </c>
      <c r="L252" s="5" t="s">
        <v>113</v>
      </c>
      <c r="M252" s="5">
        <v>1.0</v>
      </c>
    </row>
    <row r="253" ht="22.5" customHeight="1">
      <c r="A253" s="5" t="s">
        <v>1258</v>
      </c>
      <c r="B253" s="5" t="s">
        <v>84</v>
      </c>
      <c r="C253" s="6">
        <v>6.0</v>
      </c>
      <c r="D253" s="6">
        <v>12.0</v>
      </c>
      <c r="E253" s="6">
        <v>14.0</v>
      </c>
      <c r="F253" s="6">
        <v>47.0</v>
      </c>
      <c r="G253" s="6">
        <v>24.0</v>
      </c>
      <c r="H253" s="6">
        <v>13.0</v>
      </c>
      <c r="I253" s="6">
        <v>0.0</v>
      </c>
      <c r="J253" s="9">
        <v>46131.0</v>
      </c>
      <c r="K253" s="6">
        <v>7.0</v>
      </c>
      <c r="L253" s="5" t="s">
        <v>62</v>
      </c>
      <c r="M253" s="5">
        <v>0.0</v>
      </c>
    </row>
    <row r="254" ht="22.5" customHeight="1">
      <c r="A254" s="5" t="s">
        <v>1261</v>
      </c>
      <c r="B254" s="5" t="s">
        <v>44</v>
      </c>
      <c r="C254" s="6">
        <v>4.0</v>
      </c>
      <c r="D254" s="6">
        <v>10.0</v>
      </c>
      <c r="E254" s="6">
        <v>14.0</v>
      </c>
      <c r="F254" s="6">
        <v>47.0</v>
      </c>
      <c r="G254" s="6">
        <v>19.0</v>
      </c>
      <c r="H254" s="6">
        <v>5.0</v>
      </c>
      <c r="I254" s="6">
        <v>3.0</v>
      </c>
      <c r="J254" s="9">
        <v>45854.0</v>
      </c>
      <c r="K254" s="6">
        <v>6.0</v>
      </c>
      <c r="L254" s="5" t="s">
        <v>62</v>
      </c>
      <c r="M254" s="5">
        <v>0.0</v>
      </c>
    </row>
    <row r="255" ht="22.5" customHeight="1">
      <c r="A255" s="5" t="s">
        <v>1263</v>
      </c>
      <c r="B255" s="5" t="s">
        <v>65</v>
      </c>
      <c r="C255" s="6">
        <v>7.0</v>
      </c>
      <c r="D255" s="6">
        <v>40.0</v>
      </c>
      <c r="E255" s="6">
        <v>8.0</v>
      </c>
      <c r="F255" s="6">
        <v>12.0</v>
      </c>
      <c r="G255" s="6">
        <v>28.0</v>
      </c>
      <c r="H255" s="6">
        <v>13.0</v>
      </c>
      <c r="I255" s="6">
        <v>0.0</v>
      </c>
      <c r="J255" s="9">
        <v>45694.0</v>
      </c>
      <c r="K255" s="6">
        <v>8.0</v>
      </c>
      <c r="L255" s="5" t="s">
        <v>62</v>
      </c>
      <c r="M255" s="5">
        <v>0.0</v>
      </c>
    </row>
    <row r="256" ht="22.5" customHeight="1">
      <c r="A256" s="5" t="s">
        <v>1266</v>
      </c>
      <c r="B256" s="5" t="s">
        <v>84</v>
      </c>
      <c r="C256" s="6">
        <v>4.0</v>
      </c>
      <c r="D256" s="6">
        <v>9.0</v>
      </c>
      <c r="E256" s="6">
        <v>3.0</v>
      </c>
      <c r="F256" s="6">
        <v>10.0</v>
      </c>
      <c r="G256" s="6">
        <v>11.0</v>
      </c>
      <c r="H256" s="6">
        <v>16.0</v>
      </c>
      <c r="I256" s="6">
        <v>1.0</v>
      </c>
      <c r="J256" s="9">
        <v>44703.0</v>
      </c>
      <c r="K256" s="6">
        <v>6.0</v>
      </c>
      <c r="L256" s="5" t="s">
        <v>113</v>
      </c>
      <c r="M256" s="5">
        <v>1.0</v>
      </c>
    </row>
    <row r="257" ht="22.5" customHeight="1">
      <c r="A257" s="5" t="s">
        <v>1271</v>
      </c>
      <c r="B257" s="5" t="s">
        <v>170</v>
      </c>
      <c r="C257" s="6">
        <v>5.0</v>
      </c>
      <c r="D257" s="6">
        <v>20.0</v>
      </c>
      <c r="E257" s="6">
        <v>6.0</v>
      </c>
      <c r="F257" s="6">
        <v>13.0</v>
      </c>
      <c r="G257" s="6">
        <v>28.0</v>
      </c>
      <c r="H257" s="6">
        <v>18.0</v>
      </c>
      <c r="I257" s="6">
        <v>1.0</v>
      </c>
      <c r="J257" s="9">
        <v>44957.0</v>
      </c>
      <c r="K257" s="6">
        <v>5.0</v>
      </c>
      <c r="L257" s="5" t="s">
        <v>113</v>
      </c>
      <c r="M257" s="5">
        <v>1.0</v>
      </c>
    </row>
    <row r="258" ht="22.5" customHeight="1">
      <c r="A258" s="5" t="s">
        <v>1274</v>
      </c>
      <c r="B258" s="5" t="s">
        <v>84</v>
      </c>
      <c r="C258" s="6">
        <v>6.0</v>
      </c>
      <c r="D258" s="6">
        <v>25.0</v>
      </c>
      <c r="E258" s="6">
        <v>8.0</v>
      </c>
      <c r="F258" s="6">
        <v>39.0</v>
      </c>
      <c r="G258" s="6">
        <v>19.0</v>
      </c>
      <c r="H258" s="6">
        <v>16.0</v>
      </c>
      <c r="I258" s="6">
        <v>1.0</v>
      </c>
      <c r="J258" s="11"/>
      <c r="K258" s="6">
        <v>5.0</v>
      </c>
      <c r="L258" s="5" t="s">
        <v>113</v>
      </c>
      <c r="M258" s="5">
        <v>1.0</v>
      </c>
    </row>
    <row r="259" ht="22.5" customHeight="1">
      <c r="A259" s="5" t="s">
        <v>1279</v>
      </c>
      <c r="B259" s="5" t="s">
        <v>44</v>
      </c>
      <c r="C259" s="6">
        <v>9.0</v>
      </c>
      <c r="D259" s="6">
        <v>33.0</v>
      </c>
      <c r="E259" s="6">
        <v>23.0</v>
      </c>
      <c r="F259" s="6">
        <v>28.0</v>
      </c>
      <c r="G259" s="6">
        <v>21.0</v>
      </c>
      <c r="H259" s="8"/>
      <c r="I259" s="6">
        <v>4.0</v>
      </c>
      <c r="J259" s="9">
        <v>45342.0</v>
      </c>
      <c r="K259" s="6">
        <v>3.0</v>
      </c>
      <c r="L259" s="5" t="s">
        <v>62</v>
      </c>
      <c r="M259" s="5">
        <v>0.0</v>
      </c>
    </row>
    <row r="260" ht="22.5" customHeight="1">
      <c r="A260" s="5" t="s">
        <v>1282</v>
      </c>
      <c r="B260" s="5" t="s">
        <v>22</v>
      </c>
      <c r="C260" s="6">
        <v>8.0</v>
      </c>
      <c r="D260" s="6">
        <v>35.0</v>
      </c>
      <c r="E260" s="6">
        <v>1.0</v>
      </c>
      <c r="F260" s="6">
        <v>60.0</v>
      </c>
      <c r="G260" s="6">
        <v>29.0</v>
      </c>
      <c r="H260" s="6">
        <v>12.0</v>
      </c>
      <c r="I260" s="6">
        <v>1.0</v>
      </c>
      <c r="J260" s="9">
        <v>45009.0</v>
      </c>
      <c r="K260" s="6">
        <v>4.0</v>
      </c>
      <c r="L260" s="5" t="s">
        <v>113</v>
      </c>
      <c r="M260" s="5">
        <v>1.0</v>
      </c>
    </row>
    <row r="261" ht="22.5" customHeight="1">
      <c r="A261" s="5" t="s">
        <v>1286</v>
      </c>
      <c r="B261" s="5" t="s">
        <v>84</v>
      </c>
      <c r="C261" s="6">
        <v>6.0</v>
      </c>
      <c r="D261" s="6">
        <v>15.0</v>
      </c>
      <c r="E261" s="6">
        <v>6.0</v>
      </c>
      <c r="F261" s="6">
        <v>52.0</v>
      </c>
      <c r="G261" s="6">
        <v>26.0</v>
      </c>
      <c r="H261" s="6">
        <v>17.0</v>
      </c>
      <c r="I261" s="6">
        <v>3.0</v>
      </c>
      <c r="J261" s="9">
        <v>46001.0</v>
      </c>
      <c r="K261" s="6">
        <v>7.0</v>
      </c>
      <c r="L261" s="5" t="s">
        <v>62</v>
      </c>
      <c r="M261" s="5">
        <v>0.0</v>
      </c>
    </row>
    <row r="262" ht="22.5" customHeight="1">
      <c r="A262" s="5" t="s">
        <v>1289</v>
      </c>
      <c r="B262" s="5" t="s">
        <v>44</v>
      </c>
      <c r="C262" s="6">
        <v>5.0</v>
      </c>
      <c r="D262" s="6">
        <v>20.0</v>
      </c>
      <c r="E262" s="6">
        <v>9.0</v>
      </c>
      <c r="F262" s="6">
        <v>33.0</v>
      </c>
      <c r="G262" s="6">
        <v>33.0</v>
      </c>
      <c r="H262" s="6">
        <v>11.0</v>
      </c>
      <c r="I262" s="6">
        <v>4.0</v>
      </c>
      <c r="J262" s="9">
        <v>45932.0</v>
      </c>
      <c r="K262" s="6">
        <v>7.0</v>
      </c>
      <c r="L262" s="5" t="s">
        <v>62</v>
      </c>
      <c r="M262" s="5">
        <v>0.0</v>
      </c>
    </row>
    <row r="263" ht="22.5" customHeight="1">
      <c r="A263" s="5" t="s">
        <v>1293</v>
      </c>
      <c r="B263" s="5" t="s">
        <v>65</v>
      </c>
      <c r="C263" s="6">
        <v>7.0</v>
      </c>
      <c r="D263" s="6">
        <v>22.0</v>
      </c>
      <c r="E263" s="6">
        <v>7.0</v>
      </c>
      <c r="F263" s="6">
        <v>52.0</v>
      </c>
      <c r="G263" s="6">
        <v>17.0</v>
      </c>
      <c r="H263" s="8"/>
      <c r="I263" s="6">
        <v>4.0</v>
      </c>
      <c r="J263" s="9">
        <v>45180.0</v>
      </c>
      <c r="K263" s="6">
        <v>1.0</v>
      </c>
      <c r="L263" s="5" t="s">
        <v>62</v>
      </c>
      <c r="M263" s="5">
        <v>0.0</v>
      </c>
    </row>
    <row r="264" ht="22.5" customHeight="1">
      <c r="A264" s="5" t="s">
        <v>1296</v>
      </c>
      <c r="B264" s="5" t="s">
        <v>65</v>
      </c>
      <c r="C264" s="6">
        <v>9.0</v>
      </c>
      <c r="D264" s="6">
        <v>40.0</v>
      </c>
      <c r="E264" s="6">
        <v>7.0</v>
      </c>
      <c r="F264" s="6">
        <v>60.0</v>
      </c>
      <c r="G264" s="6">
        <v>24.0</v>
      </c>
      <c r="H264" s="6">
        <v>19.0</v>
      </c>
      <c r="I264" s="6">
        <v>0.0</v>
      </c>
      <c r="J264" s="9">
        <v>45796.0</v>
      </c>
      <c r="K264" s="6">
        <v>6.0</v>
      </c>
      <c r="L264" s="5" t="s">
        <v>62</v>
      </c>
      <c r="M264" s="5">
        <v>0.0</v>
      </c>
    </row>
    <row r="265" ht="22.5" customHeight="1">
      <c r="A265" s="5" t="s">
        <v>1299</v>
      </c>
      <c r="B265" s="5" t="s">
        <v>65</v>
      </c>
      <c r="C265" s="6">
        <v>5.0</v>
      </c>
      <c r="D265" s="6">
        <v>11.0</v>
      </c>
      <c r="E265" s="6">
        <v>4.0</v>
      </c>
      <c r="F265" s="6">
        <v>17.0</v>
      </c>
      <c r="G265" s="6">
        <v>32.0</v>
      </c>
      <c r="H265" s="8"/>
      <c r="I265" s="6">
        <v>2.0</v>
      </c>
      <c r="J265" s="9">
        <v>44540.0</v>
      </c>
      <c r="K265" s="6">
        <v>3.0</v>
      </c>
      <c r="L265" s="5" t="s">
        <v>113</v>
      </c>
      <c r="M265" s="5">
        <v>1.0</v>
      </c>
    </row>
    <row r="266" ht="22.5" customHeight="1">
      <c r="A266" s="5" t="s">
        <v>1302</v>
      </c>
      <c r="B266" s="5" t="s">
        <v>22</v>
      </c>
      <c r="C266" s="6">
        <v>4.0</v>
      </c>
      <c r="D266" s="6">
        <v>16.0</v>
      </c>
      <c r="E266" s="6">
        <v>11.0</v>
      </c>
      <c r="F266" s="6">
        <v>8.0</v>
      </c>
      <c r="G266" s="6">
        <v>28.0</v>
      </c>
      <c r="H266" s="6">
        <v>18.0</v>
      </c>
      <c r="I266" s="6">
        <v>0.0</v>
      </c>
      <c r="J266" s="9">
        <v>45359.0</v>
      </c>
      <c r="K266" s="6">
        <v>4.0</v>
      </c>
      <c r="L266" s="10" t="s">
        <v>62</v>
      </c>
      <c r="M266" s="10">
        <v>0.0</v>
      </c>
    </row>
    <row r="267" ht="22.5" customHeight="1">
      <c r="A267" s="5" t="s">
        <v>1305</v>
      </c>
      <c r="B267" s="5" t="s">
        <v>22</v>
      </c>
      <c r="C267" s="6">
        <v>3.0</v>
      </c>
      <c r="D267" s="6">
        <v>7.0</v>
      </c>
      <c r="E267" s="6">
        <v>6.0</v>
      </c>
      <c r="F267" s="6">
        <v>12.0</v>
      </c>
      <c r="G267" s="6">
        <v>28.0</v>
      </c>
      <c r="H267" s="6">
        <v>12.0</v>
      </c>
      <c r="I267" s="6">
        <v>4.0</v>
      </c>
      <c r="J267" s="9">
        <v>45029.0</v>
      </c>
      <c r="K267" s="6">
        <v>1.0</v>
      </c>
      <c r="L267" s="10" t="s">
        <v>113</v>
      </c>
      <c r="M267" s="10">
        <v>1.0</v>
      </c>
    </row>
    <row r="268" ht="22.5" customHeight="1">
      <c r="A268" s="5" t="s">
        <v>1309</v>
      </c>
      <c r="B268" s="5" t="s">
        <v>65</v>
      </c>
      <c r="C268" s="6">
        <v>4.0</v>
      </c>
      <c r="D268" s="6">
        <v>11.0</v>
      </c>
      <c r="E268" s="6">
        <v>7.0</v>
      </c>
      <c r="F268" s="6">
        <v>28.0</v>
      </c>
      <c r="G268" s="6">
        <v>34.0</v>
      </c>
      <c r="H268" s="6">
        <v>20.0</v>
      </c>
      <c r="I268" s="6">
        <v>0.0</v>
      </c>
      <c r="J268" s="9">
        <v>44769.0</v>
      </c>
      <c r="K268" s="6">
        <v>3.0</v>
      </c>
      <c r="L268" s="5" t="s">
        <v>113</v>
      </c>
      <c r="M268" s="5">
        <v>1.0</v>
      </c>
    </row>
    <row r="269" ht="22.5" customHeight="1">
      <c r="A269" s="5" t="s">
        <v>1311</v>
      </c>
      <c r="B269" s="5" t="s">
        <v>65</v>
      </c>
      <c r="C269" s="6">
        <v>10.0</v>
      </c>
      <c r="D269" s="6">
        <v>25.0</v>
      </c>
      <c r="E269" s="6">
        <v>12.0</v>
      </c>
      <c r="F269" s="6">
        <v>21.0</v>
      </c>
      <c r="G269" s="6">
        <v>22.0</v>
      </c>
      <c r="H269" s="6">
        <v>10.0</v>
      </c>
      <c r="I269" s="6">
        <v>1.0</v>
      </c>
      <c r="J269" s="9">
        <v>46245.0</v>
      </c>
      <c r="K269" s="6">
        <v>4.0</v>
      </c>
      <c r="L269" s="5" t="s">
        <v>62</v>
      </c>
      <c r="M269" s="5">
        <v>0.0</v>
      </c>
    </row>
    <row r="270" ht="22.5" customHeight="1">
      <c r="A270" s="5" t="s">
        <v>1314</v>
      </c>
      <c r="B270" s="5" t="s">
        <v>44</v>
      </c>
      <c r="C270" s="6">
        <v>6.0</v>
      </c>
      <c r="D270" s="6">
        <v>14.0</v>
      </c>
      <c r="E270" s="6">
        <v>5.0</v>
      </c>
      <c r="F270" s="6">
        <v>48.0</v>
      </c>
      <c r="G270" s="6">
        <v>20.0</v>
      </c>
      <c r="H270" s="6">
        <v>9.0</v>
      </c>
      <c r="I270" s="6">
        <v>2.0</v>
      </c>
      <c r="J270" s="9">
        <v>45919.0</v>
      </c>
      <c r="K270" s="6">
        <v>5.0</v>
      </c>
      <c r="L270" s="5" t="s">
        <v>62</v>
      </c>
      <c r="M270" s="5">
        <v>0.0</v>
      </c>
    </row>
    <row r="271" ht="22.5" customHeight="1">
      <c r="A271" s="5" t="s">
        <v>1317</v>
      </c>
      <c r="B271" s="5" t="s">
        <v>44</v>
      </c>
      <c r="C271" s="6">
        <v>5.0</v>
      </c>
      <c r="D271" s="6">
        <v>26.0</v>
      </c>
      <c r="E271" s="6">
        <v>13.0</v>
      </c>
      <c r="F271" s="6">
        <v>41.0</v>
      </c>
      <c r="G271" s="6">
        <v>30.0</v>
      </c>
      <c r="H271" s="6">
        <v>10.0</v>
      </c>
      <c r="I271" s="6">
        <v>0.0</v>
      </c>
      <c r="J271" s="9">
        <v>44657.0</v>
      </c>
      <c r="K271" s="6">
        <v>2.0</v>
      </c>
      <c r="L271" s="5" t="s">
        <v>113</v>
      </c>
      <c r="M271" s="5">
        <v>1.0</v>
      </c>
    </row>
    <row r="272" ht="22.5" customHeight="1">
      <c r="A272" s="5" t="s">
        <v>1321</v>
      </c>
      <c r="B272" s="5" t="s">
        <v>84</v>
      </c>
      <c r="C272" s="6">
        <v>8.0</v>
      </c>
      <c r="D272" s="6">
        <v>22.0</v>
      </c>
      <c r="E272" s="6">
        <v>2.0</v>
      </c>
      <c r="F272" s="6">
        <v>48.0</v>
      </c>
      <c r="G272" s="6">
        <v>24.0</v>
      </c>
      <c r="H272" s="6">
        <v>6.0</v>
      </c>
      <c r="I272" s="6">
        <v>2.0</v>
      </c>
      <c r="J272" s="9">
        <v>44483.0</v>
      </c>
      <c r="K272" s="6">
        <v>2.0</v>
      </c>
      <c r="L272" s="5" t="s">
        <v>113</v>
      </c>
      <c r="M272" s="5">
        <v>1.0</v>
      </c>
    </row>
    <row r="273" ht="22.5" customHeight="1">
      <c r="A273" s="5" t="s">
        <v>1324</v>
      </c>
      <c r="B273" s="5" t="s">
        <v>84</v>
      </c>
      <c r="C273" s="6">
        <v>9.0</v>
      </c>
      <c r="D273" s="6">
        <v>51.0</v>
      </c>
      <c r="E273" s="6">
        <v>7.0</v>
      </c>
      <c r="F273" s="6">
        <v>44.0</v>
      </c>
      <c r="G273" s="6">
        <v>34.0</v>
      </c>
      <c r="H273" s="6">
        <v>1.0</v>
      </c>
      <c r="I273" s="6">
        <v>0.0</v>
      </c>
      <c r="J273" s="9">
        <v>45539.0</v>
      </c>
      <c r="K273" s="6">
        <v>10.0</v>
      </c>
      <c r="L273" s="5" t="s">
        <v>62</v>
      </c>
      <c r="M273" s="5">
        <v>0.0</v>
      </c>
    </row>
    <row r="274" ht="22.5" customHeight="1">
      <c r="A274" s="5" t="s">
        <v>1328</v>
      </c>
      <c r="B274" s="5" t="s">
        <v>65</v>
      </c>
      <c r="C274" s="6">
        <v>5.0</v>
      </c>
      <c r="D274" s="6">
        <v>29.0</v>
      </c>
      <c r="E274" s="6">
        <v>3.0</v>
      </c>
      <c r="F274" s="6">
        <v>47.0</v>
      </c>
      <c r="G274" s="6">
        <v>28.0</v>
      </c>
      <c r="H274" s="6">
        <v>14.0</v>
      </c>
      <c r="I274" s="6">
        <v>5.0</v>
      </c>
      <c r="J274" s="9">
        <v>45759.0</v>
      </c>
      <c r="K274" s="6">
        <v>5.0</v>
      </c>
      <c r="L274" s="5" t="s">
        <v>62</v>
      </c>
      <c r="M274" s="5">
        <v>0.0</v>
      </c>
    </row>
    <row r="275" ht="22.5" customHeight="1">
      <c r="A275" s="5" t="s">
        <v>1332</v>
      </c>
      <c r="B275" s="5" t="s">
        <v>65</v>
      </c>
      <c r="C275" s="6">
        <v>5.0</v>
      </c>
      <c r="D275" s="6">
        <v>20.0</v>
      </c>
      <c r="E275" s="6">
        <v>3.0</v>
      </c>
      <c r="F275" s="6">
        <v>13.0</v>
      </c>
      <c r="G275" s="6">
        <v>20.0</v>
      </c>
      <c r="H275" s="6">
        <v>10.0</v>
      </c>
      <c r="I275" s="6">
        <v>5.0</v>
      </c>
      <c r="J275" s="9">
        <v>45036.0</v>
      </c>
      <c r="K275" s="6">
        <v>1.0</v>
      </c>
      <c r="L275" s="5" t="s">
        <v>113</v>
      </c>
      <c r="M275" s="5">
        <v>1.0</v>
      </c>
    </row>
    <row r="276" ht="22.5" customHeight="1">
      <c r="A276" s="5" t="s">
        <v>1336</v>
      </c>
      <c r="B276" s="5" t="s">
        <v>65</v>
      </c>
      <c r="C276" s="6">
        <v>9.0</v>
      </c>
      <c r="D276" s="6">
        <v>19.0</v>
      </c>
      <c r="E276" s="6">
        <v>18.0</v>
      </c>
      <c r="F276" s="6">
        <v>44.0</v>
      </c>
      <c r="G276" s="6">
        <v>28.0</v>
      </c>
      <c r="H276" s="6">
        <v>13.0</v>
      </c>
      <c r="I276" s="6">
        <v>4.0</v>
      </c>
      <c r="J276" s="9">
        <v>44531.0</v>
      </c>
      <c r="K276" s="6">
        <v>1.0</v>
      </c>
      <c r="L276" s="5" t="s">
        <v>113</v>
      </c>
      <c r="M276" s="5">
        <v>1.0</v>
      </c>
    </row>
    <row r="277" ht="22.5" customHeight="1">
      <c r="A277" s="5" t="s">
        <v>1339</v>
      </c>
      <c r="B277" s="5" t="s">
        <v>65</v>
      </c>
      <c r="C277" s="6">
        <v>6.0</v>
      </c>
      <c r="D277" s="6">
        <v>19.0</v>
      </c>
      <c r="E277" s="6">
        <v>2.0</v>
      </c>
      <c r="F277" s="6">
        <v>44.0</v>
      </c>
      <c r="G277" s="6">
        <v>18.0</v>
      </c>
      <c r="H277" s="6">
        <v>9.0</v>
      </c>
      <c r="I277" s="6">
        <v>2.0</v>
      </c>
      <c r="J277" s="9">
        <v>45504.0</v>
      </c>
      <c r="K277" s="6">
        <v>4.0</v>
      </c>
      <c r="L277" s="5" t="s">
        <v>62</v>
      </c>
      <c r="M277" s="5">
        <v>0.0</v>
      </c>
    </row>
    <row r="278" ht="22.5" customHeight="1">
      <c r="A278" s="5" t="s">
        <v>1341</v>
      </c>
      <c r="B278" s="5" t="s">
        <v>44</v>
      </c>
      <c r="C278" s="6">
        <v>6.0</v>
      </c>
      <c r="D278" s="6">
        <v>31.0</v>
      </c>
      <c r="E278" s="6">
        <v>7.0</v>
      </c>
      <c r="F278" s="6">
        <v>32.0</v>
      </c>
      <c r="G278" s="6">
        <v>33.0</v>
      </c>
      <c r="H278" s="6">
        <v>14.0</v>
      </c>
      <c r="I278" s="6">
        <v>5.0</v>
      </c>
      <c r="J278" s="9">
        <v>44504.0</v>
      </c>
      <c r="K278" s="6">
        <v>1.0</v>
      </c>
      <c r="L278" s="5" t="s">
        <v>113</v>
      </c>
      <c r="M278" s="5">
        <v>1.0</v>
      </c>
    </row>
    <row r="279" ht="22.5" customHeight="1">
      <c r="A279" s="5" t="s">
        <v>1345</v>
      </c>
      <c r="B279" s="5" t="s">
        <v>22</v>
      </c>
      <c r="C279" s="6">
        <v>7.0</v>
      </c>
      <c r="D279" s="6">
        <v>22.0</v>
      </c>
      <c r="E279" s="6">
        <v>2.0</v>
      </c>
      <c r="F279" s="6">
        <v>59.0</v>
      </c>
      <c r="G279" s="6">
        <v>14.0</v>
      </c>
      <c r="H279" s="6">
        <v>7.0</v>
      </c>
      <c r="I279" s="6">
        <v>0.0</v>
      </c>
      <c r="J279" s="9">
        <v>46076.0</v>
      </c>
      <c r="K279" s="6">
        <v>8.0</v>
      </c>
      <c r="L279" s="5" t="s">
        <v>62</v>
      </c>
      <c r="M279" s="5">
        <v>0.0</v>
      </c>
    </row>
    <row r="280" ht="22.5" customHeight="1">
      <c r="A280" s="5" t="s">
        <v>1350</v>
      </c>
      <c r="B280" s="5" t="s">
        <v>22</v>
      </c>
      <c r="C280" s="6">
        <v>8.0</v>
      </c>
      <c r="D280" s="6">
        <v>15.0</v>
      </c>
      <c r="E280" s="6">
        <v>13.0</v>
      </c>
      <c r="F280" s="6">
        <v>53.0</v>
      </c>
      <c r="G280" s="6">
        <v>35.0</v>
      </c>
      <c r="H280" s="6">
        <v>3.0</v>
      </c>
      <c r="I280" s="6">
        <v>0.0</v>
      </c>
      <c r="J280" s="9">
        <v>44500.0</v>
      </c>
      <c r="K280" s="6">
        <v>4.0</v>
      </c>
      <c r="L280" s="5" t="s">
        <v>113</v>
      </c>
      <c r="M280" s="5">
        <v>1.0</v>
      </c>
    </row>
    <row r="281" ht="22.5" customHeight="1">
      <c r="A281" s="5" t="s">
        <v>1352</v>
      </c>
      <c r="B281" s="5" t="s">
        <v>170</v>
      </c>
      <c r="C281" s="6">
        <v>3.0</v>
      </c>
      <c r="D281" s="6">
        <v>12.0</v>
      </c>
      <c r="E281" s="6">
        <v>5.0</v>
      </c>
      <c r="F281" s="6">
        <v>5.0</v>
      </c>
      <c r="G281" s="6">
        <v>28.0</v>
      </c>
      <c r="H281" s="6">
        <v>10.0</v>
      </c>
      <c r="I281" s="6">
        <v>5.0</v>
      </c>
      <c r="J281" s="9">
        <v>46144.0</v>
      </c>
      <c r="K281" s="6">
        <v>8.0</v>
      </c>
      <c r="L281" s="5" t="s">
        <v>62</v>
      </c>
      <c r="M281" s="5">
        <v>0.0</v>
      </c>
    </row>
    <row r="282" ht="22.5" customHeight="1">
      <c r="A282" s="5" t="s">
        <v>1353</v>
      </c>
      <c r="B282" s="5" t="s">
        <v>84</v>
      </c>
      <c r="C282" s="6">
        <v>2.0</v>
      </c>
      <c r="D282" s="6">
        <v>11.0</v>
      </c>
      <c r="E282" s="6">
        <v>12.0</v>
      </c>
      <c r="F282" s="6">
        <v>6.0</v>
      </c>
      <c r="G282" s="6">
        <v>24.0</v>
      </c>
      <c r="H282" s="6">
        <v>9.0</v>
      </c>
      <c r="I282" s="6">
        <v>2.0</v>
      </c>
      <c r="J282" s="9">
        <v>44870.0</v>
      </c>
      <c r="K282" s="6">
        <v>4.0</v>
      </c>
      <c r="L282" s="5" t="s">
        <v>113</v>
      </c>
      <c r="M282" s="5">
        <v>1.0</v>
      </c>
    </row>
    <row r="283" ht="22.5" customHeight="1">
      <c r="A283" s="5" t="s">
        <v>1356</v>
      </c>
      <c r="B283" s="5" t="s">
        <v>170</v>
      </c>
      <c r="C283" s="6">
        <v>8.0</v>
      </c>
      <c r="D283" s="6">
        <v>41.0</v>
      </c>
      <c r="E283" s="6">
        <v>9.0</v>
      </c>
      <c r="F283" s="6">
        <v>53.0</v>
      </c>
      <c r="G283" s="6">
        <v>31.0</v>
      </c>
      <c r="H283" s="6">
        <v>11.0</v>
      </c>
      <c r="I283" s="6">
        <v>0.0</v>
      </c>
      <c r="J283" s="11"/>
      <c r="K283" s="6">
        <v>7.0</v>
      </c>
      <c r="L283" s="5" t="s">
        <v>113</v>
      </c>
      <c r="M283" s="5">
        <v>1.0</v>
      </c>
    </row>
    <row r="284" ht="22.5" customHeight="1">
      <c r="A284" s="5" t="s">
        <v>1357</v>
      </c>
      <c r="B284" s="5" t="s">
        <v>84</v>
      </c>
      <c r="C284" s="6">
        <v>6.0</v>
      </c>
      <c r="D284" s="6">
        <v>14.0</v>
      </c>
      <c r="E284" s="6">
        <v>21.0</v>
      </c>
      <c r="F284" s="6">
        <v>48.0</v>
      </c>
      <c r="G284" s="6">
        <v>29.0</v>
      </c>
      <c r="H284" s="6">
        <v>20.0</v>
      </c>
      <c r="I284" s="6">
        <v>0.0</v>
      </c>
      <c r="J284" s="9">
        <v>45023.0</v>
      </c>
      <c r="K284" s="6">
        <v>3.0</v>
      </c>
      <c r="L284" s="5" t="s">
        <v>113</v>
      </c>
      <c r="M284" s="5">
        <v>1.0</v>
      </c>
    </row>
    <row r="285" ht="22.5" customHeight="1">
      <c r="A285" s="5" t="s">
        <v>1358</v>
      </c>
      <c r="B285" s="5" t="s">
        <v>84</v>
      </c>
      <c r="C285" s="6">
        <v>5.0</v>
      </c>
      <c r="D285" s="6">
        <v>23.0</v>
      </c>
      <c r="E285" s="6">
        <v>2.0</v>
      </c>
      <c r="F285" s="6">
        <v>19.0</v>
      </c>
      <c r="G285" s="6">
        <v>36.0</v>
      </c>
      <c r="H285" s="6">
        <v>16.0</v>
      </c>
      <c r="I285" s="6">
        <v>2.0</v>
      </c>
      <c r="J285" s="9">
        <v>45772.0</v>
      </c>
      <c r="K285" s="6">
        <v>6.0</v>
      </c>
      <c r="L285" s="5" t="s">
        <v>62</v>
      </c>
      <c r="M285" s="5">
        <v>0.0</v>
      </c>
    </row>
    <row r="286" ht="22.5" customHeight="1">
      <c r="A286" s="5" t="s">
        <v>1360</v>
      </c>
      <c r="B286" s="5" t="s">
        <v>22</v>
      </c>
      <c r="C286" s="6">
        <v>5.0</v>
      </c>
      <c r="D286" s="6">
        <v>12.0</v>
      </c>
      <c r="E286" s="6">
        <v>3.0</v>
      </c>
      <c r="F286" s="6">
        <v>43.0</v>
      </c>
      <c r="G286" s="6">
        <v>36.0</v>
      </c>
      <c r="H286" s="6">
        <v>17.0</v>
      </c>
      <c r="I286" s="6">
        <v>3.0</v>
      </c>
      <c r="J286" s="9">
        <v>46139.0</v>
      </c>
      <c r="K286" s="6">
        <v>7.0</v>
      </c>
      <c r="L286" s="10" t="s">
        <v>62</v>
      </c>
      <c r="M286" s="10">
        <v>0.0</v>
      </c>
    </row>
    <row r="287" ht="22.5" customHeight="1">
      <c r="A287" s="5" t="s">
        <v>1364</v>
      </c>
      <c r="B287" s="5" t="s">
        <v>84</v>
      </c>
      <c r="C287" s="6">
        <v>4.0</v>
      </c>
      <c r="D287" s="6">
        <v>10.0</v>
      </c>
      <c r="E287" s="6">
        <v>11.0</v>
      </c>
      <c r="F287" s="6">
        <v>17.0</v>
      </c>
      <c r="G287" s="6">
        <v>28.0</v>
      </c>
      <c r="H287" s="6">
        <v>3.0</v>
      </c>
      <c r="I287" s="6">
        <v>5.0</v>
      </c>
      <c r="J287" s="9">
        <v>45791.0</v>
      </c>
      <c r="K287" s="6">
        <v>10.0</v>
      </c>
      <c r="L287" s="5" t="s">
        <v>62</v>
      </c>
      <c r="M287" s="5">
        <v>0.0</v>
      </c>
    </row>
    <row r="288" ht="22.5" customHeight="1">
      <c r="A288" s="5" t="s">
        <v>1367</v>
      </c>
      <c r="B288" s="5" t="s">
        <v>170</v>
      </c>
      <c r="C288" s="6">
        <v>9.0</v>
      </c>
      <c r="D288" s="6">
        <v>49.0</v>
      </c>
      <c r="E288" s="6">
        <v>8.0</v>
      </c>
      <c r="F288" s="6">
        <v>50.0</v>
      </c>
      <c r="G288" s="6">
        <v>18.0</v>
      </c>
      <c r="H288" s="6">
        <v>18.0</v>
      </c>
      <c r="I288" s="6">
        <v>3.0</v>
      </c>
      <c r="J288" s="9">
        <v>45396.0</v>
      </c>
      <c r="K288" s="6">
        <v>4.0</v>
      </c>
      <c r="L288" s="5" t="s">
        <v>62</v>
      </c>
      <c r="M288" s="5">
        <v>0.0</v>
      </c>
    </row>
    <row r="289" ht="22.5" customHeight="1">
      <c r="A289" s="5" t="s">
        <v>1369</v>
      </c>
      <c r="B289" s="5" t="s">
        <v>170</v>
      </c>
      <c r="C289" s="6">
        <v>8.0</v>
      </c>
      <c r="D289" s="6">
        <v>21.0</v>
      </c>
      <c r="E289" s="6">
        <v>5.0</v>
      </c>
      <c r="F289" s="6">
        <v>36.0</v>
      </c>
      <c r="G289" s="6">
        <v>21.0</v>
      </c>
      <c r="H289" s="6">
        <v>1.0</v>
      </c>
      <c r="I289" s="6">
        <v>0.0</v>
      </c>
      <c r="J289" s="9">
        <v>46228.0</v>
      </c>
      <c r="K289" s="6">
        <v>10.0</v>
      </c>
      <c r="L289" s="5" t="s">
        <v>62</v>
      </c>
      <c r="M289" s="5">
        <v>0.0</v>
      </c>
    </row>
    <row r="290" ht="22.5" customHeight="1">
      <c r="A290" s="5" t="s">
        <v>1372</v>
      </c>
      <c r="B290" s="5" t="s">
        <v>65</v>
      </c>
      <c r="C290" s="6">
        <v>2.0</v>
      </c>
      <c r="D290" s="6">
        <v>5.0</v>
      </c>
      <c r="E290" s="6">
        <v>19.0</v>
      </c>
      <c r="F290" s="6">
        <v>27.0</v>
      </c>
      <c r="G290" s="6">
        <v>24.0</v>
      </c>
      <c r="H290" s="6">
        <v>14.0</v>
      </c>
      <c r="I290" s="6">
        <v>4.0</v>
      </c>
      <c r="J290" s="9">
        <v>45339.0</v>
      </c>
      <c r="K290" s="6">
        <v>3.0</v>
      </c>
      <c r="L290" s="10" t="s">
        <v>62</v>
      </c>
      <c r="M290" s="10">
        <v>0.0</v>
      </c>
    </row>
    <row r="291" ht="22.5" customHeight="1">
      <c r="A291" s="5" t="s">
        <v>1374</v>
      </c>
      <c r="B291" s="5" t="s">
        <v>22</v>
      </c>
      <c r="C291" s="6">
        <v>3.0</v>
      </c>
      <c r="D291" s="6">
        <v>5.0</v>
      </c>
      <c r="E291" s="6">
        <v>6.0</v>
      </c>
      <c r="F291" s="6">
        <v>16.0</v>
      </c>
      <c r="G291" s="6">
        <v>34.0</v>
      </c>
      <c r="H291" s="6">
        <v>14.0</v>
      </c>
      <c r="I291" s="6">
        <v>3.0</v>
      </c>
      <c r="J291" s="9">
        <v>45660.0</v>
      </c>
      <c r="K291" s="6">
        <v>5.0</v>
      </c>
      <c r="L291" s="5" t="s">
        <v>62</v>
      </c>
      <c r="M291" s="5">
        <v>0.0</v>
      </c>
    </row>
    <row r="292" ht="22.5" customHeight="1">
      <c r="A292" s="5" t="s">
        <v>1377</v>
      </c>
      <c r="B292" s="5" t="s">
        <v>22</v>
      </c>
      <c r="C292" s="6">
        <v>5.0</v>
      </c>
      <c r="D292" s="6">
        <v>27.0</v>
      </c>
      <c r="E292" s="6">
        <v>4.0</v>
      </c>
      <c r="F292" s="6">
        <v>51.0</v>
      </c>
      <c r="G292" s="6">
        <v>21.0</v>
      </c>
      <c r="H292" s="6">
        <v>2.0</v>
      </c>
      <c r="I292" s="6">
        <v>2.0</v>
      </c>
      <c r="J292" s="9">
        <v>45917.0</v>
      </c>
      <c r="K292" s="6">
        <v>7.0</v>
      </c>
      <c r="L292" s="5" t="s">
        <v>62</v>
      </c>
      <c r="M292" s="5">
        <v>0.0</v>
      </c>
    </row>
    <row r="293" ht="22.5" customHeight="1">
      <c r="A293" s="5" t="s">
        <v>1380</v>
      </c>
      <c r="B293" s="5" t="s">
        <v>84</v>
      </c>
      <c r="C293" s="6">
        <v>7.0</v>
      </c>
      <c r="D293" s="6">
        <v>35.0</v>
      </c>
      <c r="E293" s="6">
        <v>12.0</v>
      </c>
      <c r="F293" s="6">
        <v>15.0</v>
      </c>
      <c r="G293" s="6">
        <v>22.0</v>
      </c>
      <c r="H293" s="6">
        <v>7.0</v>
      </c>
      <c r="I293" s="6">
        <v>1.0</v>
      </c>
      <c r="J293" s="9">
        <v>45754.0</v>
      </c>
      <c r="K293" s="6">
        <v>8.0</v>
      </c>
      <c r="L293" s="5" t="s">
        <v>62</v>
      </c>
      <c r="M293" s="5">
        <v>0.0</v>
      </c>
    </row>
    <row r="294" ht="22.5" customHeight="1">
      <c r="A294" s="5" t="s">
        <v>1384</v>
      </c>
      <c r="B294" s="5" t="s">
        <v>65</v>
      </c>
      <c r="C294" s="6">
        <v>5.0</v>
      </c>
      <c r="D294" s="6">
        <v>22.0</v>
      </c>
      <c r="E294" s="6">
        <v>6.0</v>
      </c>
      <c r="F294" s="6">
        <v>24.0</v>
      </c>
      <c r="G294" s="6">
        <v>40.0</v>
      </c>
      <c r="H294" s="6">
        <v>2.0</v>
      </c>
      <c r="I294" s="6">
        <v>4.0</v>
      </c>
      <c r="J294" s="9">
        <v>45385.0</v>
      </c>
      <c r="K294" s="6">
        <v>4.0</v>
      </c>
      <c r="L294" s="5" t="s">
        <v>62</v>
      </c>
      <c r="M294" s="5">
        <v>0.0</v>
      </c>
    </row>
    <row r="295" ht="22.5" customHeight="1">
      <c r="A295" s="5" t="s">
        <v>1387</v>
      </c>
      <c r="B295" s="5" t="s">
        <v>22</v>
      </c>
      <c r="C295" s="6">
        <v>7.0</v>
      </c>
      <c r="D295" s="6">
        <v>34.0</v>
      </c>
      <c r="E295" s="6">
        <v>7.0</v>
      </c>
      <c r="F295" s="6">
        <v>60.0</v>
      </c>
      <c r="G295" s="6">
        <v>24.0</v>
      </c>
      <c r="H295" s="6">
        <v>20.0</v>
      </c>
      <c r="I295" s="6">
        <v>2.0</v>
      </c>
      <c r="J295" s="11"/>
      <c r="K295" s="6">
        <v>5.0</v>
      </c>
      <c r="L295" s="5" t="s">
        <v>113</v>
      </c>
      <c r="M295" s="5">
        <v>1.0</v>
      </c>
    </row>
    <row r="296" ht="22.5" customHeight="1">
      <c r="A296" s="5" t="s">
        <v>1389</v>
      </c>
      <c r="B296" s="5" t="s">
        <v>65</v>
      </c>
      <c r="C296" s="6">
        <v>9.0</v>
      </c>
      <c r="D296" s="6">
        <v>20.0</v>
      </c>
      <c r="E296" s="6">
        <v>9.0</v>
      </c>
      <c r="F296" s="6">
        <v>41.0</v>
      </c>
      <c r="G296" s="6">
        <v>20.0</v>
      </c>
      <c r="H296" s="6">
        <v>16.0</v>
      </c>
      <c r="I296" s="6">
        <v>0.0</v>
      </c>
      <c r="J296" s="9">
        <v>46093.0</v>
      </c>
      <c r="K296" s="6">
        <v>10.0</v>
      </c>
      <c r="L296" s="5" t="s">
        <v>62</v>
      </c>
      <c r="M296" s="5">
        <v>0.0</v>
      </c>
    </row>
    <row r="297" ht="22.5" customHeight="1">
      <c r="A297" s="5" t="s">
        <v>1394</v>
      </c>
      <c r="B297" s="5" t="s">
        <v>170</v>
      </c>
      <c r="C297" s="6">
        <v>8.0</v>
      </c>
      <c r="D297" s="6">
        <v>28.0</v>
      </c>
      <c r="E297" s="6">
        <v>10.0</v>
      </c>
      <c r="F297" s="6">
        <v>7.0</v>
      </c>
      <c r="G297" s="6">
        <v>31.0</v>
      </c>
      <c r="H297" s="6">
        <v>15.0</v>
      </c>
      <c r="I297" s="6">
        <v>1.0</v>
      </c>
      <c r="J297" s="9">
        <v>44693.0</v>
      </c>
      <c r="K297" s="6">
        <v>3.0</v>
      </c>
      <c r="L297" s="5" t="s">
        <v>113</v>
      </c>
      <c r="M297" s="5">
        <v>1.0</v>
      </c>
    </row>
    <row r="298" ht="22.5" customHeight="1">
      <c r="A298" s="5" t="s">
        <v>1397</v>
      </c>
      <c r="B298" s="5" t="s">
        <v>170</v>
      </c>
      <c r="C298" s="6">
        <v>6.0</v>
      </c>
      <c r="D298" s="6">
        <v>18.0</v>
      </c>
      <c r="E298" s="6">
        <v>3.0</v>
      </c>
      <c r="F298" s="6">
        <v>49.0</v>
      </c>
      <c r="G298" s="6">
        <v>25.0</v>
      </c>
      <c r="H298" s="6">
        <v>14.0</v>
      </c>
      <c r="I298" s="6">
        <v>3.0</v>
      </c>
      <c r="J298" s="9">
        <v>46057.0</v>
      </c>
      <c r="K298" s="6">
        <v>7.0</v>
      </c>
      <c r="L298" s="5" t="s">
        <v>62</v>
      </c>
      <c r="M298" s="5">
        <v>0.0</v>
      </c>
    </row>
    <row r="299" ht="22.5" customHeight="1">
      <c r="A299" s="5" t="s">
        <v>1400</v>
      </c>
      <c r="B299" s="5" t="s">
        <v>84</v>
      </c>
      <c r="C299" s="6">
        <v>3.0</v>
      </c>
      <c r="D299" s="6">
        <v>6.0</v>
      </c>
      <c r="E299" s="6">
        <v>5.0</v>
      </c>
      <c r="F299" s="6">
        <v>38.0</v>
      </c>
      <c r="G299" s="6">
        <v>14.0</v>
      </c>
      <c r="H299" s="6">
        <v>14.0</v>
      </c>
      <c r="I299" s="6">
        <v>5.0</v>
      </c>
      <c r="J299" s="9">
        <v>44566.0</v>
      </c>
      <c r="K299" s="6">
        <v>3.0</v>
      </c>
      <c r="L299" s="5" t="s">
        <v>113</v>
      </c>
      <c r="M299" s="5">
        <v>1.0</v>
      </c>
    </row>
    <row r="300" ht="22.5" customHeight="1">
      <c r="A300" s="5" t="s">
        <v>1404</v>
      </c>
      <c r="B300" s="5" t="s">
        <v>65</v>
      </c>
      <c r="C300" s="6">
        <v>8.0</v>
      </c>
      <c r="D300" s="6">
        <v>45.0</v>
      </c>
      <c r="E300" s="6">
        <v>8.0</v>
      </c>
      <c r="F300" s="6">
        <v>15.0</v>
      </c>
      <c r="G300" s="6">
        <v>19.0</v>
      </c>
      <c r="H300" s="6">
        <v>7.0</v>
      </c>
      <c r="I300" s="6">
        <v>3.0</v>
      </c>
      <c r="J300" s="9">
        <v>45517.0</v>
      </c>
      <c r="K300" s="6">
        <v>2.0</v>
      </c>
      <c r="L300" s="5" t="s">
        <v>62</v>
      </c>
      <c r="M300" s="5">
        <v>0.0</v>
      </c>
    </row>
    <row r="301" ht="22.5" customHeight="1">
      <c r="A301" s="5" t="s">
        <v>1406</v>
      </c>
      <c r="B301" s="5" t="s">
        <v>65</v>
      </c>
      <c r="C301" s="6">
        <v>5.0</v>
      </c>
      <c r="D301" s="6">
        <v>8.0</v>
      </c>
      <c r="E301" s="6">
        <v>17.0</v>
      </c>
      <c r="F301" s="6">
        <v>30.0</v>
      </c>
      <c r="G301" s="6">
        <v>25.0</v>
      </c>
      <c r="H301" s="6">
        <v>18.0</v>
      </c>
      <c r="I301" s="6">
        <v>5.0</v>
      </c>
      <c r="J301" s="9">
        <v>45544.0</v>
      </c>
      <c r="K301" s="6">
        <v>7.0</v>
      </c>
      <c r="L301" s="5" t="s">
        <v>62</v>
      </c>
      <c r="M301" s="5">
        <v>0.0</v>
      </c>
    </row>
    <row r="302" ht="22.5" customHeight="1">
      <c r="A302" s="5" t="s">
        <v>1408</v>
      </c>
      <c r="B302" s="5" t="s">
        <v>44</v>
      </c>
      <c r="C302" s="6">
        <v>2.0</v>
      </c>
      <c r="D302" s="6">
        <v>6.0</v>
      </c>
      <c r="E302" s="6">
        <v>3.0</v>
      </c>
      <c r="F302" s="6">
        <v>30.0</v>
      </c>
      <c r="G302" s="6">
        <v>24.0</v>
      </c>
      <c r="H302" s="6">
        <v>20.0</v>
      </c>
      <c r="I302" s="6">
        <v>2.0</v>
      </c>
      <c r="J302" s="9">
        <v>44551.0</v>
      </c>
      <c r="K302" s="6">
        <v>2.0</v>
      </c>
      <c r="L302" s="10" t="s">
        <v>113</v>
      </c>
      <c r="M302" s="10">
        <v>1.0</v>
      </c>
    </row>
    <row r="303" ht="22.5" customHeight="1">
      <c r="A303" s="5" t="s">
        <v>1411</v>
      </c>
      <c r="B303" s="5" t="s">
        <v>84</v>
      </c>
      <c r="C303" s="6">
        <v>7.0</v>
      </c>
      <c r="D303" s="6">
        <v>17.0</v>
      </c>
      <c r="E303" s="6">
        <v>2.0</v>
      </c>
      <c r="F303" s="6">
        <v>57.0</v>
      </c>
      <c r="G303" s="6">
        <v>27.0</v>
      </c>
      <c r="H303" s="6">
        <v>15.0</v>
      </c>
      <c r="I303" s="6">
        <v>0.0</v>
      </c>
      <c r="J303" s="9">
        <v>45475.0</v>
      </c>
      <c r="K303" s="6">
        <v>2.0</v>
      </c>
      <c r="L303" s="5" t="s">
        <v>62</v>
      </c>
      <c r="M303" s="5">
        <v>0.0</v>
      </c>
    </row>
    <row r="304" ht="22.5" customHeight="1">
      <c r="A304" s="5" t="s">
        <v>1414</v>
      </c>
      <c r="B304" s="5" t="s">
        <v>22</v>
      </c>
      <c r="C304" s="6">
        <v>6.0</v>
      </c>
      <c r="D304" s="6">
        <v>15.0</v>
      </c>
      <c r="E304" s="6">
        <v>4.0</v>
      </c>
      <c r="F304" s="6">
        <v>31.0</v>
      </c>
      <c r="G304" s="6">
        <v>10.0</v>
      </c>
      <c r="H304" s="6">
        <v>17.0</v>
      </c>
      <c r="I304" s="6">
        <v>2.0</v>
      </c>
      <c r="J304" s="9">
        <v>45017.0</v>
      </c>
      <c r="K304" s="6">
        <v>3.0</v>
      </c>
      <c r="L304" s="5" t="s">
        <v>113</v>
      </c>
      <c r="M304" s="5">
        <v>1.0</v>
      </c>
    </row>
    <row r="305" ht="22.5" customHeight="1">
      <c r="A305" s="5" t="s">
        <v>1418</v>
      </c>
      <c r="B305" s="5" t="s">
        <v>65</v>
      </c>
      <c r="C305" s="6">
        <v>9.0</v>
      </c>
      <c r="D305" s="6">
        <v>50.0</v>
      </c>
      <c r="E305" s="6">
        <v>5.0</v>
      </c>
      <c r="F305" s="6">
        <v>39.0</v>
      </c>
      <c r="G305" s="6">
        <v>22.0</v>
      </c>
      <c r="H305" s="6">
        <v>15.0</v>
      </c>
      <c r="I305" s="6">
        <v>4.0</v>
      </c>
      <c r="J305" s="9">
        <v>44536.0</v>
      </c>
      <c r="K305" s="6">
        <v>4.0</v>
      </c>
      <c r="L305" s="5" t="s">
        <v>113</v>
      </c>
      <c r="M305" s="5">
        <v>1.0</v>
      </c>
    </row>
    <row r="306" ht="22.5" customHeight="1">
      <c r="A306" s="5" t="s">
        <v>1421</v>
      </c>
      <c r="B306" s="5" t="s">
        <v>22</v>
      </c>
      <c r="C306" s="6">
        <v>6.0</v>
      </c>
      <c r="D306" s="6">
        <v>22.0</v>
      </c>
      <c r="E306" s="6">
        <v>10.0</v>
      </c>
      <c r="F306" s="6">
        <v>14.0</v>
      </c>
      <c r="G306" s="6">
        <v>34.0</v>
      </c>
      <c r="H306" s="6">
        <v>14.0</v>
      </c>
      <c r="I306" s="6">
        <v>4.0</v>
      </c>
      <c r="J306" s="9">
        <v>45594.0</v>
      </c>
      <c r="K306" s="6">
        <v>10.0</v>
      </c>
      <c r="L306" s="5" t="s">
        <v>62</v>
      </c>
      <c r="M306" s="5">
        <v>0.0</v>
      </c>
    </row>
    <row r="307" ht="22.5" customHeight="1">
      <c r="A307" s="5" t="s">
        <v>1425</v>
      </c>
      <c r="B307" s="5" t="s">
        <v>84</v>
      </c>
      <c r="C307" s="6">
        <v>5.0</v>
      </c>
      <c r="D307" s="6">
        <v>18.0</v>
      </c>
      <c r="E307" s="6">
        <v>5.0</v>
      </c>
      <c r="F307" s="6">
        <v>22.0</v>
      </c>
      <c r="G307" s="6">
        <v>35.0</v>
      </c>
      <c r="H307" s="6">
        <v>11.0</v>
      </c>
      <c r="I307" s="6">
        <v>0.0</v>
      </c>
      <c r="J307" s="9">
        <v>45909.0</v>
      </c>
      <c r="K307" s="6">
        <v>8.0</v>
      </c>
      <c r="L307" s="5" t="s">
        <v>62</v>
      </c>
      <c r="M307" s="5">
        <v>0.0</v>
      </c>
    </row>
    <row r="308" ht="22.5" customHeight="1">
      <c r="A308" s="5" t="s">
        <v>1427</v>
      </c>
      <c r="B308" s="5" t="s">
        <v>170</v>
      </c>
      <c r="C308" s="6">
        <v>11.0</v>
      </c>
      <c r="D308" s="6">
        <v>54.0</v>
      </c>
      <c r="E308" s="6">
        <v>8.0</v>
      </c>
      <c r="F308" s="6">
        <v>60.0</v>
      </c>
      <c r="G308" s="6">
        <v>17.0</v>
      </c>
      <c r="H308" s="6">
        <v>6.0</v>
      </c>
      <c r="I308" s="6">
        <v>5.0</v>
      </c>
      <c r="J308" s="9">
        <v>44937.0</v>
      </c>
      <c r="K308" s="6">
        <v>4.0</v>
      </c>
      <c r="L308" s="5" t="s">
        <v>113</v>
      </c>
      <c r="M308" s="5">
        <v>1.0</v>
      </c>
    </row>
    <row r="309" ht="22.5" customHeight="1">
      <c r="A309" s="5" t="s">
        <v>1430</v>
      </c>
      <c r="B309" s="5" t="s">
        <v>170</v>
      </c>
      <c r="C309" s="6">
        <v>8.0</v>
      </c>
      <c r="D309" s="6">
        <v>18.0</v>
      </c>
      <c r="E309" s="6">
        <v>4.0</v>
      </c>
      <c r="F309" s="6">
        <v>31.0</v>
      </c>
      <c r="G309" s="6">
        <v>32.0</v>
      </c>
      <c r="H309" s="6">
        <v>3.0</v>
      </c>
      <c r="I309" s="6">
        <v>2.0</v>
      </c>
      <c r="J309" s="9">
        <v>46024.0</v>
      </c>
      <c r="K309" s="6">
        <v>10.0</v>
      </c>
      <c r="L309" s="5" t="s">
        <v>62</v>
      </c>
      <c r="M309" s="5">
        <v>0.0</v>
      </c>
    </row>
    <row r="310" ht="22.5" customHeight="1">
      <c r="A310" s="5" t="s">
        <v>1432</v>
      </c>
      <c r="B310" s="5" t="s">
        <v>44</v>
      </c>
      <c r="C310" s="6">
        <v>5.0</v>
      </c>
      <c r="D310" s="6">
        <v>18.0</v>
      </c>
      <c r="E310" s="6">
        <v>5.0</v>
      </c>
      <c r="F310" s="6">
        <v>55.0</v>
      </c>
      <c r="G310" s="6">
        <v>19.0</v>
      </c>
      <c r="H310" s="6">
        <v>11.0</v>
      </c>
      <c r="I310" s="6">
        <v>4.0</v>
      </c>
      <c r="J310" s="9">
        <v>45900.0</v>
      </c>
      <c r="K310" s="6">
        <v>8.0</v>
      </c>
      <c r="L310" s="5" t="s">
        <v>62</v>
      </c>
      <c r="M310" s="5">
        <v>0.0</v>
      </c>
    </row>
    <row r="311" ht="22.5" customHeight="1">
      <c r="A311" s="5" t="s">
        <v>1435</v>
      </c>
      <c r="B311" s="5" t="s">
        <v>65</v>
      </c>
      <c r="C311" s="6">
        <v>9.0</v>
      </c>
      <c r="D311" s="6">
        <v>31.0</v>
      </c>
      <c r="E311" s="6">
        <v>3.0</v>
      </c>
      <c r="F311" s="6">
        <v>16.0</v>
      </c>
      <c r="G311" s="6">
        <v>22.0</v>
      </c>
      <c r="H311" s="6">
        <v>20.0</v>
      </c>
      <c r="I311" s="6">
        <v>1.0</v>
      </c>
      <c r="J311" s="9">
        <v>45361.0</v>
      </c>
      <c r="K311" s="6">
        <v>5.0</v>
      </c>
      <c r="L311" s="10" t="s">
        <v>62</v>
      </c>
      <c r="M311" s="10">
        <v>0.0</v>
      </c>
    </row>
    <row r="312" ht="22.5" customHeight="1">
      <c r="A312" s="5" t="s">
        <v>1438</v>
      </c>
      <c r="B312" s="5" t="s">
        <v>65</v>
      </c>
      <c r="C312" s="6">
        <v>6.0</v>
      </c>
      <c r="D312" s="6">
        <v>25.0</v>
      </c>
      <c r="E312" s="6">
        <v>3.0</v>
      </c>
      <c r="F312" s="6">
        <v>58.0</v>
      </c>
      <c r="G312" s="6">
        <v>22.0</v>
      </c>
      <c r="H312" s="6">
        <v>14.0</v>
      </c>
      <c r="I312" s="6">
        <v>4.0</v>
      </c>
      <c r="J312" s="11"/>
      <c r="K312" s="6">
        <v>8.0</v>
      </c>
      <c r="L312" s="10" t="s">
        <v>113</v>
      </c>
      <c r="M312" s="10">
        <v>1.0</v>
      </c>
    </row>
    <row r="313" ht="22.5" customHeight="1">
      <c r="A313" s="5" t="s">
        <v>1441</v>
      </c>
      <c r="B313" s="5" t="s">
        <v>22</v>
      </c>
      <c r="C313" s="6">
        <v>6.0</v>
      </c>
      <c r="D313" s="6">
        <v>36.0</v>
      </c>
      <c r="E313" s="6">
        <v>10.0</v>
      </c>
      <c r="F313" s="6">
        <v>7.0</v>
      </c>
      <c r="G313" s="6">
        <v>26.0</v>
      </c>
      <c r="H313" s="6">
        <v>6.0</v>
      </c>
      <c r="I313" s="6">
        <v>1.0</v>
      </c>
      <c r="J313" s="9">
        <v>45430.0</v>
      </c>
      <c r="K313" s="6">
        <v>3.0</v>
      </c>
      <c r="L313" s="10" t="s">
        <v>62</v>
      </c>
      <c r="M313" s="10">
        <v>0.0</v>
      </c>
    </row>
    <row r="314" ht="22.5" customHeight="1">
      <c r="A314" s="5" t="s">
        <v>1444</v>
      </c>
      <c r="B314" s="5" t="s">
        <v>22</v>
      </c>
      <c r="C314" s="6">
        <v>6.0</v>
      </c>
      <c r="D314" s="6">
        <v>30.0</v>
      </c>
      <c r="E314" s="6">
        <v>5.0</v>
      </c>
      <c r="F314" s="6">
        <v>12.0</v>
      </c>
      <c r="G314" s="6">
        <v>33.0</v>
      </c>
      <c r="H314" s="6">
        <v>11.0</v>
      </c>
      <c r="I314" s="6">
        <v>4.0</v>
      </c>
      <c r="J314" s="9">
        <v>44478.0</v>
      </c>
      <c r="K314" s="6">
        <v>1.0</v>
      </c>
      <c r="L314" s="5" t="s">
        <v>113</v>
      </c>
      <c r="M314" s="5">
        <v>1.0</v>
      </c>
    </row>
    <row r="315" ht="22.5" customHeight="1">
      <c r="A315" s="5" t="s">
        <v>1447</v>
      </c>
      <c r="B315" s="5" t="s">
        <v>22</v>
      </c>
      <c r="C315" s="6">
        <v>3.0</v>
      </c>
      <c r="D315" s="6">
        <v>10.0</v>
      </c>
      <c r="E315" s="6">
        <v>8.0</v>
      </c>
      <c r="F315" s="6">
        <v>59.0</v>
      </c>
      <c r="G315" s="6">
        <v>27.0</v>
      </c>
      <c r="H315" s="6">
        <v>4.0</v>
      </c>
      <c r="I315" s="6">
        <v>3.0</v>
      </c>
      <c r="J315" s="9">
        <v>45724.0</v>
      </c>
      <c r="K315" s="6">
        <v>6.0</v>
      </c>
      <c r="L315" s="5" t="s">
        <v>62</v>
      </c>
      <c r="M315" s="5">
        <v>0.0</v>
      </c>
    </row>
    <row r="316" ht="22.5" customHeight="1">
      <c r="A316" s="5" t="s">
        <v>1450</v>
      </c>
      <c r="B316" s="5" t="s">
        <v>22</v>
      </c>
      <c r="C316" s="6">
        <v>4.0</v>
      </c>
      <c r="D316" s="6">
        <v>21.0</v>
      </c>
      <c r="E316" s="6">
        <v>3.0</v>
      </c>
      <c r="F316" s="6">
        <v>18.0</v>
      </c>
      <c r="G316" s="6">
        <v>24.0</v>
      </c>
      <c r="H316" s="6">
        <v>12.0</v>
      </c>
      <c r="I316" s="6">
        <v>3.0</v>
      </c>
      <c r="J316" s="9">
        <v>45718.0</v>
      </c>
      <c r="K316" s="6">
        <v>8.0</v>
      </c>
      <c r="L316" s="5" t="s">
        <v>62</v>
      </c>
      <c r="M316" s="5">
        <v>0.0</v>
      </c>
    </row>
    <row r="317" ht="22.5" customHeight="1">
      <c r="A317" s="5" t="s">
        <v>1454</v>
      </c>
      <c r="B317" s="5" t="s">
        <v>84</v>
      </c>
      <c r="C317" s="6">
        <v>5.0</v>
      </c>
      <c r="D317" s="6">
        <v>11.0</v>
      </c>
      <c r="E317" s="6">
        <v>6.0</v>
      </c>
      <c r="F317" s="6">
        <v>5.0</v>
      </c>
      <c r="G317" s="6">
        <v>33.0</v>
      </c>
      <c r="H317" s="6">
        <v>2.0</v>
      </c>
      <c r="I317" s="6">
        <v>2.0</v>
      </c>
      <c r="J317" s="9">
        <v>45882.0</v>
      </c>
      <c r="K317" s="6">
        <v>9.0</v>
      </c>
      <c r="L317" s="5" t="s">
        <v>62</v>
      </c>
      <c r="M317" s="5">
        <v>0.0</v>
      </c>
    </row>
    <row r="318" ht="22.5" customHeight="1">
      <c r="A318" s="5" t="s">
        <v>1458</v>
      </c>
      <c r="B318" s="5" t="s">
        <v>65</v>
      </c>
      <c r="C318" s="6">
        <v>10.0</v>
      </c>
      <c r="D318" s="6">
        <v>16.0</v>
      </c>
      <c r="E318" s="6">
        <v>1.0</v>
      </c>
      <c r="F318" s="6">
        <v>26.0</v>
      </c>
      <c r="G318" s="6">
        <v>19.0</v>
      </c>
      <c r="H318" s="6">
        <v>9.0</v>
      </c>
      <c r="I318" s="6">
        <v>0.0</v>
      </c>
      <c r="J318" s="9">
        <v>44839.0</v>
      </c>
      <c r="K318" s="6">
        <v>4.0</v>
      </c>
      <c r="L318" s="5" t="s">
        <v>113</v>
      </c>
      <c r="M318" s="5">
        <v>1.0</v>
      </c>
    </row>
    <row r="319" ht="22.5" customHeight="1">
      <c r="A319" s="5" t="s">
        <v>1463</v>
      </c>
      <c r="B319" s="5" t="s">
        <v>65</v>
      </c>
      <c r="C319" s="6">
        <v>1.0</v>
      </c>
      <c r="D319" s="6">
        <v>2.0</v>
      </c>
      <c r="E319" s="6">
        <v>5.0</v>
      </c>
      <c r="F319" s="6">
        <v>36.0</v>
      </c>
      <c r="G319" s="6">
        <v>24.0</v>
      </c>
      <c r="H319" s="6">
        <v>18.0</v>
      </c>
      <c r="I319" s="6">
        <v>0.0</v>
      </c>
      <c r="J319" s="11"/>
      <c r="K319" s="6">
        <v>4.0</v>
      </c>
      <c r="L319" s="5" t="s">
        <v>113</v>
      </c>
      <c r="M319" s="5">
        <v>1.0</v>
      </c>
    </row>
    <row r="320" ht="22.5" customHeight="1">
      <c r="A320" s="5" t="s">
        <v>1465</v>
      </c>
      <c r="B320" s="5" t="s">
        <v>22</v>
      </c>
      <c r="C320" s="6">
        <v>6.0</v>
      </c>
      <c r="D320" s="6">
        <v>18.0</v>
      </c>
      <c r="E320" s="6">
        <v>4.0</v>
      </c>
      <c r="F320" s="6">
        <v>12.0</v>
      </c>
      <c r="G320" s="6">
        <v>33.0</v>
      </c>
      <c r="H320" s="6">
        <v>2.0</v>
      </c>
      <c r="I320" s="6">
        <v>4.0</v>
      </c>
      <c r="J320" s="9">
        <v>45968.0</v>
      </c>
      <c r="K320" s="6">
        <v>6.0</v>
      </c>
      <c r="L320" s="10" t="s">
        <v>62</v>
      </c>
      <c r="M320" s="10">
        <v>0.0</v>
      </c>
    </row>
    <row r="321" ht="22.5" customHeight="1">
      <c r="A321" s="5" t="s">
        <v>1467</v>
      </c>
      <c r="B321" s="5" t="s">
        <v>44</v>
      </c>
      <c r="C321" s="6">
        <v>6.0</v>
      </c>
      <c r="D321" s="6">
        <v>23.0</v>
      </c>
      <c r="E321" s="6">
        <v>12.0</v>
      </c>
      <c r="F321" s="6">
        <v>48.0</v>
      </c>
      <c r="G321" s="6">
        <v>29.0</v>
      </c>
      <c r="H321" s="6">
        <v>7.0</v>
      </c>
      <c r="I321" s="6">
        <v>4.0</v>
      </c>
      <c r="J321" s="9">
        <v>46123.0</v>
      </c>
      <c r="K321" s="6">
        <v>10.0</v>
      </c>
      <c r="L321" s="5" t="s">
        <v>62</v>
      </c>
      <c r="M321" s="5">
        <v>0.0</v>
      </c>
    </row>
    <row r="322" ht="22.5" customHeight="1">
      <c r="A322" s="5" t="s">
        <v>1469</v>
      </c>
      <c r="B322" s="5" t="s">
        <v>65</v>
      </c>
      <c r="C322" s="6">
        <v>6.0</v>
      </c>
      <c r="D322" s="6">
        <v>26.0</v>
      </c>
      <c r="E322" s="6">
        <v>2.0</v>
      </c>
      <c r="F322" s="6">
        <v>11.0</v>
      </c>
      <c r="G322" s="6">
        <v>21.0</v>
      </c>
      <c r="H322" s="6">
        <v>20.0</v>
      </c>
      <c r="I322" s="6">
        <v>0.0</v>
      </c>
      <c r="J322" s="9">
        <v>45769.0</v>
      </c>
      <c r="K322" s="6">
        <v>7.0</v>
      </c>
      <c r="L322" s="5" t="s">
        <v>62</v>
      </c>
      <c r="M322" s="5">
        <v>0.0</v>
      </c>
    </row>
    <row r="323" ht="22.5" customHeight="1">
      <c r="A323" s="5" t="s">
        <v>1472</v>
      </c>
      <c r="B323" s="5" t="s">
        <v>84</v>
      </c>
      <c r="C323" s="6">
        <v>6.0</v>
      </c>
      <c r="D323" s="6">
        <v>34.0</v>
      </c>
      <c r="E323" s="6">
        <v>6.0</v>
      </c>
      <c r="F323" s="6">
        <v>52.0</v>
      </c>
      <c r="G323" s="6">
        <v>13.0</v>
      </c>
      <c r="H323" s="6">
        <v>8.0</v>
      </c>
      <c r="I323" s="6">
        <v>0.0</v>
      </c>
      <c r="J323" s="9">
        <v>45606.0</v>
      </c>
      <c r="K323" s="6">
        <v>10.0</v>
      </c>
      <c r="L323" s="5" t="s">
        <v>62</v>
      </c>
      <c r="M323" s="5">
        <v>0.0</v>
      </c>
    </row>
    <row r="324" ht="22.5" customHeight="1">
      <c r="A324" s="5" t="s">
        <v>1474</v>
      </c>
      <c r="B324" s="5" t="s">
        <v>84</v>
      </c>
      <c r="C324" s="6">
        <v>5.0</v>
      </c>
      <c r="D324" s="6">
        <v>19.0</v>
      </c>
      <c r="E324" s="6">
        <v>8.0</v>
      </c>
      <c r="F324" s="6">
        <v>43.0</v>
      </c>
      <c r="G324" s="6">
        <v>27.0</v>
      </c>
      <c r="H324" s="6">
        <v>11.0</v>
      </c>
      <c r="I324" s="6">
        <v>3.0</v>
      </c>
      <c r="J324" s="9">
        <v>46197.0</v>
      </c>
      <c r="K324" s="6">
        <v>9.0</v>
      </c>
      <c r="L324" s="5" t="s">
        <v>62</v>
      </c>
      <c r="M324" s="5">
        <v>0.0</v>
      </c>
    </row>
    <row r="325" ht="22.5" customHeight="1">
      <c r="A325" s="5" t="s">
        <v>1477</v>
      </c>
      <c r="B325" s="5" t="s">
        <v>22</v>
      </c>
      <c r="C325" s="6">
        <v>10.0</v>
      </c>
      <c r="D325" s="6">
        <v>38.0</v>
      </c>
      <c r="E325" s="6">
        <v>11.0</v>
      </c>
      <c r="F325" s="6">
        <v>52.0</v>
      </c>
      <c r="G325" s="6">
        <v>12.0</v>
      </c>
      <c r="H325" s="6">
        <v>4.0</v>
      </c>
      <c r="I325" s="6">
        <v>5.0</v>
      </c>
      <c r="J325" s="9">
        <v>44570.0</v>
      </c>
      <c r="K325" s="6">
        <v>2.0</v>
      </c>
      <c r="L325" s="5" t="s">
        <v>113</v>
      </c>
      <c r="M325" s="5">
        <v>1.0</v>
      </c>
    </row>
    <row r="326" ht="22.5" customHeight="1">
      <c r="A326" s="5" t="s">
        <v>1480</v>
      </c>
      <c r="B326" s="5" t="s">
        <v>22</v>
      </c>
      <c r="C326" s="6">
        <v>7.0</v>
      </c>
      <c r="D326" s="6">
        <v>12.0</v>
      </c>
      <c r="E326" s="6">
        <v>10.0</v>
      </c>
      <c r="F326" s="6">
        <v>39.0</v>
      </c>
      <c r="G326" s="6">
        <v>23.0</v>
      </c>
      <c r="H326" s="6">
        <v>16.0</v>
      </c>
      <c r="I326" s="6">
        <v>0.0</v>
      </c>
      <c r="J326" s="9">
        <v>44837.0</v>
      </c>
      <c r="K326" s="6">
        <v>1.0</v>
      </c>
      <c r="L326" s="5" t="s">
        <v>113</v>
      </c>
      <c r="M326" s="5">
        <v>1.0</v>
      </c>
    </row>
    <row r="327" ht="22.5" customHeight="1">
      <c r="A327" s="5" t="s">
        <v>1482</v>
      </c>
      <c r="B327" s="5" t="s">
        <v>22</v>
      </c>
      <c r="C327" s="6">
        <v>3.0</v>
      </c>
      <c r="D327" s="6">
        <v>5.0</v>
      </c>
      <c r="E327" s="6">
        <v>6.0</v>
      </c>
      <c r="F327" s="6">
        <v>41.0</v>
      </c>
      <c r="G327" s="6">
        <v>34.0</v>
      </c>
      <c r="H327" s="6">
        <v>16.0</v>
      </c>
      <c r="I327" s="6">
        <v>2.0</v>
      </c>
      <c r="J327" s="11"/>
      <c r="K327" s="6">
        <v>4.0</v>
      </c>
      <c r="L327" s="5" t="s">
        <v>113</v>
      </c>
      <c r="M327" s="5">
        <v>1.0</v>
      </c>
    </row>
    <row r="328" ht="22.5" customHeight="1">
      <c r="A328" s="5" t="s">
        <v>1484</v>
      </c>
      <c r="B328" s="5" t="s">
        <v>65</v>
      </c>
      <c r="C328" s="6">
        <v>7.0</v>
      </c>
      <c r="D328" s="6">
        <v>28.0</v>
      </c>
      <c r="E328" s="6">
        <v>7.0</v>
      </c>
      <c r="F328" s="6">
        <v>39.0</v>
      </c>
      <c r="G328" s="6">
        <v>30.0</v>
      </c>
      <c r="H328" s="6">
        <v>16.0</v>
      </c>
      <c r="I328" s="6">
        <v>4.0</v>
      </c>
      <c r="J328" s="9">
        <v>45791.0</v>
      </c>
      <c r="K328" s="6">
        <v>6.0</v>
      </c>
      <c r="L328" s="5" t="s">
        <v>62</v>
      </c>
      <c r="M328" s="5">
        <v>0.0</v>
      </c>
    </row>
    <row r="329" ht="22.5" customHeight="1">
      <c r="A329" s="5" t="s">
        <v>1488</v>
      </c>
      <c r="B329" s="5" t="s">
        <v>170</v>
      </c>
      <c r="C329" s="6">
        <v>7.0</v>
      </c>
      <c r="D329" s="6">
        <v>24.0</v>
      </c>
      <c r="E329" s="6">
        <v>12.0</v>
      </c>
      <c r="F329" s="6">
        <v>51.0</v>
      </c>
      <c r="G329" s="6">
        <v>10.0</v>
      </c>
      <c r="H329" s="6">
        <v>19.0</v>
      </c>
      <c r="I329" s="6">
        <v>0.0</v>
      </c>
      <c r="J329" s="9">
        <v>45812.0</v>
      </c>
      <c r="K329" s="6">
        <v>6.0</v>
      </c>
      <c r="L329" s="10" t="s">
        <v>62</v>
      </c>
      <c r="M329" s="10">
        <v>0.0</v>
      </c>
    </row>
    <row r="330" ht="22.5" customHeight="1">
      <c r="A330" s="5" t="s">
        <v>1490</v>
      </c>
      <c r="B330" s="5" t="s">
        <v>22</v>
      </c>
      <c r="C330" s="6">
        <v>7.0</v>
      </c>
      <c r="D330" s="6">
        <v>37.0</v>
      </c>
      <c r="E330" s="6">
        <v>6.0</v>
      </c>
      <c r="F330" s="6">
        <v>59.0</v>
      </c>
      <c r="G330" s="6">
        <v>27.0</v>
      </c>
      <c r="H330" s="6">
        <v>16.0</v>
      </c>
      <c r="I330" s="6">
        <v>2.0</v>
      </c>
      <c r="J330" s="9">
        <v>45785.0</v>
      </c>
      <c r="K330" s="6">
        <v>8.0</v>
      </c>
      <c r="L330" s="5" t="s">
        <v>62</v>
      </c>
      <c r="M330" s="5">
        <v>0.0</v>
      </c>
    </row>
    <row r="331" ht="22.5" customHeight="1">
      <c r="A331" s="5" t="s">
        <v>1494</v>
      </c>
      <c r="B331" s="5" t="s">
        <v>170</v>
      </c>
      <c r="C331" s="6">
        <v>6.0</v>
      </c>
      <c r="D331" s="6">
        <v>13.0</v>
      </c>
      <c r="E331" s="6">
        <v>7.0</v>
      </c>
      <c r="F331" s="6">
        <v>25.0</v>
      </c>
      <c r="G331" s="6">
        <v>22.0</v>
      </c>
      <c r="H331" s="6">
        <v>14.0</v>
      </c>
      <c r="I331" s="6">
        <v>4.0</v>
      </c>
      <c r="J331" s="9">
        <v>44877.0</v>
      </c>
      <c r="K331" s="6">
        <v>5.0</v>
      </c>
      <c r="L331" s="5" t="s">
        <v>113</v>
      </c>
      <c r="M331" s="5">
        <v>1.0</v>
      </c>
    </row>
    <row r="332" ht="22.5" customHeight="1">
      <c r="A332" s="5" t="s">
        <v>1498</v>
      </c>
      <c r="B332" s="5" t="s">
        <v>170</v>
      </c>
      <c r="C332" s="6">
        <v>3.0</v>
      </c>
      <c r="D332" s="6">
        <v>5.0</v>
      </c>
      <c r="E332" s="6">
        <v>13.0</v>
      </c>
      <c r="F332" s="6">
        <v>9.0</v>
      </c>
      <c r="G332" s="6">
        <v>15.0</v>
      </c>
      <c r="H332" s="6">
        <v>3.0</v>
      </c>
      <c r="I332" s="6">
        <v>2.0</v>
      </c>
      <c r="J332" s="9">
        <v>45273.0</v>
      </c>
      <c r="K332" s="6">
        <v>2.0</v>
      </c>
      <c r="L332" s="5" t="s">
        <v>62</v>
      </c>
      <c r="M332" s="5">
        <v>0.0</v>
      </c>
    </row>
    <row r="333" ht="22.5" customHeight="1">
      <c r="A333" s="5" t="s">
        <v>1501</v>
      </c>
      <c r="B333" s="5" t="s">
        <v>44</v>
      </c>
      <c r="C333" s="6">
        <v>6.0</v>
      </c>
      <c r="D333" s="6">
        <v>21.0</v>
      </c>
      <c r="E333" s="6">
        <v>22.0</v>
      </c>
      <c r="F333" s="6">
        <v>29.0</v>
      </c>
      <c r="G333" s="6">
        <v>28.0</v>
      </c>
      <c r="H333" s="6">
        <v>9.0</v>
      </c>
      <c r="I333" s="6">
        <v>2.0</v>
      </c>
      <c r="J333" s="11"/>
      <c r="K333" s="6">
        <v>7.0</v>
      </c>
      <c r="L333" s="5" t="s">
        <v>113</v>
      </c>
      <c r="M333" s="5">
        <v>1.0</v>
      </c>
    </row>
    <row r="334" ht="22.5" customHeight="1">
      <c r="A334" s="5" t="s">
        <v>1504</v>
      </c>
      <c r="B334" s="5" t="s">
        <v>65</v>
      </c>
      <c r="C334" s="6">
        <v>4.0</v>
      </c>
      <c r="D334" s="6">
        <v>10.0</v>
      </c>
      <c r="E334" s="6">
        <v>7.0</v>
      </c>
      <c r="F334" s="6">
        <v>16.0</v>
      </c>
      <c r="G334" s="6">
        <v>21.0</v>
      </c>
      <c r="H334" s="6">
        <v>5.0</v>
      </c>
      <c r="I334" s="6">
        <v>1.0</v>
      </c>
      <c r="J334" s="9">
        <v>45962.0</v>
      </c>
      <c r="K334" s="6">
        <v>8.0</v>
      </c>
      <c r="L334" s="5" t="s">
        <v>62</v>
      </c>
      <c r="M334" s="5">
        <v>0.0</v>
      </c>
    </row>
    <row r="335" ht="22.5" customHeight="1">
      <c r="A335" s="5" t="s">
        <v>1507</v>
      </c>
      <c r="B335" s="5" t="s">
        <v>84</v>
      </c>
      <c r="C335" s="6">
        <v>4.0</v>
      </c>
      <c r="D335" s="6">
        <v>7.0</v>
      </c>
      <c r="E335" s="6">
        <v>9.0</v>
      </c>
      <c r="F335" s="6">
        <v>15.0</v>
      </c>
      <c r="G335" s="6">
        <v>21.0</v>
      </c>
      <c r="H335" s="6">
        <v>19.0</v>
      </c>
      <c r="I335" s="6">
        <v>4.0</v>
      </c>
      <c r="J335" s="9">
        <v>45893.0</v>
      </c>
      <c r="K335" s="6">
        <v>9.0</v>
      </c>
      <c r="L335" s="5" t="s">
        <v>62</v>
      </c>
      <c r="M335" s="5">
        <v>0.0</v>
      </c>
    </row>
    <row r="336" ht="22.5" customHeight="1">
      <c r="A336" s="5" t="s">
        <v>1510</v>
      </c>
      <c r="B336" s="5" t="s">
        <v>170</v>
      </c>
      <c r="C336" s="6">
        <v>4.0</v>
      </c>
      <c r="D336" s="6">
        <v>19.0</v>
      </c>
      <c r="E336" s="6">
        <v>10.0</v>
      </c>
      <c r="F336" s="6">
        <v>48.0</v>
      </c>
      <c r="G336" s="6">
        <v>26.0</v>
      </c>
      <c r="H336" s="6">
        <v>1.0</v>
      </c>
      <c r="I336" s="6">
        <v>0.0</v>
      </c>
      <c r="J336" s="9">
        <v>44689.0</v>
      </c>
      <c r="K336" s="6">
        <v>6.0</v>
      </c>
      <c r="L336" s="5" t="s">
        <v>113</v>
      </c>
      <c r="M336" s="5">
        <v>1.0</v>
      </c>
    </row>
    <row r="337" ht="22.5" customHeight="1">
      <c r="A337" s="5" t="s">
        <v>1513</v>
      </c>
      <c r="B337" s="5" t="s">
        <v>84</v>
      </c>
      <c r="C337" s="6">
        <v>7.0</v>
      </c>
      <c r="D337" s="6">
        <v>30.0</v>
      </c>
      <c r="E337" s="6">
        <v>12.0</v>
      </c>
      <c r="F337" s="6">
        <v>58.0</v>
      </c>
      <c r="G337" s="6">
        <v>26.0</v>
      </c>
      <c r="H337" s="6">
        <v>20.0</v>
      </c>
      <c r="I337" s="6">
        <v>2.0</v>
      </c>
      <c r="J337" s="9">
        <v>45713.0</v>
      </c>
      <c r="K337" s="6">
        <v>6.0</v>
      </c>
      <c r="L337" s="5" t="s">
        <v>62</v>
      </c>
      <c r="M337" s="5">
        <v>0.0</v>
      </c>
    </row>
    <row r="338" ht="22.5" customHeight="1">
      <c r="A338" s="5" t="s">
        <v>1515</v>
      </c>
      <c r="B338" s="5" t="s">
        <v>22</v>
      </c>
      <c r="C338" s="6">
        <v>5.0</v>
      </c>
      <c r="D338" s="6">
        <v>14.0</v>
      </c>
      <c r="E338" s="6">
        <v>4.0</v>
      </c>
      <c r="F338" s="6">
        <v>27.0</v>
      </c>
      <c r="G338" s="6">
        <v>20.0</v>
      </c>
      <c r="H338" s="6">
        <v>5.0</v>
      </c>
      <c r="I338" s="6">
        <v>0.0</v>
      </c>
      <c r="J338" s="9">
        <v>45898.0</v>
      </c>
      <c r="K338" s="6">
        <v>8.0</v>
      </c>
      <c r="L338" s="5" t="s">
        <v>62</v>
      </c>
      <c r="M338" s="5">
        <v>0.0</v>
      </c>
    </row>
    <row r="339" ht="22.5" customHeight="1">
      <c r="A339" s="5" t="s">
        <v>1516</v>
      </c>
      <c r="B339" s="5" t="s">
        <v>84</v>
      </c>
      <c r="C339" s="6">
        <v>6.0</v>
      </c>
      <c r="D339" s="6">
        <v>14.0</v>
      </c>
      <c r="E339" s="6">
        <v>8.0</v>
      </c>
      <c r="F339" s="6">
        <v>36.0</v>
      </c>
      <c r="G339" s="6">
        <v>21.0</v>
      </c>
      <c r="H339" s="6">
        <v>11.0</v>
      </c>
      <c r="I339" s="6">
        <v>1.0</v>
      </c>
      <c r="J339" s="9">
        <v>45681.0</v>
      </c>
      <c r="K339" s="6">
        <v>8.0</v>
      </c>
      <c r="L339" s="5" t="s">
        <v>62</v>
      </c>
      <c r="M339" s="5">
        <v>0.0</v>
      </c>
    </row>
    <row r="340" ht="22.5" customHeight="1">
      <c r="A340" s="5" t="s">
        <v>1517</v>
      </c>
      <c r="B340" s="5" t="s">
        <v>22</v>
      </c>
      <c r="C340" s="6">
        <v>6.0</v>
      </c>
      <c r="D340" s="6">
        <v>19.0</v>
      </c>
      <c r="E340" s="6">
        <v>12.0</v>
      </c>
      <c r="F340" s="6">
        <v>18.0</v>
      </c>
      <c r="G340" s="6">
        <v>33.0</v>
      </c>
      <c r="H340" s="6">
        <v>6.0</v>
      </c>
      <c r="I340" s="6">
        <v>0.0</v>
      </c>
      <c r="J340" s="9">
        <v>45775.0</v>
      </c>
      <c r="K340" s="6">
        <v>6.0</v>
      </c>
      <c r="L340" s="5" t="s">
        <v>62</v>
      </c>
      <c r="M340" s="5">
        <v>0.0</v>
      </c>
    </row>
    <row r="341" ht="22.5" customHeight="1">
      <c r="A341" s="5" t="s">
        <v>1522</v>
      </c>
      <c r="B341" s="5" t="s">
        <v>84</v>
      </c>
      <c r="C341" s="6">
        <v>8.0</v>
      </c>
      <c r="D341" s="6">
        <v>41.0</v>
      </c>
      <c r="E341" s="6">
        <v>14.0</v>
      </c>
      <c r="F341" s="6">
        <v>49.0</v>
      </c>
      <c r="G341" s="6">
        <v>34.0</v>
      </c>
      <c r="H341" s="6">
        <v>11.0</v>
      </c>
      <c r="I341" s="6">
        <v>5.0</v>
      </c>
      <c r="J341" s="9">
        <v>46194.0</v>
      </c>
      <c r="K341" s="6">
        <v>10.0</v>
      </c>
      <c r="L341" s="5" t="s">
        <v>62</v>
      </c>
      <c r="M341" s="5">
        <v>0.0</v>
      </c>
    </row>
    <row r="342" ht="22.5" customHeight="1">
      <c r="A342" s="5" t="s">
        <v>1524</v>
      </c>
      <c r="B342" s="5" t="s">
        <v>65</v>
      </c>
      <c r="C342" s="6">
        <v>6.0</v>
      </c>
      <c r="D342" s="6">
        <v>20.0</v>
      </c>
      <c r="E342" s="6">
        <v>6.0</v>
      </c>
      <c r="F342" s="6">
        <v>16.0</v>
      </c>
      <c r="G342" s="6">
        <v>11.0</v>
      </c>
      <c r="H342" s="6">
        <v>11.0</v>
      </c>
      <c r="I342" s="6">
        <v>1.0</v>
      </c>
      <c r="J342" s="9">
        <v>44767.0</v>
      </c>
      <c r="K342" s="6">
        <v>4.0</v>
      </c>
      <c r="L342" s="5" t="s">
        <v>113</v>
      </c>
      <c r="M342" s="5">
        <v>1.0</v>
      </c>
    </row>
    <row r="343" ht="22.5" customHeight="1">
      <c r="A343" s="5" t="s">
        <v>1528</v>
      </c>
      <c r="B343" s="5" t="s">
        <v>170</v>
      </c>
      <c r="C343" s="6">
        <v>4.0</v>
      </c>
      <c r="D343" s="6">
        <v>20.0</v>
      </c>
      <c r="E343" s="6">
        <v>8.0</v>
      </c>
      <c r="F343" s="6">
        <v>49.0</v>
      </c>
      <c r="G343" s="6">
        <v>31.0</v>
      </c>
      <c r="H343" s="6">
        <v>6.0</v>
      </c>
      <c r="I343" s="6">
        <v>5.0</v>
      </c>
      <c r="J343" s="9">
        <v>45872.0</v>
      </c>
      <c r="K343" s="6">
        <v>7.0</v>
      </c>
      <c r="L343" s="5" t="s">
        <v>62</v>
      </c>
      <c r="M343" s="5">
        <v>0.0</v>
      </c>
    </row>
    <row r="344" ht="22.5" customHeight="1">
      <c r="A344" s="5" t="s">
        <v>1530</v>
      </c>
      <c r="B344" s="5" t="s">
        <v>22</v>
      </c>
      <c r="C344" s="6">
        <v>5.0</v>
      </c>
      <c r="D344" s="6">
        <v>10.0</v>
      </c>
      <c r="E344" s="6">
        <v>8.0</v>
      </c>
      <c r="F344" s="6">
        <v>10.0</v>
      </c>
      <c r="G344" s="6">
        <v>36.0</v>
      </c>
      <c r="H344" s="6">
        <v>11.0</v>
      </c>
      <c r="I344" s="6">
        <v>5.0</v>
      </c>
      <c r="J344" s="9">
        <v>44879.0</v>
      </c>
      <c r="K344" s="6">
        <v>3.0</v>
      </c>
      <c r="L344" s="5" t="s">
        <v>113</v>
      </c>
      <c r="M344" s="5">
        <v>1.0</v>
      </c>
    </row>
    <row r="345" ht="22.5" customHeight="1">
      <c r="A345" s="5" t="s">
        <v>1534</v>
      </c>
      <c r="B345" s="5" t="s">
        <v>65</v>
      </c>
      <c r="C345" s="6">
        <v>8.0</v>
      </c>
      <c r="D345" s="6">
        <v>40.0</v>
      </c>
      <c r="E345" s="6">
        <v>6.0</v>
      </c>
      <c r="F345" s="6">
        <v>17.0</v>
      </c>
      <c r="G345" s="6">
        <v>37.0</v>
      </c>
      <c r="H345" s="6">
        <v>9.0</v>
      </c>
      <c r="I345" s="6">
        <v>3.0</v>
      </c>
      <c r="J345" s="9">
        <v>45828.0</v>
      </c>
      <c r="K345" s="6">
        <v>4.0</v>
      </c>
      <c r="L345" s="5" t="s">
        <v>62</v>
      </c>
      <c r="M345" s="5">
        <v>0.0</v>
      </c>
    </row>
    <row r="346" ht="22.5" customHeight="1">
      <c r="A346" s="5" t="s">
        <v>1536</v>
      </c>
      <c r="B346" s="5" t="s">
        <v>84</v>
      </c>
      <c r="C346" s="6">
        <v>6.0</v>
      </c>
      <c r="D346" s="6">
        <v>15.0</v>
      </c>
      <c r="E346" s="6">
        <v>7.0</v>
      </c>
      <c r="F346" s="6">
        <v>12.0</v>
      </c>
      <c r="G346" s="6">
        <v>29.0</v>
      </c>
      <c r="H346" s="6">
        <v>7.0</v>
      </c>
      <c r="I346" s="6">
        <v>2.0</v>
      </c>
      <c r="J346" s="9">
        <v>44698.0</v>
      </c>
      <c r="K346" s="6">
        <v>1.0</v>
      </c>
      <c r="L346" s="5" t="s">
        <v>113</v>
      </c>
      <c r="M346" s="5">
        <v>1.0</v>
      </c>
    </row>
    <row r="347" ht="22.5" customHeight="1">
      <c r="A347" s="5" t="s">
        <v>1539</v>
      </c>
      <c r="B347" s="5" t="s">
        <v>44</v>
      </c>
      <c r="C347" s="6">
        <v>8.0</v>
      </c>
      <c r="D347" s="6">
        <v>36.0</v>
      </c>
      <c r="E347" s="6">
        <v>1.0</v>
      </c>
      <c r="F347" s="6">
        <v>52.0</v>
      </c>
      <c r="G347" s="6">
        <v>17.0</v>
      </c>
      <c r="H347" s="6">
        <v>17.0</v>
      </c>
      <c r="I347" s="6">
        <v>0.0</v>
      </c>
      <c r="J347" s="9">
        <v>45271.0</v>
      </c>
      <c r="K347" s="6">
        <v>3.0</v>
      </c>
      <c r="L347" s="5" t="s">
        <v>62</v>
      </c>
      <c r="M347" s="5">
        <v>0.0</v>
      </c>
    </row>
    <row r="348" ht="22.5" customHeight="1">
      <c r="A348" s="5" t="s">
        <v>1542</v>
      </c>
      <c r="B348" s="5" t="s">
        <v>65</v>
      </c>
      <c r="C348" s="6">
        <v>9.0</v>
      </c>
      <c r="D348" s="6">
        <v>36.0</v>
      </c>
      <c r="E348" s="6">
        <v>30.0</v>
      </c>
      <c r="F348" s="6">
        <v>11.0</v>
      </c>
      <c r="G348" s="6">
        <v>30.0</v>
      </c>
      <c r="H348" s="6">
        <v>12.0</v>
      </c>
      <c r="I348" s="6">
        <v>4.0</v>
      </c>
      <c r="J348" s="9">
        <v>45419.0</v>
      </c>
      <c r="K348" s="6">
        <v>5.0</v>
      </c>
      <c r="L348" s="5" t="s">
        <v>62</v>
      </c>
      <c r="M348" s="5">
        <v>0.0</v>
      </c>
    </row>
    <row r="349" ht="22.5" customHeight="1">
      <c r="A349" s="5" t="s">
        <v>1544</v>
      </c>
      <c r="B349" s="5" t="s">
        <v>22</v>
      </c>
      <c r="C349" s="6">
        <v>8.0</v>
      </c>
      <c r="D349" s="6">
        <v>45.0</v>
      </c>
      <c r="E349" s="6">
        <v>6.0</v>
      </c>
      <c r="F349" s="6">
        <v>39.0</v>
      </c>
      <c r="G349" s="6">
        <v>18.0</v>
      </c>
      <c r="H349" s="6">
        <v>2.0</v>
      </c>
      <c r="I349" s="6">
        <v>5.0</v>
      </c>
      <c r="J349" s="9">
        <v>45468.0</v>
      </c>
      <c r="K349" s="6">
        <v>1.0</v>
      </c>
      <c r="L349" s="5" t="s">
        <v>62</v>
      </c>
      <c r="M349" s="5">
        <v>0.0</v>
      </c>
    </row>
    <row r="350" ht="22.5" customHeight="1">
      <c r="A350" s="5" t="s">
        <v>1548</v>
      </c>
      <c r="B350" s="5" t="s">
        <v>170</v>
      </c>
      <c r="C350" s="6">
        <v>6.0</v>
      </c>
      <c r="D350" s="6">
        <v>19.0</v>
      </c>
      <c r="E350" s="6">
        <v>6.0</v>
      </c>
      <c r="F350" s="6">
        <v>16.0</v>
      </c>
      <c r="G350" s="6">
        <v>22.0</v>
      </c>
      <c r="H350" s="8"/>
      <c r="I350" s="6">
        <v>0.0</v>
      </c>
      <c r="J350" s="9">
        <v>44718.0</v>
      </c>
      <c r="K350" s="6">
        <v>3.0</v>
      </c>
      <c r="L350" s="5" t="s">
        <v>113</v>
      </c>
      <c r="M350" s="5">
        <v>1.0</v>
      </c>
    </row>
    <row r="351" ht="22.5" customHeight="1">
      <c r="A351" s="5" t="s">
        <v>1550</v>
      </c>
      <c r="B351" s="5" t="s">
        <v>65</v>
      </c>
      <c r="C351" s="6">
        <v>9.0</v>
      </c>
      <c r="D351" s="6">
        <v>16.0</v>
      </c>
      <c r="E351" s="6">
        <v>2.0</v>
      </c>
      <c r="F351" s="6">
        <v>8.0</v>
      </c>
      <c r="G351" s="6">
        <v>28.0</v>
      </c>
      <c r="H351" s="8"/>
      <c r="I351" s="6">
        <v>0.0</v>
      </c>
      <c r="J351" s="9">
        <v>45623.0</v>
      </c>
      <c r="K351" s="6">
        <v>4.0</v>
      </c>
      <c r="L351" s="5" t="s">
        <v>62</v>
      </c>
      <c r="M351" s="5">
        <v>0.0</v>
      </c>
    </row>
    <row r="352" ht="22.5" customHeight="1">
      <c r="A352" s="5" t="s">
        <v>1553</v>
      </c>
      <c r="B352" s="5" t="s">
        <v>170</v>
      </c>
      <c r="C352" s="6">
        <v>5.0</v>
      </c>
      <c r="D352" s="6">
        <v>8.0</v>
      </c>
      <c r="E352" s="6">
        <v>1.0</v>
      </c>
      <c r="F352" s="6">
        <v>25.0</v>
      </c>
      <c r="G352" s="6">
        <v>19.0</v>
      </c>
      <c r="H352" s="6">
        <v>13.0</v>
      </c>
      <c r="I352" s="6">
        <v>4.0</v>
      </c>
      <c r="J352" s="11"/>
      <c r="K352" s="6">
        <v>7.0</v>
      </c>
      <c r="L352" s="5" t="s">
        <v>113</v>
      </c>
      <c r="M352" s="5">
        <v>1.0</v>
      </c>
    </row>
    <row r="353" ht="22.5" customHeight="1">
      <c r="A353" s="5" t="s">
        <v>1556</v>
      </c>
      <c r="B353" s="5" t="s">
        <v>84</v>
      </c>
      <c r="C353" s="6">
        <v>7.0</v>
      </c>
      <c r="D353" s="6">
        <v>37.0</v>
      </c>
      <c r="E353" s="6">
        <v>8.0</v>
      </c>
      <c r="F353" s="6">
        <v>15.0</v>
      </c>
      <c r="G353" s="6">
        <v>16.0</v>
      </c>
      <c r="H353" s="6">
        <v>19.0</v>
      </c>
      <c r="I353" s="6">
        <v>2.0</v>
      </c>
      <c r="J353" s="9">
        <v>44793.0</v>
      </c>
      <c r="K353" s="6">
        <v>2.0</v>
      </c>
      <c r="L353" s="5" t="s">
        <v>113</v>
      </c>
      <c r="M353" s="5">
        <v>1.0</v>
      </c>
    </row>
    <row r="354" ht="22.5" customHeight="1">
      <c r="A354" s="5" t="s">
        <v>1558</v>
      </c>
      <c r="B354" s="5" t="s">
        <v>44</v>
      </c>
      <c r="C354" s="6">
        <v>9.0</v>
      </c>
      <c r="D354" s="6">
        <v>35.0</v>
      </c>
      <c r="E354" s="6">
        <v>12.0</v>
      </c>
      <c r="F354" s="6">
        <v>14.0</v>
      </c>
      <c r="G354" s="6">
        <v>29.0</v>
      </c>
      <c r="H354" s="6">
        <v>10.0</v>
      </c>
      <c r="I354" s="6">
        <v>1.0</v>
      </c>
      <c r="J354" s="9">
        <v>45808.0</v>
      </c>
      <c r="K354" s="6">
        <v>7.0</v>
      </c>
      <c r="L354" s="5" t="s">
        <v>62</v>
      </c>
      <c r="M354" s="5">
        <v>0.0</v>
      </c>
    </row>
    <row r="355" ht="22.5" customHeight="1">
      <c r="A355" s="5" t="s">
        <v>1561</v>
      </c>
      <c r="B355" s="5" t="s">
        <v>84</v>
      </c>
      <c r="C355" s="6">
        <v>7.0</v>
      </c>
      <c r="D355" s="6">
        <v>35.0</v>
      </c>
      <c r="E355" s="6">
        <v>10.0</v>
      </c>
      <c r="F355" s="6">
        <v>59.0</v>
      </c>
      <c r="G355" s="6">
        <v>40.0</v>
      </c>
      <c r="H355" s="6">
        <v>15.0</v>
      </c>
      <c r="I355" s="6">
        <v>1.0</v>
      </c>
      <c r="J355" s="9">
        <v>44697.0</v>
      </c>
      <c r="K355" s="6">
        <v>2.0</v>
      </c>
      <c r="L355" s="5" t="s">
        <v>113</v>
      </c>
      <c r="M355" s="5">
        <v>1.0</v>
      </c>
    </row>
    <row r="356" ht="22.5" customHeight="1">
      <c r="A356" s="5" t="s">
        <v>1564</v>
      </c>
      <c r="B356" s="5" t="s">
        <v>22</v>
      </c>
      <c r="C356" s="6">
        <v>4.0</v>
      </c>
      <c r="D356" s="6">
        <v>10.0</v>
      </c>
      <c r="E356" s="6">
        <v>3.0</v>
      </c>
      <c r="F356" s="6">
        <v>10.0</v>
      </c>
      <c r="G356" s="6">
        <v>35.0</v>
      </c>
      <c r="H356" s="6">
        <v>10.0</v>
      </c>
      <c r="I356" s="6">
        <v>0.0</v>
      </c>
      <c r="J356" s="11"/>
      <c r="K356" s="6">
        <v>8.0</v>
      </c>
      <c r="L356" s="5" t="s">
        <v>113</v>
      </c>
      <c r="M356" s="5">
        <v>1.0</v>
      </c>
    </row>
    <row r="357" ht="22.5" customHeight="1">
      <c r="A357" s="5" t="s">
        <v>1567</v>
      </c>
      <c r="B357" s="5" t="s">
        <v>65</v>
      </c>
      <c r="C357" s="6">
        <v>9.0</v>
      </c>
      <c r="D357" s="6">
        <v>27.0</v>
      </c>
      <c r="E357" s="6">
        <v>10.0</v>
      </c>
      <c r="F357" s="6">
        <v>57.0</v>
      </c>
      <c r="G357" s="6">
        <v>31.0</v>
      </c>
      <c r="H357" s="6">
        <v>12.0</v>
      </c>
      <c r="I357" s="6">
        <v>4.0</v>
      </c>
      <c r="J357" s="9">
        <v>45349.0</v>
      </c>
      <c r="K357" s="6">
        <v>3.0</v>
      </c>
      <c r="L357" s="5" t="s">
        <v>62</v>
      </c>
      <c r="M357" s="5">
        <v>0.0</v>
      </c>
    </row>
    <row r="358" ht="22.5" customHeight="1">
      <c r="A358" s="5" t="s">
        <v>1571</v>
      </c>
      <c r="B358" s="5" t="s">
        <v>84</v>
      </c>
      <c r="C358" s="6">
        <v>5.0</v>
      </c>
      <c r="D358" s="6">
        <v>8.0</v>
      </c>
      <c r="E358" s="6">
        <v>6.0</v>
      </c>
      <c r="F358" s="6">
        <v>25.0</v>
      </c>
      <c r="G358" s="6">
        <v>33.0</v>
      </c>
      <c r="H358" s="6">
        <v>16.0</v>
      </c>
      <c r="I358" s="6">
        <v>3.0</v>
      </c>
      <c r="J358" s="11"/>
      <c r="K358" s="6">
        <v>3.0</v>
      </c>
      <c r="L358" s="5" t="s">
        <v>113</v>
      </c>
      <c r="M358" s="5">
        <v>1.0</v>
      </c>
    </row>
    <row r="359" ht="22.5" customHeight="1">
      <c r="A359" s="5" t="s">
        <v>1574</v>
      </c>
      <c r="B359" s="5" t="s">
        <v>84</v>
      </c>
      <c r="C359" s="6">
        <v>8.0</v>
      </c>
      <c r="D359" s="6">
        <v>47.0</v>
      </c>
      <c r="E359" s="6">
        <v>5.0</v>
      </c>
      <c r="F359" s="6">
        <v>48.0</v>
      </c>
      <c r="G359" s="6">
        <v>30.0</v>
      </c>
      <c r="H359" s="6">
        <v>10.0</v>
      </c>
      <c r="I359" s="6">
        <v>5.0</v>
      </c>
      <c r="J359" s="9">
        <v>46231.0</v>
      </c>
      <c r="K359" s="6">
        <v>8.0</v>
      </c>
      <c r="L359" s="5" t="s">
        <v>62</v>
      </c>
      <c r="M359" s="5">
        <v>0.0</v>
      </c>
    </row>
    <row r="360" ht="22.5" customHeight="1">
      <c r="A360" s="5" t="s">
        <v>1577</v>
      </c>
      <c r="B360" s="5" t="s">
        <v>44</v>
      </c>
      <c r="C360" s="6">
        <v>3.0</v>
      </c>
      <c r="D360" s="6">
        <v>14.0</v>
      </c>
      <c r="E360" s="6">
        <v>2.0</v>
      </c>
      <c r="F360" s="6">
        <v>19.0</v>
      </c>
      <c r="G360" s="6">
        <v>29.0</v>
      </c>
      <c r="H360" s="6">
        <v>13.0</v>
      </c>
      <c r="I360" s="6">
        <v>1.0</v>
      </c>
      <c r="J360" s="9">
        <v>45663.0</v>
      </c>
      <c r="K360" s="6">
        <v>8.0</v>
      </c>
      <c r="L360" s="5" t="s">
        <v>62</v>
      </c>
      <c r="M360" s="5">
        <v>0.0</v>
      </c>
    </row>
    <row r="361" ht="22.5" customHeight="1">
      <c r="A361" s="5" t="s">
        <v>1579</v>
      </c>
      <c r="B361" s="5" t="s">
        <v>22</v>
      </c>
      <c r="C361" s="6">
        <v>11.0</v>
      </c>
      <c r="D361" s="6">
        <v>63.0</v>
      </c>
      <c r="E361" s="6">
        <v>4.0</v>
      </c>
      <c r="F361" s="6">
        <v>20.0</v>
      </c>
      <c r="G361" s="6">
        <v>32.0</v>
      </c>
      <c r="H361" s="6">
        <v>13.0</v>
      </c>
      <c r="I361" s="6">
        <v>1.0</v>
      </c>
      <c r="J361" s="9">
        <v>44971.0</v>
      </c>
      <c r="K361" s="6">
        <v>2.0</v>
      </c>
      <c r="L361" s="5" t="s">
        <v>113</v>
      </c>
      <c r="M361" s="5">
        <v>1.0</v>
      </c>
    </row>
    <row r="362" ht="22.5" customHeight="1">
      <c r="A362" s="5" t="s">
        <v>1582</v>
      </c>
      <c r="B362" s="5" t="s">
        <v>44</v>
      </c>
      <c r="C362" s="6">
        <v>7.0</v>
      </c>
      <c r="D362" s="6">
        <v>19.0</v>
      </c>
      <c r="E362" s="6">
        <v>9.0</v>
      </c>
      <c r="F362" s="6">
        <v>25.0</v>
      </c>
      <c r="G362" s="6">
        <v>14.0</v>
      </c>
      <c r="H362" s="6">
        <v>20.0</v>
      </c>
      <c r="I362" s="6">
        <v>0.0</v>
      </c>
      <c r="J362" s="9">
        <v>45768.0</v>
      </c>
      <c r="K362" s="6">
        <v>8.0</v>
      </c>
      <c r="L362" s="5" t="s">
        <v>62</v>
      </c>
      <c r="M362" s="5">
        <v>0.0</v>
      </c>
    </row>
    <row r="363" ht="22.5" customHeight="1">
      <c r="A363" s="5" t="s">
        <v>1585</v>
      </c>
      <c r="B363" s="5" t="s">
        <v>44</v>
      </c>
      <c r="C363" s="6">
        <v>5.0</v>
      </c>
      <c r="D363" s="6">
        <v>21.0</v>
      </c>
      <c r="E363" s="6">
        <v>8.0</v>
      </c>
      <c r="F363" s="6">
        <v>11.0</v>
      </c>
      <c r="G363" s="6">
        <v>27.0</v>
      </c>
      <c r="H363" s="6">
        <v>5.0</v>
      </c>
      <c r="I363" s="6">
        <v>3.0</v>
      </c>
      <c r="J363" s="9">
        <v>45787.0</v>
      </c>
      <c r="K363" s="6">
        <v>6.0</v>
      </c>
      <c r="L363" s="5" t="s">
        <v>62</v>
      </c>
      <c r="M363" s="5">
        <v>0.0</v>
      </c>
    </row>
    <row r="364" ht="22.5" customHeight="1">
      <c r="A364" s="5" t="s">
        <v>1588</v>
      </c>
      <c r="B364" s="5" t="s">
        <v>22</v>
      </c>
      <c r="C364" s="6">
        <v>6.0</v>
      </c>
      <c r="D364" s="6">
        <v>27.0</v>
      </c>
      <c r="E364" s="6">
        <v>7.0</v>
      </c>
      <c r="F364" s="6">
        <v>52.0</v>
      </c>
      <c r="G364" s="6">
        <v>24.0</v>
      </c>
      <c r="H364" s="6">
        <v>4.0</v>
      </c>
      <c r="I364" s="6">
        <v>2.0</v>
      </c>
      <c r="J364" s="9">
        <v>46241.0</v>
      </c>
      <c r="K364" s="6">
        <v>8.0</v>
      </c>
      <c r="L364" s="5" t="s">
        <v>62</v>
      </c>
      <c r="M364" s="5">
        <v>0.0</v>
      </c>
    </row>
    <row r="365" ht="22.5" customHeight="1">
      <c r="A365" s="5" t="s">
        <v>1591</v>
      </c>
      <c r="B365" s="5" t="s">
        <v>170</v>
      </c>
      <c r="C365" s="6">
        <v>7.0</v>
      </c>
      <c r="D365" s="6">
        <v>21.0</v>
      </c>
      <c r="E365" s="6">
        <v>1.0</v>
      </c>
      <c r="F365" s="6">
        <v>12.0</v>
      </c>
      <c r="G365" s="6">
        <v>26.0</v>
      </c>
      <c r="H365" s="6">
        <v>10.0</v>
      </c>
      <c r="I365" s="6">
        <v>0.0</v>
      </c>
      <c r="J365" s="9">
        <v>45489.0</v>
      </c>
      <c r="K365" s="6">
        <v>3.0</v>
      </c>
      <c r="L365" s="5" t="s">
        <v>62</v>
      </c>
      <c r="M365" s="5">
        <v>0.0</v>
      </c>
    </row>
    <row r="366" ht="22.5" customHeight="1">
      <c r="A366" s="5" t="s">
        <v>1594</v>
      </c>
      <c r="B366" s="5" t="s">
        <v>22</v>
      </c>
      <c r="C366" s="6">
        <v>5.0</v>
      </c>
      <c r="D366" s="6">
        <v>27.0</v>
      </c>
      <c r="E366" s="6">
        <v>7.0</v>
      </c>
      <c r="F366" s="6">
        <v>52.0</v>
      </c>
      <c r="G366" s="6">
        <v>21.0</v>
      </c>
      <c r="H366" s="6">
        <v>3.0</v>
      </c>
      <c r="I366" s="6">
        <v>0.0</v>
      </c>
      <c r="J366" s="9">
        <v>45851.0</v>
      </c>
      <c r="K366" s="6">
        <v>10.0</v>
      </c>
      <c r="L366" s="5" t="s">
        <v>62</v>
      </c>
      <c r="M366" s="5">
        <v>0.0</v>
      </c>
    </row>
    <row r="367" ht="22.5" customHeight="1">
      <c r="A367" s="5" t="s">
        <v>1597</v>
      </c>
      <c r="B367" s="5" t="s">
        <v>170</v>
      </c>
      <c r="C367" s="6">
        <v>6.0</v>
      </c>
      <c r="D367" s="6">
        <v>35.0</v>
      </c>
      <c r="E367" s="6">
        <v>4.0</v>
      </c>
      <c r="F367" s="6">
        <v>32.0</v>
      </c>
      <c r="G367" s="6">
        <v>29.0</v>
      </c>
      <c r="H367" s="6">
        <v>2.0</v>
      </c>
      <c r="I367" s="6">
        <v>4.0</v>
      </c>
      <c r="J367" s="9">
        <v>44960.0</v>
      </c>
      <c r="K367" s="6">
        <v>4.0</v>
      </c>
      <c r="L367" s="5" t="s">
        <v>113</v>
      </c>
      <c r="M367" s="5">
        <v>1.0</v>
      </c>
    </row>
    <row r="368" ht="22.5" customHeight="1">
      <c r="A368" s="5" t="s">
        <v>1600</v>
      </c>
      <c r="B368" s="5" t="s">
        <v>170</v>
      </c>
      <c r="C368" s="6">
        <v>7.0</v>
      </c>
      <c r="D368" s="6">
        <v>38.0</v>
      </c>
      <c r="E368" s="6">
        <v>8.0</v>
      </c>
      <c r="F368" s="6">
        <v>5.0</v>
      </c>
      <c r="G368" s="6">
        <v>18.0</v>
      </c>
      <c r="H368" s="6">
        <v>18.0</v>
      </c>
      <c r="I368" s="6">
        <v>4.0</v>
      </c>
      <c r="J368" s="9">
        <v>45704.0</v>
      </c>
      <c r="K368" s="6">
        <v>10.0</v>
      </c>
      <c r="L368" s="5" t="s">
        <v>62</v>
      </c>
      <c r="M368" s="5">
        <v>0.0</v>
      </c>
    </row>
    <row r="369" ht="22.5" customHeight="1">
      <c r="A369" s="5" t="s">
        <v>1603</v>
      </c>
      <c r="B369" s="5" t="s">
        <v>65</v>
      </c>
      <c r="C369" s="6">
        <v>4.0</v>
      </c>
      <c r="D369" s="6">
        <v>19.0</v>
      </c>
      <c r="E369" s="6">
        <v>13.0</v>
      </c>
      <c r="F369" s="6">
        <v>5.0</v>
      </c>
      <c r="G369" s="6">
        <v>21.0</v>
      </c>
      <c r="H369" s="6">
        <v>13.0</v>
      </c>
      <c r="I369" s="6">
        <v>1.0</v>
      </c>
      <c r="J369" s="9">
        <v>44851.0</v>
      </c>
      <c r="K369" s="6">
        <v>3.0</v>
      </c>
      <c r="L369" s="10" t="s">
        <v>113</v>
      </c>
      <c r="M369" s="10">
        <v>1.0</v>
      </c>
    </row>
    <row r="370" ht="22.5" customHeight="1">
      <c r="A370" s="5" t="s">
        <v>1606</v>
      </c>
      <c r="B370" s="5" t="s">
        <v>170</v>
      </c>
      <c r="C370" s="6">
        <v>8.0</v>
      </c>
      <c r="D370" s="6">
        <v>22.0</v>
      </c>
      <c r="E370" s="6">
        <v>5.0</v>
      </c>
      <c r="F370" s="6">
        <v>58.0</v>
      </c>
      <c r="G370" s="6">
        <v>20.0</v>
      </c>
      <c r="H370" s="6">
        <v>10.0</v>
      </c>
      <c r="I370" s="6">
        <v>0.0</v>
      </c>
      <c r="J370" s="9">
        <v>45871.0</v>
      </c>
      <c r="K370" s="6">
        <v>8.0</v>
      </c>
      <c r="L370" s="5" t="s">
        <v>62</v>
      </c>
      <c r="M370" s="5">
        <v>0.0</v>
      </c>
    </row>
    <row r="371" ht="22.5" customHeight="1">
      <c r="A371" s="5" t="s">
        <v>1608</v>
      </c>
      <c r="B371" s="5" t="s">
        <v>22</v>
      </c>
      <c r="C371" s="6">
        <v>8.0</v>
      </c>
      <c r="D371" s="6">
        <v>22.0</v>
      </c>
      <c r="E371" s="6">
        <v>7.0</v>
      </c>
      <c r="F371" s="6">
        <v>48.0</v>
      </c>
      <c r="G371" s="6">
        <v>32.0</v>
      </c>
      <c r="H371" s="6">
        <v>15.0</v>
      </c>
      <c r="I371" s="6">
        <v>2.0</v>
      </c>
      <c r="J371" s="9">
        <v>46103.0</v>
      </c>
      <c r="K371" s="6">
        <v>8.0</v>
      </c>
      <c r="L371" s="5" t="s">
        <v>62</v>
      </c>
      <c r="M371" s="5">
        <v>0.0</v>
      </c>
    </row>
    <row r="372" ht="22.5" customHeight="1">
      <c r="A372" s="5" t="s">
        <v>1611</v>
      </c>
      <c r="B372" s="5" t="s">
        <v>65</v>
      </c>
      <c r="C372" s="6">
        <v>9.0</v>
      </c>
      <c r="D372" s="6">
        <v>53.0</v>
      </c>
      <c r="E372" s="6">
        <v>19.0</v>
      </c>
      <c r="F372" s="6">
        <v>41.0</v>
      </c>
      <c r="G372" s="6">
        <v>25.0</v>
      </c>
      <c r="H372" s="6">
        <v>6.0</v>
      </c>
      <c r="I372" s="6">
        <v>1.0</v>
      </c>
      <c r="J372" s="9">
        <v>45979.0</v>
      </c>
      <c r="K372" s="6">
        <v>8.0</v>
      </c>
      <c r="L372" s="5" t="s">
        <v>62</v>
      </c>
      <c r="M372" s="5">
        <v>0.0</v>
      </c>
    </row>
    <row r="373" ht="22.5" customHeight="1">
      <c r="A373" s="5" t="s">
        <v>1614</v>
      </c>
      <c r="B373" s="5" t="s">
        <v>170</v>
      </c>
      <c r="C373" s="6">
        <v>5.0</v>
      </c>
      <c r="D373" s="6">
        <v>8.0</v>
      </c>
      <c r="E373" s="6">
        <v>7.0</v>
      </c>
      <c r="F373" s="6">
        <v>54.0</v>
      </c>
      <c r="G373" s="6">
        <v>21.0</v>
      </c>
      <c r="H373" s="6">
        <v>17.0</v>
      </c>
      <c r="I373" s="6">
        <v>1.0</v>
      </c>
      <c r="J373" s="9">
        <v>45788.0</v>
      </c>
      <c r="K373" s="6">
        <v>7.0</v>
      </c>
      <c r="L373" s="5" t="s">
        <v>62</v>
      </c>
      <c r="M373" s="5">
        <v>0.0</v>
      </c>
    </row>
    <row r="374" ht="22.5" customHeight="1">
      <c r="A374" s="5" t="s">
        <v>1616</v>
      </c>
      <c r="B374" s="5" t="s">
        <v>65</v>
      </c>
      <c r="C374" s="6">
        <v>8.0</v>
      </c>
      <c r="D374" s="6">
        <v>38.0</v>
      </c>
      <c r="E374" s="6">
        <v>6.0</v>
      </c>
      <c r="F374" s="6">
        <v>26.0</v>
      </c>
      <c r="G374" s="6">
        <v>22.0</v>
      </c>
      <c r="H374" s="6">
        <v>3.0</v>
      </c>
      <c r="I374" s="6">
        <v>3.0</v>
      </c>
      <c r="J374" s="9">
        <v>45494.0</v>
      </c>
      <c r="K374" s="6">
        <v>2.0</v>
      </c>
      <c r="L374" s="5" t="s">
        <v>62</v>
      </c>
      <c r="M374" s="5">
        <v>0.0</v>
      </c>
    </row>
    <row r="375" ht="22.5" customHeight="1">
      <c r="A375" s="5" t="s">
        <v>1619</v>
      </c>
      <c r="B375" s="5" t="s">
        <v>22</v>
      </c>
      <c r="C375" s="6">
        <v>4.0</v>
      </c>
      <c r="D375" s="6">
        <v>19.0</v>
      </c>
      <c r="E375" s="6">
        <v>3.0</v>
      </c>
      <c r="F375" s="6">
        <v>58.0</v>
      </c>
      <c r="G375" s="6">
        <v>25.0</v>
      </c>
      <c r="H375" s="6">
        <v>19.0</v>
      </c>
      <c r="I375" s="6">
        <v>2.0</v>
      </c>
      <c r="J375" s="9">
        <v>45560.0</v>
      </c>
      <c r="K375" s="6">
        <v>6.0</v>
      </c>
      <c r="L375" s="5" t="s">
        <v>62</v>
      </c>
      <c r="M375" s="5">
        <v>0.0</v>
      </c>
    </row>
    <row r="376" ht="22.5" customHeight="1">
      <c r="A376" s="5" t="s">
        <v>1623</v>
      </c>
      <c r="B376" s="5" t="s">
        <v>22</v>
      </c>
      <c r="C376" s="6">
        <v>5.0</v>
      </c>
      <c r="D376" s="6">
        <v>22.0</v>
      </c>
      <c r="E376" s="6">
        <v>10.0</v>
      </c>
      <c r="F376" s="6">
        <v>48.0</v>
      </c>
      <c r="G376" s="6">
        <v>38.0</v>
      </c>
      <c r="H376" s="6">
        <v>8.0</v>
      </c>
      <c r="I376" s="6">
        <v>2.0</v>
      </c>
      <c r="J376" s="9">
        <v>45098.0</v>
      </c>
      <c r="K376" s="6">
        <v>4.0</v>
      </c>
      <c r="L376" s="5" t="s">
        <v>113</v>
      </c>
      <c r="M376" s="5">
        <v>1.0</v>
      </c>
    </row>
    <row r="377" ht="22.5" customHeight="1">
      <c r="A377" s="5" t="s">
        <v>1625</v>
      </c>
      <c r="B377" s="5" t="s">
        <v>65</v>
      </c>
      <c r="C377" s="6">
        <v>5.0</v>
      </c>
      <c r="D377" s="6">
        <v>30.0</v>
      </c>
      <c r="E377" s="6">
        <v>3.0</v>
      </c>
      <c r="F377" s="6">
        <v>13.0</v>
      </c>
      <c r="G377" s="6">
        <v>15.0</v>
      </c>
      <c r="H377" s="6">
        <v>1.0</v>
      </c>
      <c r="I377" s="6">
        <v>5.0</v>
      </c>
      <c r="J377" s="9">
        <v>44890.0</v>
      </c>
      <c r="K377" s="6">
        <v>2.0</v>
      </c>
      <c r="L377" s="5" t="s">
        <v>113</v>
      </c>
      <c r="M377" s="5">
        <v>1.0</v>
      </c>
    </row>
    <row r="378" ht="22.5" customHeight="1">
      <c r="A378" s="5" t="s">
        <v>1628</v>
      </c>
      <c r="B378" s="5" t="s">
        <v>65</v>
      </c>
      <c r="C378" s="6">
        <v>1.0</v>
      </c>
      <c r="D378" s="6">
        <v>3.0</v>
      </c>
      <c r="E378" s="6">
        <v>13.0</v>
      </c>
      <c r="F378" s="6">
        <v>21.0</v>
      </c>
      <c r="G378" s="6">
        <v>30.0</v>
      </c>
      <c r="H378" s="6">
        <v>15.0</v>
      </c>
      <c r="I378" s="6">
        <v>4.0</v>
      </c>
      <c r="J378" s="9">
        <v>45754.0</v>
      </c>
      <c r="K378" s="6">
        <v>6.0</v>
      </c>
      <c r="L378" s="5" t="s">
        <v>62</v>
      </c>
      <c r="M378" s="5">
        <v>0.0</v>
      </c>
    </row>
    <row r="379" ht="22.5" customHeight="1">
      <c r="A379" s="5" t="s">
        <v>1631</v>
      </c>
      <c r="B379" s="5" t="s">
        <v>44</v>
      </c>
      <c r="C379" s="6">
        <v>2.0</v>
      </c>
      <c r="D379" s="6">
        <v>6.0</v>
      </c>
      <c r="E379" s="6">
        <v>9.0</v>
      </c>
      <c r="F379" s="6">
        <v>30.0</v>
      </c>
      <c r="G379" s="6">
        <v>29.0</v>
      </c>
      <c r="H379" s="6">
        <v>3.0</v>
      </c>
      <c r="I379" s="6">
        <v>2.0</v>
      </c>
      <c r="J379" s="9">
        <v>46152.0</v>
      </c>
      <c r="K379" s="6">
        <v>6.0</v>
      </c>
      <c r="L379" s="5" t="s">
        <v>62</v>
      </c>
      <c r="M379" s="5">
        <v>0.0</v>
      </c>
    </row>
    <row r="380" ht="22.5" customHeight="1">
      <c r="A380" s="5" t="s">
        <v>1633</v>
      </c>
      <c r="B380" s="5" t="s">
        <v>65</v>
      </c>
      <c r="C380" s="6">
        <v>2.0</v>
      </c>
      <c r="D380" s="6">
        <v>4.0</v>
      </c>
      <c r="E380" s="6">
        <v>4.0</v>
      </c>
      <c r="F380" s="6">
        <v>55.0</v>
      </c>
      <c r="G380" s="6">
        <v>18.0</v>
      </c>
      <c r="H380" s="8"/>
      <c r="I380" s="6">
        <v>3.0</v>
      </c>
      <c r="J380" s="9">
        <v>44779.0</v>
      </c>
      <c r="K380" s="6">
        <v>4.0</v>
      </c>
      <c r="L380" s="5" t="s">
        <v>113</v>
      </c>
      <c r="M380" s="5">
        <v>1.0</v>
      </c>
    </row>
    <row r="381" ht="22.5" customHeight="1">
      <c r="A381" s="5" t="s">
        <v>1636</v>
      </c>
      <c r="B381" s="5" t="s">
        <v>65</v>
      </c>
      <c r="C381" s="6">
        <v>8.0</v>
      </c>
      <c r="D381" s="6">
        <v>28.0</v>
      </c>
      <c r="E381" s="6">
        <v>4.0</v>
      </c>
      <c r="F381" s="6">
        <v>32.0</v>
      </c>
      <c r="G381" s="6">
        <v>37.0</v>
      </c>
      <c r="H381" s="6">
        <v>7.0</v>
      </c>
      <c r="I381" s="6">
        <v>3.0</v>
      </c>
      <c r="J381" s="9">
        <v>46036.0</v>
      </c>
      <c r="K381" s="6">
        <v>5.0</v>
      </c>
      <c r="L381" s="5" t="s">
        <v>62</v>
      </c>
      <c r="M381" s="5">
        <v>0.0</v>
      </c>
    </row>
    <row r="382" ht="22.5" customHeight="1">
      <c r="A382" s="5" t="s">
        <v>1639</v>
      </c>
      <c r="B382" s="5" t="s">
        <v>22</v>
      </c>
      <c r="C382" s="6">
        <v>6.0</v>
      </c>
      <c r="D382" s="6">
        <v>16.0</v>
      </c>
      <c r="E382" s="6">
        <v>4.0</v>
      </c>
      <c r="F382" s="6">
        <v>24.0</v>
      </c>
      <c r="G382" s="6">
        <v>29.0</v>
      </c>
      <c r="H382" s="6">
        <v>1.0</v>
      </c>
      <c r="I382" s="6">
        <v>0.0</v>
      </c>
      <c r="J382" s="9">
        <v>45636.0</v>
      </c>
      <c r="K382" s="6">
        <v>6.0</v>
      </c>
      <c r="L382" s="5" t="s">
        <v>62</v>
      </c>
      <c r="M382" s="5">
        <v>0.0</v>
      </c>
    </row>
    <row r="383" ht="22.5" customHeight="1">
      <c r="A383" s="5" t="s">
        <v>1642</v>
      </c>
      <c r="B383" s="5" t="s">
        <v>22</v>
      </c>
      <c r="C383" s="6">
        <v>6.0</v>
      </c>
      <c r="D383" s="6">
        <v>18.0</v>
      </c>
      <c r="E383" s="6">
        <v>1.0</v>
      </c>
      <c r="F383" s="6">
        <v>6.0</v>
      </c>
      <c r="G383" s="6">
        <v>21.0</v>
      </c>
      <c r="H383" s="6">
        <v>6.0</v>
      </c>
      <c r="I383" s="6">
        <v>5.0</v>
      </c>
      <c r="J383" s="9">
        <v>45763.0</v>
      </c>
      <c r="K383" s="6">
        <v>7.0</v>
      </c>
      <c r="L383" s="10" t="s">
        <v>62</v>
      </c>
      <c r="M383" s="10">
        <v>0.0</v>
      </c>
    </row>
    <row r="384" ht="22.5" customHeight="1">
      <c r="A384" s="5" t="s">
        <v>1644</v>
      </c>
      <c r="B384" s="5" t="s">
        <v>65</v>
      </c>
      <c r="C384" s="6">
        <v>9.0</v>
      </c>
      <c r="D384" s="6">
        <v>47.0</v>
      </c>
      <c r="E384" s="6">
        <v>8.0</v>
      </c>
      <c r="F384" s="6">
        <v>6.0</v>
      </c>
      <c r="G384" s="6">
        <v>10.0</v>
      </c>
      <c r="H384" s="6">
        <v>16.0</v>
      </c>
      <c r="I384" s="6">
        <v>2.0</v>
      </c>
      <c r="J384" s="9">
        <v>44946.0</v>
      </c>
      <c r="K384" s="6">
        <v>4.0</v>
      </c>
      <c r="L384" s="5" t="s">
        <v>113</v>
      </c>
      <c r="M384" s="5">
        <v>1.0</v>
      </c>
    </row>
    <row r="385" ht="22.5" customHeight="1">
      <c r="A385" s="5" t="s">
        <v>1647</v>
      </c>
      <c r="B385" s="5" t="s">
        <v>65</v>
      </c>
      <c r="C385" s="6">
        <v>4.0</v>
      </c>
      <c r="D385" s="6">
        <v>23.0</v>
      </c>
      <c r="E385" s="6">
        <v>1.0</v>
      </c>
      <c r="F385" s="6">
        <v>5.0</v>
      </c>
      <c r="G385" s="6">
        <v>27.0</v>
      </c>
      <c r="H385" s="6">
        <v>14.0</v>
      </c>
      <c r="I385" s="6">
        <v>1.0</v>
      </c>
      <c r="J385" s="9">
        <v>46222.0</v>
      </c>
      <c r="K385" s="6">
        <v>9.0</v>
      </c>
      <c r="L385" s="5" t="s">
        <v>62</v>
      </c>
      <c r="M385" s="5">
        <v>0.0</v>
      </c>
    </row>
    <row r="386" ht="22.5" customHeight="1">
      <c r="A386" s="5" t="s">
        <v>1649</v>
      </c>
      <c r="B386" s="5" t="s">
        <v>44</v>
      </c>
      <c r="C386" s="6">
        <v>6.0</v>
      </c>
      <c r="D386" s="6">
        <v>14.0</v>
      </c>
      <c r="E386" s="6">
        <v>6.0</v>
      </c>
      <c r="F386" s="6">
        <v>21.0</v>
      </c>
      <c r="G386" s="6">
        <v>25.0</v>
      </c>
      <c r="H386" s="6">
        <v>8.0</v>
      </c>
      <c r="I386" s="6">
        <v>4.0</v>
      </c>
      <c r="J386" s="9">
        <v>45745.0</v>
      </c>
      <c r="K386" s="6">
        <v>9.0</v>
      </c>
      <c r="L386" s="5" t="s">
        <v>62</v>
      </c>
      <c r="M386" s="5">
        <v>0.0</v>
      </c>
    </row>
    <row r="387" ht="22.5" customHeight="1">
      <c r="A387" s="5" t="s">
        <v>1652</v>
      </c>
      <c r="B387" s="5" t="s">
        <v>22</v>
      </c>
      <c r="C387" s="6">
        <v>4.0</v>
      </c>
      <c r="D387" s="6">
        <v>13.0</v>
      </c>
      <c r="E387" s="6">
        <v>6.0</v>
      </c>
      <c r="F387" s="6">
        <v>44.0</v>
      </c>
      <c r="G387" s="6">
        <v>17.0</v>
      </c>
      <c r="H387" s="6">
        <v>13.0</v>
      </c>
      <c r="I387" s="6">
        <v>4.0</v>
      </c>
      <c r="J387" s="9">
        <v>46174.0</v>
      </c>
      <c r="K387" s="6">
        <v>7.0</v>
      </c>
      <c r="L387" s="5" t="s">
        <v>62</v>
      </c>
      <c r="M387" s="5">
        <v>0.0</v>
      </c>
    </row>
    <row r="388" ht="22.5" customHeight="1">
      <c r="A388" s="5" t="s">
        <v>1655</v>
      </c>
      <c r="B388" s="5" t="s">
        <v>65</v>
      </c>
      <c r="C388" s="6">
        <v>2.0</v>
      </c>
      <c r="D388" s="6">
        <v>4.0</v>
      </c>
      <c r="E388" s="6">
        <v>8.0</v>
      </c>
      <c r="F388" s="6">
        <v>27.0</v>
      </c>
      <c r="G388" s="6">
        <v>32.0</v>
      </c>
      <c r="H388" s="6">
        <v>1.0</v>
      </c>
      <c r="I388" s="6">
        <v>5.0</v>
      </c>
      <c r="J388" s="9">
        <v>45935.0</v>
      </c>
      <c r="K388" s="6">
        <v>6.0</v>
      </c>
      <c r="L388" s="5" t="s">
        <v>62</v>
      </c>
      <c r="M388" s="5">
        <v>0.0</v>
      </c>
    </row>
    <row r="389" ht="22.5" customHeight="1">
      <c r="A389" s="5" t="s">
        <v>1659</v>
      </c>
      <c r="B389" s="5" t="s">
        <v>44</v>
      </c>
      <c r="C389" s="6">
        <v>3.0</v>
      </c>
      <c r="D389" s="6">
        <v>7.0</v>
      </c>
      <c r="E389" s="6">
        <v>7.0</v>
      </c>
      <c r="F389" s="6">
        <v>51.0</v>
      </c>
      <c r="G389" s="6">
        <v>28.0</v>
      </c>
      <c r="H389" s="6">
        <v>5.0</v>
      </c>
      <c r="I389" s="6">
        <v>1.0</v>
      </c>
      <c r="J389" s="9">
        <v>46082.0</v>
      </c>
      <c r="K389" s="6">
        <v>7.0</v>
      </c>
      <c r="L389" s="5" t="s">
        <v>62</v>
      </c>
      <c r="M389" s="5">
        <v>0.0</v>
      </c>
    </row>
    <row r="390" ht="22.5" customHeight="1">
      <c r="A390" s="5" t="s">
        <v>1661</v>
      </c>
      <c r="B390" s="5" t="s">
        <v>44</v>
      </c>
      <c r="C390" s="6">
        <v>5.0</v>
      </c>
      <c r="D390" s="6">
        <v>21.0</v>
      </c>
      <c r="E390" s="6">
        <v>13.0</v>
      </c>
      <c r="F390" s="6">
        <v>57.0</v>
      </c>
      <c r="G390" s="6">
        <v>24.0</v>
      </c>
      <c r="H390" s="6">
        <v>19.0</v>
      </c>
      <c r="I390" s="6">
        <v>4.0</v>
      </c>
      <c r="J390" s="11"/>
      <c r="K390" s="6">
        <v>8.0</v>
      </c>
      <c r="L390" s="5" t="s">
        <v>113</v>
      </c>
      <c r="M390" s="5">
        <v>1.0</v>
      </c>
    </row>
    <row r="391" ht="22.5" customHeight="1">
      <c r="A391" s="5" t="s">
        <v>1664</v>
      </c>
      <c r="B391" s="5" t="s">
        <v>84</v>
      </c>
      <c r="C391" s="6">
        <v>7.0</v>
      </c>
      <c r="D391" s="6">
        <v>15.0</v>
      </c>
      <c r="E391" s="6">
        <v>9.0</v>
      </c>
      <c r="F391" s="6">
        <v>5.0</v>
      </c>
      <c r="G391" s="6">
        <v>29.0</v>
      </c>
      <c r="H391" s="6">
        <v>15.0</v>
      </c>
      <c r="I391" s="6">
        <v>3.0</v>
      </c>
      <c r="J391" s="9">
        <v>45767.0</v>
      </c>
      <c r="K391" s="6">
        <v>8.0</v>
      </c>
      <c r="L391" s="5" t="s">
        <v>62</v>
      </c>
      <c r="M391" s="5">
        <v>0.0</v>
      </c>
    </row>
    <row r="392" ht="22.5" customHeight="1">
      <c r="A392" s="5" t="s">
        <v>1668</v>
      </c>
      <c r="B392" s="5" t="s">
        <v>65</v>
      </c>
      <c r="C392" s="6">
        <v>8.0</v>
      </c>
      <c r="D392" s="6">
        <v>47.0</v>
      </c>
      <c r="E392" s="6">
        <v>5.0</v>
      </c>
      <c r="F392" s="6">
        <v>10.0</v>
      </c>
      <c r="G392" s="6">
        <v>23.0</v>
      </c>
      <c r="H392" s="6">
        <v>20.0</v>
      </c>
      <c r="I392" s="6">
        <v>1.0</v>
      </c>
      <c r="J392" s="9">
        <v>44979.0</v>
      </c>
      <c r="K392" s="6">
        <v>3.0</v>
      </c>
      <c r="L392" s="5" t="s">
        <v>113</v>
      </c>
      <c r="M392" s="5">
        <v>1.0</v>
      </c>
    </row>
    <row r="393" ht="22.5" customHeight="1">
      <c r="A393" s="5" t="s">
        <v>1670</v>
      </c>
      <c r="B393" s="5" t="s">
        <v>65</v>
      </c>
      <c r="C393" s="6">
        <v>10.0</v>
      </c>
      <c r="D393" s="6">
        <v>35.0</v>
      </c>
      <c r="E393" s="6">
        <v>6.0</v>
      </c>
      <c r="F393" s="6">
        <v>22.0</v>
      </c>
      <c r="G393" s="6">
        <v>27.0</v>
      </c>
      <c r="H393" s="6">
        <v>20.0</v>
      </c>
      <c r="I393" s="6">
        <v>4.0</v>
      </c>
      <c r="J393" s="9">
        <v>45727.0</v>
      </c>
      <c r="K393" s="6">
        <v>9.0</v>
      </c>
      <c r="L393" s="5" t="s">
        <v>62</v>
      </c>
      <c r="M393" s="5">
        <v>0.0</v>
      </c>
    </row>
    <row r="394" ht="22.5" customHeight="1">
      <c r="A394" s="5" t="s">
        <v>1673</v>
      </c>
      <c r="B394" s="5" t="s">
        <v>22</v>
      </c>
      <c r="C394" s="6">
        <v>5.0</v>
      </c>
      <c r="D394" s="6">
        <v>19.0</v>
      </c>
      <c r="E394" s="6">
        <v>5.0</v>
      </c>
      <c r="F394" s="6">
        <v>49.0</v>
      </c>
      <c r="G394" s="6">
        <v>19.0</v>
      </c>
      <c r="H394" s="6">
        <v>11.0</v>
      </c>
      <c r="I394" s="6">
        <v>3.0</v>
      </c>
      <c r="J394" s="9">
        <v>46242.0</v>
      </c>
      <c r="K394" s="6">
        <v>6.0</v>
      </c>
      <c r="L394" s="10" t="s">
        <v>62</v>
      </c>
      <c r="M394" s="10">
        <v>0.0</v>
      </c>
    </row>
    <row r="395" ht="22.5" customHeight="1">
      <c r="A395" s="5" t="s">
        <v>1675</v>
      </c>
      <c r="B395" s="5" t="s">
        <v>44</v>
      </c>
      <c r="C395" s="6">
        <v>2.0</v>
      </c>
      <c r="D395" s="6">
        <v>5.0</v>
      </c>
      <c r="E395" s="6">
        <v>6.0</v>
      </c>
      <c r="F395" s="6">
        <v>45.0</v>
      </c>
      <c r="G395" s="6">
        <v>25.0</v>
      </c>
      <c r="H395" s="6">
        <v>11.0</v>
      </c>
      <c r="I395" s="6">
        <v>3.0</v>
      </c>
      <c r="J395" s="9">
        <v>45272.0</v>
      </c>
      <c r="K395" s="6">
        <v>3.0</v>
      </c>
      <c r="L395" s="5" t="s">
        <v>62</v>
      </c>
      <c r="M395" s="5">
        <v>0.0</v>
      </c>
    </row>
    <row r="396" ht="22.5" customHeight="1">
      <c r="A396" s="5" t="s">
        <v>1679</v>
      </c>
      <c r="B396" s="5" t="s">
        <v>84</v>
      </c>
      <c r="C396" s="6">
        <v>5.0</v>
      </c>
      <c r="D396" s="6">
        <v>18.0</v>
      </c>
      <c r="E396" s="6">
        <v>7.0</v>
      </c>
      <c r="F396" s="6">
        <v>28.0</v>
      </c>
      <c r="G396" s="6">
        <v>29.0</v>
      </c>
      <c r="H396" s="6">
        <v>17.0</v>
      </c>
      <c r="I396" s="6">
        <v>0.0</v>
      </c>
      <c r="J396" s="9">
        <v>45127.0</v>
      </c>
      <c r="K396" s="6">
        <v>4.0</v>
      </c>
      <c r="L396" s="5" t="s">
        <v>113</v>
      </c>
      <c r="M396" s="5">
        <v>1.0</v>
      </c>
    </row>
    <row r="397" ht="22.5" customHeight="1">
      <c r="A397" s="5" t="s">
        <v>1682</v>
      </c>
      <c r="B397" s="5" t="s">
        <v>65</v>
      </c>
      <c r="C397" s="6">
        <v>7.0</v>
      </c>
      <c r="D397" s="6">
        <v>31.0</v>
      </c>
      <c r="E397" s="6">
        <v>2.0</v>
      </c>
      <c r="F397" s="6">
        <v>33.0</v>
      </c>
      <c r="G397" s="6">
        <v>26.0</v>
      </c>
      <c r="H397" s="6">
        <v>10.0</v>
      </c>
      <c r="I397" s="6">
        <v>1.0</v>
      </c>
      <c r="J397" s="9">
        <v>44736.0</v>
      </c>
      <c r="K397" s="6">
        <v>4.0</v>
      </c>
      <c r="L397" s="5" t="s">
        <v>113</v>
      </c>
      <c r="M397" s="5">
        <v>1.0</v>
      </c>
    </row>
    <row r="398" ht="22.5" customHeight="1">
      <c r="A398" s="5" t="s">
        <v>1685</v>
      </c>
      <c r="B398" s="5" t="s">
        <v>22</v>
      </c>
      <c r="C398" s="6">
        <v>4.0</v>
      </c>
      <c r="D398" s="6">
        <v>20.0</v>
      </c>
      <c r="E398" s="6">
        <v>2.0</v>
      </c>
      <c r="F398" s="6">
        <v>55.0</v>
      </c>
      <c r="G398" s="6">
        <v>28.0</v>
      </c>
      <c r="H398" s="8"/>
      <c r="I398" s="6">
        <v>0.0</v>
      </c>
      <c r="J398" s="9">
        <v>45776.0</v>
      </c>
      <c r="K398" s="6">
        <v>6.0</v>
      </c>
      <c r="L398" s="5" t="s">
        <v>62</v>
      </c>
      <c r="M398" s="5">
        <v>0.0</v>
      </c>
    </row>
    <row r="399" ht="22.5" customHeight="1">
      <c r="A399" s="5" t="s">
        <v>1688</v>
      </c>
      <c r="B399" s="5" t="s">
        <v>44</v>
      </c>
      <c r="C399" s="6">
        <v>5.0</v>
      </c>
      <c r="D399" s="6">
        <v>24.0</v>
      </c>
      <c r="E399" s="6">
        <v>3.0</v>
      </c>
      <c r="F399" s="6">
        <v>42.0</v>
      </c>
      <c r="G399" s="6">
        <v>18.0</v>
      </c>
      <c r="H399" s="6">
        <v>20.0</v>
      </c>
      <c r="I399" s="6">
        <v>4.0</v>
      </c>
      <c r="J399" s="9">
        <v>46157.0</v>
      </c>
      <c r="K399" s="6">
        <v>3.0</v>
      </c>
      <c r="L399" s="5" t="s">
        <v>62</v>
      </c>
      <c r="M399" s="5">
        <v>0.0</v>
      </c>
    </row>
    <row r="400" ht="22.5" customHeight="1">
      <c r="A400" s="5" t="s">
        <v>1691</v>
      </c>
      <c r="B400" s="5" t="s">
        <v>22</v>
      </c>
      <c r="C400" s="6">
        <v>3.0</v>
      </c>
      <c r="D400" s="6">
        <v>12.0</v>
      </c>
      <c r="E400" s="6">
        <v>9.0</v>
      </c>
      <c r="F400" s="6">
        <v>43.0</v>
      </c>
      <c r="G400" s="6">
        <v>20.0</v>
      </c>
      <c r="H400" s="6">
        <v>8.0</v>
      </c>
      <c r="I400" s="6">
        <v>1.0</v>
      </c>
      <c r="J400" s="9">
        <v>46101.0</v>
      </c>
      <c r="K400" s="6">
        <v>6.0</v>
      </c>
      <c r="L400" s="5" t="s">
        <v>62</v>
      </c>
      <c r="M400" s="5">
        <v>0.0</v>
      </c>
    </row>
    <row r="401" ht="22.5" customHeight="1">
      <c r="A401" s="5" t="s">
        <v>1694</v>
      </c>
      <c r="B401" s="5" t="s">
        <v>170</v>
      </c>
      <c r="C401" s="6">
        <v>7.0</v>
      </c>
      <c r="D401" s="6">
        <v>39.0</v>
      </c>
      <c r="E401" s="6">
        <v>9.0</v>
      </c>
      <c r="F401" s="6">
        <v>42.0</v>
      </c>
      <c r="G401" s="6">
        <v>20.0</v>
      </c>
      <c r="H401" s="6">
        <v>19.0</v>
      </c>
      <c r="I401" s="6">
        <v>5.0</v>
      </c>
      <c r="J401" s="9">
        <v>45595.0</v>
      </c>
      <c r="K401" s="6">
        <v>5.0</v>
      </c>
      <c r="L401" s="5" t="s">
        <v>62</v>
      </c>
      <c r="M401" s="5">
        <v>0.0</v>
      </c>
    </row>
    <row r="402" ht="22.5" customHeight="1">
      <c r="A402" s="5" t="s">
        <v>1697</v>
      </c>
      <c r="B402" s="5" t="s">
        <v>44</v>
      </c>
      <c r="C402" s="6">
        <v>9.0</v>
      </c>
      <c r="D402" s="6">
        <v>47.0</v>
      </c>
      <c r="E402" s="6">
        <v>10.0</v>
      </c>
      <c r="F402" s="6">
        <v>51.0</v>
      </c>
      <c r="G402" s="6">
        <v>23.0</v>
      </c>
      <c r="H402" s="8"/>
      <c r="I402" s="6">
        <v>3.0</v>
      </c>
      <c r="J402" s="9">
        <v>44583.0</v>
      </c>
      <c r="K402" s="6">
        <v>3.0</v>
      </c>
      <c r="L402" s="5" t="s">
        <v>113</v>
      </c>
      <c r="M402" s="5">
        <v>1.0</v>
      </c>
    </row>
    <row r="403" ht="22.5" customHeight="1">
      <c r="A403" s="5" t="s">
        <v>1699</v>
      </c>
      <c r="B403" s="5" t="s">
        <v>170</v>
      </c>
      <c r="C403" s="6">
        <v>8.0</v>
      </c>
      <c r="D403" s="6">
        <v>39.0</v>
      </c>
      <c r="E403" s="6">
        <v>3.0</v>
      </c>
      <c r="F403" s="6">
        <v>39.0</v>
      </c>
      <c r="G403" s="6">
        <v>36.0</v>
      </c>
      <c r="H403" s="6">
        <v>2.0</v>
      </c>
      <c r="I403" s="6">
        <v>4.0</v>
      </c>
      <c r="J403" s="11"/>
      <c r="K403" s="6">
        <v>4.0</v>
      </c>
      <c r="L403" s="5" t="s">
        <v>113</v>
      </c>
      <c r="M403" s="5">
        <v>1.0</v>
      </c>
    </row>
    <row r="404" ht="22.5" customHeight="1">
      <c r="A404" s="5" t="s">
        <v>1703</v>
      </c>
      <c r="B404" s="5" t="s">
        <v>22</v>
      </c>
      <c r="C404" s="6">
        <v>3.0</v>
      </c>
      <c r="D404" s="6">
        <v>5.0</v>
      </c>
      <c r="E404" s="6">
        <v>7.0</v>
      </c>
      <c r="F404" s="6">
        <v>45.0</v>
      </c>
      <c r="G404" s="6">
        <v>22.0</v>
      </c>
      <c r="H404" s="6">
        <v>5.0</v>
      </c>
      <c r="I404" s="6">
        <v>4.0</v>
      </c>
      <c r="J404" s="9">
        <v>44471.0</v>
      </c>
      <c r="K404" s="6">
        <v>6.0</v>
      </c>
      <c r="L404" s="5" t="s">
        <v>113</v>
      </c>
      <c r="M404" s="5">
        <v>1.0</v>
      </c>
    </row>
    <row r="405" ht="22.5" customHeight="1">
      <c r="A405" s="5" t="s">
        <v>1706</v>
      </c>
      <c r="B405" s="5" t="s">
        <v>44</v>
      </c>
      <c r="C405" s="6">
        <v>7.0</v>
      </c>
      <c r="D405" s="6">
        <v>11.0</v>
      </c>
      <c r="E405" s="6">
        <v>5.0</v>
      </c>
      <c r="F405" s="6">
        <v>10.0</v>
      </c>
      <c r="G405" s="6">
        <v>16.0</v>
      </c>
      <c r="H405" s="6">
        <v>19.0</v>
      </c>
      <c r="I405" s="6">
        <v>4.0</v>
      </c>
      <c r="J405" s="9">
        <v>45642.0</v>
      </c>
      <c r="K405" s="6">
        <v>8.0</v>
      </c>
      <c r="L405" s="5" t="s">
        <v>62</v>
      </c>
      <c r="M405" s="5">
        <v>0.0</v>
      </c>
    </row>
    <row r="406" ht="22.5" customHeight="1">
      <c r="A406" s="5" t="s">
        <v>1709</v>
      </c>
      <c r="B406" s="5" t="s">
        <v>44</v>
      </c>
      <c r="C406" s="6">
        <v>10.0</v>
      </c>
      <c r="D406" s="6">
        <v>25.0</v>
      </c>
      <c r="E406" s="6">
        <v>6.0</v>
      </c>
      <c r="F406" s="6">
        <v>41.0</v>
      </c>
      <c r="G406" s="6">
        <v>29.0</v>
      </c>
      <c r="H406" s="6">
        <v>6.0</v>
      </c>
      <c r="I406" s="6">
        <v>2.0</v>
      </c>
      <c r="J406" s="11"/>
      <c r="K406" s="6">
        <v>4.0</v>
      </c>
      <c r="L406" s="10" t="s">
        <v>113</v>
      </c>
      <c r="M406" s="10">
        <v>1.0</v>
      </c>
    </row>
    <row r="407" ht="22.5" customHeight="1">
      <c r="A407" s="5" t="s">
        <v>1712</v>
      </c>
      <c r="B407" s="5" t="s">
        <v>84</v>
      </c>
      <c r="C407" s="6">
        <v>4.0</v>
      </c>
      <c r="D407" s="6">
        <v>18.0</v>
      </c>
      <c r="E407" s="6">
        <v>5.0</v>
      </c>
      <c r="F407" s="6">
        <v>21.0</v>
      </c>
      <c r="G407" s="6">
        <v>36.0</v>
      </c>
      <c r="H407" s="6">
        <v>6.0</v>
      </c>
      <c r="I407" s="6">
        <v>5.0</v>
      </c>
      <c r="J407" s="9">
        <v>46192.0</v>
      </c>
      <c r="K407" s="6">
        <v>5.0</v>
      </c>
      <c r="L407" s="5" t="s">
        <v>62</v>
      </c>
      <c r="M407" s="5">
        <v>0.0</v>
      </c>
    </row>
    <row r="408" ht="22.5" customHeight="1">
      <c r="A408" s="5" t="s">
        <v>1715</v>
      </c>
      <c r="B408" s="5" t="s">
        <v>65</v>
      </c>
      <c r="C408" s="6">
        <v>9.0</v>
      </c>
      <c r="D408" s="6">
        <v>30.0</v>
      </c>
      <c r="E408" s="6">
        <v>7.0</v>
      </c>
      <c r="F408" s="6">
        <v>7.0</v>
      </c>
      <c r="G408" s="6">
        <v>15.0</v>
      </c>
      <c r="H408" s="6">
        <v>14.0</v>
      </c>
      <c r="I408" s="6">
        <v>0.0</v>
      </c>
      <c r="J408" s="9">
        <v>45587.0</v>
      </c>
      <c r="K408" s="6">
        <v>10.0</v>
      </c>
      <c r="L408" s="5" t="s">
        <v>62</v>
      </c>
      <c r="M408" s="5">
        <v>0.0</v>
      </c>
    </row>
    <row r="409" ht="22.5" customHeight="1">
      <c r="A409" s="5" t="s">
        <v>1718</v>
      </c>
      <c r="B409" s="5" t="s">
        <v>84</v>
      </c>
      <c r="C409" s="6">
        <v>8.0</v>
      </c>
      <c r="D409" s="6">
        <v>26.0</v>
      </c>
      <c r="E409" s="6">
        <v>4.0</v>
      </c>
      <c r="F409" s="6">
        <v>20.0</v>
      </c>
      <c r="G409" s="6">
        <v>41.0</v>
      </c>
      <c r="H409" s="6">
        <v>3.0</v>
      </c>
      <c r="I409" s="6">
        <v>4.0</v>
      </c>
      <c r="J409" s="9">
        <v>45337.0</v>
      </c>
      <c r="K409" s="6">
        <v>1.0</v>
      </c>
      <c r="L409" s="5" t="s">
        <v>62</v>
      </c>
      <c r="M409" s="5">
        <v>0.0</v>
      </c>
    </row>
    <row r="410" ht="22.5" customHeight="1">
      <c r="A410" s="5" t="s">
        <v>1721</v>
      </c>
      <c r="B410" s="5" t="s">
        <v>22</v>
      </c>
      <c r="C410" s="6">
        <v>7.0</v>
      </c>
      <c r="D410" s="6">
        <v>38.0</v>
      </c>
      <c r="E410" s="6">
        <v>12.0</v>
      </c>
      <c r="F410" s="6">
        <v>13.0</v>
      </c>
      <c r="G410" s="6">
        <v>28.0</v>
      </c>
      <c r="H410" s="6">
        <v>19.0</v>
      </c>
      <c r="I410" s="6">
        <v>0.0</v>
      </c>
      <c r="J410" s="9">
        <v>45177.0</v>
      </c>
      <c r="K410" s="6">
        <v>5.0</v>
      </c>
      <c r="L410" s="5" t="s">
        <v>62</v>
      </c>
      <c r="M410" s="5">
        <v>0.0</v>
      </c>
    </row>
    <row r="411" ht="22.5" customHeight="1">
      <c r="A411" s="5" t="s">
        <v>1723</v>
      </c>
      <c r="B411" s="5" t="s">
        <v>22</v>
      </c>
      <c r="C411" s="6">
        <v>11.0</v>
      </c>
      <c r="D411" s="6">
        <v>61.0</v>
      </c>
      <c r="E411" s="6">
        <v>12.0</v>
      </c>
      <c r="F411" s="6">
        <v>29.0</v>
      </c>
      <c r="G411" s="6">
        <v>33.0</v>
      </c>
      <c r="H411" s="6">
        <v>4.0</v>
      </c>
      <c r="I411" s="6">
        <v>2.0</v>
      </c>
      <c r="J411" s="9">
        <v>44887.0</v>
      </c>
      <c r="K411" s="6">
        <v>3.0</v>
      </c>
      <c r="L411" s="5" t="s">
        <v>113</v>
      </c>
      <c r="M411" s="5">
        <v>1.0</v>
      </c>
    </row>
    <row r="412" ht="22.5" customHeight="1">
      <c r="A412" s="5" t="s">
        <v>1726</v>
      </c>
      <c r="B412" s="5" t="s">
        <v>65</v>
      </c>
      <c r="C412" s="6">
        <v>6.0</v>
      </c>
      <c r="D412" s="6">
        <v>34.0</v>
      </c>
      <c r="E412" s="6">
        <v>8.0</v>
      </c>
      <c r="F412" s="6">
        <v>20.0</v>
      </c>
      <c r="G412" s="6">
        <v>37.0</v>
      </c>
      <c r="H412" s="6">
        <v>16.0</v>
      </c>
      <c r="I412" s="6">
        <v>5.0</v>
      </c>
      <c r="J412" s="9">
        <v>45988.0</v>
      </c>
      <c r="K412" s="6">
        <v>9.0</v>
      </c>
      <c r="L412" s="5" t="s">
        <v>62</v>
      </c>
      <c r="M412" s="5">
        <v>0.0</v>
      </c>
    </row>
    <row r="413" ht="22.5" customHeight="1">
      <c r="A413" s="5" t="s">
        <v>1730</v>
      </c>
      <c r="B413" s="5" t="s">
        <v>65</v>
      </c>
      <c r="C413" s="6">
        <v>6.0</v>
      </c>
      <c r="D413" s="6">
        <v>17.0</v>
      </c>
      <c r="E413" s="6">
        <v>11.0</v>
      </c>
      <c r="F413" s="6">
        <v>49.0</v>
      </c>
      <c r="G413" s="6">
        <v>33.0</v>
      </c>
      <c r="H413" s="6">
        <v>9.0</v>
      </c>
      <c r="I413" s="6">
        <v>5.0</v>
      </c>
      <c r="J413" s="9">
        <v>44856.0</v>
      </c>
      <c r="K413" s="6">
        <v>5.0</v>
      </c>
      <c r="L413" s="5" t="s">
        <v>113</v>
      </c>
      <c r="M413" s="5">
        <v>1.0</v>
      </c>
    </row>
    <row r="414" ht="22.5" customHeight="1">
      <c r="A414" s="5" t="s">
        <v>1732</v>
      </c>
      <c r="B414" s="5" t="s">
        <v>65</v>
      </c>
      <c r="C414" s="6">
        <v>6.0</v>
      </c>
      <c r="D414" s="6">
        <v>28.0</v>
      </c>
      <c r="E414" s="6">
        <v>2.0</v>
      </c>
      <c r="F414" s="6">
        <v>44.0</v>
      </c>
      <c r="G414" s="6">
        <v>24.0</v>
      </c>
      <c r="H414" s="6">
        <v>3.0</v>
      </c>
      <c r="I414" s="6">
        <v>3.0</v>
      </c>
      <c r="J414" s="9">
        <v>45494.0</v>
      </c>
      <c r="K414" s="6">
        <v>3.0</v>
      </c>
      <c r="L414" s="5" t="s">
        <v>62</v>
      </c>
      <c r="M414" s="5">
        <v>0.0</v>
      </c>
    </row>
    <row r="415" ht="22.5" customHeight="1">
      <c r="A415" s="5" t="s">
        <v>1735</v>
      </c>
      <c r="B415" s="5" t="s">
        <v>65</v>
      </c>
      <c r="C415" s="6">
        <v>6.0</v>
      </c>
      <c r="D415" s="6">
        <v>16.0</v>
      </c>
      <c r="E415" s="6">
        <v>13.0</v>
      </c>
      <c r="F415" s="6">
        <v>31.0</v>
      </c>
      <c r="G415" s="6">
        <v>35.0</v>
      </c>
      <c r="H415" s="6">
        <v>15.0</v>
      </c>
      <c r="I415" s="6">
        <v>2.0</v>
      </c>
      <c r="J415" s="9">
        <v>45756.0</v>
      </c>
      <c r="K415" s="6">
        <v>8.0</v>
      </c>
      <c r="L415" s="5" t="s">
        <v>62</v>
      </c>
      <c r="M415" s="5">
        <v>0.0</v>
      </c>
    </row>
    <row r="416" ht="22.5" customHeight="1">
      <c r="A416" s="5" t="s">
        <v>1738</v>
      </c>
      <c r="B416" s="5" t="s">
        <v>170</v>
      </c>
      <c r="C416" s="6">
        <v>5.0</v>
      </c>
      <c r="D416" s="6">
        <v>12.0</v>
      </c>
      <c r="E416" s="6">
        <v>8.0</v>
      </c>
      <c r="F416" s="6">
        <v>56.0</v>
      </c>
      <c r="G416" s="6">
        <v>27.0</v>
      </c>
      <c r="H416" s="6">
        <v>7.0</v>
      </c>
      <c r="I416" s="6">
        <v>2.0</v>
      </c>
      <c r="J416" s="9">
        <v>46176.0</v>
      </c>
      <c r="K416" s="6">
        <v>10.0</v>
      </c>
      <c r="L416" s="5" t="s">
        <v>62</v>
      </c>
      <c r="M416" s="5">
        <v>0.0</v>
      </c>
    </row>
    <row r="417" ht="22.5" customHeight="1">
      <c r="A417" s="5" t="s">
        <v>1741</v>
      </c>
      <c r="B417" s="5" t="s">
        <v>84</v>
      </c>
      <c r="C417" s="6">
        <v>11.0</v>
      </c>
      <c r="D417" s="6">
        <v>26.0</v>
      </c>
      <c r="E417" s="6">
        <v>4.0</v>
      </c>
      <c r="F417" s="6">
        <v>25.0</v>
      </c>
      <c r="G417" s="6">
        <v>34.0</v>
      </c>
      <c r="H417" s="6">
        <v>3.0</v>
      </c>
      <c r="I417" s="6">
        <v>5.0</v>
      </c>
      <c r="J417" s="9">
        <v>45813.0</v>
      </c>
      <c r="K417" s="6">
        <v>8.0</v>
      </c>
      <c r="L417" s="5" t="s">
        <v>62</v>
      </c>
      <c r="M417" s="5">
        <v>0.0</v>
      </c>
    </row>
    <row r="418" ht="22.5" customHeight="1">
      <c r="A418" s="5" t="s">
        <v>1743</v>
      </c>
      <c r="B418" s="5" t="s">
        <v>170</v>
      </c>
      <c r="C418" s="6">
        <v>4.0</v>
      </c>
      <c r="D418" s="6">
        <v>12.0</v>
      </c>
      <c r="E418" s="6">
        <v>4.0</v>
      </c>
      <c r="F418" s="6">
        <v>49.0</v>
      </c>
      <c r="G418" s="6">
        <v>35.0</v>
      </c>
      <c r="H418" s="6">
        <v>14.0</v>
      </c>
      <c r="I418" s="6">
        <v>5.0</v>
      </c>
      <c r="J418" s="9">
        <v>45733.0</v>
      </c>
      <c r="K418" s="6">
        <v>6.0</v>
      </c>
      <c r="L418" s="5" t="s">
        <v>62</v>
      </c>
      <c r="M418" s="5">
        <v>0.0</v>
      </c>
    </row>
    <row r="419" ht="22.5" customHeight="1">
      <c r="A419" s="5" t="s">
        <v>1746</v>
      </c>
      <c r="B419" s="5" t="s">
        <v>84</v>
      </c>
      <c r="C419" s="6">
        <v>3.0</v>
      </c>
      <c r="D419" s="6">
        <v>10.0</v>
      </c>
      <c r="E419" s="6">
        <v>15.0</v>
      </c>
      <c r="F419" s="6">
        <v>54.0</v>
      </c>
      <c r="G419" s="6">
        <v>16.0</v>
      </c>
      <c r="H419" s="6">
        <v>6.0</v>
      </c>
      <c r="I419" s="6">
        <v>0.0</v>
      </c>
      <c r="J419" s="9">
        <v>45297.0</v>
      </c>
      <c r="K419" s="6">
        <v>4.0</v>
      </c>
      <c r="L419" s="5" t="s">
        <v>62</v>
      </c>
      <c r="M419" s="5">
        <v>0.0</v>
      </c>
    </row>
    <row r="420" ht="22.5" customHeight="1">
      <c r="A420" s="5" t="s">
        <v>1750</v>
      </c>
      <c r="B420" s="5" t="s">
        <v>84</v>
      </c>
      <c r="C420" s="6">
        <v>7.0</v>
      </c>
      <c r="D420" s="6">
        <v>37.0</v>
      </c>
      <c r="E420" s="6">
        <v>10.0</v>
      </c>
      <c r="F420" s="6">
        <v>51.0</v>
      </c>
      <c r="G420" s="6">
        <v>31.0</v>
      </c>
      <c r="H420" s="6">
        <v>9.0</v>
      </c>
      <c r="I420" s="6">
        <v>3.0</v>
      </c>
      <c r="J420" s="9">
        <v>46166.0</v>
      </c>
      <c r="K420" s="6">
        <v>8.0</v>
      </c>
      <c r="L420" s="5" t="s">
        <v>62</v>
      </c>
      <c r="M420" s="5">
        <v>0.0</v>
      </c>
    </row>
    <row r="421" ht="22.5" customHeight="1">
      <c r="A421" s="5" t="s">
        <v>1752</v>
      </c>
      <c r="B421" s="5" t="s">
        <v>44</v>
      </c>
      <c r="C421" s="6">
        <v>5.0</v>
      </c>
      <c r="D421" s="6">
        <v>10.0</v>
      </c>
      <c r="E421" s="6">
        <v>6.0</v>
      </c>
      <c r="F421" s="6">
        <v>34.0</v>
      </c>
      <c r="G421" s="6">
        <v>24.0</v>
      </c>
      <c r="H421" s="6">
        <v>14.0</v>
      </c>
      <c r="I421" s="6">
        <v>3.0</v>
      </c>
      <c r="J421" s="9">
        <v>46244.0</v>
      </c>
      <c r="K421" s="6">
        <v>6.0</v>
      </c>
      <c r="L421" s="5" t="s">
        <v>62</v>
      </c>
      <c r="M421" s="5">
        <v>0.0</v>
      </c>
    </row>
    <row r="422" ht="22.5" customHeight="1">
      <c r="A422" s="5" t="s">
        <v>1755</v>
      </c>
      <c r="B422" s="5" t="s">
        <v>22</v>
      </c>
      <c r="C422" s="6">
        <v>5.0</v>
      </c>
      <c r="D422" s="6">
        <v>24.0</v>
      </c>
      <c r="E422" s="6">
        <v>2.0</v>
      </c>
      <c r="F422" s="6">
        <v>55.0</v>
      </c>
      <c r="G422" s="6">
        <v>26.0</v>
      </c>
      <c r="H422" s="6">
        <v>8.0</v>
      </c>
      <c r="I422" s="6">
        <v>5.0</v>
      </c>
      <c r="J422" s="9">
        <v>45255.0</v>
      </c>
      <c r="K422" s="6">
        <v>2.0</v>
      </c>
      <c r="L422" s="5" t="s">
        <v>62</v>
      </c>
      <c r="M422" s="5">
        <v>0.0</v>
      </c>
    </row>
    <row r="423" ht="22.5" customHeight="1">
      <c r="A423" s="5" t="s">
        <v>1757</v>
      </c>
      <c r="B423" s="5" t="s">
        <v>22</v>
      </c>
      <c r="C423" s="6">
        <v>9.0</v>
      </c>
      <c r="D423" s="6">
        <v>35.0</v>
      </c>
      <c r="E423" s="6">
        <v>13.0</v>
      </c>
      <c r="F423" s="6">
        <v>46.0</v>
      </c>
      <c r="G423" s="6">
        <v>26.0</v>
      </c>
      <c r="H423" s="6">
        <v>6.0</v>
      </c>
      <c r="I423" s="6">
        <v>5.0</v>
      </c>
      <c r="J423" s="9">
        <v>45355.0</v>
      </c>
      <c r="K423" s="6">
        <v>1.0</v>
      </c>
      <c r="L423" s="5" t="s">
        <v>62</v>
      </c>
      <c r="M423" s="5">
        <v>0.0</v>
      </c>
    </row>
    <row r="424" ht="22.5" customHeight="1">
      <c r="A424" s="5" t="s">
        <v>1759</v>
      </c>
      <c r="B424" s="5" t="s">
        <v>22</v>
      </c>
      <c r="C424" s="6">
        <v>6.0</v>
      </c>
      <c r="D424" s="6">
        <v>17.0</v>
      </c>
      <c r="E424" s="6">
        <v>3.0</v>
      </c>
      <c r="F424" s="6">
        <v>49.0</v>
      </c>
      <c r="G424" s="6">
        <v>26.0</v>
      </c>
      <c r="H424" s="6">
        <v>20.0</v>
      </c>
      <c r="I424" s="6">
        <v>2.0</v>
      </c>
      <c r="J424" s="9">
        <v>45938.0</v>
      </c>
      <c r="K424" s="6">
        <v>8.0</v>
      </c>
      <c r="L424" s="5" t="s">
        <v>62</v>
      </c>
      <c r="M424" s="5">
        <v>0.0</v>
      </c>
    </row>
    <row r="425" ht="22.5" customHeight="1">
      <c r="A425" s="5" t="s">
        <v>1761</v>
      </c>
      <c r="B425" s="5" t="s">
        <v>65</v>
      </c>
      <c r="C425" s="6">
        <v>5.0</v>
      </c>
      <c r="D425" s="6">
        <v>19.0</v>
      </c>
      <c r="E425" s="6">
        <v>5.0</v>
      </c>
      <c r="F425" s="6">
        <v>50.0</v>
      </c>
      <c r="G425" s="6">
        <v>37.0</v>
      </c>
      <c r="H425" s="6">
        <v>10.0</v>
      </c>
      <c r="I425" s="6">
        <v>4.0</v>
      </c>
      <c r="J425" s="9">
        <v>45991.0</v>
      </c>
      <c r="K425" s="6">
        <v>7.0</v>
      </c>
      <c r="L425" s="5" t="s">
        <v>62</v>
      </c>
      <c r="M425" s="5">
        <v>0.0</v>
      </c>
    </row>
    <row r="426" ht="22.5" customHeight="1">
      <c r="A426" s="5" t="s">
        <v>1765</v>
      </c>
      <c r="B426" s="5" t="s">
        <v>84</v>
      </c>
      <c r="C426" s="6">
        <v>8.0</v>
      </c>
      <c r="D426" s="6">
        <v>23.0</v>
      </c>
      <c r="E426" s="6">
        <v>6.0</v>
      </c>
      <c r="F426" s="6">
        <v>40.0</v>
      </c>
      <c r="G426" s="6">
        <v>14.0</v>
      </c>
      <c r="H426" s="6">
        <v>4.0</v>
      </c>
      <c r="I426" s="6">
        <v>2.0</v>
      </c>
      <c r="J426" s="11"/>
      <c r="K426" s="6">
        <v>2.0</v>
      </c>
      <c r="L426" s="5" t="s">
        <v>113</v>
      </c>
      <c r="M426" s="5">
        <v>1.0</v>
      </c>
    </row>
    <row r="427" ht="22.5" customHeight="1">
      <c r="A427" s="5" t="s">
        <v>1767</v>
      </c>
      <c r="B427" s="5" t="s">
        <v>22</v>
      </c>
      <c r="C427" s="6">
        <v>5.0</v>
      </c>
      <c r="D427" s="6">
        <v>21.0</v>
      </c>
      <c r="E427" s="6">
        <v>4.0</v>
      </c>
      <c r="F427" s="6">
        <v>51.0</v>
      </c>
      <c r="G427" s="6">
        <v>11.0</v>
      </c>
      <c r="H427" s="8"/>
      <c r="I427" s="6">
        <v>3.0</v>
      </c>
      <c r="J427" s="9">
        <v>44844.0</v>
      </c>
      <c r="K427" s="6">
        <v>3.0</v>
      </c>
      <c r="L427" s="5" t="s">
        <v>113</v>
      </c>
      <c r="M427" s="5">
        <v>1.0</v>
      </c>
    </row>
    <row r="428" ht="22.5" customHeight="1">
      <c r="A428" s="5" t="s">
        <v>1770</v>
      </c>
      <c r="B428" s="5" t="s">
        <v>170</v>
      </c>
      <c r="C428" s="6">
        <v>3.0</v>
      </c>
      <c r="D428" s="6">
        <v>10.0</v>
      </c>
      <c r="E428" s="6">
        <v>5.0</v>
      </c>
      <c r="F428" s="6">
        <v>5.0</v>
      </c>
      <c r="G428" s="6">
        <v>10.0</v>
      </c>
      <c r="H428" s="6">
        <v>3.0</v>
      </c>
      <c r="I428" s="6">
        <v>2.0</v>
      </c>
      <c r="J428" s="9">
        <v>45692.0</v>
      </c>
      <c r="K428" s="6">
        <v>8.0</v>
      </c>
      <c r="L428" s="5" t="s">
        <v>62</v>
      </c>
      <c r="M428" s="5">
        <v>0.0</v>
      </c>
    </row>
    <row r="429" ht="22.5" customHeight="1">
      <c r="A429" s="5" t="s">
        <v>1772</v>
      </c>
      <c r="B429" s="5" t="s">
        <v>65</v>
      </c>
      <c r="C429" s="6">
        <v>3.0</v>
      </c>
      <c r="D429" s="6">
        <v>7.0</v>
      </c>
      <c r="E429" s="6">
        <v>6.0</v>
      </c>
      <c r="F429" s="6">
        <v>29.0</v>
      </c>
      <c r="G429" s="6">
        <v>34.0</v>
      </c>
      <c r="H429" s="6">
        <v>11.0</v>
      </c>
      <c r="I429" s="6">
        <v>0.0</v>
      </c>
      <c r="J429" s="9">
        <v>45794.0</v>
      </c>
      <c r="K429" s="6">
        <v>7.0</v>
      </c>
      <c r="L429" s="5" t="s">
        <v>62</v>
      </c>
      <c r="M429" s="5">
        <v>0.0</v>
      </c>
    </row>
    <row r="430" ht="22.5" customHeight="1">
      <c r="A430" s="5" t="s">
        <v>1774</v>
      </c>
      <c r="B430" s="5" t="s">
        <v>170</v>
      </c>
      <c r="C430" s="6">
        <v>4.0</v>
      </c>
      <c r="D430" s="6">
        <v>8.0</v>
      </c>
      <c r="E430" s="6">
        <v>5.0</v>
      </c>
      <c r="F430" s="6">
        <v>41.0</v>
      </c>
      <c r="G430" s="6">
        <v>19.0</v>
      </c>
      <c r="H430" s="6">
        <v>20.0</v>
      </c>
      <c r="I430" s="6">
        <v>3.0</v>
      </c>
      <c r="J430" s="9">
        <v>45280.0</v>
      </c>
      <c r="K430" s="6">
        <v>3.0</v>
      </c>
      <c r="L430" s="5" t="s">
        <v>62</v>
      </c>
      <c r="M430" s="5">
        <v>0.0</v>
      </c>
    </row>
    <row r="431" ht="22.5" customHeight="1">
      <c r="A431" s="5" t="s">
        <v>1777</v>
      </c>
      <c r="B431" s="5" t="s">
        <v>65</v>
      </c>
      <c r="C431" s="6">
        <v>4.0</v>
      </c>
      <c r="D431" s="6">
        <v>16.0</v>
      </c>
      <c r="E431" s="6">
        <v>8.0</v>
      </c>
      <c r="F431" s="6">
        <v>55.0</v>
      </c>
      <c r="G431" s="6">
        <v>26.0</v>
      </c>
      <c r="H431" s="6">
        <v>10.0</v>
      </c>
      <c r="I431" s="6">
        <v>2.0</v>
      </c>
      <c r="J431" s="9">
        <v>45884.0</v>
      </c>
      <c r="K431" s="6">
        <v>8.0</v>
      </c>
      <c r="L431" s="5" t="s">
        <v>62</v>
      </c>
      <c r="M431" s="5">
        <v>0.0</v>
      </c>
    </row>
    <row r="432" ht="22.5" customHeight="1">
      <c r="A432" s="5" t="s">
        <v>1780</v>
      </c>
      <c r="B432" s="5" t="s">
        <v>65</v>
      </c>
      <c r="C432" s="6">
        <v>9.0</v>
      </c>
      <c r="D432" s="6">
        <v>50.0</v>
      </c>
      <c r="E432" s="6">
        <v>16.0</v>
      </c>
      <c r="F432" s="6">
        <v>43.0</v>
      </c>
      <c r="G432" s="6">
        <v>24.0</v>
      </c>
      <c r="H432" s="6">
        <v>10.0</v>
      </c>
      <c r="I432" s="6">
        <v>3.0</v>
      </c>
      <c r="J432" s="9">
        <v>45219.0</v>
      </c>
      <c r="K432" s="6">
        <v>4.0</v>
      </c>
      <c r="L432" s="5" t="s">
        <v>62</v>
      </c>
      <c r="M432" s="5">
        <v>0.0</v>
      </c>
    </row>
    <row r="433" ht="22.5" customHeight="1">
      <c r="A433" s="5" t="s">
        <v>1781</v>
      </c>
      <c r="B433" s="5" t="s">
        <v>170</v>
      </c>
      <c r="C433" s="6">
        <v>7.0</v>
      </c>
      <c r="D433" s="6">
        <v>21.0</v>
      </c>
      <c r="E433" s="6">
        <v>2.0</v>
      </c>
      <c r="F433" s="6">
        <v>42.0</v>
      </c>
      <c r="G433" s="6">
        <v>18.0</v>
      </c>
      <c r="H433" s="6">
        <v>1.0</v>
      </c>
      <c r="I433" s="6">
        <v>0.0</v>
      </c>
      <c r="J433" s="9">
        <v>44933.0</v>
      </c>
      <c r="K433" s="6">
        <v>2.0</v>
      </c>
      <c r="L433" s="5" t="s">
        <v>113</v>
      </c>
      <c r="M433" s="5">
        <v>1.0</v>
      </c>
    </row>
    <row r="434" ht="22.5" customHeight="1">
      <c r="A434" s="5" t="s">
        <v>1785</v>
      </c>
      <c r="B434" s="5" t="s">
        <v>170</v>
      </c>
      <c r="C434" s="6">
        <v>1.0</v>
      </c>
      <c r="D434" s="6">
        <v>5.0</v>
      </c>
      <c r="E434" s="6">
        <v>7.0</v>
      </c>
      <c r="F434" s="6">
        <v>53.0</v>
      </c>
      <c r="G434" s="6">
        <v>32.0</v>
      </c>
      <c r="H434" s="6">
        <v>8.0</v>
      </c>
      <c r="I434" s="6">
        <v>3.0</v>
      </c>
      <c r="J434" s="9">
        <v>45627.0</v>
      </c>
      <c r="K434" s="6">
        <v>4.0</v>
      </c>
      <c r="L434" s="10" t="s">
        <v>62</v>
      </c>
      <c r="M434" s="10">
        <v>0.0</v>
      </c>
    </row>
    <row r="435" ht="22.5" customHeight="1">
      <c r="A435" s="5" t="s">
        <v>1787</v>
      </c>
      <c r="B435" s="5" t="s">
        <v>44</v>
      </c>
      <c r="C435" s="6">
        <v>9.0</v>
      </c>
      <c r="D435" s="6">
        <v>40.0</v>
      </c>
      <c r="E435" s="6">
        <v>3.0</v>
      </c>
      <c r="F435" s="6">
        <v>58.0</v>
      </c>
      <c r="G435" s="6">
        <v>24.0</v>
      </c>
      <c r="H435" s="6">
        <v>1.0</v>
      </c>
      <c r="I435" s="6">
        <v>3.0</v>
      </c>
      <c r="J435" s="11"/>
      <c r="K435" s="6">
        <v>4.0</v>
      </c>
      <c r="L435" s="5" t="s">
        <v>113</v>
      </c>
      <c r="M435" s="5">
        <v>1.0</v>
      </c>
    </row>
    <row r="436" ht="22.5" customHeight="1">
      <c r="A436" s="5" t="s">
        <v>1791</v>
      </c>
      <c r="B436" s="5" t="s">
        <v>22</v>
      </c>
      <c r="C436" s="6">
        <v>6.0</v>
      </c>
      <c r="D436" s="6">
        <v>34.0</v>
      </c>
      <c r="E436" s="6">
        <v>2.0</v>
      </c>
      <c r="F436" s="6">
        <v>31.0</v>
      </c>
      <c r="G436" s="6">
        <v>23.0</v>
      </c>
      <c r="H436" s="6">
        <v>18.0</v>
      </c>
      <c r="I436" s="6">
        <v>5.0</v>
      </c>
      <c r="J436" s="9">
        <v>45325.0</v>
      </c>
      <c r="K436" s="6">
        <v>4.0</v>
      </c>
      <c r="L436" s="5" t="s">
        <v>62</v>
      </c>
      <c r="M436" s="5">
        <v>0.0</v>
      </c>
    </row>
    <row r="437" ht="22.5" customHeight="1">
      <c r="A437" s="5" t="s">
        <v>1794</v>
      </c>
      <c r="B437" s="5" t="s">
        <v>22</v>
      </c>
      <c r="C437" s="6">
        <v>5.0</v>
      </c>
      <c r="D437" s="6">
        <v>26.0</v>
      </c>
      <c r="E437" s="6">
        <v>11.0</v>
      </c>
      <c r="F437" s="6">
        <v>35.0</v>
      </c>
      <c r="G437" s="6">
        <v>27.0</v>
      </c>
      <c r="H437" s="6">
        <v>7.0</v>
      </c>
      <c r="I437" s="6">
        <v>4.0</v>
      </c>
      <c r="J437" s="9">
        <v>46123.0</v>
      </c>
      <c r="K437" s="6">
        <v>8.0</v>
      </c>
      <c r="L437" s="5" t="s">
        <v>62</v>
      </c>
      <c r="M437" s="5">
        <v>0.0</v>
      </c>
    </row>
    <row r="438" ht="22.5" customHeight="1">
      <c r="A438" s="5" t="s">
        <v>1796</v>
      </c>
      <c r="B438" s="5" t="s">
        <v>65</v>
      </c>
      <c r="C438" s="6">
        <v>6.0</v>
      </c>
      <c r="D438" s="6">
        <v>24.0</v>
      </c>
      <c r="E438" s="6">
        <v>7.0</v>
      </c>
      <c r="F438" s="6">
        <v>27.0</v>
      </c>
      <c r="G438" s="6">
        <v>31.0</v>
      </c>
      <c r="H438" s="8"/>
      <c r="I438" s="6">
        <v>5.0</v>
      </c>
      <c r="J438" s="9">
        <v>44976.0</v>
      </c>
      <c r="K438" s="6">
        <v>4.0</v>
      </c>
      <c r="L438" s="5" t="s">
        <v>113</v>
      </c>
      <c r="M438" s="5">
        <v>1.0</v>
      </c>
    </row>
    <row r="439" ht="22.5" customHeight="1">
      <c r="A439" s="5" t="s">
        <v>1799</v>
      </c>
      <c r="B439" s="5" t="s">
        <v>44</v>
      </c>
      <c r="C439" s="6">
        <v>8.0</v>
      </c>
      <c r="D439" s="6">
        <v>36.0</v>
      </c>
      <c r="E439" s="6">
        <v>2.0</v>
      </c>
      <c r="F439" s="6">
        <v>59.0</v>
      </c>
      <c r="G439" s="6">
        <v>17.0</v>
      </c>
      <c r="H439" s="6">
        <v>2.0</v>
      </c>
      <c r="I439" s="6">
        <v>3.0</v>
      </c>
      <c r="J439" s="9">
        <v>46085.0</v>
      </c>
      <c r="K439" s="6">
        <v>7.0</v>
      </c>
      <c r="L439" s="10" t="s">
        <v>62</v>
      </c>
      <c r="M439" s="10">
        <v>0.0</v>
      </c>
    </row>
    <row r="440" ht="22.5" customHeight="1">
      <c r="A440" s="5" t="s">
        <v>1801</v>
      </c>
      <c r="B440" s="5" t="s">
        <v>44</v>
      </c>
      <c r="C440" s="6">
        <v>7.0</v>
      </c>
      <c r="D440" s="6">
        <v>39.0</v>
      </c>
      <c r="E440" s="6">
        <v>5.0</v>
      </c>
      <c r="F440" s="6">
        <v>45.0</v>
      </c>
      <c r="G440" s="6">
        <v>32.0</v>
      </c>
      <c r="H440" s="6">
        <v>17.0</v>
      </c>
      <c r="I440" s="6">
        <v>5.0</v>
      </c>
      <c r="J440" s="9">
        <v>46012.0</v>
      </c>
      <c r="K440" s="6">
        <v>9.0</v>
      </c>
      <c r="L440" s="10" t="s">
        <v>62</v>
      </c>
      <c r="M440" s="10">
        <v>0.0</v>
      </c>
    </row>
    <row r="441" ht="22.5" customHeight="1">
      <c r="A441" s="5" t="s">
        <v>1803</v>
      </c>
      <c r="B441" s="5" t="s">
        <v>65</v>
      </c>
      <c r="C441" s="6">
        <v>4.0</v>
      </c>
      <c r="D441" s="6">
        <v>13.0</v>
      </c>
      <c r="E441" s="6">
        <v>3.0</v>
      </c>
      <c r="F441" s="6">
        <v>41.0</v>
      </c>
      <c r="G441" s="6">
        <v>37.0</v>
      </c>
      <c r="H441" s="6">
        <v>7.0</v>
      </c>
      <c r="I441" s="6">
        <v>1.0</v>
      </c>
      <c r="J441" s="9">
        <v>44791.0</v>
      </c>
      <c r="K441" s="6">
        <v>3.0</v>
      </c>
      <c r="L441" s="5" t="s">
        <v>113</v>
      </c>
      <c r="M441" s="5">
        <v>1.0</v>
      </c>
    </row>
    <row r="442" ht="22.5" customHeight="1">
      <c r="A442" s="5" t="s">
        <v>1805</v>
      </c>
      <c r="B442" s="5" t="s">
        <v>22</v>
      </c>
      <c r="C442" s="6">
        <v>5.0</v>
      </c>
      <c r="D442" s="6">
        <v>15.0</v>
      </c>
      <c r="E442" s="6">
        <v>6.0</v>
      </c>
      <c r="F442" s="6">
        <v>7.0</v>
      </c>
      <c r="G442" s="6">
        <v>14.0</v>
      </c>
      <c r="H442" s="6">
        <v>4.0</v>
      </c>
      <c r="I442" s="6">
        <v>2.0</v>
      </c>
      <c r="J442" s="9">
        <v>44920.0</v>
      </c>
      <c r="K442" s="6">
        <v>3.0</v>
      </c>
      <c r="L442" s="5" t="s">
        <v>113</v>
      </c>
      <c r="M442" s="5">
        <v>1.0</v>
      </c>
    </row>
    <row r="443" ht="22.5" customHeight="1">
      <c r="A443" s="5" t="s">
        <v>1808</v>
      </c>
      <c r="B443" s="5" t="s">
        <v>170</v>
      </c>
      <c r="C443" s="6">
        <v>3.0</v>
      </c>
      <c r="D443" s="6">
        <v>5.0</v>
      </c>
      <c r="E443" s="6">
        <v>9.0</v>
      </c>
      <c r="F443" s="6">
        <v>60.0</v>
      </c>
      <c r="G443" s="6">
        <v>27.0</v>
      </c>
      <c r="H443" s="6">
        <v>9.0</v>
      </c>
      <c r="I443" s="6">
        <v>0.0</v>
      </c>
      <c r="J443" s="9">
        <v>44576.0</v>
      </c>
      <c r="K443" s="6">
        <v>4.0</v>
      </c>
      <c r="L443" s="5" t="s">
        <v>113</v>
      </c>
      <c r="M443" s="5">
        <v>1.0</v>
      </c>
    </row>
    <row r="444" ht="22.5" customHeight="1">
      <c r="A444" s="5" t="s">
        <v>1812</v>
      </c>
      <c r="B444" s="5" t="s">
        <v>65</v>
      </c>
      <c r="C444" s="6">
        <v>5.0</v>
      </c>
      <c r="D444" s="6">
        <v>26.0</v>
      </c>
      <c r="E444" s="6">
        <v>9.0</v>
      </c>
      <c r="F444" s="6">
        <v>23.0</v>
      </c>
      <c r="G444" s="6">
        <v>23.0</v>
      </c>
      <c r="H444" s="6">
        <v>15.0</v>
      </c>
      <c r="I444" s="6">
        <v>0.0</v>
      </c>
      <c r="J444" s="9">
        <v>45770.0</v>
      </c>
      <c r="K444" s="6">
        <v>8.0</v>
      </c>
      <c r="L444" s="5" t="s">
        <v>62</v>
      </c>
      <c r="M444" s="5">
        <v>0.0</v>
      </c>
    </row>
    <row r="445" ht="22.5" customHeight="1">
      <c r="A445" s="5" t="s">
        <v>1814</v>
      </c>
      <c r="B445" s="5" t="s">
        <v>84</v>
      </c>
      <c r="C445" s="6">
        <v>2.0</v>
      </c>
      <c r="D445" s="6">
        <v>10.0</v>
      </c>
      <c r="E445" s="6">
        <v>5.0</v>
      </c>
      <c r="F445" s="6">
        <v>34.0</v>
      </c>
      <c r="G445" s="6">
        <v>31.0</v>
      </c>
      <c r="H445" s="6">
        <v>12.0</v>
      </c>
      <c r="I445" s="6">
        <v>4.0</v>
      </c>
      <c r="J445" s="9">
        <v>45670.0</v>
      </c>
      <c r="K445" s="6">
        <v>8.0</v>
      </c>
      <c r="L445" s="5" t="s">
        <v>62</v>
      </c>
      <c r="M445" s="5">
        <v>0.0</v>
      </c>
    </row>
    <row r="446" ht="22.5" customHeight="1">
      <c r="A446" s="5" t="s">
        <v>1817</v>
      </c>
      <c r="B446" s="5" t="s">
        <v>84</v>
      </c>
      <c r="C446" s="6">
        <v>10.0</v>
      </c>
      <c r="D446" s="6">
        <v>20.0</v>
      </c>
      <c r="E446" s="6">
        <v>11.0</v>
      </c>
      <c r="F446" s="6">
        <v>57.0</v>
      </c>
      <c r="G446" s="6">
        <v>15.0</v>
      </c>
      <c r="H446" s="6">
        <v>3.0</v>
      </c>
      <c r="I446" s="6">
        <v>4.0</v>
      </c>
      <c r="J446" s="9">
        <v>44646.0</v>
      </c>
      <c r="K446" s="6">
        <v>2.0</v>
      </c>
      <c r="L446" s="5" t="s">
        <v>113</v>
      </c>
      <c r="M446" s="5">
        <v>1.0</v>
      </c>
    </row>
    <row r="447" ht="22.5" customHeight="1">
      <c r="A447" s="5" t="s">
        <v>1819</v>
      </c>
      <c r="B447" s="5" t="s">
        <v>44</v>
      </c>
      <c r="C447" s="6">
        <v>4.0</v>
      </c>
      <c r="D447" s="6">
        <v>16.0</v>
      </c>
      <c r="E447" s="6">
        <v>14.0</v>
      </c>
      <c r="F447" s="6">
        <v>51.0</v>
      </c>
      <c r="G447" s="6">
        <v>38.0</v>
      </c>
      <c r="H447" s="6">
        <v>16.0</v>
      </c>
      <c r="I447" s="6">
        <v>2.0</v>
      </c>
      <c r="J447" s="9">
        <v>44814.0</v>
      </c>
      <c r="K447" s="6">
        <v>3.0</v>
      </c>
      <c r="L447" s="5" t="s">
        <v>113</v>
      </c>
      <c r="M447" s="5">
        <v>1.0</v>
      </c>
    </row>
    <row r="448" ht="22.5" customHeight="1">
      <c r="A448" s="5" t="s">
        <v>1822</v>
      </c>
      <c r="B448" s="5" t="s">
        <v>22</v>
      </c>
      <c r="C448" s="6">
        <v>2.0</v>
      </c>
      <c r="D448" s="6">
        <v>7.0</v>
      </c>
      <c r="E448" s="6">
        <v>10.0</v>
      </c>
      <c r="F448" s="6">
        <v>22.0</v>
      </c>
      <c r="G448" s="6">
        <v>12.0</v>
      </c>
      <c r="H448" s="6">
        <v>6.0</v>
      </c>
      <c r="I448" s="6">
        <v>5.0</v>
      </c>
      <c r="J448" s="9">
        <v>45573.0</v>
      </c>
      <c r="K448" s="6">
        <v>6.0</v>
      </c>
      <c r="L448" s="5" t="s">
        <v>62</v>
      </c>
      <c r="M448" s="5">
        <v>0.0</v>
      </c>
    </row>
    <row r="449" ht="22.5" customHeight="1">
      <c r="A449" s="5" t="s">
        <v>1825</v>
      </c>
      <c r="B449" s="5" t="s">
        <v>84</v>
      </c>
      <c r="C449" s="6">
        <v>6.0</v>
      </c>
      <c r="D449" s="6">
        <v>12.0</v>
      </c>
      <c r="E449" s="6">
        <v>4.0</v>
      </c>
      <c r="F449" s="6">
        <v>47.0</v>
      </c>
      <c r="G449" s="6">
        <v>23.0</v>
      </c>
      <c r="H449" s="6">
        <v>20.0</v>
      </c>
      <c r="I449" s="6">
        <v>2.0</v>
      </c>
      <c r="J449" s="9">
        <v>44988.0</v>
      </c>
      <c r="K449" s="6">
        <v>2.0</v>
      </c>
      <c r="L449" s="5" t="s">
        <v>113</v>
      </c>
      <c r="M449" s="5">
        <v>1.0</v>
      </c>
    </row>
    <row r="450" ht="22.5" customHeight="1">
      <c r="A450" s="5" t="s">
        <v>1828</v>
      </c>
      <c r="B450" s="5" t="s">
        <v>84</v>
      </c>
      <c r="C450" s="6">
        <v>7.0</v>
      </c>
      <c r="D450" s="6">
        <v>17.0</v>
      </c>
      <c r="E450" s="6">
        <v>15.0</v>
      </c>
      <c r="F450" s="6">
        <v>20.0</v>
      </c>
      <c r="G450" s="6">
        <v>20.0</v>
      </c>
      <c r="H450" s="6">
        <v>16.0</v>
      </c>
      <c r="I450" s="6">
        <v>1.0</v>
      </c>
      <c r="J450" s="9">
        <v>46135.0</v>
      </c>
      <c r="K450" s="6">
        <v>8.0</v>
      </c>
      <c r="L450" s="5" t="s">
        <v>62</v>
      </c>
      <c r="M450" s="5">
        <v>0.0</v>
      </c>
    </row>
    <row r="451" ht="22.5" customHeight="1">
      <c r="A451" s="5" t="s">
        <v>1831</v>
      </c>
      <c r="B451" s="5" t="s">
        <v>170</v>
      </c>
      <c r="C451" s="6">
        <v>6.0</v>
      </c>
      <c r="D451" s="6">
        <v>11.0</v>
      </c>
      <c r="E451" s="6">
        <v>5.0</v>
      </c>
      <c r="F451" s="6">
        <v>30.0</v>
      </c>
      <c r="G451" s="6">
        <v>18.0</v>
      </c>
      <c r="H451" s="6">
        <v>19.0</v>
      </c>
      <c r="I451" s="6">
        <v>1.0</v>
      </c>
      <c r="J451" s="9">
        <v>45281.0</v>
      </c>
      <c r="K451" s="6">
        <v>1.0</v>
      </c>
      <c r="L451" s="5" t="s">
        <v>62</v>
      </c>
      <c r="M451" s="5">
        <v>0.0</v>
      </c>
    </row>
    <row r="452" ht="22.5" customHeight="1">
      <c r="A452" s="5" t="s">
        <v>1833</v>
      </c>
      <c r="B452" s="5" t="s">
        <v>22</v>
      </c>
      <c r="C452" s="6">
        <v>9.0</v>
      </c>
      <c r="D452" s="6">
        <v>38.0</v>
      </c>
      <c r="E452" s="6">
        <v>9.0</v>
      </c>
      <c r="F452" s="6">
        <v>45.0</v>
      </c>
      <c r="G452" s="6">
        <v>27.0</v>
      </c>
      <c r="H452" s="6">
        <v>18.0</v>
      </c>
      <c r="I452" s="6">
        <v>4.0</v>
      </c>
      <c r="J452" s="11"/>
      <c r="K452" s="6">
        <v>3.0</v>
      </c>
      <c r="L452" s="5" t="s">
        <v>113</v>
      </c>
      <c r="M452" s="5">
        <v>1.0</v>
      </c>
    </row>
    <row r="453" ht="22.5" customHeight="1">
      <c r="A453" s="5" t="s">
        <v>1834</v>
      </c>
      <c r="B453" s="5" t="s">
        <v>22</v>
      </c>
      <c r="C453" s="6">
        <v>6.0</v>
      </c>
      <c r="D453" s="6">
        <v>29.0</v>
      </c>
      <c r="E453" s="6">
        <v>4.0</v>
      </c>
      <c r="F453" s="6">
        <v>25.0</v>
      </c>
      <c r="G453" s="6">
        <v>26.0</v>
      </c>
      <c r="H453" s="6">
        <v>13.0</v>
      </c>
      <c r="I453" s="6">
        <v>2.0</v>
      </c>
      <c r="J453" s="9">
        <v>45974.0</v>
      </c>
      <c r="K453" s="6">
        <v>9.0</v>
      </c>
      <c r="L453" s="5" t="s">
        <v>62</v>
      </c>
      <c r="M453" s="5">
        <v>0.0</v>
      </c>
    </row>
    <row r="454" ht="22.5" customHeight="1">
      <c r="A454" s="5" t="s">
        <v>1838</v>
      </c>
      <c r="B454" s="5" t="s">
        <v>65</v>
      </c>
      <c r="C454" s="6">
        <v>8.0</v>
      </c>
      <c r="D454" s="6">
        <v>13.0</v>
      </c>
      <c r="E454" s="6">
        <v>11.0</v>
      </c>
      <c r="F454" s="6">
        <v>10.0</v>
      </c>
      <c r="G454" s="6">
        <v>25.0</v>
      </c>
      <c r="H454" s="6">
        <v>2.0</v>
      </c>
      <c r="I454" s="6">
        <v>1.0</v>
      </c>
      <c r="J454" s="9">
        <v>45676.0</v>
      </c>
      <c r="K454" s="6">
        <v>6.0</v>
      </c>
      <c r="L454" s="5" t="s">
        <v>62</v>
      </c>
      <c r="M454" s="5">
        <v>0.0</v>
      </c>
    </row>
    <row r="455" ht="22.5" customHeight="1">
      <c r="A455" s="5" t="s">
        <v>1840</v>
      </c>
      <c r="B455" s="5" t="s">
        <v>65</v>
      </c>
      <c r="C455" s="6">
        <v>5.0</v>
      </c>
      <c r="D455" s="6">
        <v>22.0</v>
      </c>
      <c r="E455" s="6">
        <v>3.0</v>
      </c>
      <c r="F455" s="6">
        <v>14.0</v>
      </c>
      <c r="G455" s="6">
        <v>32.0</v>
      </c>
      <c r="H455" s="6">
        <v>15.0</v>
      </c>
      <c r="I455" s="6">
        <v>3.0</v>
      </c>
      <c r="J455" s="9">
        <v>45781.0</v>
      </c>
      <c r="K455" s="6">
        <v>7.0</v>
      </c>
      <c r="L455" s="5" t="s">
        <v>62</v>
      </c>
      <c r="M455" s="5">
        <v>0.0</v>
      </c>
    </row>
    <row r="456" ht="22.5" customHeight="1">
      <c r="A456" s="5" t="s">
        <v>1843</v>
      </c>
      <c r="B456" s="5" t="s">
        <v>84</v>
      </c>
      <c r="C456" s="6">
        <v>2.0</v>
      </c>
      <c r="D456" s="6">
        <v>8.0</v>
      </c>
      <c r="E456" s="6">
        <v>6.0</v>
      </c>
      <c r="F456" s="6">
        <v>29.0</v>
      </c>
      <c r="G456" s="6">
        <v>22.0</v>
      </c>
      <c r="H456" s="6">
        <v>3.0</v>
      </c>
      <c r="I456" s="6">
        <v>5.0</v>
      </c>
      <c r="J456" s="9">
        <v>44484.0</v>
      </c>
      <c r="K456" s="6">
        <v>1.0</v>
      </c>
      <c r="L456" s="5" t="s">
        <v>113</v>
      </c>
      <c r="M456" s="5">
        <v>1.0</v>
      </c>
    </row>
    <row r="457" ht="22.5" customHeight="1">
      <c r="A457" s="5" t="s">
        <v>1846</v>
      </c>
      <c r="B457" s="5" t="s">
        <v>44</v>
      </c>
      <c r="C457" s="6">
        <v>6.0</v>
      </c>
      <c r="D457" s="6">
        <v>12.0</v>
      </c>
      <c r="E457" s="6">
        <v>9.0</v>
      </c>
      <c r="F457" s="6">
        <v>37.0</v>
      </c>
      <c r="G457" s="6">
        <v>28.0</v>
      </c>
      <c r="H457" s="6">
        <v>13.0</v>
      </c>
      <c r="I457" s="6">
        <v>2.0</v>
      </c>
      <c r="J457" s="11"/>
      <c r="K457" s="6">
        <v>2.0</v>
      </c>
      <c r="L457" s="5" t="s">
        <v>113</v>
      </c>
      <c r="M457" s="5">
        <v>1.0</v>
      </c>
    </row>
    <row r="458" ht="22.5" customHeight="1">
      <c r="A458" s="5" t="s">
        <v>1848</v>
      </c>
      <c r="B458" s="5" t="s">
        <v>22</v>
      </c>
      <c r="C458" s="6">
        <v>5.0</v>
      </c>
      <c r="D458" s="6">
        <v>11.0</v>
      </c>
      <c r="E458" s="6">
        <v>17.0</v>
      </c>
      <c r="F458" s="6">
        <v>29.0</v>
      </c>
      <c r="G458" s="6">
        <v>21.0</v>
      </c>
      <c r="H458" s="8"/>
      <c r="I458" s="6">
        <v>1.0</v>
      </c>
      <c r="J458" s="9">
        <v>46145.0</v>
      </c>
      <c r="K458" s="6">
        <v>7.0</v>
      </c>
      <c r="L458" s="5" t="s">
        <v>62</v>
      </c>
      <c r="M458" s="5">
        <v>0.0</v>
      </c>
    </row>
    <row r="459" ht="22.5" customHeight="1">
      <c r="A459" s="5" t="s">
        <v>1851</v>
      </c>
      <c r="B459" s="5" t="s">
        <v>22</v>
      </c>
      <c r="C459" s="6">
        <v>4.0</v>
      </c>
      <c r="D459" s="6">
        <v>16.0</v>
      </c>
      <c r="E459" s="6">
        <v>7.0</v>
      </c>
      <c r="F459" s="6">
        <v>57.0</v>
      </c>
      <c r="G459" s="6">
        <v>18.0</v>
      </c>
      <c r="H459" s="6">
        <v>5.0</v>
      </c>
      <c r="I459" s="6">
        <v>1.0</v>
      </c>
      <c r="J459" s="9">
        <v>44929.0</v>
      </c>
      <c r="K459" s="6">
        <v>4.0</v>
      </c>
      <c r="L459" s="5" t="s">
        <v>113</v>
      </c>
      <c r="M459" s="5">
        <v>1.0</v>
      </c>
    </row>
    <row r="460" ht="22.5" customHeight="1">
      <c r="A460" s="5" t="s">
        <v>1852</v>
      </c>
      <c r="B460" s="5" t="s">
        <v>44</v>
      </c>
      <c r="C460" s="6">
        <v>3.0</v>
      </c>
      <c r="D460" s="6">
        <v>9.0</v>
      </c>
      <c r="E460" s="6">
        <v>5.0</v>
      </c>
      <c r="F460" s="6">
        <v>28.0</v>
      </c>
      <c r="G460" s="6">
        <v>23.0</v>
      </c>
      <c r="H460" s="6">
        <v>9.0</v>
      </c>
      <c r="I460" s="6">
        <v>5.0</v>
      </c>
      <c r="J460" s="9">
        <v>46073.0</v>
      </c>
      <c r="K460" s="6">
        <v>6.0</v>
      </c>
      <c r="L460" s="5" t="s">
        <v>62</v>
      </c>
      <c r="M460" s="5">
        <v>0.0</v>
      </c>
    </row>
    <row r="461" ht="22.5" customHeight="1">
      <c r="A461" s="5" t="s">
        <v>1855</v>
      </c>
      <c r="B461" s="5" t="s">
        <v>22</v>
      </c>
      <c r="C461" s="6">
        <v>13.0</v>
      </c>
      <c r="D461" s="6">
        <v>74.0</v>
      </c>
      <c r="E461" s="6">
        <v>5.0</v>
      </c>
      <c r="F461" s="6">
        <v>10.0</v>
      </c>
      <c r="G461" s="6">
        <v>21.0</v>
      </c>
      <c r="H461" s="6">
        <v>16.0</v>
      </c>
      <c r="I461" s="6">
        <v>4.0</v>
      </c>
      <c r="J461" s="9">
        <v>46202.0</v>
      </c>
      <c r="K461" s="6">
        <v>6.0</v>
      </c>
      <c r="L461" s="10" t="s">
        <v>62</v>
      </c>
      <c r="M461" s="10">
        <v>0.0</v>
      </c>
    </row>
    <row r="462" ht="22.5" customHeight="1">
      <c r="A462" s="5" t="s">
        <v>1858</v>
      </c>
      <c r="B462" s="5" t="s">
        <v>44</v>
      </c>
      <c r="C462" s="6">
        <v>6.0</v>
      </c>
      <c r="D462" s="6">
        <v>31.0</v>
      </c>
      <c r="E462" s="6">
        <v>11.0</v>
      </c>
      <c r="F462" s="6">
        <v>18.0</v>
      </c>
      <c r="G462" s="6">
        <v>21.0</v>
      </c>
      <c r="H462" s="8"/>
      <c r="I462" s="6">
        <v>0.0</v>
      </c>
      <c r="J462" s="9">
        <v>46031.0</v>
      </c>
      <c r="K462" s="6">
        <v>8.0</v>
      </c>
      <c r="L462" s="5" t="s">
        <v>62</v>
      </c>
      <c r="M462" s="5">
        <v>0.0</v>
      </c>
    </row>
    <row r="463" ht="22.5" customHeight="1">
      <c r="A463" s="5" t="s">
        <v>1861</v>
      </c>
      <c r="B463" s="5" t="s">
        <v>170</v>
      </c>
      <c r="C463" s="6">
        <v>11.0</v>
      </c>
      <c r="D463" s="6">
        <v>65.0</v>
      </c>
      <c r="E463" s="6">
        <v>8.0</v>
      </c>
      <c r="F463" s="6">
        <v>22.0</v>
      </c>
      <c r="G463" s="6">
        <v>34.0</v>
      </c>
      <c r="H463" s="6">
        <v>11.0</v>
      </c>
      <c r="I463" s="6">
        <v>3.0</v>
      </c>
      <c r="J463" s="9">
        <v>44893.0</v>
      </c>
      <c r="K463" s="6">
        <v>2.0</v>
      </c>
      <c r="L463" s="5" t="s">
        <v>113</v>
      </c>
      <c r="M463" s="5">
        <v>1.0</v>
      </c>
    </row>
    <row r="464" ht="22.5" customHeight="1">
      <c r="A464" s="5" t="s">
        <v>1864</v>
      </c>
      <c r="B464" s="5" t="s">
        <v>44</v>
      </c>
      <c r="C464" s="6">
        <v>7.0</v>
      </c>
      <c r="D464" s="6">
        <v>19.0</v>
      </c>
      <c r="E464" s="6">
        <v>9.0</v>
      </c>
      <c r="F464" s="6">
        <v>34.0</v>
      </c>
      <c r="G464" s="6">
        <v>23.0</v>
      </c>
      <c r="H464" s="6">
        <v>18.0</v>
      </c>
      <c r="I464" s="6">
        <v>0.0</v>
      </c>
      <c r="J464" s="9">
        <v>46051.0</v>
      </c>
      <c r="K464" s="6">
        <v>9.0</v>
      </c>
      <c r="L464" s="5" t="s">
        <v>62</v>
      </c>
      <c r="M464" s="5">
        <v>0.0</v>
      </c>
    </row>
    <row r="465" ht="22.5" customHeight="1">
      <c r="A465" s="5" t="s">
        <v>1866</v>
      </c>
      <c r="B465" s="5" t="s">
        <v>170</v>
      </c>
      <c r="C465" s="6">
        <v>2.0</v>
      </c>
      <c r="D465" s="6">
        <v>12.0</v>
      </c>
      <c r="E465" s="6">
        <v>15.0</v>
      </c>
      <c r="F465" s="6">
        <v>13.0</v>
      </c>
      <c r="G465" s="6">
        <v>20.0</v>
      </c>
      <c r="H465" s="6">
        <v>4.0</v>
      </c>
      <c r="I465" s="6">
        <v>2.0</v>
      </c>
      <c r="J465" s="9">
        <v>46102.0</v>
      </c>
      <c r="K465" s="6">
        <v>7.0</v>
      </c>
      <c r="L465" s="5" t="s">
        <v>62</v>
      </c>
      <c r="M465" s="5">
        <v>0.0</v>
      </c>
    </row>
    <row r="466" ht="22.5" customHeight="1">
      <c r="A466" s="5" t="s">
        <v>1869</v>
      </c>
      <c r="B466" s="5" t="s">
        <v>44</v>
      </c>
      <c r="C466" s="6">
        <v>7.0</v>
      </c>
      <c r="D466" s="6">
        <v>24.0</v>
      </c>
      <c r="E466" s="6">
        <v>6.0</v>
      </c>
      <c r="F466" s="6">
        <v>36.0</v>
      </c>
      <c r="G466" s="6">
        <v>25.0</v>
      </c>
      <c r="H466" s="6">
        <v>11.0</v>
      </c>
      <c r="I466" s="6">
        <v>0.0</v>
      </c>
      <c r="J466" s="9">
        <v>45832.0</v>
      </c>
      <c r="K466" s="6">
        <v>5.0</v>
      </c>
      <c r="L466" s="5" t="s">
        <v>62</v>
      </c>
      <c r="M466" s="5">
        <v>0.0</v>
      </c>
    </row>
    <row r="467" ht="22.5" customHeight="1">
      <c r="A467" s="5" t="s">
        <v>1870</v>
      </c>
      <c r="B467" s="5" t="s">
        <v>84</v>
      </c>
      <c r="C467" s="6">
        <v>3.0</v>
      </c>
      <c r="D467" s="6">
        <v>9.0</v>
      </c>
      <c r="E467" s="6">
        <v>8.0</v>
      </c>
      <c r="F467" s="6">
        <v>19.0</v>
      </c>
      <c r="G467" s="6">
        <v>26.0</v>
      </c>
      <c r="H467" s="6">
        <v>5.0</v>
      </c>
      <c r="I467" s="6">
        <v>3.0</v>
      </c>
      <c r="J467" s="11"/>
      <c r="K467" s="6">
        <v>4.0</v>
      </c>
      <c r="L467" s="5" t="s">
        <v>113</v>
      </c>
      <c r="M467" s="5">
        <v>1.0</v>
      </c>
    </row>
    <row r="468" ht="22.5" customHeight="1">
      <c r="A468" s="5" t="s">
        <v>1874</v>
      </c>
      <c r="B468" s="5" t="s">
        <v>44</v>
      </c>
      <c r="C468" s="6">
        <v>5.0</v>
      </c>
      <c r="D468" s="6">
        <v>9.0</v>
      </c>
      <c r="E468" s="6">
        <v>5.0</v>
      </c>
      <c r="F468" s="6">
        <v>42.0</v>
      </c>
      <c r="G468" s="6">
        <v>16.0</v>
      </c>
      <c r="H468" s="6">
        <v>15.0</v>
      </c>
      <c r="I468" s="6">
        <v>1.0</v>
      </c>
      <c r="J468" s="9">
        <v>45636.0</v>
      </c>
      <c r="K468" s="6">
        <v>6.0</v>
      </c>
      <c r="L468" s="5" t="s">
        <v>62</v>
      </c>
      <c r="M468" s="5">
        <v>0.0</v>
      </c>
    </row>
    <row r="469" ht="22.5" customHeight="1">
      <c r="A469" s="5" t="s">
        <v>1878</v>
      </c>
      <c r="B469" s="5" t="s">
        <v>170</v>
      </c>
      <c r="C469" s="6">
        <v>6.0</v>
      </c>
      <c r="D469" s="6">
        <v>10.0</v>
      </c>
      <c r="E469" s="6">
        <v>4.0</v>
      </c>
      <c r="F469" s="6">
        <v>48.0</v>
      </c>
      <c r="G469" s="6">
        <v>23.0</v>
      </c>
      <c r="H469" s="6">
        <v>20.0</v>
      </c>
      <c r="I469" s="6">
        <v>0.0</v>
      </c>
      <c r="J469" s="9">
        <v>45510.0</v>
      </c>
      <c r="K469" s="6">
        <v>4.0</v>
      </c>
      <c r="L469" s="5" t="s">
        <v>62</v>
      </c>
      <c r="M469" s="5">
        <v>0.0</v>
      </c>
    </row>
    <row r="470" ht="22.5" customHeight="1">
      <c r="A470" s="5" t="s">
        <v>1880</v>
      </c>
      <c r="B470" s="5" t="s">
        <v>84</v>
      </c>
      <c r="C470" s="6">
        <v>9.0</v>
      </c>
      <c r="D470" s="6">
        <v>42.0</v>
      </c>
      <c r="E470" s="6">
        <v>4.0</v>
      </c>
      <c r="F470" s="6">
        <v>38.0</v>
      </c>
      <c r="G470" s="6">
        <v>22.0</v>
      </c>
      <c r="H470" s="6">
        <v>13.0</v>
      </c>
      <c r="I470" s="6">
        <v>1.0</v>
      </c>
      <c r="J470" s="9">
        <v>45727.0</v>
      </c>
      <c r="K470" s="6">
        <v>8.0</v>
      </c>
      <c r="L470" s="5" t="s">
        <v>62</v>
      </c>
      <c r="M470" s="5">
        <v>0.0</v>
      </c>
    </row>
    <row r="471" ht="22.5" customHeight="1">
      <c r="A471" s="5" t="s">
        <v>1882</v>
      </c>
      <c r="B471" s="5" t="s">
        <v>44</v>
      </c>
      <c r="C471" s="6">
        <v>5.0</v>
      </c>
      <c r="D471" s="6">
        <v>18.0</v>
      </c>
      <c r="E471" s="6">
        <v>1.0</v>
      </c>
      <c r="F471" s="6">
        <v>56.0</v>
      </c>
      <c r="G471" s="6">
        <v>24.0</v>
      </c>
      <c r="H471" s="6">
        <v>2.0</v>
      </c>
      <c r="I471" s="6">
        <v>4.0</v>
      </c>
      <c r="J471" s="9">
        <v>44540.0</v>
      </c>
      <c r="K471" s="6">
        <v>4.0</v>
      </c>
      <c r="L471" s="5" t="s">
        <v>113</v>
      </c>
      <c r="M471" s="5">
        <v>1.0</v>
      </c>
    </row>
    <row r="472" ht="22.5" customHeight="1">
      <c r="A472" s="5" t="s">
        <v>1884</v>
      </c>
      <c r="B472" s="5" t="s">
        <v>84</v>
      </c>
      <c r="C472" s="6">
        <v>3.0</v>
      </c>
      <c r="D472" s="6">
        <v>8.0</v>
      </c>
      <c r="E472" s="6">
        <v>9.0</v>
      </c>
      <c r="F472" s="6">
        <v>50.0</v>
      </c>
      <c r="G472" s="6">
        <v>31.0</v>
      </c>
      <c r="H472" s="6">
        <v>9.0</v>
      </c>
      <c r="I472" s="6">
        <v>5.0</v>
      </c>
      <c r="J472" s="9">
        <v>44633.0</v>
      </c>
      <c r="K472" s="6">
        <v>4.0</v>
      </c>
      <c r="L472" s="5" t="s">
        <v>113</v>
      </c>
      <c r="M472" s="5">
        <v>1.0</v>
      </c>
    </row>
    <row r="473" ht="22.5" customHeight="1">
      <c r="A473" s="5" t="s">
        <v>1887</v>
      </c>
      <c r="B473" s="5" t="s">
        <v>65</v>
      </c>
      <c r="C473" s="6">
        <v>2.0</v>
      </c>
      <c r="D473" s="6">
        <v>9.0</v>
      </c>
      <c r="E473" s="6">
        <v>8.0</v>
      </c>
      <c r="F473" s="6">
        <v>11.0</v>
      </c>
      <c r="G473" s="6">
        <v>26.0</v>
      </c>
      <c r="H473" s="6">
        <v>12.0</v>
      </c>
      <c r="I473" s="6">
        <v>1.0</v>
      </c>
      <c r="J473" s="9">
        <v>46095.0</v>
      </c>
      <c r="K473" s="6">
        <v>8.0</v>
      </c>
      <c r="L473" s="5" t="s">
        <v>62</v>
      </c>
      <c r="M473" s="5">
        <v>0.0</v>
      </c>
    </row>
    <row r="474" ht="22.5" customHeight="1">
      <c r="A474" s="5" t="s">
        <v>1889</v>
      </c>
      <c r="B474" s="5" t="s">
        <v>65</v>
      </c>
      <c r="C474" s="6">
        <v>9.0</v>
      </c>
      <c r="D474" s="6">
        <v>24.0</v>
      </c>
      <c r="E474" s="6">
        <v>9.0</v>
      </c>
      <c r="F474" s="6">
        <v>57.0</v>
      </c>
      <c r="G474" s="6">
        <v>35.0</v>
      </c>
      <c r="H474" s="6">
        <v>19.0</v>
      </c>
      <c r="I474" s="6">
        <v>4.0</v>
      </c>
      <c r="J474" s="9">
        <v>45430.0</v>
      </c>
      <c r="K474" s="6">
        <v>3.0</v>
      </c>
      <c r="L474" s="5" t="s">
        <v>62</v>
      </c>
      <c r="M474" s="5">
        <v>0.0</v>
      </c>
    </row>
    <row r="475" ht="22.5" customHeight="1">
      <c r="A475" s="5" t="s">
        <v>1892</v>
      </c>
      <c r="B475" s="5" t="s">
        <v>84</v>
      </c>
      <c r="C475" s="6">
        <v>9.0</v>
      </c>
      <c r="D475" s="6">
        <v>37.0</v>
      </c>
      <c r="E475" s="6">
        <v>3.0</v>
      </c>
      <c r="F475" s="6">
        <v>58.0</v>
      </c>
      <c r="G475" s="6">
        <v>25.0</v>
      </c>
      <c r="H475" s="6">
        <v>13.0</v>
      </c>
      <c r="I475" s="6">
        <v>5.0</v>
      </c>
      <c r="J475" s="9">
        <v>45882.0</v>
      </c>
      <c r="K475" s="6">
        <v>7.0</v>
      </c>
      <c r="L475" s="5" t="s">
        <v>62</v>
      </c>
      <c r="M475" s="5">
        <v>0.0</v>
      </c>
    </row>
    <row r="476" ht="22.5" customHeight="1">
      <c r="A476" s="5" t="s">
        <v>1895</v>
      </c>
      <c r="B476" s="5" t="s">
        <v>65</v>
      </c>
      <c r="C476" s="6">
        <v>5.0</v>
      </c>
      <c r="D476" s="6">
        <v>16.0</v>
      </c>
      <c r="E476" s="6">
        <v>4.0</v>
      </c>
      <c r="F476" s="6">
        <v>57.0</v>
      </c>
      <c r="G476" s="6">
        <v>39.0</v>
      </c>
      <c r="H476" s="6">
        <v>19.0</v>
      </c>
      <c r="I476" s="6">
        <v>4.0</v>
      </c>
      <c r="J476" s="9">
        <v>45146.0</v>
      </c>
      <c r="K476" s="6">
        <v>3.0</v>
      </c>
      <c r="L476" s="5" t="s">
        <v>113</v>
      </c>
      <c r="M476" s="5">
        <v>1.0</v>
      </c>
    </row>
    <row r="477" ht="22.5" customHeight="1">
      <c r="A477" s="5" t="s">
        <v>1897</v>
      </c>
      <c r="B477" s="5" t="s">
        <v>84</v>
      </c>
      <c r="C477" s="6">
        <v>2.0</v>
      </c>
      <c r="D477" s="6">
        <v>10.0</v>
      </c>
      <c r="E477" s="6">
        <v>4.0</v>
      </c>
      <c r="F477" s="6">
        <v>52.0</v>
      </c>
      <c r="G477" s="6">
        <v>21.0</v>
      </c>
      <c r="H477" s="6">
        <v>4.0</v>
      </c>
      <c r="I477" s="6">
        <v>1.0</v>
      </c>
      <c r="J477" s="9">
        <v>45291.0</v>
      </c>
      <c r="K477" s="6">
        <v>3.0</v>
      </c>
      <c r="L477" s="5" t="s">
        <v>62</v>
      </c>
      <c r="M477" s="5">
        <v>0.0</v>
      </c>
    </row>
    <row r="478" ht="22.5" customHeight="1">
      <c r="A478" s="5" t="s">
        <v>1900</v>
      </c>
      <c r="B478" s="5" t="s">
        <v>44</v>
      </c>
      <c r="C478" s="6">
        <v>10.0</v>
      </c>
      <c r="D478" s="6">
        <v>52.0</v>
      </c>
      <c r="E478" s="6">
        <v>12.0</v>
      </c>
      <c r="F478" s="6">
        <v>52.0</v>
      </c>
      <c r="G478" s="6">
        <v>19.0</v>
      </c>
      <c r="H478" s="6">
        <v>4.0</v>
      </c>
      <c r="I478" s="6">
        <v>1.0</v>
      </c>
      <c r="J478" s="9">
        <v>44641.0</v>
      </c>
      <c r="K478" s="6">
        <v>3.0</v>
      </c>
      <c r="L478" s="10" t="s">
        <v>113</v>
      </c>
      <c r="M478" s="10">
        <v>1.0</v>
      </c>
    </row>
    <row r="479" ht="22.5" customHeight="1">
      <c r="A479" s="5" t="s">
        <v>1902</v>
      </c>
      <c r="B479" s="5" t="s">
        <v>170</v>
      </c>
      <c r="C479" s="6">
        <v>5.0</v>
      </c>
      <c r="D479" s="6">
        <v>18.0</v>
      </c>
      <c r="E479" s="6">
        <v>7.0</v>
      </c>
      <c r="F479" s="6">
        <v>47.0</v>
      </c>
      <c r="G479" s="6">
        <v>29.0</v>
      </c>
      <c r="H479" s="6">
        <v>9.0</v>
      </c>
      <c r="I479" s="6">
        <v>0.0</v>
      </c>
      <c r="J479" s="9">
        <v>44725.0</v>
      </c>
      <c r="K479" s="6">
        <v>4.0</v>
      </c>
      <c r="L479" s="5" t="s">
        <v>113</v>
      </c>
      <c r="M479" s="5">
        <v>1.0</v>
      </c>
    </row>
    <row r="480" ht="22.5" customHeight="1">
      <c r="A480" s="5" t="s">
        <v>1905</v>
      </c>
      <c r="B480" s="5" t="s">
        <v>22</v>
      </c>
      <c r="C480" s="6">
        <v>3.0</v>
      </c>
      <c r="D480" s="6">
        <v>9.0</v>
      </c>
      <c r="E480" s="6">
        <v>6.0</v>
      </c>
      <c r="F480" s="6">
        <v>28.0</v>
      </c>
      <c r="G480" s="6">
        <v>36.0</v>
      </c>
      <c r="H480" s="6">
        <v>7.0</v>
      </c>
      <c r="I480" s="6">
        <v>0.0</v>
      </c>
      <c r="J480" s="9">
        <v>46042.0</v>
      </c>
      <c r="K480" s="6">
        <v>7.0</v>
      </c>
      <c r="L480" s="5" t="s">
        <v>62</v>
      </c>
      <c r="M480" s="5">
        <v>0.0</v>
      </c>
    </row>
    <row r="481" ht="22.5" customHeight="1">
      <c r="A481" s="5" t="s">
        <v>1906</v>
      </c>
      <c r="B481" s="5" t="s">
        <v>44</v>
      </c>
      <c r="C481" s="6">
        <v>5.0</v>
      </c>
      <c r="D481" s="6">
        <v>16.0</v>
      </c>
      <c r="E481" s="6">
        <v>10.0</v>
      </c>
      <c r="F481" s="6">
        <v>40.0</v>
      </c>
      <c r="G481" s="6">
        <v>14.0</v>
      </c>
      <c r="H481" s="6">
        <v>18.0</v>
      </c>
      <c r="I481" s="6">
        <v>0.0</v>
      </c>
      <c r="J481" s="9">
        <v>44732.0</v>
      </c>
      <c r="K481" s="6">
        <v>3.0</v>
      </c>
      <c r="L481" s="5" t="s">
        <v>113</v>
      </c>
      <c r="M481" s="5">
        <v>1.0</v>
      </c>
    </row>
    <row r="482" ht="22.5" customHeight="1">
      <c r="A482" s="5" t="s">
        <v>1908</v>
      </c>
      <c r="B482" s="5" t="s">
        <v>44</v>
      </c>
      <c r="C482" s="6">
        <v>4.0</v>
      </c>
      <c r="D482" s="6">
        <v>21.0</v>
      </c>
      <c r="E482" s="6">
        <v>4.0</v>
      </c>
      <c r="F482" s="6">
        <v>27.0</v>
      </c>
      <c r="G482" s="6">
        <v>23.0</v>
      </c>
      <c r="H482" s="8"/>
      <c r="I482" s="6">
        <v>5.0</v>
      </c>
      <c r="J482" s="9">
        <v>44883.0</v>
      </c>
      <c r="K482" s="6">
        <v>1.0</v>
      </c>
      <c r="L482" s="5" t="s">
        <v>113</v>
      </c>
      <c r="M482" s="5">
        <v>1.0</v>
      </c>
    </row>
    <row r="483" ht="22.5" customHeight="1">
      <c r="A483" s="5" t="s">
        <v>1911</v>
      </c>
      <c r="B483" s="5" t="s">
        <v>84</v>
      </c>
      <c r="C483" s="6">
        <v>9.0</v>
      </c>
      <c r="D483" s="6">
        <v>27.0</v>
      </c>
      <c r="E483" s="6">
        <v>8.0</v>
      </c>
      <c r="F483" s="6">
        <v>13.0</v>
      </c>
      <c r="G483" s="6">
        <v>20.0</v>
      </c>
      <c r="H483" s="6">
        <v>8.0</v>
      </c>
      <c r="I483" s="6">
        <v>3.0</v>
      </c>
      <c r="J483" s="9">
        <v>45418.0</v>
      </c>
      <c r="K483" s="6">
        <v>4.0</v>
      </c>
      <c r="L483" s="5" t="s">
        <v>62</v>
      </c>
      <c r="M483" s="5">
        <v>0.0</v>
      </c>
    </row>
    <row r="484" ht="22.5" customHeight="1">
      <c r="A484" s="5" t="s">
        <v>1913</v>
      </c>
      <c r="B484" s="5" t="s">
        <v>65</v>
      </c>
      <c r="C484" s="6">
        <v>10.0</v>
      </c>
      <c r="D484" s="6">
        <v>24.0</v>
      </c>
      <c r="E484" s="6">
        <v>18.0</v>
      </c>
      <c r="F484" s="6">
        <v>6.0</v>
      </c>
      <c r="G484" s="6">
        <v>26.0</v>
      </c>
      <c r="H484" s="6">
        <v>3.0</v>
      </c>
      <c r="I484" s="6">
        <v>3.0</v>
      </c>
      <c r="J484" s="9">
        <v>46135.0</v>
      </c>
      <c r="K484" s="6">
        <v>6.0</v>
      </c>
      <c r="L484" s="5" t="s">
        <v>62</v>
      </c>
      <c r="M484" s="5">
        <v>0.0</v>
      </c>
    </row>
    <row r="485" ht="22.5" customHeight="1">
      <c r="A485" s="5" t="s">
        <v>1915</v>
      </c>
      <c r="B485" s="5" t="s">
        <v>22</v>
      </c>
      <c r="C485" s="6">
        <v>5.0</v>
      </c>
      <c r="D485" s="6">
        <v>9.0</v>
      </c>
      <c r="E485" s="6">
        <v>13.0</v>
      </c>
      <c r="F485" s="6">
        <v>58.0</v>
      </c>
      <c r="G485" s="6">
        <v>25.0</v>
      </c>
      <c r="H485" s="8"/>
      <c r="I485" s="6">
        <v>0.0</v>
      </c>
      <c r="J485" s="9">
        <v>44627.0</v>
      </c>
      <c r="K485" s="6">
        <v>3.0</v>
      </c>
      <c r="L485" s="5" t="s">
        <v>113</v>
      </c>
      <c r="M485" s="5">
        <v>1.0</v>
      </c>
    </row>
    <row r="486" ht="22.5" customHeight="1">
      <c r="A486" s="5" t="s">
        <v>1919</v>
      </c>
      <c r="B486" s="5" t="s">
        <v>22</v>
      </c>
      <c r="C486" s="6">
        <v>5.0</v>
      </c>
      <c r="D486" s="6">
        <v>18.0</v>
      </c>
      <c r="E486" s="6">
        <v>8.0</v>
      </c>
      <c r="F486" s="6">
        <v>13.0</v>
      </c>
      <c r="G486" s="6">
        <v>36.0</v>
      </c>
      <c r="H486" s="6">
        <v>19.0</v>
      </c>
      <c r="I486" s="6">
        <v>2.0</v>
      </c>
      <c r="J486" s="9">
        <v>45182.0</v>
      </c>
      <c r="K486" s="6">
        <v>4.0</v>
      </c>
      <c r="L486" s="5" t="s">
        <v>62</v>
      </c>
      <c r="M486" s="5">
        <v>0.0</v>
      </c>
    </row>
    <row r="487" ht="22.5" customHeight="1">
      <c r="A487" s="5" t="s">
        <v>1921</v>
      </c>
      <c r="B487" s="5" t="s">
        <v>84</v>
      </c>
      <c r="C487" s="6">
        <v>6.0</v>
      </c>
      <c r="D487" s="6">
        <v>22.0</v>
      </c>
      <c r="E487" s="6">
        <v>7.0</v>
      </c>
      <c r="F487" s="6">
        <v>54.0</v>
      </c>
      <c r="G487" s="6">
        <v>24.0</v>
      </c>
      <c r="H487" s="6">
        <v>13.0</v>
      </c>
      <c r="I487" s="6">
        <v>2.0</v>
      </c>
      <c r="J487" s="11"/>
      <c r="K487" s="6">
        <v>6.0</v>
      </c>
      <c r="L487" s="5" t="s">
        <v>113</v>
      </c>
      <c r="M487" s="5">
        <v>1.0</v>
      </c>
    </row>
    <row r="488" ht="22.5" customHeight="1">
      <c r="A488" s="5" t="s">
        <v>1924</v>
      </c>
      <c r="B488" s="5" t="s">
        <v>22</v>
      </c>
      <c r="C488" s="6">
        <v>12.0</v>
      </c>
      <c r="D488" s="6">
        <v>63.0</v>
      </c>
      <c r="E488" s="6">
        <v>9.0</v>
      </c>
      <c r="F488" s="6">
        <v>12.0</v>
      </c>
      <c r="G488" s="6">
        <v>36.0</v>
      </c>
      <c r="H488" s="6">
        <v>20.0</v>
      </c>
      <c r="I488" s="6">
        <v>0.0</v>
      </c>
      <c r="J488" s="9">
        <v>46137.0</v>
      </c>
      <c r="K488" s="6">
        <v>6.0</v>
      </c>
      <c r="L488" s="5" t="s">
        <v>62</v>
      </c>
      <c r="M488" s="5">
        <v>0.0</v>
      </c>
    </row>
    <row r="489" ht="22.5" customHeight="1">
      <c r="A489" s="5" t="s">
        <v>1925</v>
      </c>
      <c r="B489" s="5" t="s">
        <v>84</v>
      </c>
      <c r="C489" s="6">
        <v>9.0</v>
      </c>
      <c r="D489" s="6">
        <v>22.0</v>
      </c>
      <c r="E489" s="6">
        <v>14.0</v>
      </c>
      <c r="F489" s="6">
        <v>35.0</v>
      </c>
      <c r="G489" s="6">
        <v>22.0</v>
      </c>
      <c r="H489" s="6">
        <v>19.0</v>
      </c>
      <c r="I489" s="6">
        <v>4.0</v>
      </c>
      <c r="J489" s="9">
        <v>44641.0</v>
      </c>
      <c r="K489" s="6">
        <v>4.0</v>
      </c>
      <c r="L489" s="5" t="s">
        <v>113</v>
      </c>
      <c r="M489" s="5">
        <v>1.0</v>
      </c>
    </row>
    <row r="490" ht="22.5" customHeight="1">
      <c r="A490" s="5" t="s">
        <v>1928</v>
      </c>
      <c r="B490" s="5" t="s">
        <v>170</v>
      </c>
      <c r="C490" s="6">
        <v>7.0</v>
      </c>
      <c r="D490" s="6">
        <v>23.0</v>
      </c>
      <c r="E490" s="6">
        <v>13.0</v>
      </c>
      <c r="F490" s="6">
        <v>52.0</v>
      </c>
      <c r="G490" s="6">
        <v>32.0</v>
      </c>
      <c r="H490" s="6">
        <v>15.0</v>
      </c>
      <c r="I490" s="6">
        <v>0.0</v>
      </c>
      <c r="J490" s="9">
        <v>45290.0</v>
      </c>
      <c r="K490" s="6">
        <v>1.0</v>
      </c>
      <c r="L490" s="5" t="s">
        <v>62</v>
      </c>
      <c r="M490" s="5">
        <v>0.0</v>
      </c>
    </row>
    <row r="491" ht="22.5" customHeight="1">
      <c r="A491" s="5" t="s">
        <v>1931</v>
      </c>
      <c r="B491" s="5" t="s">
        <v>44</v>
      </c>
      <c r="C491" s="6">
        <v>3.0</v>
      </c>
      <c r="D491" s="6">
        <v>15.0</v>
      </c>
      <c r="E491" s="6">
        <v>15.0</v>
      </c>
      <c r="F491" s="6">
        <v>37.0</v>
      </c>
      <c r="G491" s="6">
        <v>27.0</v>
      </c>
      <c r="H491" s="6">
        <v>1.0</v>
      </c>
      <c r="I491" s="6">
        <v>3.0</v>
      </c>
      <c r="J491" s="9">
        <v>44880.0</v>
      </c>
      <c r="K491" s="6">
        <v>4.0</v>
      </c>
      <c r="L491" s="5" t="s">
        <v>113</v>
      </c>
      <c r="M491" s="5">
        <v>1.0</v>
      </c>
    </row>
    <row r="492" ht="22.5" customHeight="1">
      <c r="A492" s="5" t="s">
        <v>1933</v>
      </c>
      <c r="B492" s="5" t="s">
        <v>44</v>
      </c>
      <c r="C492" s="6">
        <v>9.0</v>
      </c>
      <c r="D492" s="6">
        <v>47.0</v>
      </c>
      <c r="E492" s="6">
        <v>7.0</v>
      </c>
      <c r="F492" s="6">
        <v>38.0</v>
      </c>
      <c r="G492" s="6">
        <v>39.0</v>
      </c>
      <c r="H492" s="6">
        <v>19.0</v>
      </c>
      <c r="I492" s="6">
        <v>0.0</v>
      </c>
      <c r="J492" s="11"/>
      <c r="K492" s="6">
        <v>4.0</v>
      </c>
      <c r="L492" s="5" t="s">
        <v>113</v>
      </c>
      <c r="M492" s="5">
        <v>1.0</v>
      </c>
    </row>
    <row r="493" ht="22.5" customHeight="1">
      <c r="A493" s="5" t="s">
        <v>1935</v>
      </c>
      <c r="B493" s="5" t="s">
        <v>65</v>
      </c>
      <c r="C493" s="6">
        <v>8.0</v>
      </c>
      <c r="D493" s="6">
        <v>26.0</v>
      </c>
      <c r="E493" s="6">
        <v>1.0</v>
      </c>
      <c r="F493" s="6">
        <v>21.0</v>
      </c>
      <c r="G493" s="6">
        <v>13.0</v>
      </c>
      <c r="H493" s="6">
        <v>13.0</v>
      </c>
      <c r="I493" s="6">
        <v>5.0</v>
      </c>
      <c r="J493" s="9">
        <v>45574.0</v>
      </c>
      <c r="K493" s="6">
        <v>10.0</v>
      </c>
      <c r="L493" s="10" t="s">
        <v>62</v>
      </c>
      <c r="M493" s="10">
        <v>0.0</v>
      </c>
    </row>
    <row r="494" ht="22.5" customHeight="1">
      <c r="A494" s="5" t="s">
        <v>1938</v>
      </c>
      <c r="B494" s="5" t="s">
        <v>84</v>
      </c>
      <c r="C494" s="6">
        <v>7.0</v>
      </c>
      <c r="D494" s="6">
        <v>25.0</v>
      </c>
      <c r="E494" s="6">
        <v>18.0</v>
      </c>
      <c r="F494" s="6">
        <v>19.0</v>
      </c>
      <c r="G494" s="6">
        <v>16.0</v>
      </c>
      <c r="H494" s="6">
        <v>19.0</v>
      </c>
      <c r="I494" s="6">
        <v>1.0</v>
      </c>
      <c r="J494" s="9">
        <v>46197.0</v>
      </c>
      <c r="K494" s="6">
        <v>9.0</v>
      </c>
      <c r="L494" s="5" t="s">
        <v>62</v>
      </c>
      <c r="M494" s="5">
        <v>0.0</v>
      </c>
    </row>
    <row r="495" ht="22.5" customHeight="1">
      <c r="A495" s="5" t="s">
        <v>1942</v>
      </c>
      <c r="B495" s="5" t="s">
        <v>22</v>
      </c>
      <c r="C495" s="6">
        <v>6.0</v>
      </c>
      <c r="D495" s="6">
        <v>17.0</v>
      </c>
      <c r="E495" s="6">
        <v>4.0</v>
      </c>
      <c r="F495" s="6">
        <v>10.0</v>
      </c>
      <c r="G495" s="6">
        <v>40.0</v>
      </c>
      <c r="H495" s="6">
        <v>10.0</v>
      </c>
      <c r="I495" s="6">
        <v>5.0</v>
      </c>
      <c r="J495" s="9">
        <v>44713.0</v>
      </c>
      <c r="K495" s="6">
        <v>2.0</v>
      </c>
      <c r="L495" s="5" t="s">
        <v>113</v>
      </c>
      <c r="M495" s="5">
        <v>1.0</v>
      </c>
    </row>
    <row r="496" ht="22.5" customHeight="1">
      <c r="A496" s="5" t="s">
        <v>1943</v>
      </c>
      <c r="B496" s="5" t="s">
        <v>65</v>
      </c>
      <c r="C496" s="6">
        <v>4.0</v>
      </c>
      <c r="D496" s="6">
        <v>23.0</v>
      </c>
      <c r="E496" s="6">
        <v>10.0</v>
      </c>
      <c r="F496" s="6">
        <v>7.0</v>
      </c>
      <c r="G496" s="6">
        <v>19.0</v>
      </c>
      <c r="H496" s="6">
        <v>12.0</v>
      </c>
      <c r="I496" s="6">
        <v>1.0</v>
      </c>
      <c r="J496" s="9">
        <v>45356.0</v>
      </c>
      <c r="K496" s="6">
        <v>3.0</v>
      </c>
      <c r="L496" s="5" t="s">
        <v>62</v>
      </c>
      <c r="M496" s="5">
        <v>0.0</v>
      </c>
    </row>
    <row r="497" ht="22.5" customHeight="1">
      <c r="A497" s="5" t="s">
        <v>1947</v>
      </c>
      <c r="B497" s="5" t="s">
        <v>65</v>
      </c>
      <c r="C497" s="6">
        <v>6.0</v>
      </c>
      <c r="D497" s="6">
        <v>12.0</v>
      </c>
      <c r="E497" s="6">
        <v>1.0</v>
      </c>
      <c r="F497" s="6">
        <v>27.0</v>
      </c>
      <c r="G497" s="6">
        <v>20.0</v>
      </c>
      <c r="H497" s="6">
        <v>16.0</v>
      </c>
      <c r="I497" s="6">
        <v>3.0</v>
      </c>
      <c r="J497" s="9">
        <v>45994.0</v>
      </c>
      <c r="K497" s="6">
        <v>7.0</v>
      </c>
      <c r="L497" s="5" t="s">
        <v>62</v>
      </c>
      <c r="M497" s="5">
        <v>0.0</v>
      </c>
    </row>
    <row r="498" ht="22.5" customHeight="1">
      <c r="A498" s="5" t="s">
        <v>1950</v>
      </c>
      <c r="B498" s="5" t="s">
        <v>22</v>
      </c>
      <c r="C498" s="6">
        <v>4.0</v>
      </c>
      <c r="D498" s="6">
        <v>23.0</v>
      </c>
      <c r="E498" s="6">
        <v>6.0</v>
      </c>
      <c r="F498" s="6">
        <v>9.0</v>
      </c>
      <c r="G498" s="6">
        <v>18.0</v>
      </c>
      <c r="H498" s="6">
        <v>2.0</v>
      </c>
      <c r="I498" s="6">
        <v>0.0</v>
      </c>
      <c r="J498" s="9">
        <v>45546.0</v>
      </c>
      <c r="K498" s="6">
        <v>8.0</v>
      </c>
      <c r="L498" s="5" t="s">
        <v>62</v>
      </c>
      <c r="M498" s="5">
        <v>0.0</v>
      </c>
    </row>
    <row r="499" ht="22.5" customHeight="1">
      <c r="A499" s="5" t="s">
        <v>1954</v>
      </c>
      <c r="B499" s="5" t="s">
        <v>44</v>
      </c>
      <c r="C499" s="6">
        <v>4.0</v>
      </c>
      <c r="D499" s="6">
        <v>18.0</v>
      </c>
      <c r="E499" s="6">
        <v>5.0</v>
      </c>
      <c r="F499" s="6">
        <v>30.0</v>
      </c>
      <c r="G499" s="6">
        <v>34.0</v>
      </c>
      <c r="H499" s="8"/>
      <c r="I499" s="6">
        <v>2.0</v>
      </c>
      <c r="J499" s="9">
        <v>45659.0</v>
      </c>
      <c r="K499" s="6">
        <v>6.0</v>
      </c>
      <c r="L499" s="5" t="s">
        <v>62</v>
      </c>
      <c r="M499" s="5">
        <v>0.0</v>
      </c>
    </row>
    <row r="500" ht="22.5" customHeight="1">
      <c r="A500" s="5" t="s">
        <v>1957</v>
      </c>
      <c r="B500" s="5" t="s">
        <v>65</v>
      </c>
      <c r="C500" s="6">
        <v>8.0</v>
      </c>
      <c r="D500" s="6">
        <v>31.0</v>
      </c>
      <c r="E500" s="6">
        <v>15.0</v>
      </c>
      <c r="F500" s="6">
        <v>40.0</v>
      </c>
      <c r="G500" s="6">
        <v>15.0</v>
      </c>
      <c r="H500" s="6">
        <v>3.0</v>
      </c>
      <c r="I500" s="6">
        <v>1.0</v>
      </c>
      <c r="J500" s="9">
        <v>45872.0</v>
      </c>
      <c r="K500" s="6">
        <v>6.0</v>
      </c>
      <c r="L500" s="5" t="s">
        <v>62</v>
      </c>
      <c r="M500" s="5">
        <v>0.0</v>
      </c>
    </row>
    <row r="501" ht="22.5" customHeight="1">
      <c r="A501" s="5" t="s">
        <v>1959</v>
      </c>
      <c r="B501" s="5" t="s">
        <v>44</v>
      </c>
      <c r="C501" s="6">
        <v>5.0</v>
      </c>
      <c r="D501" s="6">
        <v>8.0</v>
      </c>
      <c r="E501" s="6">
        <v>8.0</v>
      </c>
      <c r="F501" s="6">
        <v>58.0</v>
      </c>
      <c r="G501" s="6">
        <v>25.0</v>
      </c>
      <c r="H501" s="6">
        <v>4.0</v>
      </c>
      <c r="I501" s="6">
        <v>3.0</v>
      </c>
      <c r="J501" s="9">
        <v>44700.0</v>
      </c>
      <c r="K501" s="6">
        <v>1.0</v>
      </c>
      <c r="L501" s="5" t="s">
        <v>113</v>
      </c>
      <c r="M501" s="5">
        <v>1.0</v>
      </c>
    </row>
    <row r="502" ht="22.5" customHeight="1">
      <c r="A502" s="5" t="s">
        <v>1962</v>
      </c>
      <c r="B502" s="5" t="s">
        <v>65</v>
      </c>
      <c r="C502" s="6">
        <v>5.0</v>
      </c>
      <c r="D502" s="6">
        <v>18.0</v>
      </c>
      <c r="E502" s="6">
        <v>6.0</v>
      </c>
      <c r="F502" s="6">
        <v>14.0</v>
      </c>
      <c r="G502" s="6">
        <v>23.0</v>
      </c>
      <c r="H502" s="6">
        <v>17.0</v>
      </c>
      <c r="I502" s="6">
        <v>3.0</v>
      </c>
      <c r="J502" s="9">
        <v>45068.0</v>
      </c>
      <c r="K502" s="6">
        <v>2.0</v>
      </c>
      <c r="L502" s="10" t="s">
        <v>113</v>
      </c>
      <c r="M502" s="10">
        <v>1.0</v>
      </c>
    </row>
    <row r="503" ht="22.5" customHeight="1">
      <c r="A503" s="5" t="s">
        <v>1964</v>
      </c>
      <c r="B503" s="5" t="s">
        <v>84</v>
      </c>
      <c r="C503" s="6">
        <v>7.0</v>
      </c>
      <c r="D503" s="6">
        <v>23.0</v>
      </c>
      <c r="E503" s="6">
        <v>8.0</v>
      </c>
      <c r="F503" s="6">
        <v>32.0</v>
      </c>
      <c r="G503" s="6">
        <v>33.0</v>
      </c>
      <c r="H503" s="6">
        <v>4.0</v>
      </c>
      <c r="I503" s="6">
        <v>0.0</v>
      </c>
      <c r="J503" s="9">
        <v>45379.0</v>
      </c>
      <c r="K503" s="6">
        <v>2.0</v>
      </c>
      <c r="L503" s="5" t="s">
        <v>62</v>
      </c>
      <c r="M503" s="5">
        <v>0.0</v>
      </c>
    </row>
    <row r="504" ht="22.5" customHeight="1">
      <c r="A504" s="5" t="s">
        <v>1966</v>
      </c>
      <c r="B504" s="5" t="s">
        <v>22</v>
      </c>
      <c r="C504" s="6">
        <v>7.0</v>
      </c>
      <c r="D504" s="6">
        <v>16.0</v>
      </c>
      <c r="E504" s="6">
        <v>1.0</v>
      </c>
      <c r="F504" s="6">
        <v>16.0</v>
      </c>
      <c r="G504" s="6">
        <v>20.0</v>
      </c>
      <c r="H504" s="8"/>
      <c r="I504" s="6">
        <v>3.0</v>
      </c>
      <c r="J504" s="9">
        <v>44602.0</v>
      </c>
      <c r="K504" s="6">
        <v>3.0</v>
      </c>
      <c r="L504" s="5" t="s">
        <v>113</v>
      </c>
      <c r="M504" s="5">
        <v>1.0</v>
      </c>
    </row>
    <row r="505" ht="22.5" customHeight="1">
      <c r="A505" s="5" t="s">
        <v>1968</v>
      </c>
      <c r="B505" s="5" t="s">
        <v>44</v>
      </c>
      <c r="C505" s="6">
        <v>4.0</v>
      </c>
      <c r="D505" s="6">
        <v>18.0</v>
      </c>
      <c r="E505" s="6">
        <v>4.0</v>
      </c>
      <c r="F505" s="6">
        <v>35.0</v>
      </c>
      <c r="G505" s="6">
        <v>28.0</v>
      </c>
      <c r="H505" s="6">
        <v>16.0</v>
      </c>
      <c r="I505" s="6">
        <v>4.0</v>
      </c>
      <c r="J505" s="9">
        <v>45842.0</v>
      </c>
      <c r="K505" s="6">
        <v>6.0</v>
      </c>
      <c r="L505" s="10" t="s">
        <v>62</v>
      </c>
      <c r="M505" s="10">
        <v>0.0</v>
      </c>
    </row>
    <row r="506" ht="22.5" customHeight="1">
      <c r="A506" s="5" t="s">
        <v>1971</v>
      </c>
      <c r="B506" s="5" t="s">
        <v>44</v>
      </c>
      <c r="C506" s="6">
        <v>5.0</v>
      </c>
      <c r="D506" s="6">
        <v>29.0</v>
      </c>
      <c r="E506" s="6">
        <v>4.0</v>
      </c>
      <c r="F506" s="6">
        <v>33.0</v>
      </c>
      <c r="G506" s="6">
        <v>16.0</v>
      </c>
      <c r="H506" s="6">
        <v>8.0</v>
      </c>
      <c r="I506" s="6">
        <v>4.0</v>
      </c>
      <c r="J506" s="9">
        <v>45787.0</v>
      </c>
      <c r="K506" s="6">
        <v>6.0</v>
      </c>
      <c r="L506" s="5" t="s">
        <v>62</v>
      </c>
      <c r="M506" s="5">
        <v>0.0</v>
      </c>
    </row>
    <row r="507" ht="22.5" customHeight="1">
      <c r="A507" s="5" t="s">
        <v>1973</v>
      </c>
      <c r="B507" s="5" t="s">
        <v>170</v>
      </c>
      <c r="C507" s="6">
        <v>7.0</v>
      </c>
      <c r="D507" s="6">
        <v>28.0</v>
      </c>
      <c r="E507" s="6">
        <v>9.0</v>
      </c>
      <c r="F507" s="6">
        <v>13.0</v>
      </c>
      <c r="G507" s="6">
        <v>43.0</v>
      </c>
      <c r="H507" s="6">
        <v>15.0</v>
      </c>
      <c r="I507" s="6">
        <v>1.0</v>
      </c>
      <c r="J507" s="9">
        <v>45558.0</v>
      </c>
      <c r="K507" s="6">
        <v>5.0</v>
      </c>
      <c r="L507" s="5" t="s">
        <v>62</v>
      </c>
      <c r="M507" s="5">
        <v>0.0</v>
      </c>
    </row>
    <row r="508" ht="22.5" customHeight="1">
      <c r="A508" s="5" t="s">
        <v>1977</v>
      </c>
      <c r="B508" s="5" t="s">
        <v>170</v>
      </c>
      <c r="C508" s="6">
        <v>7.0</v>
      </c>
      <c r="D508" s="6">
        <v>33.0</v>
      </c>
      <c r="E508" s="6">
        <v>3.0</v>
      </c>
      <c r="F508" s="6">
        <v>38.0</v>
      </c>
      <c r="G508" s="6">
        <v>23.0</v>
      </c>
      <c r="H508" s="6">
        <v>17.0</v>
      </c>
      <c r="I508" s="6">
        <v>1.0</v>
      </c>
      <c r="J508" s="9">
        <v>45875.0</v>
      </c>
      <c r="K508" s="6">
        <v>6.0</v>
      </c>
      <c r="L508" s="5" t="s">
        <v>62</v>
      </c>
      <c r="M508" s="5">
        <v>0.0</v>
      </c>
    </row>
    <row r="509" ht="22.5" customHeight="1">
      <c r="A509" s="5" t="s">
        <v>1979</v>
      </c>
      <c r="B509" s="5" t="s">
        <v>22</v>
      </c>
      <c r="C509" s="6">
        <v>7.0</v>
      </c>
      <c r="D509" s="6">
        <v>13.0</v>
      </c>
      <c r="E509" s="6">
        <v>7.0</v>
      </c>
      <c r="F509" s="6">
        <v>43.0</v>
      </c>
      <c r="G509" s="6">
        <v>25.0</v>
      </c>
      <c r="H509" s="6">
        <v>17.0</v>
      </c>
      <c r="I509" s="6">
        <v>4.0</v>
      </c>
      <c r="J509" s="11"/>
      <c r="K509" s="6">
        <v>5.0</v>
      </c>
      <c r="L509" s="10" t="s">
        <v>113</v>
      </c>
      <c r="M509" s="10">
        <v>1.0</v>
      </c>
    </row>
    <row r="510" ht="22.5" customHeight="1">
      <c r="A510" s="5" t="s">
        <v>1982</v>
      </c>
      <c r="B510" s="5" t="s">
        <v>65</v>
      </c>
      <c r="C510" s="6">
        <v>7.0</v>
      </c>
      <c r="D510" s="6">
        <v>24.0</v>
      </c>
      <c r="E510" s="6">
        <v>6.0</v>
      </c>
      <c r="F510" s="6">
        <v>56.0</v>
      </c>
      <c r="G510" s="6">
        <v>38.0</v>
      </c>
      <c r="H510" s="8"/>
      <c r="I510" s="6">
        <v>4.0</v>
      </c>
      <c r="J510" s="9">
        <v>45556.0</v>
      </c>
      <c r="K510" s="6">
        <v>6.0</v>
      </c>
      <c r="L510" s="5" t="s">
        <v>62</v>
      </c>
      <c r="M510" s="5">
        <v>0.0</v>
      </c>
    </row>
    <row r="511" ht="22.5" customHeight="1">
      <c r="A511" s="5" t="s">
        <v>1984</v>
      </c>
      <c r="B511" s="5" t="s">
        <v>44</v>
      </c>
      <c r="C511" s="6">
        <v>4.0</v>
      </c>
      <c r="D511" s="6">
        <v>8.0</v>
      </c>
      <c r="E511" s="6">
        <v>4.0</v>
      </c>
      <c r="F511" s="6">
        <v>21.0</v>
      </c>
      <c r="G511" s="6">
        <v>20.0</v>
      </c>
      <c r="H511" s="6">
        <v>1.0</v>
      </c>
      <c r="I511" s="6">
        <v>0.0</v>
      </c>
      <c r="J511" s="9">
        <v>46052.0</v>
      </c>
      <c r="K511" s="6">
        <v>6.0</v>
      </c>
      <c r="L511" s="5" t="s">
        <v>62</v>
      </c>
      <c r="M511" s="5">
        <v>0.0</v>
      </c>
    </row>
    <row r="512" ht="22.5" customHeight="1">
      <c r="A512" s="5" t="s">
        <v>1987</v>
      </c>
      <c r="B512" s="5" t="s">
        <v>22</v>
      </c>
      <c r="C512" s="6">
        <v>6.0</v>
      </c>
      <c r="D512" s="6">
        <v>26.0</v>
      </c>
      <c r="E512" s="6">
        <v>4.0</v>
      </c>
      <c r="F512" s="6">
        <v>11.0</v>
      </c>
      <c r="G512" s="6">
        <v>38.0</v>
      </c>
      <c r="H512" s="6">
        <v>8.0</v>
      </c>
      <c r="I512" s="6">
        <v>3.0</v>
      </c>
      <c r="J512" s="9">
        <v>45254.0</v>
      </c>
      <c r="K512" s="6">
        <v>5.0</v>
      </c>
      <c r="L512" s="5" t="s">
        <v>62</v>
      </c>
      <c r="M512" s="5">
        <v>0.0</v>
      </c>
    </row>
    <row r="513" ht="22.5" customHeight="1">
      <c r="A513" s="5" t="s">
        <v>1990</v>
      </c>
      <c r="B513" s="5" t="s">
        <v>84</v>
      </c>
      <c r="C513" s="6">
        <v>3.0</v>
      </c>
      <c r="D513" s="6">
        <v>17.0</v>
      </c>
      <c r="E513" s="6">
        <v>6.0</v>
      </c>
      <c r="F513" s="6">
        <v>24.0</v>
      </c>
      <c r="G513" s="6">
        <v>22.0</v>
      </c>
      <c r="H513" s="6">
        <v>17.0</v>
      </c>
      <c r="I513" s="6">
        <v>3.0</v>
      </c>
      <c r="J513" s="9">
        <v>45532.0</v>
      </c>
      <c r="K513" s="6">
        <v>8.0</v>
      </c>
      <c r="L513" s="10" t="s">
        <v>62</v>
      </c>
      <c r="M513" s="10">
        <v>0.0</v>
      </c>
    </row>
    <row r="514" ht="22.5" customHeight="1">
      <c r="A514" s="5" t="s">
        <v>1994</v>
      </c>
      <c r="B514" s="5" t="s">
        <v>22</v>
      </c>
      <c r="C514" s="6">
        <v>6.0</v>
      </c>
      <c r="D514" s="6">
        <v>27.0</v>
      </c>
      <c r="E514" s="6">
        <v>1.0</v>
      </c>
      <c r="F514" s="6">
        <v>11.0</v>
      </c>
      <c r="G514" s="6">
        <v>30.0</v>
      </c>
      <c r="H514" s="6">
        <v>19.0</v>
      </c>
      <c r="I514" s="6">
        <v>1.0</v>
      </c>
      <c r="J514" s="9">
        <v>46144.0</v>
      </c>
      <c r="K514" s="6">
        <v>9.0</v>
      </c>
      <c r="L514" s="5" t="s">
        <v>62</v>
      </c>
      <c r="M514" s="5">
        <v>0.0</v>
      </c>
    </row>
    <row r="515" ht="22.5" customHeight="1">
      <c r="A515" s="5" t="s">
        <v>1997</v>
      </c>
      <c r="B515" s="5" t="s">
        <v>44</v>
      </c>
      <c r="C515" s="6">
        <v>4.0</v>
      </c>
      <c r="D515" s="6">
        <v>7.0</v>
      </c>
      <c r="E515" s="6">
        <v>10.0</v>
      </c>
      <c r="F515" s="6">
        <v>23.0</v>
      </c>
      <c r="G515" s="6">
        <v>20.0</v>
      </c>
      <c r="H515" s="6">
        <v>3.0</v>
      </c>
      <c r="I515" s="6">
        <v>0.0</v>
      </c>
      <c r="J515" s="9">
        <v>46075.0</v>
      </c>
      <c r="K515" s="6">
        <v>8.0</v>
      </c>
      <c r="L515" s="5" t="s">
        <v>62</v>
      </c>
      <c r="M515" s="5">
        <v>0.0</v>
      </c>
    </row>
    <row r="516" ht="22.5" customHeight="1">
      <c r="A516" s="5" t="s">
        <v>1999</v>
      </c>
      <c r="B516" s="5" t="s">
        <v>65</v>
      </c>
      <c r="C516" s="6">
        <v>4.0</v>
      </c>
      <c r="D516" s="6">
        <v>12.0</v>
      </c>
      <c r="E516" s="6">
        <v>4.0</v>
      </c>
      <c r="F516" s="6">
        <v>8.0</v>
      </c>
      <c r="G516" s="6">
        <v>14.0</v>
      </c>
      <c r="H516" s="6">
        <v>12.0</v>
      </c>
      <c r="I516" s="6">
        <v>4.0</v>
      </c>
      <c r="J516" s="9">
        <v>45861.0</v>
      </c>
      <c r="K516" s="6">
        <v>7.0</v>
      </c>
      <c r="L516" s="5" t="s">
        <v>62</v>
      </c>
      <c r="M516" s="5">
        <v>0.0</v>
      </c>
    </row>
    <row r="517" ht="22.5" customHeight="1">
      <c r="A517" s="5" t="s">
        <v>2001</v>
      </c>
      <c r="B517" s="5" t="s">
        <v>84</v>
      </c>
      <c r="C517" s="6">
        <v>12.0</v>
      </c>
      <c r="D517" s="6">
        <v>40.0</v>
      </c>
      <c r="E517" s="6">
        <v>15.0</v>
      </c>
      <c r="F517" s="6">
        <v>20.0</v>
      </c>
      <c r="G517" s="6">
        <v>30.0</v>
      </c>
      <c r="H517" s="6">
        <v>5.0</v>
      </c>
      <c r="I517" s="6">
        <v>1.0</v>
      </c>
      <c r="J517" s="9">
        <v>45615.0</v>
      </c>
      <c r="K517" s="6">
        <v>9.0</v>
      </c>
      <c r="L517" s="5" t="s">
        <v>62</v>
      </c>
      <c r="M517" s="5">
        <v>0.0</v>
      </c>
    </row>
    <row r="518" ht="22.5" customHeight="1">
      <c r="A518" s="5" t="s">
        <v>2003</v>
      </c>
      <c r="B518" s="5" t="s">
        <v>22</v>
      </c>
      <c r="C518" s="6">
        <v>8.0</v>
      </c>
      <c r="D518" s="6">
        <v>42.0</v>
      </c>
      <c r="E518" s="6">
        <v>10.0</v>
      </c>
      <c r="F518" s="6">
        <v>10.0</v>
      </c>
      <c r="G518" s="6">
        <v>14.0</v>
      </c>
      <c r="H518" s="6">
        <v>19.0</v>
      </c>
      <c r="I518" s="6">
        <v>5.0</v>
      </c>
      <c r="J518" s="9">
        <v>44814.0</v>
      </c>
      <c r="K518" s="6">
        <v>2.0</v>
      </c>
      <c r="L518" s="5" t="s">
        <v>113</v>
      </c>
      <c r="M518" s="5">
        <v>1.0</v>
      </c>
    </row>
    <row r="519" ht="22.5" customHeight="1">
      <c r="A519" s="5" t="s">
        <v>2006</v>
      </c>
      <c r="B519" s="5" t="s">
        <v>22</v>
      </c>
      <c r="C519" s="6">
        <v>8.0</v>
      </c>
      <c r="D519" s="6">
        <v>41.0</v>
      </c>
      <c r="E519" s="6">
        <v>3.0</v>
      </c>
      <c r="F519" s="6">
        <v>30.0</v>
      </c>
      <c r="G519" s="6">
        <v>23.0</v>
      </c>
      <c r="H519" s="6">
        <v>19.0</v>
      </c>
      <c r="I519" s="6">
        <v>0.0</v>
      </c>
      <c r="J519" s="9">
        <v>44872.0</v>
      </c>
      <c r="K519" s="6">
        <v>3.0</v>
      </c>
      <c r="L519" s="5" t="s">
        <v>113</v>
      </c>
      <c r="M519" s="5">
        <v>1.0</v>
      </c>
    </row>
    <row r="520" ht="22.5" customHeight="1">
      <c r="A520" s="5" t="s">
        <v>2010</v>
      </c>
      <c r="B520" s="5" t="s">
        <v>170</v>
      </c>
      <c r="C520" s="6">
        <v>5.0</v>
      </c>
      <c r="D520" s="6">
        <v>21.0</v>
      </c>
      <c r="E520" s="6">
        <v>1.0</v>
      </c>
      <c r="F520" s="6">
        <v>46.0</v>
      </c>
      <c r="G520" s="6">
        <v>35.0</v>
      </c>
      <c r="H520" s="6">
        <v>12.0</v>
      </c>
      <c r="I520" s="6">
        <v>0.0</v>
      </c>
      <c r="J520" s="9">
        <v>45793.0</v>
      </c>
      <c r="K520" s="6">
        <v>6.0</v>
      </c>
      <c r="L520" s="5" t="s">
        <v>62</v>
      </c>
      <c r="M520" s="5">
        <v>0.0</v>
      </c>
    </row>
    <row r="521" ht="22.5" customHeight="1">
      <c r="A521" s="5" t="s">
        <v>2012</v>
      </c>
      <c r="B521" s="5" t="s">
        <v>44</v>
      </c>
      <c r="C521" s="6">
        <v>2.0</v>
      </c>
      <c r="D521" s="6">
        <v>6.0</v>
      </c>
      <c r="E521" s="6">
        <v>9.0</v>
      </c>
      <c r="F521" s="6">
        <v>14.0</v>
      </c>
      <c r="G521" s="6">
        <v>30.0</v>
      </c>
      <c r="H521" s="6">
        <v>7.0</v>
      </c>
      <c r="I521" s="6">
        <v>1.0</v>
      </c>
      <c r="J521" s="9">
        <v>45759.0</v>
      </c>
      <c r="K521" s="6">
        <v>8.0</v>
      </c>
      <c r="L521" s="5" t="s">
        <v>62</v>
      </c>
      <c r="M521" s="5">
        <v>0.0</v>
      </c>
    </row>
    <row r="522" ht="22.5" customHeight="1">
      <c r="A522" s="5" t="s">
        <v>2016</v>
      </c>
      <c r="B522" s="5" t="s">
        <v>65</v>
      </c>
      <c r="C522" s="6">
        <v>5.0</v>
      </c>
      <c r="D522" s="6">
        <v>13.0</v>
      </c>
      <c r="E522" s="6">
        <v>5.0</v>
      </c>
      <c r="F522" s="6">
        <v>51.0</v>
      </c>
      <c r="G522" s="6">
        <v>22.0</v>
      </c>
      <c r="H522" s="6">
        <v>11.0</v>
      </c>
      <c r="I522" s="6">
        <v>5.0</v>
      </c>
      <c r="J522" s="9">
        <v>45248.0</v>
      </c>
      <c r="K522" s="6">
        <v>4.0</v>
      </c>
      <c r="L522" s="5" t="s">
        <v>62</v>
      </c>
      <c r="M522" s="5">
        <v>0.0</v>
      </c>
    </row>
    <row r="523" ht="22.5" customHeight="1">
      <c r="A523" s="5" t="s">
        <v>2018</v>
      </c>
      <c r="B523" s="5" t="s">
        <v>44</v>
      </c>
      <c r="C523" s="6">
        <v>6.0</v>
      </c>
      <c r="D523" s="6">
        <v>12.0</v>
      </c>
      <c r="E523" s="6">
        <v>7.0</v>
      </c>
      <c r="F523" s="6">
        <v>48.0</v>
      </c>
      <c r="G523" s="6">
        <v>20.0</v>
      </c>
      <c r="H523" s="6">
        <v>6.0</v>
      </c>
      <c r="I523" s="6">
        <v>0.0</v>
      </c>
      <c r="J523" s="9">
        <v>45552.0</v>
      </c>
      <c r="K523" s="6">
        <v>8.0</v>
      </c>
      <c r="L523" s="10" t="s">
        <v>62</v>
      </c>
      <c r="M523" s="10">
        <v>0.0</v>
      </c>
    </row>
    <row r="524" ht="22.5" customHeight="1">
      <c r="A524" s="5" t="s">
        <v>2021</v>
      </c>
      <c r="B524" s="5" t="s">
        <v>44</v>
      </c>
      <c r="C524" s="6">
        <v>5.0</v>
      </c>
      <c r="D524" s="6">
        <v>15.0</v>
      </c>
      <c r="E524" s="6">
        <v>10.0</v>
      </c>
      <c r="F524" s="6">
        <v>34.0</v>
      </c>
      <c r="G524" s="6">
        <v>41.0</v>
      </c>
      <c r="H524" s="6">
        <v>8.0</v>
      </c>
      <c r="I524" s="6">
        <v>1.0</v>
      </c>
      <c r="J524" s="9">
        <v>45541.0</v>
      </c>
      <c r="K524" s="6">
        <v>6.0</v>
      </c>
      <c r="L524" s="5" t="s">
        <v>62</v>
      </c>
      <c r="M524" s="5">
        <v>0.0</v>
      </c>
    </row>
    <row r="525" ht="22.5" customHeight="1">
      <c r="A525" s="5" t="s">
        <v>2023</v>
      </c>
      <c r="B525" s="5" t="s">
        <v>84</v>
      </c>
      <c r="C525" s="6">
        <v>5.0</v>
      </c>
      <c r="D525" s="6">
        <v>17.0</v>
      </c>
      <c r="E525" s="6">
        <v>11.0</v>
      </c>
      <c r="F525" s="6">
        <v>22.0</v>
      </c>
      <c r="G525" s="6">
        <v>13.0</v>
      </c>
      <c r="H525" s="6">
        <v>3.0</v>
      </c>
      <c r="I525" s="6">
        <v>2.0</v>
      </c>
      <c r="J525" s="9">
        <v>44621.0</v>
      </c>
      <c r="K525" s="6">
        <v>4.0</v>
      </c>
      <c r="L525" s="5" t="s">
        <v>113</v>
      </c>
      <c r="M525" s="5">
        <v>1.0</v>
      </c>
    </row>
    <row r="526" ht="22.5" customHeight="1">
      <c r="A526" s="5" t="s">
        <v>2025</v>
      </c>
      <c r="B526" s="5" t="s">
        <v>65</v>
      </c>
      <c r="C526" s="6">
        <v>8.0</v>
      </c>
      <c r="D526" s="6">
        <v>36.0</v>
      </c>
      <c r="E526" s="6">
        <v>5.0</v>
      </c>
      <c r="F526" s="6">
        <v>23.0</v>
      </c>
      <c r="G526" s="6">
        <v>25.0</v>
      </c>
      <c r="H526" s="6">
        <v>17.0</v>
      </c>
      <c r="I526" s="6">
        <v>4.0</v>
      </c>
      <c r="J526" s="9">
        <v>45054.0</v>
      </c>
      <c r="K526" s="6">
        <v>2.0</v>
      </c>
      <c r="L526" s="5" t="s">
        <v>113</v>
      </c>
      <c r="M526" s="5">
        <v>1.0</v>
      </c>
    </row>
    <row r="527" ht="22.5" customHeight="1">
      <c r="A527" s="5" t="s">
        <v>2028</v>
      </c>
      <c r="B527" s="5" t="s">
        <v>44</v>
      </c>
      <c r="C527" s="6">
        <v>7.0</v>
      </c>
      <c r="D527" s="6">
        <v>31.0</v>
      </c>
      <c r="E527" s="6">
        <v>6.0</v>
      </c>
      <c r="F527" s="6">
        <v>46.0</v>
      </c>
      <c r="G527" s="6">
        <v>13.0</v>
      </c>
      <c r="H527" s="6">
        <v>18.0</v>
      </c>
      <c r="I527" s="6">
        <v>4.0</v>
      </c>
      <c r="J527" s="9">
        <v>45579.0</v>
      </c>
      <c r="K527" s="6">
        <v>6.0</v>
      </c>
      <c r="L527" s="5" t="s">
        <v>62</v>
      </c>
      <c r="M527" s="5">
        <v>0.0</v>
      </c>
    </row>
    <row r="528" ht="22.5" customHeight="1">
      <c r="A528" s="5" t="s">
        <v>2029</v>
      </c>
      <c r="B528" s="5" t="s">
        <v>65</v>
      </c>
      <c r="C528" s="6">
        <v>9.0</v>
      </c>
      <c r="D528" s="6">
        <v>16.0</v>
      </c>
      <c r="E528" s="6">
        <v>8.0</v>
      </c>
      <c r="F528" s="6">
        <v>15.0</v>
      </c>
      <c r="G528" s="6">
        <v>36.0</v>
      </c>
      <c r="H528" s="6">
        <v>5.0</v>
      </c>
      <c r="I528" s="6">
        <v>5.0</v>
      </c>
      <c r="J528" s="9">
        <v>45877.0</v>
      </c>
      <c r="K528" s="6">
        <v>5.0</v>
      </c>
      <c r="L528" s="5" t="s">
        <v>62</v>
      </c>
      <c r="M528" s="5">
        <v>0.0</v>
      </c>
    </row>
    <row r="529" ht="22.5" customHeight="1">
      <c r="A529" s="5" t="s">
        <v>2030</v>
      </c>
      <c r="B529" s="5" t="s">
        <v>22</v>
      </c>
      <c r="C529" s="6">
        <v>5.0</v>
      </c>
      <c r="D529" s="6">
        <v>16.0</v>
      </c>
      <c r="E529" s="6">
        <v>8.0</v>
      </c>
      <c r="F529" s="6">
        <v>51.0</v>
      </c>
      <c r="G529" s="6">
        <v>25.0</v>
      </c>
      <c r="H529" s="6">
        <v>20.0</v>
      </c>
      <c r="I529" s="6">
        <v>3.0</v>
      </c>
      <c r="J529" s="9">
        <v>45363.0</v>
      </c>
      <c r="K529" s="6">
        <v>2.0</v>
      </c>
      <c r="L529" s="5" t="s">
        <v>62</v>
      </c>
      <c r="M529" s="5">
        <v>0.0</v>
      </c>
    </row>
    <row r="530" ht="22.5" customHeight="1">
      <c r="A530" s="5" t="s">
        <v>2033</v>
      </c>
      <c r="B530" s="5" t="s">
        <v>84</v>
      </c>
      <c r="C530" s="6">
        <v>4.0</v>
      </c>
      <c r="D530" s="6">
        <v>9.0</v>
      </c>
      <c r="E530" s="6">
        <v>7.0</v>
      </c>
      <c r="F530" s="6">
        <v>30.0</v>
      </c>
      <c r="G530" s="6">
        <v>26.0</v>
      </c>
      <c r="H530" s="6">
        <v>12.0</v>
      </c>
      <c r="I530" s="6">
        <v>3.0</v>
      </c>
      <c r="J530" s="9">
        <v>45833.0</v>
      </c>
      <c r="K530" s="6">
        <v>8.0</v>
      </c>
      <c r="L530" s="5" t="s">
        <v>62</v>
      </c>
      <c r="M530" s="5">
        <v>0.0</v>
      </c>
    </row>
    <row r="531" ht="22.5" customHeight="1">
      <c r="A531" s="5" t="s">
        <v>2036</v>
      </c>
      <c r="B531" s="5" t="s">
        <v>22</v>
      </c>
      <c r="C531" s="6">
        <v>1.0</v>
      </c>
      <c r="D531" s="6">
        <v>2.0</v>
      </c>
      <c r="E531" s="6">
        <v>14.0</v>
      </c>
      <c r="F531" s="6">
        <v>56.0</v>
      </c>
      <c r="G531" s="6">
        <v>47.0</v>
      </c>
      <c r="H531" s="6">
        <v>19.0</v>
      </c>
      <c r="I531" s="6">
        <v>4.0</v>
      </c>
      <c r="J531" s="9">
        <v>46141.0</v>
      </c>
      <c r="K531" s="6">
        <v>10.0</v>
      </c>
      <c r="L531" s="5" t="s">
        <v>62</v>
      </c>
      <c r="M531" s="5">
        <v>0.0</v>
      </c>
    </row>
    <row r="532" ht="22.5" customHeight="1">
      <c r="A532" s="5" t="s">
        <v>2038</v>
      </c>
      <c r="B532" s="5" t="s">
        <v>44</v>
      </c>
      <c r="C532" s="6">
        <v>5.0</v>
      </c>
      <c r="D532" s="6">
        <v>26.0</v>
      </c>
      <c r="E532" s="6">
        <v>8.0</v>
      </c>
      <c r="F532" s="6">
        <v>58.0</v>
      </c>
      <c r="G532" s="6">
        <v>20.0</v>
      </c>
      <c r="H532" s="6">
        <v>17.0</v>
      </c>
      <c r="I532" s="6">
        <v>0.0</v>
      </c>
      <c r="J532" s="9">
        <v>45739.0</v>
      </c>
      <c r="K532" s="6">
        <v>7.0</v>
      </c>
      <c r="L532" s="5" t="s">
        <v>62</v>
      </c>
      <c r="M532" s="5">
        <v>0.0</v>
      </c>
    </row>
    <row r="533" ht="22.5" customHeight="1">
      <c r="A533" s="5" t="s">
        <v>2041</v>
      </c>
      <c r="B533" s="5" t="s">
        <v>84</v>
      </c>
      <c r="C533" s="6">
        <v>2.0</v>
      </c>
      <c r="D533" s="6">
        <v>3.0</v>
      </c>
      <c r="E533" s="6">
        <v>10.0</v>
      </c>
      <c r="F533" s="6">
        <v>7.0</v>
      </c>
      <c r="G533" s="6">
        <v>39.0</v>
      </c>
      <c r="H533" s="6">
        <v>19.0</v>
      </c>
      <c r="I533" s="6">
        <v>2.0</v>
      </c>
      <c r="J533" s="9">
        <v>44658.0</v>
      </c>
      <c r="K533" s="6">
        <v>2.0</v>
      </c>
      <c r="L533" s="5" t="s">
        <v>113</v>
      </c>
      <c r="M533" s="5">
        <v>1.0</v>
      </c>
    </row>
    <row r="534" ht="22.5" customHeight="1">
      <c r="A534" s="5" t="s">
        <v>2044</v>
      </c>
      <c r="B534" s="5" t="s">
        <v>22</v>
      </c>
      <c r="C534" s="6">
        <v>5.0</v>
      </c>
      <c r="D534" s="6">
        <v>17.0</v>
      </c>
      <c r="E534" s="6">
        <v>7.0</v>
      </c>
      <c r="F534" s="6">
        <v>56.0</v>
      </c>
      <c r="G534" s="6">
        <v>22.0</v>
      </c>
      <c r="H534" s="6">
        <v>5.0</v>
      </c>
      <c r="I534" s="6">
        <v>5.0</v>
      </c>
      <c r="J534" s="9">
        <v>45848.0</v>
      </c>
      <c r="K534" s="6">
        <v>6.0</v>
      </c>
      <c r="L534" s="5" t="s">
        <v>62</v>
      </c>
      <c r="M534" s="5">
        <v>0.0</v>
      </c>
    </row>
    <row r="535" ht="22.5" customHeight="1">
      <c r="A535" s="5" t="s">
        <v>2046</v>
      </c>
      <c r="B535" s="5" t="s">
        <v>65</v>
      </c>
      <c r="C535" s="6">
        <v>4.0</v>
      </c>
      <c r="D535" s="6">
        <v>9.0</v>
      </c>
      <c r="E535" s="6">
        <v>3.0</v>
      </c>
      <c r="F535" s="6">
        <v>17.0</v>
      </c>
      <c r="G535" s="6">
        <v>23.0</v>
      </c>
      <c r="H535" s="6">
        <v>18.0</v>
      </c>
      <c r="I535" s="6">
        <v>1.0</v>
      </c>
      <c r="J535" s="9">
        <v>45407.0</v>
      </c>
      <c r="K535" s="6">
        <v>4.0</v>
      </c>
      <c r="L535" s="10" t="s">
        <v>62</v>
      </c>
      <c r="M535" s="10">
        <v>0.0</v>
      </c>
    </row>
    <row r="536" ht="22.5" customHeight="1">
      <c r="A536" s="5" t="s">
        <v>2048</v>
      </c>
      <c r="B536" s="5" t="s">
        <v>84</v>
      </c>
      <c r="C536" s="6">
        <v>6.0</v>
      </c>
      <c r="D536" s="6">
        <v>33.0</v>
      </c>
      <c r="E536" s="6">
        <v>4.0</v>
      </c>
      <c r="F536" s="6">
        <v>33.0</v>
      </c>
      <c r="G536" s="6">
        <v>46.0</v>
      </c>
      <c r="H536" s="6">
        <v>16.0</v>
      </c>
      <c r="I536" s="6">
        <v>1.0</v>
      </c>
      <c r="J536" s="9">
        <v>45877.0</v>
      </c>
      <c r="K536" s="6">
        <v>6.0</v>
      </c>
      <c r="L536" s="5" t="s">
        <v>62</v>
      </c>
      <c r="M536" s="5">
        <v>0.0</v>
      </c>
    </row>
    <row r="537" ht="22.5" customHeight="1">
      <c r="A537" s="5" t="s">
        <v>2052</v>
      </c>
      <c r="B537" s="5" t="s">
        <v>22</v>
      </c>
      <c r="C537" s="6">
        <v>7.0</v>
      </c>
      <c r="D537" s="6">
        <v>28.0</v>
      </c>
      <c r="E537" s="6">
        <v>2.0</v>
      </c>
      <c r="F537" s="6">
        <v>30.0</v>
      </c>
      <c r="G537" s="6">
        <v>24.0</v>
      </c>
      <c r="H537" s="6">
        <v>6.0</v>
      </c>
      <c r="I537" s="6">
        <v>2.0</v>
      </c>
      <c r="J537" s="9">
        <v>44855.0</v>
      </c>
      <c r="K537" s="6">
        <v>2.0</v>
      </c>
      <c r="L537" s="10" t="s">
        <v>113</v>
      </c>
      <c r="M537" s="10">
        <v>1.0</v>
      </c>
    </row>
    <row r="538" ht="22.5" customHeight="1">
      <c r="A538" s="5" t="s">
        <v>2055</v>
      </c>
      <c r="B538" s="5" t="s">
        <v>22</v>
      </c>
      <c r="C538" s="6">
        <v>7.0</v>
      </c>
      <c r="D538" s="6">
        <v>18.0</v>
      </c>
      <c r="E538" s="6">
        <v>12.0</v>
      </c>
      <c r="F538" s="6">
        <v>26.0</v>
      </c>
      <c r="G538" s="6">
        <v>14.0</v>
      </c>
      <c r="H538" s="6">
        <v>9.0</v>
      </c>
      <c r="I538" s="6">
        <v>0.0</v>
      </c>
      <c r="J538" s="9">
        <v>45129.0</v>
      </c>
      <c r="K538" s="6">
        <v>1.0</v>
      </c>
      <c r="L538" s="5" t="s">
        <v>113</v>
      </c>
      <c r="M538" s="5">
        <v>1.0</v>
      </c>
    </row>
    <row r="539" ht="22.5" customHeight="1">
      <c r="A539" s="5" t="s">
        <v>2057</v>
      </c>
      <c r="B539" s="5" t="s">
        <v>65</v>
      </c>
      <c r="C539" s="6">
        <v>5.0</v>
      </c>
      <c r="D539" s="6">
        <v>19.0</v>
      </c>
      <c r="E539" s="6">
        <v>2.0</v>
      </c>
      <c r="F539" s="6">
        <v>59.0</v>
      </c>
      <c r="G539" s="6">
        <v>27.0</v>
      </c>
      <c r="H539" s="6">
        <v>13.0</v>
      </c>
      <c r="I539" s="6">
        <v>2.0</v>
      </c>
      <c r="J539" s="9">
        <v>44902.0</v>
      </c>
      <c r="K539" s="6">
        <v>4.0</v>
      </c>
      <c r="L539" s="5" t="s">
        <v>113</v>
      </c>
      <c r="M539" s="5">
        <v>1.0</v>
      </c>
    </row>
    <row r="540" ht="22.5" customHeight="1">
      <c r="A540" s="5" t="s">
        <v>2060</v>
      </c>
      <c r="B540" s="5" t="s">
        <v>84</v>
      </c>
      <c r="C540" s="6">
        <v>5.0</v>
      </c>
      <c r="D540" s="6">
        <v>24.0</v>
      </c>
      <c r="E540" s="6">
        <v>6.0</v>
      </c>
      <c r="F540" s="6">
        <v>19.0</v>
      </c>
      <c r="G540" s="6">
        <v>24.0</v>
      </c>
      <c r="H540" s="6">
        <v>4.0</v>
      </c>
      <c r="I540" s="6">
        <v>1.0</v>
      </c>
      <c r="J540" s="9">
        <v>45528.0</v>
      </c>
      <c r="K540" s="6">
        <v>7.0</v>
      </c>
      <c r="L540" s="5" t="s">
        <v>62</v>
      </c>
      <c r="M540" s="5">
        <v>0.0</v>
      </c>
    </row>
    <row r="541" ht="22.5" customHeight="1">
      <c r="A541" s="5" t="s">
        <v>2063</v>
      </c>
      <c r="B541" s="5" t="s">
        <v>65</v>
      </c>
      <c r="C541" s="6">
        <v>6.0</v>
      </c>
      <c r="D541" s="6">
        <v>35.0</v>
      </c>
      <c r="E541" s="6">
        <v>5.0</v>
      </c>
      <c r="F541" s="6">
        <v>41.0</v>
      </c>
      <c r="G541" s="6">
        <v>28.0</v>
      </c>
      <c r="H541" s="6">
        <v>1.0</v>
      </c>
      <c r="I541" s="6">
        <v>3.0</v>
      </c>
      <c r="J541" s="9">
        <v>45047.0</v>
      </c>
      <c r="K541" s="6">
        <v>4.0</v>
      </c>
      <c r="L541" s="5" t="s">
        <v>113</v>
      </c>
      <c r="M541" s="5">
        <v>1.0</v>
      </c>
    </row>
    <row r="542" ht="22.5" customHeight="1">
      <c r="A542" s="5" t="s">
        <v>2071</v>
      </c>
      <c r="B542" s="5" t="s">
        <v>170</v>
      </c>
      <c r="C542" s="6">
        <v>5.0</v>
      </c>
      <c r="D542" s="6">
        <v>27.0</v>
      </c>
      <c r="E542" s="6">
        <v>4.0</v>
      </c>
      <c r="F542" s="6">
        <v>38.0</v>
      </c>
      <c r="G542" s="6">
        <v>23.0</v>
      </c>
      <c r="H542" s="6">
        <v>12.0</v>
      </c>
      <c r="I542" s="6">
        <v>2.0</v>
      </c>
      <c r="J542" s="9">
        <v>45468.0</v>
      </c>
      <c r="K542" s="6">
        <v>6.0</v>
      </c>
      <c r="L542" s="5" t="s">
        <v>62</v>
      </c>
      <c r="M542" s="5">
        <v>0.0</v>
      </c>
    </row>
    <row r="543" ht="22.5" customHeight="1">
      <c r="A543" s="5" t="s">
        <v>2076</v>
      </c>
      <c r="B543" s="5" t="s">
        <v>22</v>
      </c>
      <c r="C543" s="6">
        <v>6.0</v>
      </c>
      <c r="D543" s="6">
        <v>17.0</v>
      </c>
      <c r="E543" s="6">
        <v>4.0</v>
      </c>
      <c r="F543" s="6">
        <v>58.0</v>
      </c>
      <c r="G543" s="6">
        <v>10.0</v>
      </c>
      <c r="H543" s="6">
        <v>4.0</v>
      </c>
      <c r="I543" s="6">
        <v>1.0</v>
      </c>
      <c r="J543" s="9">
        <v>46180.0</v>
      </c>
      <c r="K543" s="6">
        <v>3.0</v>
      </c>
      <c r="L543" s="5" t="s">
        <v>62</v>
      </c>
      <c r="M543" s="5">
        <v>0.0</v>
      </c>
    </row>
    <row r="544" ht="22.5" customHeight="1">
      <c r="A544" s="5" t="s">
        <v>2081</v>
      </c>
      <c r="B544" s="5" t="s">
        <v>22</v>
      </c>
      <c r="C544" s="6">
        <v>9.0</v>
      </c>
      <c r="D544" s="6">
        <v>18.0</v>
      </c>
      <c r="E544" s="6">
        <v>2.0</v>
      </c>
      <c r="F544" s="6">
        <v>44.0</v>
      </c>
      <c r="G544" s="6">
        <v>10.0</v>
      </c>
      <c r="H544" s="6">
        <v>18.0</v>
      </c>
      <c r="I544" s="6">
        <v>1.0</v>
      </c>
      <c r="J544" s="9">
        <v>45355.0</v>
      </c>
      <c r="K544" s="6">
        <v>2.0</v>
      </c>
      <c r="L544" s="5" t="s">
        <v>62</v>
      </c>
      <c r="M544" s="5">
        <v>0.0</v>
      </c>
    </row>
    <row r="545" ht="22.5" customHeight="1">
      <c r="A545" s="5" t="s">
        <v>2085</v>
      </c>
      <c r="B545" s="5" t="s">
        <v>84</v>
      </c>
      <c r="C545" s="6">
        <v>3.0</v>
      </c>
      <c r="D545" s="6">
        <v>10.0</v>
      </c>
      <c r="E545" s="6">
        <v>11.0</v>
      </c>
      <c r="F545" s="6">
        <v>6.0</v>
      </c>
      <c r="G545" s="6">
        <v>18.0</v>
      </c>
      <c r="H545" s="6">
        <v>15.0</v>
      </c>
      <c r="I545" s="6">
        <v>5.0</v>
      </c>
      <c r="J545" s="9">
        <v>45756.0</v>
      </c>
      <c r="K545" s="6">
        <v>8.0</v>
      </c>
      <c r="L545" s="5" t="s">
        <v>62</v>
      </c>
      <c r="M545" s="5">
        <v>0.0</v>
      </c>
    </row>
    <row r="546" ht="22.5" customHeight="1">
      <c r="A546" s="5" t="s">
        <v>2089</v>
      </c>
      <c r="B546" s="5" t="s">
        <v>65</v>
      </c>
      <c r="C546" s="6">
        <v>6.0</v>
      </c>
      <c r="D546" s="6">
        <v>35.0</v>
      </c>
      <c r="E546" s="6">
        <v>6.0</v>
      </c>
      <c r="F546" s="6">
        <v>54.0</v>
      </c>
      <c r="G546" s="6">
        <v>18.0</v>
      </c>
      <c r="H546" s="6">
        <v>19.0</v>
      </c>
      <c r="I546" s="6">
        <v>0.0</v>
      </c>
      <c r="J546" s="9">
        <v>44849.0</v>
      </c>
      <c r="K546" s="6">
        <v>1.0</v>
      </c>
      <c r="L546" s="5" t="s">
        <v>113</v>
      </c>
      <c r="M546" s="5">
        <v>1.0</v>
      </c>
    </row>
    <row r="547" ht="22.5" customHeight="1">
      <c r="A547" s="5" t="s">
        <v>2093</v>
      </c>
      <c r="B547" s="5" t="s">
        <v>84</v>
      </c>
      <c r="C547" s="6">
        <v>3.0</v>
      </c>
      <c r="D547" s="6">
        <v>11.0</v>
      </c>
      <c r="E547" s="6">
        <v>4.0</v>
      </c>
      <c r="F547" s="6">
        <v>52.0</v>
      </c>
      <c r="G547" s="6">
        <v>19.0</v>
      </c>
      <c r="H547" s="6">
        <v>15.0</v>
      </c>
      <c r="I547" s="6">
        <v>2.0</v>
      </c>
      <c r="J547" s="9">
        <v>46098.0</v>
      </c>
      <c r="K547" s="6">
        <v>7.0</v>
      </c>
      <c r="L547" s="5" t="s">
        <v>62</v>
      </c>
      <c r="M547" s="5">
        <v>0.0</v>
      </c>
    </row>
    <row r="548" ht="22.5" customHeight="1">
      <c r="A548" s="5" t="s">
        <v>2098</v>
      </c>
      <c r="B548" s="5" t="s">
        <v>22</v>
      </c>
      <c r="C548" s="6">
        <v>8.0</v>
      </c>
      <c r="D548" s="6">
        <v>13.0</v>
      </c>
      <c r="E548" s="6">
        <v>10.0</v>
      </c>
      <c r="F548" s="6">
        <v>49.0</v>
      </c>
      <c r="G548" s="6">
        <v>36.0</v>
      </c>
      <c r="H548" s="6">
        <v>14.0</v>
      </c>
      <c r="I548" s="6">
        <v>1.0</v>
      </c>
      <c r="J548" s="9">
        <v>46051.0</v>
      </c>
      <c r="K548" s="6">
        <v>7.0</v>
      </c>
      <c r="L548" s="5" t="s">
        <v>62</v>
      </c>
      <c r="M548" s="5">
        <v>0.0</v>
      </c>
    </row>
    <row r="549" ht="22.5" customHeight="1">
      <c r="A549" s="5" t="s">
        <v>2102</v>
      </c>
      <c r="B549" s="5" t="s">
        <v>170</v>
      </c>
      <c r="C549" s="6">
        <v>4.0</v>
      </c>
      <c r="D549" s="6">
        <v>15.0</v>
      </c>
      <c r="E549" s="6">
        <v>2.0</v>
      </c>
      <c r="F549" s="6">
        <v>38.0</v>
      </c>
      <c r="G549" s="6">
        <v>28.0</v>
      </c>
      <c r="H549" s="6">
        <v>20.0</v>
      </c>
      <c r="I549" s="6">
        <v>2.0</v>
      </c>
      <c r="J549" s="9">
        <v>44883.0</v>
      </c>
      <c r="K549" s="6">
        <v>1.0</v>
      </c>
      <c r="L549" s="5" t="s">
        <v>113</v>
      </c>
      <c r="M549" s="5">
        <v>1.0</v>
      </c>
    </row>
    <row r="550" ht="22.5" customHeight="1">
      <c r="A550" s="5" t="s">
        <v>2107</v>
      </c>
      <c r="B550" s="5" t="s">
        <v>84</v>
      </c>
      <c r="C550" s="6">
        <v>7.0</v>
      </c>
      <c r="D550" s="6">
        <v>15.0</v>
      </c>
      <c r="E550" s="6">
        <v>4.0</v>
      </c>
      <c r="F550" s="6">
        <v>32.0</v>
      </c>
      <c r="G550" s="6">
        <v>22.0</v>
      </c>
      <c r="H550" s="6">
        <v>12.0</v>
      </c>
      <c r="I550" s="6">
        <v>4.0</v>
      </c>
      <c r="J550" s="9">
        <v>45589.0</v>
      </c>
      <c r="K550" s="6">
        <v>6.0</v>
      </c>
      <c r="L550" s="5" t="s">
        <v>62</v>
      </c>
      <c r="M550" s="5">
        <v>0.0</v>
      </c>
    </row>
    <row r="551" ht="22.5" customHeight="1">
      <c r="A551" s="5" t="s">
        <v>2111</v>
      </c>
      <c r="B551" s="5" t="s">
        <v>22</v>
      </c>
      <c r="C551" s="6">
        <v>2.0</v>
      </c>
      <c r="D551" s="6">
        <v>11.0</v>
      </c>
      <c r="E551" s="6">
        <v>3.0</v>
      </c>
      <c r="F551" s="6">
        <v>7.0</v>
      </c>
      <c r="G551" s="6">
        <v>28.0</v>
      </c>
      <c r="H551" s="6">
        <v>5.0</v>
      </c>
      <c r="I551" s="6">
        <v>5.0</v>
      </c>
      <c r="J551" s="9">
        <v>45483.0</v>
      </c>
      <c r="K551" s="6">
        <v>3.0</v>
      </c>
      <c r="L551" s="5" t="s">
        <v>62</v>
      </c>
      <c r="M551" s="5">
        <v>0.0</v>
      </c>
    </row>
    <row r="552" ht="22.5" customHeight="1">
      <c r="A552" s="5" t="s">
        <v>2116</v>
      </c>
      <c r="B552" s="5" t="s">
        <v>84</v>
      </c>
      <c r="C552" s="6">
        <v>5.0</v>
      </c>
      <c r="D552" s="6">
        <v>16.0</v>
      </c>
      <c r="E552" s="6">
        <v>13.0</v>
      </c>
      <c r="F552" s="6">
        <v>49.0</v>
      </c>
      <c r="G552" s="6">
        <v>19.0</v>
      </c>
      <c r="H552" s="8"/>
      <c r="I552" s="6">
        <v>1.0</v>
      </c>
      <c r="J552" s="9">
        <v>45204.0</v>
      </c>
      <c r="K552" s="6">
        <v>3.0</v>
      </c>
      <c r="L552" s="5" t="s">
        <v>62</v>
      </c>
      <c r="M552" s="5">
        <v>0.0</v>
      </c>
    </row>
    <row r="553" ht="22.5" customHeight="1">
      <c r="A553" s="5" t="s">
        <v>2118</v>
      </c>
      <c r="B553" s="5" t="s">
        <v>22</v>
      </c>
      <c r="C553" s="6">
        <v>3.0</v>
      </c>
      <c r="D553" s="6">
        <v>12.0</v>
      </c>
      <c r="E553" s="6">
        <v>5.0</v>
      </c>
      <c r="F553" s="6">
        <v>46.0</v>
      </c>
      <c r="G553" s="6">
        <v>13.0</v>
      </c>
      <c r="H553" s="6">
        <v>16.0</v>
      </c>
      <c r="I553" s="6">
        <v>1.0</v>
      </c>
      <c r="J553" s="9">
        <v>45965.0</v>
      </c>
      <c r="K553" s="6">
        <v>6.0</v>
      </c>
      <c r="L553" s="5" t="s">
        <v>62</v>
      </c>
      <c r="M553" s="5">
        <v>0.0</v>
      </c>
    </row>
    <row r="554" ht="22.5" customHeight="1">
      <c r="A554" s="5" t="s">
        <v>2122</v>
      </c>
      <c r="B554" s="5" t="s">
        <v>22</v>
      </c>
      <c r="C554" s="6">
        <v>2.0</v>
      </c>
      <c r="D554" s="6">
        <v>4.0</v>
      </c>
      <c r="E554" s="6">
        <v>4.0</v>
      </c>
      <c r="F554" s="6">
        <v>50.0</v>
      </c>
      <c r="G554" s="6">
        <v>31.0</v>
      </c>
      <c r="H554" s="6">
        <v>13.0</v>
      </c>
      <c r="I554" s="6">
        <v>4.0</v>
      </c>
      <c r="J554" s="9">
        <v>44984.0</v>
      </c>
      <c r="K554" s="6">
        <v>3.0</v>
      </c>
      <c r="L554" s="5" t="s">
        <v>113</v>
      </c>
      <c r="M554" s="5">
        <v>1.0</v>
      </c>
    </row>
    <row r="555" ht="22.5" customHeight="1">
      <c r="A555" s="5" t="s">
        <v>2125</v>
      </c>
      <c r="B555" s="5" t="s">
        <v>22</v>
      </c>
      <c r="C555" s="6">
        <v>5.0</v>
      </c>
      <c r="D555" s="6">
        <v>23.0</v>
      </c>
      <c r="E555" s="6">
        <v>4.0</v>
      </c>
      <c r="F555" s="6">
        <v>55.0</v>
      </c>
      <c r="G555" s="6">
        <v>23.0</v>
      </c>
      <c r="H555" s="6">
        <v>6.0</v>
      </c>
      <c r="I555" s="6">
        <v>2.0</v>
      </c>
      <c r="J555" s="9">
        <v>45397.0</v>
      </c>
      <c r="K555" s="6">
        <v>3.0</v>
      </c>
      <c r="L555" s="5" t="s">
        <v>62</v>
      </c>
      <c r="M555" s="5">
        <v>0.0</v>
      </c>
    </row>
    <row r="556" ht="22.5" customHeight="1">
      <c r="A556" s="5" t="s">
        <v>2128</v>
      </c>
      <c r="B556" s="5" t="s">
        <v>84</v>
      </c>
      <c r="C556" s="6">
        <v>6.0</v>
      </c>
      <c r="D556" s="6">
        <v>30.0</v>
      </c>
      <c r="E556" s="6">
        <v>9.0</v>
      </c>
      <c r="F556" s="6">
        <v>31.0</v>
      </c>
      <c r="G556" s="6">
        <v>19.0</v>
      </c>
      <c r="H556" s="6">
        <v>2.0</v>
      </c>
      <c r="I556" s="6">
        <v>2.0</v>
      </c>
      <c r="J556" s="9">
        <v>46079.0</v>
      </c>
      <c r="K556" s="6">
        <v>6.0</v>
      </c>
      <c r="L556" s="5" t="s">
        <v>62</v>
      </c>
      <c r="M556" s="5">
        <v>0.0</v>
      </c>
    </row>
    <row r="557" ht="22.5" customHeight="1">
      <c r="A557" s="5" t="s">
        <v>2132</v>
      </c>
      <c r="B557" s="5" t="s">
        <v>65</v>
      </c>
      <c r="C557" s="6">
        <v>5.0</v>
      </c>
      <c r="D557" s="6">
        <v>15.0</v>
      </c>
      <c r="E557" s="6">
        <v>1.0</v>
      </c>
      <c r="F557" s="6">
        <v>14.0</v>
      </c>
      <c r="G557" s="6">
        <v>31.0</v>
      </c>
      <c r="H557" s="6">
        <v>18.0</v>
      </c>
      <c r="I557" s="6">
        <v>3.0</v>
      </c>
      <c r="J557" s="9">
        <v>45560.0</v>
      </c>
      <c r="K557" s="6">
        <v>9.0</v>
      </c>
      <c r="L557" s="5" t="s">
        <v>62</v>
      </c>
      <c r="M557" s="5">
        <v>0.0</v>
      </c>
    </row>
    <row r="558" ht="22.5" customHeight="1">
      <c r="A558" s="5" t="s">
        <v>2138</v>
      </c>
      <c r="B558" s="5" t="s">
        <v>22</v>
      </c>
      <c r="C558" s="6">
        <v>2.0</v>
      </c>
      <c r="D558" s="6">
        <v>4.0</v>
      </c>
      <c r="E558" s="6">
        <v>7.0</v>
      </c>
      <c r="F558" s="6">
        <v>12.0</v>
      </c>
      <c r="G558" s="6">
        <v>17.0</v>
      </c>
      <c r="H558" s="6">
        <v>12.0</v>
      </c>
      <c r="I558" s="6">
        <v>1.0</v>
      </c>
      <c r="J558" s="9">
        <v>45189.0</v>
      </c>
      <c r="K558" s="6">
        <v>2.0</v>
      </c>
      <c r="L558" s="5" t="s">
        <v>62</v>
      </c>
      <c r="M558" s="5">
        <v>0.0</v>
      </c>
    </row>
    <row r="559" ht="22.5" customHeight="1">
      <c r="A559" s="5" t="s">
        <v>2141</v>
      </c>
      <c r="B559" s="5" t="s">
        <v>65</v>
      </c>
      <c r="C559" s="6">
        <v>3.0</v>
      </c>
      <c r="D559" s="6">
        <v>6.0</v>
      </c>
      <c r="E559" s="6">
        <v>11.0</v>
      </c>
      <c r="F559" s="6">
        <v>24.0</v>
      </c>
      <c r="G559" s="6">
        <v>37.0</v>
      </c>
      <c r="H559" s="6">
        <v>18.0</v>
      </c>
      <c r="I559" s="6">
        <v>2.0</v>
      </c>
      <c r="J559" s="9">
        <v>45013.0</v>
      </c>
      <c r="K559" s="6">
        <v>3.0</v>
      </c>
      <c r="L559" s="5" t="s">
        <v>113</v>
      </c>
      <c r="M559" s="5">
        <v>1.0</v>
      </c>
    </row>
    <row r="560" ht="22.5" customHeight="1">
      <c r="A560" s="5" t="s">
        <v>2143</v>
      </c>
      <c r="B560" s="5" t="s">
        <v>22</v>
      </c>
      <c r="C560" s="6">
        <v>10.0</v>
      </c>
      <c r="D560" s="6">
        <v>38.0</v>
      </c>
      <c r="E560" s="6">
        <v>1.0</v>
      </c>
      <c r="F560" s="6">
        <v>15.0</v>
      </c>
      <c r="G560" s="6">
        <v>12.0</v>
      </c>
      <c r="H560" s="6">
        <v>16.0</v>
      </c>
      <c r="I560" s="6">
        <v>2.0</v>
      </c>
      <c r="J560" s="9">
        <v>44515.0</v>
      </c>
      <c r="K560" s="6">
        <v>4.0</v>
      </c>
      <c r="L560" s="5" t="s">
        <v>113</v>
      </c>
      <c r="M560" s="5">
        <v>1.0</v>
      </c>
    </row>
    <row r="561" ht="22.5" customHeight="1">
      <c r="A561" s="5" t="s">
        <v>2147</v>
      </c>
      <c r="B561" s="5" t="s">
        <v>84</v>
      </c>
      <c r="C561" s="6">
        <v>2.0</v>
      </c>
      <c r="D561" s="6">
        <v>11.0</v>
      </c>
      <c r="E561" s="6">
        <v>7.0</v>
      </c>
      <c r="F561" s="6">
        <v>55.0</v>
      </c>
      <c r="G561" s="6">
        <v>10.0</v>
      </c>
      <c r="H561" s="6">
        <v>5.0</v>
      </c>
      <c r="I561" s="6">
        <v>2.0</v>
      </c>
      <c r="J561" s="9">
        <v>45881.0</v>
      </c>
      <c r="K561" s="6">
        <v>9.0</v>
      </c>
      <c r="L561" s="5" t="s">
        <v>62</v>
      </c>
      <c r="M561" s="5">
        <v>0.0</v>
      </c>
    </row>
    <row r="562" ht="22.5" customHeight="1">
      <c r="A562" s="5" t="s">
        <v>2152</v>
      </c>
      <c r="B562" s="5" t="s">
        <v>22</v>
      </c>
      <c r="C562" s="6">
        <v>8.0</v>
      </c>
      <c r="D562" s="6">
        <v>27.0</v>
      </c>
      <c r="E562" s="6">
        <v>8.0</v>
      </c>
      <c r="F562" s="6">
        <v>35.0</v>
      </c>
      <c r="G562" s="6">
        <v>25.0</v>
      </c>
      <c r="H562" s="6">
        <v>7.0</v>
      </c>
      <c r="I562" s="6">
        <v>4.0</v>
      </c>
      <c r="J562" s="9">
        <v>46039.0</v>
      </c>
      <c r="K562" s="6">
        <v>7.0</v>
      </c>
      <c r="L562" s="5" t="s">
        <v>62</v>
      </c>
      <c r="M562" s="5">
        <v>0.0</v>
      </c>
    </row>
    <row r="563" ht="22.5" customHeight="1">
      <c r="A563" s="5" t="s">
        <v>2157</v>
      </c>
      <c r="B563" s="5" t="s">
        <v>84</v>
      </c>
      <c r="C563" s="6">
        <v>8.0</v>
      </c>
      <c r="D563" s="6">
        <v>42.0</v>
      </c>
      <c r="E563" s="6">
        <v>17.0</v>
      </c>
      <c r="F563" s="6">
        <v>49.0</v>
      </c>
      <c r="G563" s="6">
        <v>26.0</v>
      </c>
      <c r="H563" s="6">
        <v>6.0</v>
      </c>
      <c r="I563" s="6">
        <v>0.0</v>
      </c>
      <c r="J563" s="9">
        <v>44887.0</v>
      </c>
      <c r="K563" s="6">
        <v>3.0</v>
      </c>
      <c r="L563" s="5" t="s">
        <v>113</v>
      </c>
      <c r="M563" s="5">
        <v>1.0</v>
      </c>
    </row>
    <row r="564" ht="22.5" customHeight="1">
      <c r="A564" s="5" t="s">
        <v>2158</v>
      </c>
      <c r="B564" s="5" t="s">
        <v>65</v>
      </c>
      <c r="C564" s="6">
        <v>5.0</v>
      </c>
      <c r="D564" s="6">
        <v>26.0</v>
      </c>
      <c r="E564" s="6">
        <v>5.0</v>
      </c>
      <c r="F564" s="6">
        <v>30.0</v>
      </c>
      <c r="G564" s="6">
        <v>34.0</v>
      </c>
      <c r="H564" s="6">
        <v>11.0</v>
      </c>
      <c r="I564" s="6">
        <v>0.0</v>
      </c>
      <c r="J564" s="9">
        <v>45742.0</v>
      </c>
      <c r="K564" s="6">
        <v>5.0</v>
      </c>
      <c r="L564" s="5" t="s">
        <v>62</v>
      </c>
      <c r="M564" s="5">
        <v>0.0</v>
      </c>
    </row>
    <row r="565" ht="22.5" customHeight="1">
      <c r="A565" s="5" t="s">
        <v>2161</v>
      </c>
      <c r="B565" s="5" t="s">
        <v>65</v>
      </c>
      <c r="C565" s="6">
        <v>3.0</v>
      </c>
      <c r="D565" s="6">
        <v>13.0</v>
      </c>
      <c r="E565" s="6">
        <v>13.0</v>
      </c>
      <c r="F565" s="6">
        <v>39.0</v>
      </c>
      <c r="G565" s="6">
        <v>28.0</v>
      </c>
      <c r="H565" s="6">
        <v>17.0</v>
      </c>
      <c r="I565" s="6">
        <v>2.0</v>
      </c>
      <c r="J565" s="9">
        <v>44741.0</v>
      </c>
      <c r="K565" s="6">
        <v>4.0</v>
      </c>
      <c r="L565" s="5" t="s">
        <v>113</v>
      </c>
      <c r="M565" s="5">
        <v>1.0</v>
      </c>
    </row>
    <row r="566" ht="22.5" customHeight="1">
      <c r="A566" s="5" t="s">
        <v>2165</v>
      </c>
      <c r="B566" s="5" t="s">
        <v>65</v>
      </c>
      <c r="C566" s="6">
        <v>8.0</v>
      </c>
      <c r="D566" s="6">
        <v>40.0</v>
      </c>
      <c r="E566" s="6">
        <v>3.0</v>
      </c>
      <c r="F566" s="6">
        <v>59.0</v>
      </c>
      <c r="G566" s="6">
        <v>19.0</v>
      </c>
      <c r="H566" s="6">
        <v>20.0</v>
      </c>
      <c r="I566" s="6">
        <v>3.0</v>
      </c>
      <c r="J566" s="9">
        <v>44876.0</v>
      </c>
      <c r="K566" s="6">
        <v>3.0</v>
      </c>
      <c r="L566" s="5" t="s">
        <v>113</v>
      </c>
      <c r="M566" s="5">
        <v>1.0</v>
      </c>
    </row>
    <row r="567" ht="22.5" customHeight="1">
      <c r="A567" s="5" t="s">
        <v>2170</v>
      </c>
      <c r="B567" s="5" t="s">
        <v>65</v>
      </c>
      <c r="C567" s="6">
        <v>4.0</v>
      </c>
      <c r="D567" s="6">
        <v>19.0</v>
      </c>
      <c r="E567" s="6">
        <v>4.0</v>
      </c>
      <c r="F567" s="6">
        <v>42.0</v>
      </c>
      <c r="G567" s="6">
        <v>38.0</v>
      </c>
      <c r="H567" s="6">
        <v>11.0</v>
      </c>
      <c r="I567" s="6">
        <v>1.0</v>
      </c>
      <c r="J567" s="9">
        <v>46016.0</v>
      </c>
      <c r="K567" s="6">
        <v>5.0</v>
      </c>
      <c r="L567" s="5" t="s">
        <v>62</v>
      </c>
      <c r="M567" s="5">
        <v>0.0</v>
      </c>
    </row>
    <row r="568" ht="22.5" customHeight="1">
      <c r="A568" s="5" t="s">
        <v>2172</v>
      </c>
      <c r="B568" s="5" t="s">
        <v>22</v>
      </c>
      <c r="C568" s="6">
        <v>5.0</v>
      </c>
      <c r="D568" s="6">
        <v>12.0</v>
      </c>
      <c r="E568" s="6">
        <v>9.0</v>
      </c>
      <c r="F568" s="6">
        <v>31.0</v>
      </c>
      <c r="G568" s="6">
        <v>20.0</v>
      </c>
      <c r="H568" s="6">
        <v>12.0</v>
      </c>
      <c r="I568" s="6">
        <v>4.0</v>
      </c>
      <c r="J568" s="9">
        <v>44497.0</v>
      </c>
      <c r="K568" s="6">
        <v>3.0</v>
      </c>
      <c r="L568" s="5" t="s">
        <v>113</v>
      </c>
      <c r="M568" s="5">
        <v>1.0</v>
      </c>
    </row>
    <row r="569" ht="22.5" customHeight="1">
      <c r="A569" s="5" t="s">
        <v>2174</v>
      </c>
      <c r="B569" s="5" t="s">
        <v>84</v>
      </c>
      <c r="C569" s="6">
        <v>6.0</v>
      </c>
      <c r="D569" s="6">
        <v>35.0</v>
      </c>
      <c r="E569" s="6">
        <v>4.0</v>
      </c>
      <c r="F569" s="6">
        <v>28.0</v>
      </c>
      <c r="G569" s="6">
        <v>13.0</v>
      </c>
      <c r="H569" s="6">
        <v>16.0</v>
      </c>
      <c r="I569" s="6">
        <v>1.0</v>
      </c>
      <c r="J569" s="9">
        <v>45612.0</v>
      </c>
      <c r="K569" s="6">
        <v>7.0</v>
      </c>
      <c r="L569" s="5" t="s">
        <v>62</v>
      </c>
      <c r="M569" s="5">
        <v>0.0</v>
      </c>
    </row>
    <row r="570" ht="22.5" customHeight="1">
      <c r="A570" s="5" t="s">
        <v>2177</v>
      </c>
      <c r="B570" s="5" t="s">
        <v>84</v>
      </c>
      <c r="C570" s="6">
        <v>6.0</v>
      </c>
      <c r="D570" s="6">
        <v>21.0</v>
      </c>
      <c r="E570" s="6">
        <v>4.0</v>
      </c>
      <c r="F570" s="6">
        <v>12.0</v>
      </c>
      <c r="G570" s="6">
        <v>18.0</v>
      </c>
      <c r="H570" s="6">
        <v>10.0</v>
      </c>
      <c r="I570" s="6">
        <v>4.0</v>
      </c>
      <c r="J570" s="9">
        <v>46145.0</v>
      </c>
      <c r="K570" s="6">
        <v>7.0</v>
      </c>
      <c r="L570" s="5" t="s">
        <v>62</v>
      </c>
      <c r="M570" s="5">
        <v>0.0</v>
      </c>
    </row>
    <row r="571" ht="22.5" customHeight="1">
      <c r="A571" s="5" t="s">
        <v>2181</v>
      </c>
      <c r="B571" s="5" t="s">
        <v>22</v>
      </c>
      <c r="C571" s="6">
        <v>7.0</v>
      </c>
      <c r="D571" s="6">
        <v>32.0</v>
      </c>
      <c r="E571" s="6">
        <v>2.0</v>
      </c>
      <c r="F571" s="6">
        <v>24.0</v>
      </c>
      <c r="G571" s="6">
        <v>17.0</v>
      </c>
      <c r="H571" s="6">
        <v>5.0</v>
      </c>
      <c r="I571" s="6">
        <v>3.0</v>
      </c>
      <c r="J571" s="9">
        <v>45036.0</v>
      </c>
      <c r="K571" s="6">
        <v>4.0</v>
      </c>
      <c r="L571" s="10" t="s">
        <v>113</v>
      </c>
      <c r="M571" s="10">
        <v>1.0</v>
      </c>
    </row>
    <row r="572" ht="22.5" customHeight="1">
      <c r="A572" s="5" t="s">
        <v>2185</v>
      </c>
      <c r="B572" s="5" t="s">
        <v>22</v>
      </c>
      <c r="C572" s="6">
        <v>2.0</v>
      </c>
      <c r="D572" s="6">
        <v>10.0</v>
      </c>
      <c r="E572" s="6">
        <v>4.0</v>
      </c>
      <c r="F572" s="6">
        <v>49.0</v>
      </c>
      <c r="G572" s="6">
        <v>29.0</v>
      </c>
      <c r="H572" s="6">
        <v>19.0</v>
      </c>
      <c r="I572" s="6">
        <v>0.0</v>
      </c>
      <c r="J572" s="9">
        <v>45554.0</v>
      </c>
      <c r="K572" s="6">
        <v>8.0</v>
      </c>
      <c r="L572" s="10" t="s">
        <v>62</v>
      </c>
      <c r="M572" s="10">
        <v>0.0</v>
      </c>
    </row>
    <row r="573" ht="22.5" customHeight="1">
      <c r="A573" s="5" t="s">
        <v>2190</v>
      </c>
      <c r="B573" s="5" t="s">
        <v>84</v>
      </c>
      <c r="C573" s="6">
        <v>7.0</v>
      </c>
      <c r="D573" s="6">
        <v>25.0</v>
      </c>
      <c r="E573" s="6">
        <v>4.0</v>
      </c>
      <c r="F573" s="6">
        <v>13.0</v>
      </c>
      <c r="G573" s="6">
        <v>25.0</v>
      </c>
      <c r="H573" s="6">
        <v>13.0</v>
      </c>
      <c r="I573" s="6">
        <v>2.0</v>
      </c>
      <c r="J573" s="9">
        <v>45032.0</v>
      </c>
      <c r="K573" s="6">
        <v>1.0</v>
      </c>
      <c r="L573" s="5" t="s">
        <v>113</v>
      </c>
      <c r="M573" s="5">
        <v>1.0</v>
      </c>
    </row>
    <row r="574" ht="22.5" customHeight="1">
      <c r="A574" s="5" t="s">
        <v>2192</v>
      </c>
      <c r="B574" s="5" t="s">
        <v>22</v>
      </c>
      <c r="C574" s="6">
        <v>5.0</v>
      </c>
      <c r="D574" s="6">
        <v>22.0</v>
      </c>
      <c r="E574" s="6">
        <v>13.0</v>
      </c>
      <c r="F574" s="6">
        <v>30.0</v>
      </c>
      <c r="G574" s="6">
        <v>31.0</v>
      </c>
      <c r="H574" s="6">
        <v>6.0</v>
      </c>
      <c r="I574" s="6">
        <v>2.0</v>
      </c>
      <c r="J574" s="9">
        <v>46200.0</v>
      </c>
      <c r="K574" s="6">
        <v>5.0</v>
      </c>
      <c r="L574" s="5" t="s">
        <v>62</v>
      </c>
      <c r="M574" s="5">
        <v>0.0</v>
      </c>
    </row>
    <row r="575" ht="22.5" customHeight="1">
      <c r="A575" s="5" t="s">
        <v>2196</v>
      </c>
      <c r="B575" s="5" t="s">
        <v>22</v>
      </c>
      <c r="C575" s="6">
        <v>9.0</v>
      </c>
      <c r="D575" s="6">
        <v>15.0</v>
      </c>
      <c r="E575" s="6">
        <v>3.0</v>
      </c>
      <c r="F575" s="6">
        <v>55.0</v>
      </c>
      <c r="G575" s="6">
        <v>18.0</v>
      </c>
      <c r="H575" s="8"/>
      <c r="I575" s="6">
        <v>1.0</v>
      </c>
      <c r="J575" s="9">
        <v>45130.0</v>
      </c>
      <c r="K575" s="6">
        <v>3.0</v>
      </c>
      <c r="L575" s="5" t="s">
        <v>113</v>
      </c>
      <c r="M575" s="5">
        <v>1.0</v>
      </c>
    </row>
    <row r="576" ht="22.5" customHeight="1">
      <c r="A576" s="5" t="s">
        <v>2201</v>
      </c>
      <c r="B576" s="5" t="s">
        <v>170</v>
      </c>
      <c r="C576" s="6">
        <v>2.0</v>
      </c>
      <c r="D576" s="6">
        <v>4.0</v>
      </c>
      <c r="E576" s="6">
        <v>6.0</v>
      </c>
      <c r="F576" s="6">
        <v>17.0</v>
      </c>
      <c r="G576" s="6">
        <v>28.0</v>
      </c>
      <c r="H576" s="8"/>
      <c r="I576" s="6">
        <v>1.0</v>
      </c>
      <c r="J576" s="9">
        <v>44662.0</v>
      </c>
      <c r="K576" s="6">
        <v>1.0</v>
      </c>
      <c r="L576" s="5" t="s">
        <v>113</v>
      </c>
      <c r="M576" s="5">
        <v>1.0</v>
      </c>
    </row>
    <row r="577" ht="22.5" customHeight="1">
      <c r="A577" s="5" t="s">
        <v>2205</v>
      </c>
      <c r="B577" s="5" t="s">
        <v>65</v>
      </c>
      <c r="C577" s="6">
        <v>7.0</v>
      </c>
      <c r="D577" s="6">
        <v>28.0</v>
      </c>
      <c r="E577" s="6">
        <v>19.0</v>
      </c>
      <c r="F577" s="6">
        <v>9.0</v>
      </c>
      <c r="G577" s="6">
        <v>16.0</v>
      </c>
      <c r="H577" s="6">
        <v>13.0</v>
      </c>
      <c r="I577" s="6">
        <v>3.0</v>
      </c>
      <c r="J577" s="9">
        <v>45764.0</v>
      </c>
      <c r="K577" s="6">
        <v>7.0</v>
      </c>
      <c r="L577" s="5" t="s">
        <v>62</v>
      </c>
      <c r="M577" s="5">
        <v>0.0</v>
      </c>
    </row>
    <row r="578" ht="22.5" customHeight="1">
      <c r="A578" s="5" t="s">
        <v>2209</v>
      </c>
      <c r="B578" s="5" t="s">
        <v>65</v>
      </c>
      <c r="C578" s="6">
        <v>6.0</v>
      </c>
      <c r="D578" s="6">
        <v>28.0</v>
      </c>
      <c r="E578" s="6">
        <v>9.0</v>
      </c>
      <c r="F578" s="6">
        <v>12.0</v>
      </c>
      <c r="G578" s="6">
        <v>20.0</v>
      </c>
      <c r="H578" s="6">
        <v>19.0</v>
      </c>
      <c r="I578" s="6">
        <v>2.0</v>
      </c>
      <c r="J578" s="9">
        <v>44451.0</v>
      </c>
      <c r="K578" s="6">
        <v>5.0</v>
      </c>
      <c r="L578" s="5" t="s">
        <v>113</v>
      </c>
      <c r="M578" s="5">
        <v>1.0</v>
      </c>
    </row>
    <row r="579" ht="22.5" customHeight="1">
      <c r="A579" s="5" t="s">
        <v>2212</v>
      </c>
      <c r="B579" s="5" t="s">
        <v>44</v>
      </c>
      <c r="C579" s="6">
        <v>3.0</v>
      </c>
      <c r="D579" s="6">
        <v>13.0</v>
      </c>
      <c r="E579" s="6">
        <v>11.0</v>
      </c>
      <c r="F579" s="6">
        <v>47.0</v>
      </c>
      <c r="G579" s="6">
        <v>14.0</v>
      </c>
      <c r="H579" s="6">
        <v>12.0</v>
      </c>
      <c r="I579" s="6">
        <v>5.0</v>
      </c>
      <c r="J579" s="9">
        <v>45894.0</v>
      </c>
      <c r="K579" s="6">
        <v>6.0</v>
      </c>
      <c r="L579" s="5" t="s">
        <v>62</v>
      </c>
      <c r="M579" s="5">
        <v>0.0</v>
      </c>
    </row>
    <row r="580" ht="22.5" customHeight="1">
      <c r="A580" s="5" t="s">
        <v>2216</v>
      </c>
      <c r="B580" s="5" t="s">
        <v>65</v>
      </c>
      <c r="C580" s="6">
        <v>7.0</v>
      </c>
      <c r="D580" s="6">
        <v>13.0</v>
      </c>
      <c r="E580" s="6">
        <v>17.0</v>
      </c>
      <c r="F580" s="6">
        <v>31.0</v>
      </c>
      <c r="G580" s="6">
        <v>24.0</v>
      </c>
      <c r="H580" s="6">
        <v>13.0</v>
      </c>
      <c r="I580" s="6">
        <v>3.0</v>
      </c>
      <c r="J580" s="9">
        <v>45610.0</v>
      </c>
      <c r="K580" s="6">
        <v>8.0</v>
      </c>
      <c r="L580" s="5" t="s">
        <v>62</v>
      </c>
      <c r="M580" s="5">
        <v>0.0</v>
      </c>
    </row>
    <row r="581" ht="22.5" customHeight="1">
      <c r="A581" s="5" t="s">
        <v>2220</v>
      </c>
      <c r="B581" s="5" t="s">
        <v>170</v>
      </c>
      <c r="C581" s="6">
        <v>9.0</v>
      </c>
      <c r="D581" s="6">
        <v>14.0</v>
      </c>
      <c r="E581" s="6">
        <v>4.0</v>
      </c>
      <c r="F581" s="6">
        <v>55.0</v>
      </c>
      <c r="G581" s="6">
        <v>27.0</v>
      </c>
      <c r="H581" s="6">
        <v>9.0</v>
      </c>
      <c r="I581" s="6">
        <v>0.0</v>
      </c>
      <c r="J581" s="9">
        <v>46029.0</v>
      </c>
      <c r="K581" s="6">
        <v>5.0</v>
      </c>
      <c r="L581" s="5" t="s">
        <v>62</v>
      </c>
      <c r="M581" s="5">
        <v>0.0</v>
      </c>
    </row>
    <row r="582" ht="22.5" customHeight="1">
      <c r="A582" s="5" t="s">
        <v>2224</v>
      </c>
      <c r="B582" s="5" t="s">
        <v>84</v>
      </c>
      <c r="C582" s="6">
        <v>4.0</v>
      </c>
      <c r="D582" s="6">
        <v>18.0</v>
      </c>
      <c r="E582" s="6">
        <v>6.0</v>
      </c>
      <c r="F582" s="6">
        <v>6.0</v>
      </c>
      <c r="G582" s="6">
        <v>29.0</v>
      </c>
      <c r="H582" s="6">
        <v>4.0</v>
      </c>
      <c r="I582" s="6">
        <v>4.0</v>
      </c>
      <c r="J582" s="9">
        <v>45675.0</v>
      </c>
      <c r="K582" s="6">
        <v>7.0</v>
      </c>
      <c r="L582" s="5" t="s">
        <v>62</v>
      </c>
      <c r="M582" s="5">
        <v>0.0</v>
      </c>
    </row>
    <row r="583" ht="22.5" customHeight="1">
      <c r="A583" s="5" t="s">
        <v>2229</v>
      </c>
      <c r="B583" s="5" t="s">
        <v>44</v>
      </c>
      <c r="C583" s="6">
        <v>7.0</v>
      </c>
      <c r="D583" s="6">
        <v>11.0</v>
      </c>
      <c r="E583" s="6">
        <v>6.0</v>
      </c>
      <c r="F583" s="6">
        <v>35.0</v>
      </c>
      <c r="G583" s="6">
        <v>10.0</v>
      </c>
      <c r="H583" s="6">
        <v>2.0</v>
      </c>
      <c r="I583" s="6">
        <v>3.0</v>
      </c>
      <c r="J583" s="9">
        <v>44946.0</v>
      </c>
      <c r="K583" s="6">
        <v>4.0</v>
      </c>
      <c r="L583" s="5" t="s">
        <v>113</v>
      </c>
      <c r="M583" s="5">
        <v>1.0</v>
      </c>
    </row>
    <row r="584" ht="22.5" customHeight="1">
      <c r="A584" s="5" t="s">
        <v>2233</v>
      </c>
      <c r="B584" s="5" t="s">
        <v>44</v>
      </c>
      <c r="C584" s="6">
        <v>6.0</v>
      </c>
      <c r="D584" s="6">
        <v>26.0</v>
      </c>
      <c r="E584" s="6">
        <v>8.0</v>
      </c>
      <c r="F584" s="6">
        <v>57.0</v>
      </c>
      <c r="G584" s="6">
        <v>33.0</v>
      </c>
      <c r="H584" s="6">
        <v>12.0</v>
      </c>
      <c r="I584" s="6">
        <v>3.0</v>
      </c>
      <c r="J584" s="9">
        <v>44969.0</v>
      </c>
      <c r="K584" s="6">
        <v>4.0</v>
      </c>
      <c r="L584" s="10" t="s">
        <v>113</v>
      </c>
      <c r="M584" s="10">
        <v>1.0</v>
      </c>
    </row>
    <row r="585" ht="22.5" customHeight="1">
      <c r="A585" s="5" t="s">
        <v>2236</v>
      </c>
      <c r="B585" s="5" t="s">
        <v>84</v>
      </c>
      <c r="C585" s="6">
        <v>8.0</v>
      </c>
      <c r="D585" s="6">
        <v>37.0</v>
      </c>
      <c r="E585" s="6">
        <v>13.0</v>
      </c>
      <c r="F585" s="6">
        <v>53.0</v>
      </c>
      <c r="G585" s="6">
        <v>16.0</v>
      </c>
      <c r="H585" s="6">
        <v>13.0</v>
      </c>
      <c r="I585" s="6">
        <v>4.0</v>
      </c>
      <c r="J585" s="9">
        <v>45917.0</v>
      </c>
      <c r="K585" s="6">
        <v>6.0</v>
      </c>
      <c r="L585" s="5" t="s">
        <v>62</v>
      </c>
      <c r="M585" s="5">
        <v>0.0</v>
      </c>
    </row>
    <row r="586" ht="22.5" customHeight="1">
      <c r="A586" s="5" t="s">
        <v>2239</v>
      </c>
      <c r="B586" s="5" t="s">
        <v>84</v>
      </c>
      <c r="C586" s="6">
        <v>4.0</v>
      </c>
      <c r="D586" s="6">
        <v>9.0</v>
      </c>
      <c r="E586" s="6">
        <v>16.0</v>
      </c>
      <c r="F586" s="6">
        <v>23.0</v>
      </c>
      <c r="G586" s="6">
        <v>17.0</v>
      </c>
      <c r="H586" s="6">
        <v>18.0</v>
      </c>
      <c r="I586" s="6">
        <v>3.0</v>
      </c>
      <c r="J586" s="9">
        <v>46241.0</v>
      </c>
      <c r="K586" s="6">
        <v>6.0</v>
      </c>
      <c r="L586" s="10" t="s">
        <v>62</v>
      </c>
      <c r="M586" s="10">
        <v>0.0</v>
      </c>
    </row>
    <row r="587" ht="22.5" customHeight="1">
      <c r="A587" s="5" t="s">
        <v>2243</v>
      </c>
      <c r="B587" s="5" t="s">
        <v>22</v>
      </c>
      <c r="C587" s="6">
        <v>4.0</v>
      </c>
      <c r="D587" s="6">
        <v>12.0</v>
      </c>
      <c r="E587" s="6">
        <v>1.0</v>
      </c>
      <c r="F587" s="6">
        <v>33.0</v>
      </c>
      <c r="G587" s="6">
        <v>20.0</v>
      </c>
      <c r="H587" s="6">
        <v>8.0</v>
      </c>
      <c r="I587" s="6">
        <v>2.0</v>
      </c>
      <c r="J587" s="9">
        <v>46107.0</v>
      </c>
      <c r="K587" s="6">
        <v>7.0</v>
      </c>
      <c r="L587" s="10" t="s">
        <v>62</v>
      </c>
      <c r="M587" s="10">
        <v>0.0</v>
      </c>
    </row>
    <row r="588" ht="22.5" customHeight="1">
      <c r="A588" s="5" t="s">
        <v>2245</v>
      </c>
      <c r="B588" s="5" t="s">
        <v>22</v>
      </c>
      <c r="C588" s="6">
        <v>4.0</v>
      </c>
      <c r="D588" s="6">
        <v>12.0</v>
      </c>
      <c r="E588" s="6">
        <v>6.0</v>
      </c>
      <c r="F588" s="6">
        <v>40.0</v>
      </c>
      <c r="G588" s="6">
        <v>26.0</v>
      </c>
      <c r="H588" s="6">
        <v>6.0</v>
      </c>
      <c r="I588" s="6">
        <v>2.0</v>
      </c>
      <c r="J588" s="9">
        <v>46050.0</v>
      </c>
      <c r="K588" s="6">
        <v>6.0</v>
      </c>
      <c r="L588" s="5" t="s">
        <v>62</v>
      </c>
      <c r="M588" s="5">
        <v>0.0</v>
      </c>
    </row>
    <row r="589" ht="22.5" customHeight="1">
      <c r="A589" s="5" t="s">
        <v>2249</v>
      </c>
      <c r="B589" s="5" t="s">
        <v>22</v>
      </c>
      <c r="C589" s="6">
        <v>4.0</v>
      </c>
      <c r="D589" s="6">
        <v>18.0</v>
      </c>
      <c r="E589" s="6">
        <v>13.0</v>
      </c>
      <c r="F589" s="6">
        <v>14.0</v>
      </c>
      <c r="G589" s="6">
        <v>19.0</v>
      </c>
      <c r="H589" s="6">
        <v>2.0</v>
      </c>
      <c r="I589" s="6">
        <v>2.0</v>
      </c>
      <c r="J589" s="11"/>
      <c r="K589" s="6">
        <v>7.0</v>
      </c>
      <c r="L589" s="10" t="s">
        <v>113</v>
      </c>
      <c r="M589" s="10">
        <v>1.0</v>
      </c>
    </row>
    <row r="590" ht="22.5" customHeight="1">
      <c r="A590" s="5" t="s">
        <v>2253</v>
      </c>
      <c r="B590" s="5" t="s">
        <v>44</v>
      </c>
      <c r="C590" s="6">
        <v>8.0</v>
      </c>
      <c r="D590" s="6">
        <v>42.0</v>
      </c>
      <c r="E590" s="6">
        <v>3.0</v>
      </c>
      <c r="F590" s="6">
        <v>54.0</v>
      </c>
      <c r="G590" s="6">
        <v>12.0</v>
      </c>
      <c r="H590" s="6">
        <v>1.0</v>
      </c>
      <c r="I590" s="6">
        <v>2.0</v>
      </c>
      <c r="J590" s="9">
        <v>45830.0</v>
      </c>
      <c r="K590" s="6">
        <v>5.0</v>
      </c>
      <c r="L590" s="5" t="s">
        <v>62</v>
      </c>
      <c r="M590" s="5">
        <v>0.0</v>
      </c>
    </row>
    <row r="591" ht="22.5" customHeight="1">
      <c r="A591" s="5" t="s">
        <v>2255</v>
      </c>
      <c r="B591" s="5" t="s">
        <v>44</v>
      </c>
      <c r="C591" s="6">
        <v>5.0</v>
      </c>
      <c r="D591" s="6">
        <v>8.0</v>
      </c>
      <c r="E591" s="6">
        <v>5.0</v>
      </c>
      <c r="F591" s="6">
        <v>47.0</v>
      </c>
      <c r="G591" s="6">
        <v>14.0</v>
      </c>
      <c r="H591" s="6">
        <v>1.0</v>
      </c>
      <c r="I591" s="6">
        <v>0.0</v>
      </c>
      <c r="J591" s="9">
        <v>45672.0</v>
      </c>
      <c r="K591" s="6">
        <v>7.0</v>
      </c>
      <c r="L591" s="5" t="s">
        <v>62</v>
      </c>
      <c r="M591" s="5">
        <v>0.0</v>
      </c>
    </row>
    <row r="592" ht="22.5" customHeight="1">
      <c r="A592" s="5" t="s">
        <v>2257</v>
      </c>
      <c r="B592" s="5" t="s">
        <v>44</v>
      </c>
      <c r="C592" s="6">
        <v>5.0</v>
      </c>
      <c r="D592" s="6">
        <v>21.0</v>
      </c>
      <c r="E592" s="6">
        <v>11.0</v>
      </c>
      <c r="F592" s="6">
        <v>30.0</v>
      </c>
      <c r="G592" s="6">
        <v>23.0</v>
      </c>
      <c r="H592" s="8"/>
      <c r="I592" s="6">
        <v>4.0</v>
      </c>
      <c r="J592" s="9">
        <v>44618.0</v>
      </c>
      <c r="K592" s="6">
        <v>3.0</v>
      </c>
      <c r="L592" s="5" t="s">
        <v>113</v>
      </c>
      <c r="M592" s="5">
        <v>1.0</v>
      </c>
    </row>
    <row r="593" ht="22.5" customHeight="1">
      <c r="A593" s="5" t="s">
        <v>2261</v>
      </c>
      <c r="B593" s="5" t="s">
        <v>84</v>
      </c>
      <c r="C593" s="6">
        <v>7.0</v>
      </c>
      <c r="D593" s="6">
        <v>33.0</v>
      </c>
      <c r="E593" s="6">
        <v>5.0</v>
      </c>
      <c r="F593" s="6">
        <v>7.0</v>
      </c>
      <c r="G593" s="6">
        <v>17.0</v>
      </c>
      <c r="H593" s="6">
        <v>9.0</v>
      </c>
      <c r="I593" s="6">
        <v>3.0</v>
      </c>
      <c r="J593" s="9">
        <v>45324.0</v>
      </c>
      <c r="K593" s="6">
        <v>1.0</v>
      </c>
      <c r="L593" s="5" t="s">
        <v>62</v>
      </c>
      <c r="M593" s="5">
        <v>0.0</v>
      </c>
    </row>
    <row r="594" ht="22.5" customHeight="1">
      <c r="A594" s="5" t="s">
        <v>2265</v>
      </c>
      <c r="B594" s="5" t="s">
        <v>44</v>
      </c>
      <c r="C594" s="6">
        <v>4.0</v>
      </c>
      <c r="D594" s="6">
        <v>22.0</v>
      </c>
      <c r="E594" s="6">
        <v>13.0</v>
      </c>
      <c r="F594" s="6">
        <v>20.0</v>
      </c>
      <c r="G594" s="6">
        <v>22.0</v>
      </c>
      <c r="H594" s="6">
        <v>18.0</v>
      </c>
      <c r="I594" s="6">
        <v>0.0</v>
      </c>
      <c r="J594" s="9">
        <v>44773.0</v>
      </c>
      <c r="K594" s="6">
        <v>4.0</v>
      </c>
      <c r="L594" s="5" t="s">
        <v>113</v>
      </c>
      <c r="M594" s="5">
        <v>1.0</v>
      </c>
    </row>
    <row r="595" ht="22.5" customHeight="1">
      <c r="A595" s="5" t="s">
        <v>2268</v>
      </c>
      <c r="B595" s="5" t="s">
        <v>44</v>
      </c>
      <c r="C595" s="6">
        <v>6.0</v>
      </c>
      <c r="D595" s="6">
        <v>32.0</v>
      </c>
      <c r="E595" s="6">
        <v>8.0</v>
      </c>
      <c r="F595" s="6">
        <v>7.0</v>
      </c>
      <c r="G595" s="6">
        <v>24.0</v>
      </c>
      <c r="H595" s="6">
        <v>10.0</v>
      </c>
      <c r="I595" s="6">
        <v>0.0</v>
      </c>
      <c r="J595" s="9">
        <v>45177.0</v>
      </c>
      <c r="K595" s="6">
        <v>5.0</v>
      </c>
      <c r="L595" s="5" t="s">
        <v>62</v>
      </c>
      <c r="M595" s="5">
        <v>0.0</v>
      </c>
    </row>
    <row r="596" ht="22.5" customHeight="1">
      <c r="A596" s="5" t="s">
        <v>2272</v>
      </c>
      <c r="B596" s="5" t="s">
        <v>44</v>
      </c>
      <c r="C596" s="6">
        <v>2.0</v>
      </c>
      <c r="D596" s="6">
        <v>6.0</v>
      </c>
      <c r="E596" s="6">
        <v>2.0</v>
      </c>
      <c r="F596" s="6">
        <v>12.0</v>
      </c>
      <c r="G596" s="6">
        <v>28.0</v>
      </c>
      <c r="H596" s="6">
        <v>5.0</v>
      </c>
      <c r="I596" s="6">
        <v>2.0</v>
      </c>
      <c r="J596" s="9">
        <v>45712.0</v>
      </c>
      <c r="K596" s="6">
        <v>6.0</v>
      </c>
      <c r="L596" s="5" t="s">
        <v>62</v>
      </c>
      <c r="M596" s="5">
        <v>0.0</v>
      </c>
    </row>
    <row r="597" ht="22.5" customHeight="1">
      <c r="A597" s="5" t="s">
        <v>2274</v>
      </c>
      <c r="B597" s="5" t="s">
        <v>22</v>
      </c>
      <c r="C597" s="6">
        <v>4.0</v>
      </c>
      <c r="D597" s="6">
        <v>19.0</v>
      </c>
      <c r="E597" s="6">
        <v>6.0</v>
      </c>
      <c r="F597" s="6">
        <v>41.0</v>
      </c>
      <c r="G597" s="6">
        <v>22.0</v>
      </c>
      <c r="H597" s="6">
        <v>2.0</v>
      </c>
      <c r="I597" s="6">
        <v>2.0</v>
      </c>
      <c r="J597" s="9">
        <v>45274.0</v>
      </c>
      <c r="K597" s="6">
        <v>4.0</v>
      </c>
      <c r="L597" s="5" t="s">
        <v>62</v>
      </c>
      <c r="M597" s="5">
        <v>0.0</v>
      </c>
    </row>
    <row r="598" ht="22.5" customHeight="1">
      <c r="A598" s="5" t="s">
        <v>2276</v>
      </c>
      <c r="B598" s="5" t="s">
        <v>22</v>
      </c>
      <c r="C598" s="6">
        <v>8.0</v>
      </c>
      <c r="D598" s="6">
        <v>15.0</v>
      </c>
      <c r="E598" s="6">
        <v>5.0</v>
      </c>
      <c r="F598" s="6">
        <v>27.0</v>
      </c>
      <c r="G598" s="6">
        <v>28.0</v>
      </c>
      <c r="H598" s="6">
        <v>15.0</v>
      </c>
      <c r="I598" s="6">
        <v>1.0</v>
      </c>
      <c r="J598" s="9">
        <v>45859.0</v>
      </c>
      <c r="K598" s="6">
        <v>6.0</v>
      </c>
      <c r="L598" s="5" t="s">
        <v>62</v>
      </c>
      <c r="M598" s="5">
        <v>0.0</v>
      </c>
    </row>
    <row r="599" ht="22.5" customHeight="1">
      <c r="A599" s="5" t="s">
        <v>2280</v>
      </c>
      <c r="B599" s="5" t="s">
        <v>22</v>
      </c>
      <c r="C599" s="6">
        <v>13.0</v>
      </c>
      <c r="D599" s="6">
        <v>70.0</v>
      </c>
      <c r="E599" s="6">
        <v>6.0</v>
      </c>
      <c r="F599" s="6">
        <v>11.0</v>
      </c>
      <c r="G599" s="6">
        <v>25.0</v>
      </c>
      <c r="H599" s="6">
        <v>17.0</v>
      </c>
      <c r="I599" s="6">
        <v>0.0</v>
      </c>
      <c r="J599" s="9">
        <v>46212.0</v>
      </c>
      <c r="K599" s="6">
        <v>7.0</v>
      </c>
      <c r="L599" s="5" t="s">
        <v>62</v>
      </c>
      <c r="M599" s="5">
        <v>0.0</v>
      </c>
    </row>
    <row r="600" ht="22.5" customHeight="1">
      <c r="A600" s="5" t="s">
        <v>2284</v>
      </c>
      <c r="B600" s="5" t="s">
        <v>65</v>
      </c>
      <c r="C600" s="6">
        <v>7.0</v>
      </c>
      <c r="D600" s="6">
        <v>34.0</v>
      </c>
      <c r="E600" s="6">
        <v>1.0</v>
      </c>
      <c r="F600" s="6">
        <v>53.0</v>
      </c>
      <c r="G600" s="6">
        <v>31.0</v>
      </c>
      <c r="H600" s="6">
        <v>9.0</v>
      </c>
      <c r="I600" s="6">
        <v>3.0</v>
      </c>
      <c r="J600" s="9">
        <v>44913.0</v>
      </c>
      <c r="K600" s="6">
        <v>2.0</v>
      </c>
      <c r="L600" s="5" t="s">
        <v>113</v>
      </c>
      <c r="M600" s="5">
        <v>1.0</v>
      </c>
    </row>
    <row r="601" ht="22.5" customHeight="1">
      <c r="A601" s="5" t="s">
        <v>2288</v>
      </c>
      <c r="B601" s="5" t="s">
        <v>65</v>
      </c>
      <c r="C601" s="6">
        <v>7.0</v>
      </c>
      <c r="D601" s="6">
        <v>16.0</v>
      </c>
      <c r="E601" s="6">
        <v>4.0</v>
      </c>
      <c r="F601" s="6">
        <v>33.0</v>
      </c>
      <c r="G601" s="6">
        <v>30.0</v>
      </c>
      <c r="H601" s="6">
        <v>11.0</v>
      </c>
      <c r="I601" s="6">
        <v>2.0</v>
      </c>
      <c r="J601" s="9">
        <v>45894.0</v>
      </c>
      <c r="K601" s="6">
        <v>5.0</v>
      </c>
      <c r="L601" s="5" t="s">
        <v>62</v>
      </c>
      <c r="M601" s="5">
        <v>0.0</v>
      </c>
    </row>
    <row r="602" ht="22.5" customHeight="1">
      <c r="A602" s="5" t="s">
        <v>2290</v>
      </c>
      <c r="B602" s="5" t="s">
        <v>84</v>
      </c>
      <c r="C602" s="6">
        <v>11.0</v>
      </c>
      <c r="D602" s="6">
        <v>37.0</v>
      </c>
      <c r="E602" s="6">
        <v>16.0</v>
      </c>
      <c r="F602" s="6">
        <v>46.0</v>
      </c>
      <c r="G602" s="6">
        <v>33.0</v>
      </c>
      <c r="H602" s="6">
        <v>17.0</v>
      </c>
      <c r="I602" s="6">
        <v>3.0</v>
      </c>
      <c r="J602" s="9">
        <v>45298.0</v>
      </c>
      <c r="K602" s="6">
        <v>3.0</v>
      </c>
      <c r="L602" s="5" t="s">
        <v>62</v>
      </c>
      <c r="M602" s="5">
        <v>0.0</v>
      </c>
    </row>
    <row r="603" ht="22.5" customHeight="1">
      <c r="A603" s="5" t="s">
        <v>2295</v>
      </c>
      <c r="B603" s="5" t="s">
        <v>22</v>
      </c>
      <c r="C603" s="6">
        <v>6.0</v>
      </c>
      <c r="D603" s="6">
        <v>20.0</v>
      </c>
      <c r="E603" s="6">
        <v>12.0</v>
      </c>
      <c r="F603" s="6">
        <v>38.0</v>
      </c>
      <c r="G603" s="6">
        <v>19.0</v>
      </c>
      <c r="H603" s="6">
        <v>7.0</v>
      </c>
      <c r="I603" s="6">
        <v>0.0</v>
      </c>
      <c r="J603" s="9">
        <v>45634.0</v>
      </c>
      <c r="K603" s="6">
        <v>9.0</v>
      </c>
      <c r="L603" s="5" t="s">
        <v>62</v>
      </c>
      <c r="M603" s="5">
        <v>0.0</v>
      </c>
    </row>
    <row r="604" ht="22.5" customHeight="1">
      <c r="A604" s="5" t="s">
        <v>2298</v>
      </c>
      <c r="B604" s="5" t="s">
        <v>65</v>
      </c>
      <c r="C604" s="6">
        <v>3.0</v>
      </c>
      <c r="D604" s="6">
        <v>6.0</v>
      </c>
      <c r="E604" s="6">
        <v>5.0</v>
      </c>
      <c r="F604" s="6">
        <v>13.0</v>
      </c>
      <c r="G604" s="6">
        <v>16.0</v>
      </c>
      <c r="H604" s="6">
        <v>8.0</v>
      </c>
      <c r="I604" s="6">
        <v>2.0</v>
      </c>
      <c r="J604" s="9">
        <v>45243.0</v>
      </c>
      <c r="K604" s="6">
        <v>4.0</v>
      </c>
      <c r="L604" s="5" t="s">
        <v>62</v>
      </c>
      <c r="M604" s="5">
        <v>0.0</v>
      </c>
    </row>
    <row r="605" ht="22.5" customHeight="1">
      <c r="A605" s="5" t="s">
        <v>2301</v>
      </c>
      <c r="B605" s="5" t="s">
        <v>84</v>
      </c>
      <c r="C605" s="6">
        <v>7.0</v>
      </c>
      <c r="D605" s="6">
        <v>14.0</v>
      </c>
      <c r="E605" s="6">
        <v>2.0</v>
      </c>
      <c r="F605" s="6">
        <v>57.0</v>
      </c>
      <c r="G605" s="6">
        <v>11.0</v>
      </c>
      <c r="H605" s="6">
        <v>1.0</v>
      </c>
      <c r="I605" s="6">
        <v>3.0</v>
      </c>
      <c r="J605" s="9">
        <v>45997.0</v>
      </c>
      <c r="K605" s="6">
        <v>9.0</v>
      </c>
      <c r="L605" s="5" t="s">
        <v>62</v>
      </c>
      <c r="M605" s="5">
        <v>0.0</v>
      </c>
    </row>
    <row r="606" ht="22.5" customHeight="1">
      <c r="A606" s="5" t="s">
        <v>2305</v>
      </c>
      <c r="B606" s="5" t="s">
        <v>170</v>
      </c>
      <c r="C606" s="6">
        <v>10.0</v>
      </c>
      <c r="D606" s="6">
        <v>24.0</v>
      </c>
      <c r="E606" s="6">
        <v>8.0</v>
      </c>
      <c r="F606" s="6">
        <v>41.0</v>
      </c>
      <c r="G606" s="6">
        <v>19.0</v>
      </c>
      <c r="H606" s="6">
        <v>4.0</v>
      </c>
      <c r="I606" s="6">
        <v>2.0</v>
      </c>
      <c r="J606" s="9">
        <v>46174.0</v>
      </c>
      <c r="K606" s="6">
        <v>5.0</v>
      </c>
      <c r="L606" s="5" t="s">
        <v>62</v>
      </c>
      <c r="M606" s="5">
        <v>0.0</v>
      </c>
    </row>
    <row r="607" ht="22.5" customHeight="1">
      <c r="A607" s="5" t="s">
        <v>2309</v>
      </c>
      <c r="B607" s="5" t="s">
        <v>84</v>
      </c>
      <c r="C607" s="6">
        <v>8.0</v>
      </c>
      <c r="D607" s="6">
        <v>41.0</v>
      </c>
      <c r="E607" s="6">
        <v>5.0</v>
      </c>
      <c r="F607" s="6">
        <v>22.0</v>
      </c>
      <c r="G607" s="6">
        <v>21.0</v>
      </c>
      <c r="H607" s="6">
        <v>2.0</v>
      </c>
      <c r="I607" s="6">
        <v>1.0</v>
      </c>
      <c r="J607" s="9">
        <v>44700.0</v>
      </c>
      <c r="K607" s="6">
        <v>4.0</v>
      </c>
      <c r="L607" s="5" t="s">
        <v>113</v>
      </c>
      <c r="M607" s="5">
        <v>1.0</v>
      </c>
    </row>
    <row r="608" ht="22.5" customHeight="1">
      <c r="A608" s="5" t="s">
        <v>2311</v>
      </c>
      <c r="B608" s="5" t="s">
        <v>84</v>
      </c>
      <c r="C608" s="6">
        <v>4.0</v>
      </c>
      <c r="D608" s="6">
        <v>22.0</v>
      </c>
      <c r="E608" s="6">
        <v>10.0</v>
      </c>
      <c r="F608" s="6">
        <v>60.0</v>
      </c>
      <c r="G608" s="6">
        <v>30.0</v>
      </c>
      <c r="H608" s="6">
        <v>6.0</v>
      </c>
      <c r="I608" s="6">
        <v>1.0</v>
      </c>
      <c r="J608" s="9">
        <v>44950.0</v>
      </c>
      <c r="K608" s="6">
        <v>2.0</v>
      </c>
      <c r="L608" s="5" t="s">
        <v>113</v>
      </c>
      <c r="M608" s="5">
        <v>1.0</v>
      </c>
    </row>
    <row r="609" ht="22.5" customHeight="1">
      <c r="A609" s="5" t="s">
        <v>2315</v>
      </c>
      <c r="B609" s="5" t="s">
        <v>22</v>
      </c>
      <c r="C609" s="6">
        <v>4.0</v>
      </c>
      <c r="D609" s="6">
        <v>17.0</v>
      </c>
      <c r="E609" s="6">
        <v>15.0</v>
      </c>
      <c r="F609" s="6">
        <v>48.0</v>
      </c>
      <c r="G609" s="6">
        <v>37.0</v>
      </c>
      <c r="H609" s="6">
        <v>4.0</v>
      </c>
      <c r="I609" s="6">
        <v>1.0</v>
      </c>
      <c r="J609" s="9">
        <v>45217.0</v>
      </c>
      <c r="K609" s="6">
        <v>3.0</v>
      </c>
      <c r="L609" s="5" t="s">
        <v>62</v>
      </c>
      <c r="M609" s="5">
        <v>0.0</v>
      </c>
    </row>
    <row r="610" ht="22.5" customHeight="1">
      <c r="A610" s="5" t="s">
        <v>2319</v>
      </c>
      <c r="B610" s="5" t="s">
        <v>65</v>
      </c>
      <c r="C610" s="6">
        <v>10.0</v>
      </c>
      <c r="D610" s="6">
        <v>23.0</v>
      </c>
      <c r="E610" s="6">
        <v>5.0</v>
      </c>
      <c r="F610" s="6">
        <v>59.0</v>
      </c>
      <c r="G610" s="6">
        <v>33.0</v>
      </c>
      <c r="H610" s="6">
        <v>20.0</v>
      </c>
      <c r="I610" s="6">
        <v>3.0</v>
      </c>
      <c r="J610" s="9">
        <v>45052.0</v>
      </c>
      <c r="K610" s="6">
        <v>2.0</v>
      </c>
      <c r="L610" s="5" t="s">
        <v>113</v>
      </c>
      <c r="M610" s="5">
        <v>1.0</v>
      </c>
    </row>
    <row r="611" ht="22.5" customHeight="1">
      <c r="A611" s="5" t="s">
        <v>2321</v>
      </c>
      <c r="B611" s="5" t="s">
        <v>44</v>
      </c>
      <c r="C611" s="6">
        <v>8.0</v>
      </c>
      <c r="D611" s="6">
        <v>48.0</v>
      </c>
      <c r="E611" s="6">
        <v>2.0</v>
      </c>
      <c r="F611" s="6">
        <v>57.0</v>
      </c>
      <c r="G611" s="6">
        <v>20.0</v>
      </c>
      <c r="H611" s="6">
        <v>15.0</v>
      </c>
      <c r="I611" s="6">
        <v>1.0</v>
      </c>
      <c r="J611" s="9">
        <v>45740.0</v>
      </c>
      <c r="K611" s="6">
        <v>7.0</v>
      </c>
      <c r="L611" s="5" t="s">
        <v>62</v>
      </c>
      <c r="M611" s="5">
        <v>0.0</v>
      </c>
    </row>
    <row r="612" ht="22.5" customHeight="1">
      <c r="A612" s="5" t="s">
        <v>2323</v>
      </c>
      <c r="B612" s="5" t="s">
        <v>170</v>
      </c>
      <c r="C612" s="6">
        <v>3.0</v>
      </c>
      <c r="D612" s="6">
        <v>7.0</v>
      </c>
      <c r="E612" s="6">
        <v>8.0</v>
      </c>
      <c r="F612" s="6">
        <v>7.0</v>
      </c>
      <c r="G612" s="6">
        <v>26.0</v>
      </c>
      <c r="H612" s="6">
        <v>16.0</v>
      </c>
      <c r="I612" s="6">
        <v>2.0</v>
      </c>
      <c r="J612" s="9">
        <v>45733.0</v>
      </c>
      <c r="K612" s="6">
        <v>7.0</v>
      </c>
      <c r="L612" s="5" t="s">
        <v>62</v>
      </c>
      <c r="M612" s="5">
        <v>0.0</v>
      </c>
    </row>
    <row r="613" ht="22.5" customHeight="1">
      <c r="A613" s="5" t="s">
        <v>2325</v>
      </c>
      <c r="B613" s="5" t="s">
        <v>65</v>
      </c>
      <c r="C613" s="6">
        <v>8.0</v>
      </c>
      <c r="D613" s="6">
        <v>16.0</v>
      </c>
      <c r="E613" s="6">
        <v>9.0</v>
      </c>
      <c r="F613" s="6">
        <v>52.0</v>
      </c>
      <c r="G613" s="6">
        <v>18.0</v>
      </c>
      <c r="H613" s="6">
        <v>14.0</v>
      </c>
      <c r="I613" s="6">
        <v>2.0</v>
      </c>
      <c r="J613" s="9">
        <v>46178.0</v>
      </c>
      <c r="K613" s="6">
        <v>5.0</v>
      </c>
      <c r="L613" s="5" t="s">
        <v>62</v>
      </c>
      <c r="M613" s="5">
        <v>0.0</v>
      </c>
    </row>
    <row r="614" ht="22.5" customHeight="1">
      <c r="A614" s="5" t="s">
        <v>2327</v>
      </c>
      <c r="B614" s="5" t="s">
        <v>22</v>
      </c>
      <c r="C614" s="6">
        <v>4.0</v>
      </c>
      <c r="D614" s="6">
        <v>18.0</v>
      </c>
      <c r="E614" s="6">
        <v>9.0</v>
      </c>
      <c r="F614" s="6">
        <v>55.0</v>
      </c>
      <c r="G614" s="6">
        <v>15.0</v>
      </c>
      <c r="H614" s="6">
        <v>15.0</v>
      </c>
      <c r="I614" s="6">
        <v>1.0</v>
      </c>
      <c r="J614" s="9">
        <v>46148.0</v>
      </c>
      <c r="K614" s="6">
        <v>3.0</v>
      </c>
      <c r="L614" s="5" t="s">
        <v>62</v>
      </c>
      <c r="M614" s="5">
        <v>0.0</v>
      </c>
    </row>
    <row r="615" ht="22.5" customHeight="1">
      <c r="A615" s="5" t="s">
        <v>2329</v>
      </c>
      <c r="B615" s="5" t="s">
        <v>170</v>
      </c>
      <c r="C615" s="6">
        <v>4.0</v>
      </c>
      <c r="D615" s="6">
        <v>11.0</v>
      </c>
      <c r="E615" s="6">
        <v>5.0</v>
      </c>
      <c r="F615" s="6">
        <v>7.0</v>
      </c>
      <c r="G615" s="6">
        <v>22.0</v>
      </c>
      <c r="H615" s="6">
        <v>13.0</v>
      </c>
      <c r="I615" s="6">
        <v>1.0</v>
      </c>
      <c r="J615" s="9">
        <v>45394.0</v>
      </c>
      <c r="K615" s="6">
        <v>4.0</v>
      </c>
      <c r="L615" s="5" t="s">
        <v>62</v>
      </c>
      <c r="M615" s="5">
        <v>0.0</v>
      </c>
    </row>
    <row r="616" ht="22.5" customHeight="1">
      <c r="A616" s="5" t="s">
        <v>2331</v>
      </c>
      <c r="B616" s="5" t="s">
        <v>84</v>
      </c>
      <c r="C616" s="6">
        <v>9.0</v>
      </c>
      <c r="D616" s="6">
        <v>22.0</v>
      </c>
      <c r="E616" s="6">
        <v>3.0</v>
      </c>
      <c r="F616" s="6">
        <v>12.0</v>
      </c>
      <c r="G616" s="6">
        <v>39.0</v>
      </c>
      <c r="H616" s="6">
        <v>14.0</v>
      </c>
      <c r="I616" s="6">
        <v>5.0</v>
      </c>
      <c r="J616" s="9">
        <v>46134.0</v>
      </c>
      <c r="K616" s="6">
        <v>8.0</v>
      </c>
      <c r="L616" s="5" t="s">
        <v>62</v>
      </c>
      <c r="M616" s="5">
        <v>0.0</v>
      </c>
    </row>
    <row r="617" ht="22.5" customHeight="1">
      <c r="A617" s="5" t="s">
        <v>2335</v>
      </c>
      <c r="B617" s="5" t="s">
        <v>84</v>
      </c>
      <c r="C617" s="6">
        <v>6.0</v>
      </c>
      <c r="D617" s="6">
        <v>35.0</v>
      </c>
      <c r="E617" s="6">
        <v>4.0</v>
      </c>
      <c r="F617" s="6">
        <v>17.0</v>
      </c>
      <c r="G617" s="6">
        <v>26.0</v>
      </c>
      <c r="H617" s="6">
        <v>16.0</v>
      </c>
      <c r="I617" s="6">
        <v>4.0</v>
      </c>
      <c r="J617" s="9">
        <v>44983.0</v>
      </c>
      <c r="K617" s="6">
        <v>4.0</v>
      </c>
      <c r="L617" s="5" t="s">
        <v>113</v>
      </c>
      <c r="M617" s="5">
        <v>1.0</v>
      </c>
    </row>
    <row r="618" ht="22.5" customHeight="1">
      <c r="A618" s="5" t="s">
        <v>2337</v>
      </c>
      <c r="B618" s="5" t="s">
        <v>84</v>
      </c>
      <c r="C618" s="6">
        <v>5.0</v>
      </c>
      <c r="D618" s="6">
        <v>29.0</v>
      </c>
      <c r="E618" s="6">
        <v>3.0</v>
      </c>
      <c r="F618" s="6">
        <v>12.0</v>
      </c>
      <c r="G618" s="6">
        <v>22.0</v>
      </c>
      <c r="H618" s="6">
        <v>12.0</v>
      </c>
      <c r="I618" s="6">
        <v>1.0</v>
      </c>
      <c r="J618" s="9">
        <v>44964.0</v>
      </c>
      <c r="K618" s="6">
        <v>3.0</v>
      </c>
      <c r="L618" s="5" t="s">
        <v>113</v>
      </c>
      <c r="M618" s="5">
        <v>1.0</v>
      </c>
    </row>
    <row r="619" ht="22.5" customHeight="1">
      <c r="A619" s="5" t="s">
        <v>2340</v>
      </c>
      <c r="B619" s="5" t="s">
        <v>84</v>
      </c>
      <c r="C619" s="6">
        <v>5.0</v>
      </c>
      <c r="D619" s="6">
        <v>21.0</v>
      </c>
      <c r="E619" s="6">
        <v>5.0</v>
      </c>
      <c r="F619" s="6">
        <v>23.0</v>
      </c>
      <c r="G619" s="6">
        <v>13.0</v>
      </c>
      <c r="H619" s="6">
        <v>10.0</v>
      </c>
      <c r="I619" s="6">
        <v>2.0</v>
      </c>
      <c r="J619" s="9">
        <v>45245.0</v>
      </c>
      <c r="K619" s="6">
        <v>4.0</v>
      </c>
      <c r="L619" s="5" t="s">
        <v>62</v>
      </c>
      <c r="M619" s="5">
        <v>0.0</v>
      </c>
    </row>
    <row r="620" ht="22.5" customHeight="1">
      <c r="A620" s="5" t="s">
        <v>2344</v>
      </c>
      <c r="B620" s="5" t="s">
        <v>22</v>
      </c>
      <c r="C620" s="6">
        <v>5.0</v>
      </c>
      <c r="D620" s="6">
        <v>17.0</v>
      </c>
      <c r="E620" s="6">
        <v>8.0</v>
      </c>
      <c r="F620" s="6">
        <v>38.0</v>
      </c>
      <c r="G620" s="6">
        <v>19.0</v>
      </c>
      <c r="H620" s="6">
        <v>8.0</v>
      </c>
      <c r="I620" s="6">
        <v>2.0</v>
      </c>
      <c r="J620" s="9">
        <v>44903.0</v>
      </c>
      <c r="K620" s="6">
        <v>3.0</v>
      </c>
      <c r="L620" s="5" t="s">
        <v>113</v>
      </c>
      <c r="M620" s="5">
        <v>1.0</v>
      </c>
    </row>
    <row r="621" ht="22.5" customHeight="1">
      <c r="A621" s="5" t="s">
        <v>2346</v>
      </c>
      <c r="B621" s="5" t="s">
        <v>84</v>
      </c>
      <c r="C621" s="6">
        <v>8.0</v>
      </c>
      <c r="D621" s="6">
        <v>29.0</v>
      </c>
      <c r="E621" s="6">
        <v>19.0</v>
      </c>
      <c r="F621" s="6">
        <v>27.0</v>
      </c>
      <c r="G621" s="6">
        <v>24.0</v>
      </c>
      <c r="H621" s="6">
        <v>14.0</v>
      </c>
      <c r="I621" s="6">
        <v>0.0</v>
      </c>
      <c r="J621" s="9">
        <v>45456.0</v>
      </c>
      <c r="K621" s="6">
        <v>2.0</v>
      </c>
      <c r="L621" s="5" t="s">
        <v>62</v>
      </c>
      <c r="M621" s="5">
        <v>0.0</v>
      </c>
    </row>
    <row r="622" ht="22.5" customHeight="1">
      <c r="A622" s="5" t="s">
        <v>2349</v>
      </c>
      <c r="B622" s="5" t="s">
        <v>22</v>
      </c>
      <c r="C622" s="6">
        <v>6.0</v>
      </c>
      <c r="D622" s="6">
        <v>34.0</v>
      </c>
      <c r="E622" s="6">
        <v>3.0</v>
      </c>
      <c r="F622" s="6">
        <v>41.0</v>
      </c>
      <c r="G622" s="6">
        <v>22.0</v>
      </c>
      <c r="H622" s="6">
        <v>11.0</v>
      </c>
      <c r="I622" s="6">
        <v>2.0</v>
      </c>
      <c r="J622" s="9">
        <v>45784.0</v>
      </c>
      <c r="K622" s="6">
        <v>8.0</v>
      </c>
      <c r="L622" s="5" t="s">
        <v>62</v>
      </c>
      <c r="M622" s="5">
        <v>0.0</v>
      </c>
    </row>
    <row r="623" ht="22.5" customHeight="1">
      <c r="A623" s="5" t="s">
        <v>2353</v>
      </c>
      <c r="B623" s="5" t="s">
        <v>22</v>
      </c>
      <c r="C623" s="6">
        <v>6.0</v>
      </c>
      <c r="D623" s="6">
        <v>26.0</v>
      </c>
      <c r="E623" s="6">
        <v>10.0</v>
      </c>
      <c r="F623" s="6">
        <v>14.0</v>
      </c>
      <c r="G623" s="6">
        <v>22.0</v>
      </c>
      <c r="H623" s="6">
        <v>5.0</v>
      </c>
      <c r="I623" s="6">
        <v>3.0</v>
      </c>
      <c r="J623" s="9">
        <v>45980.0</v>
      </c>
      <c r="K623" s="6">
        <v>7.0</v>
      </c>
      <c r="L623" s="5" t="s">
        <v>62</v>
      </c>
      <c r="M623" s="5">
        <v>0.0</v>
      </c>
    </row>
    <row r="624" ht="22.5" customHeight="1">
      <c r="A624" s="5" t="s">
        <v>2356</v>
      </c>
      <c r="B624" s="5" t="s">
        <v>65</v>
      </c>
      <c r="C624" s="6">
        <v>3.0</v>
      </c>
      <c r="D624" s="6">
        <v>9.0</v>
      </c>
      <c r="E624" s="6">
        <v>1.0</v>
      </c>
      <c r="F624" s="6">
        <v>29.0</v>
      </c>
      <c r="G624" s="6">
        <v>21.0</v>
      </c>
      <c r="H624" s="6">
        <v>4.0</v>
      </c>
      <c r="I624" s="6">
        <v>3.0</v>
      </c>
      <c r="J624" s="9">
        <v>45770.0</v>
      </c>
      <c r="K624" s="6">
        <v>5.0</v>
      </c>
      <c r="L624" s="5" t="s">
        <v>62</v>
      </c>
      <c r="M624" s="5">
        <v>0.0</v>
      </c>
    </row>
    <row r="625" ht="22.5" customHeight="1">
      <c r="A625" s="5" t="s">
        <v>2360</v>
      </c>
      <c r="B625" s="5" t="s">
        <v>65</v>
      </c>
      <c r="C625" s="6">
        <v>9.0</v>
      </c>
      <c r="D625" s="6">
        <v>37.0</v>
      </c>
      <c r="E625" s="6">
        <v>8.0</v>
      </c>
      <c r="F625" s="6">
        <v>9.0</v>
      </c>
      <c r="G625" s="6">
        <v>17.0</v>
      </c>
      <c r="H625" s="6">
        <v>19.0</v>
      </c>
      <c r="I625" s="6">
        <v>5.0</v>
      </c>
      <c r="J625" s="9">
        <v>44637.0</v>
      </c>
      <c r="K625" s="6">
        <v>5.0</v>
      </c>
      <c r="L625" s="5" t="s">
        <v>113</v>
      </c>
      <c r="M625" s="5">
        <v>1.0</v>
      </c>
    </row>
    <row r="626" ht="22.5" customHeight="1">
      <c r="A626" s="5" t="s">
        <v>2362</v>
      </c>
      <c r="B626" s="5" t="s">
        <v>22</v>
      </c>
      <c r="C626" s="6">
        <v>7.0</v>
      </c>
      <c r="D626" s="6">
        <v>31.0</v>
      </c>
      <c r="E626" s="6">
        <v>3.0</v>
      </c>
      <c r="F626" s="6">
        <v>27.0</v>
      </c>
      <c r="G626" s="6">
        <v>21.0</v>
      </c>
      <c r="H626" s="6">
        <v>18.0</v>
      </c>
      <c r="I626" s="6">
        <v>4.0</v>
      </c>
      <c r="J626" s="9">
        <v>44882.0</v>
      </c>
      <c r="K626" s="6">
        <v>4.0</v>
      </c>
      <c r="L626" s="5" t="s">
        <v>113</v>
      </c>
      <c r="M626" s="5">
        <v>1.0</v>
      </c>
    </row>
    <row r="627" ht="22.5" customHeight="1">
      <c r="A627" s="5" t="s">
        <v>2366</v>
      </c>
      <c r="B627" s="5" t="s">
        <v>22</v>
      </c>
      <c r="C627" s="6">
        <v>5.0</v>
      </c>
      <c r="D627" s="6">
        <v>16.0</v>
      </c>
      <c r="E627" s="6">
        <v>9.0</v>
      </c>
      <c r="F627" s="6">
        <v>29.0</v>
      </c>
      <c r="G627" s="6">
        <v>21.0</v>
      </c>
      <c r="H627" s="6">
        <v>14.0</v>
      </c>
      <c r="I627" s="6">
        <v>4.0</v>
      </c>
      <c r="J627" s="9">
        <v>46068.0</v>
      </c>
      <c r="K627" s="6">
        <v>6.0</v>
      </c>
      <c r="L627" s="5" t="s">
        <v>62</v>
      </c>
      <c r="M627" s="5">
        <v>0.0</v>
      </c>
    </row>
    <row r="628" ht="22.5" customHeight="1">
      <c r="A628" s="5" t="s">
        <v>2370</v>
      </c>
      <c r="B628" s="5" t="s">
        <v>22</v>
      </c>
      <c r="C628" s="6">
        <v>6.0</v>
      </c>
      <c r="D628" s="6">
        <v>17.0</v>
      </c>
      <c r="E628" s="6">
        <v>4.0</v>
      </c>
      <c r="F628" s="6">
        <v>51.0</v>
      </c>
      <c r="G628" s="6">
        <v>30.0</v>
      </c>
      <c r="H628" s="8"/>
      <c r="I628" s="6">
        <v>2.0</v>
      </c>
      <c r="J628" s="9">
        <v>45473.0</v>
      </c>
      <c r="K628" s="6">
        <v>2.0</v>
      </c>
      <c r="L628" s="5" t="s">
        <v>62</v>
      </c>
      <c r="M628" s="5">
        <v>0.0</v>
      </c>
    </row>
    <row r="629" ht="22.5" customHeight="1">
      <c r="A629" s="5" t="s">
        <v>2373</v>
      </c>
      <c r="B629" s="5" t="s">
        <v>84</v>
      </c>
      <c r="C629" s="6">
        <v>6.0</v>
      </c>
      <c r="D629" s="6">
        <v>12.0</v>
      </c>
      <c r="E629" s="6">
        <v>1.0</v>
      </c>
      <c r="F629" s="6">
        <v>30.0</v>
      </c>
      <c r="G629" s="6">
        <v>25.0</v>
      </c>
      <c r="H629" s="8"/>
      <c r="I629" s="6">
        <v>2.0</v>
      </c>
      <c r="J629" s="9">
        <v>46240.0</v>
      </c>
      <c r="K629" s="6">
        <v>8.0</v>
      </c>
      <c r="L629" s="5" t="s">
        <v>62</v>
      </c>
      <c r="M629" s="5">
        <v>0.0</v>
      </c>
    </row>
    <row r="630" ht="22.5" customHeight="1">
      <c r="A630" s="5" t="s">
        <v>2376</v>
      </c>
      <c r="B630" s="5" t="s">
        <v>65</v>
      </c>
      <c r="C630" s="6">
        <v>5.0</v>
      </c>
      <c r="D630" s="6">
        <v>11.0</v>
      </c>
      <c r="E630" s="6">
        <v>16.0</v>
      </c>
      <c r="F630" s="6">
        <v>34.0</v>
      </c>
      <c r="G630" s="6">
        <v>35.0</v>
      </c>
      <c r="H630" s="6">
        <v>6.0</v>
      </c>
      <c r="I630" s="6">
        <v>2.0</v>
      </c>
      <c r="J630" s="9">
        <v>45637.0</v>
      </c>
      <c r="K630" s="6">
        <v>7.0</v>
      </c>
      <c r="L630" s="5" t="s">
        <v>62</v>
      </c>
      <c r="M630" s="5">
        <v>0.0</v>
      </c>
    </row>
    <row r="631" ht="22.5" customHeight="1">
      <c r="A631" s="5" t="s">
        <v>2379</v>
      </c>
      <c r="B631" s="5" t="s">
        <v>65</v>
      </c>
      <c r="C631" s="6">
        <v>6.0</v>
      </c>
      <c r="D631" s="6">
        <v>10.0</v>
      </c>
      <c r="E631" s="6">
        <v>5.0</v>
      </c>
      <c r="F631" s="6">
        <v>28.0</v>
      </c>
      <c r="G631" s="6">
        <v>30.0</v>
      </c>
      <c r="H631" s="6">
        <v>9.0</v>
      </c>
      <c r="I631" s="6">
        <v>1.0</v>
      </c>
      <c r="J631" s="9">
        <v>44948.0</v>
      </c>
      <c r="K631" s="6">
        <v>4.0</v>
      </c>
      <c r="L631" s="5" t="s">
        <v>113</v>
      </c>
      <c r="M631" s="5">
        <v>1.0</v>
      </c>
    </row>
    <row r="632" ht="22.5" customHeight="1">
      <c r="A632" s="5" t="s">
        <v>2381</v>
      </c>
      <c r="B632" s="5" t="s">
        <v>65</v>
      </c>
      <c r="C632" s="6">
        <v>3.0</v>
      </c>
      <c r="D632" s="6">
        <v>16.0</v>
      </c>
      <c r="E632" s="6">
        <v>4.0</v>
      </c>
      <c r="F632" s="6">
        <v>19.0</v>
      </c>
      <c r="G632" s="6">
        <v>26.0</v>
      </c>
      <c r="H632" s="6">
        <v>17.0</v>
      </c>
      <c r="I632" s="6">
        <v>4.0</v>
      </c>
      <c r="J632" s="9">
        <v>45813.0</v>
      </c>
      <c r="K632" s="6">
        <v>5.0</v>
      </c>
      <c r="L632" s="5" t="s">
        <v>62</v>
      </c>
      <c r="M632" s="5">
        <v>0.0</v>
      </c>
    </row>
    <row r="633" ht="22.5" customHeight="1">
      <c r="A633" s="5" t="s">
        <v>2383</v>
      </c>
      <c r="B633" s="5" t="s">
        <v>84</v>
      </c>
      <c r="C633" s="6">
        <v>8.0</v>
      </c>
      <c r="D633" s="6">
        <v>18.0</v>
      </c>
      <c r="E633" s="6">
        <v>9.0</v>
      </c>
      <c r="F633" s="6">
        <v>46.0</v>
      </c>
      <c r="G633" s="6">
        <v>18.0</v>
      </c>
      <c r="H633" s="6">
        <v>9.0</v>
      </c>
      <c r="I633" s="6">
        <v>1.0</v>
      </c>
      <c r="J633" s="9">
        <v>44688.0</v>
      </c>
      <c r="K633" s="6">
        <v>7.0</v>
      </c>
      <c r="L633" s="10" t="s">
        <v>113</v>
      </c>
      <c r="M633" s="10">
        <v>1.0</v>
      </c>
    </row>
    <row r="634" ht="22.5" customHeight="1">
      <c r="A634" s="5" t="s">
        <v>2385</v>
      </c>
      <c r="B634" s="5" t="s">
        <v>84</v>
      </c>
      <c r="C634" s="6">
        <v>4.0</v>
      </c>
      <c r="D634" s="6">
        <v>7.0</v>
      </c>
      <c r="E634" s="6">
        <v>12.0</v>
      </c>
      <c r="F634" s="6">
        <v>41.0</v>
      </c>
      <c r="G634" s="6">
        <v>23.0</v>
      </c>
      <c r="H634" s="6">
        <v>19.0</v>
      </c>
      <c r="I634" s="6">
        <v>4.0</v>
      </c>
      <c r="J634" s="9">
        <v>44608.0</v>
      </c>
      <c r="K634" s="6">
        <v>4.0</v>
      </c>
      <c r="L634" s="5" t="s">
        <v>113</v>
      </c>
      <c r="M634" s="5">
        <v>1.0</v>
      </c>
    </row>
    <row r="635" ht="22.5" customHeight="1">
      <c r="A635" s="5" t="s">
        <v>2388</v>
      </c>
      <c r="B635" s="5" t="s">
        <v>22</v>
      </c>
      <c r="C635" s="6">
        <v>11.0</v>
      </c>
      <c r="D635" s="6">
        <v>55.0</v>
      </c>
      <c r="E635" s="6">
        <v>6.0</v>
      </c>
      <c r="F635" s="6">
        <v>18.0</v>
      </c>
      <c r="G635" s="6">
        <v>29.0</v>
      </c>
      <c r="H635" s="6">
        <v>1.0</v>
      </c>
      <c r="I635" s="6">
        <v>3.0</v>
      </c>
      <c r="J635" s="9">
        <v>46170.0</v>
      </c>
      <c r="K635" s="6">
        <v>7.0</v>
      </c>
      <c r="L635" s="5" t="s">
        <v>62</v>
      </c>
      <c r="M635" s="5">
        <v>0.0</v>
      </c>
    </row>
    <row r="636" ht="22.5" customHeight="1">
      <c r="A636" s="5" t="s">
        <v>2389</v>
      </c>
      <c r="B636" s="5" t="s">
        <v>44</v>
      </c>
      <c r="C636" s="6">
        <v>9.0</v>
      </c>
      <c r="D636" s="6">
        <v>45.0</v>
      </c>
      <c r="E636" s="6">
        <v>8.0</v>
      </c>
      <c r="F636" s="6">
        <v>42.0</v>
      </c>
      <c r="G636" s="6">
        <v>29.0</v>
      </c>
      <c r="H636" s="6">
        <v>1.0</v>
      </c>
      <c r="I636" s="6">
        <v>1.0</v>
      </c>
      <c r="J636" s="9">
        <v>46209.0</v>
      </c>
      <c r="K636" s="6">
        <v>7.0</v>
      </c>
      <c r="L636" s="5" t="s">
        <v>62</v>
      </c>
      <c r="M636" s="5">
        <v>0.0</v>
      </c>
    </row>
    <row r="637" ht="22.5" customHeight="1">
      <c r="A637" s="5" t="s">
        <v>2392</v>
      </c>
      <c r="B637" s="5" t="s">
        <v>84</v>
      </c>
      <c r="C637" s="6">
        <v>5.0</v>
      </c>
      <c r="D637" s="6">
        <v>29.0</v>
      </c>
      <c r="E637" s="6">
        <v>12.0</v>
      </c>
      <c r="F637" s="6">
        <v>42.0</v>
      </c>
      <c r="G637" s="6">
        <v>22.0</v>
      </c>
      <c r="H637" s="8"/>
      <c r="I637" s="6">
        <v>3.0</v>
      </c>
      <c r="J637" s="9">
        <v>45812.0</v>
      </c>
      <c r="K637" s="6">
        <v>7.0</v>
      </c>
      <c r="L637" s="5" t="s">
        <v>62</v>
      </c>
      <c r="M637" s="5">
        <v>0.0</v>
      </c>
    </row>
    <row r="638" ht="22.5" customHeight="1">
      <c r="A638" s="5" t="s">
        <v>2396</v>
      </c>
      <c r="B638" s="5" t="s">
        <v>22</v>
      </c>
      <c r="C638" s="6">
        <v>3.0</v>
      </c>
      <c r="D638" s="6">
        <v>10.0</v>
      </c>
      <c r="E638" s="6">
        <v>8.0</v>
      </c>
      <c r="F638" s="6">
        <v>58.0</v>
      </c>
      <c r="G638" s="6">
        <v>31.0</v>
      </c>
      <c r="H638" s="6">
        <v>7.0</v>
      </c>
      <c r="I638" s="6">
        <v>2.0</v>
      </c>
      <c r="J638" s="9">
        <v>45837.0</v>
      </c>
      <c r="K638" s="6">
        <v>6.0</v>
      </c>
      <c r="L638" s="5" t="s">
        <v>62</v>
      </c>
      <c r="M638" s="5">
        <v>0.0</v>
      </c>
    </row>
    <row r="639" ht="22.5" customHeight="1">
      <c r="A639" s="5" t="s">
        <v>2399</v>
      </c>
      <c r="B639" s="5" t="s">
        <v>65</v>
      </c>
      <c r="C639" s="6">
        <v>6.0</v>
      </c>
      <c r="D639" s="6">
        <v>26.0</v>
      </c>
      <c r="E639" s="6">
        <v>8.0</v>
      </c>
      <c r="F639" s="6">
        <v>60.0</v>
      </c>
      <c r="G639" s="6">
        <v>16.0</v>
      </c>
      <c r="H639" s="6">
        <v>6.0</v>
      </c>
      <c r="I639" s="6">
        <v>2.0</v>
      </c>
      <c r="J639" s="9">
        <v>44467.0</v>
      </c>
      <c r="K639" s="6">
        <v>1.0</v>
      </c>
      <c r="L639" s="5" t="s">
        <v>113</v>
      </c>
      <c r="M639" s="5">
        <v>1.0</v>
      </c>
    </row>
    <row r="640" ht="22.5" customHeight="1">
      <c r="A640" s="5" t="s">
        <v>2402</v>
      </c>
      <c r="B640" s="5" t="s">
        <v>170</v>
      </c>
      <c r="C640" s="6">
        <v>2.0</v>
      </c>
      <c r="D640" s="6">
        <v>3.0</v>
      </c>
      <c r="E640" s="6">
        <v>6.0</v>
      </c>
      <c r="F640" s="6">
        <v>45.0</v>
      </c>
      <c r="G640" s="6">
        <v>40.0</v>
      </c>
      <c r="H640" s="6">
        <v>17.0</v>
      </c>
      <c r="I640" s="6">
        <v>2.0</v>
      </c>
      <c r="J640" s="9">
        <v>45307.0</v>
      </c>
      <c r="K640" s="6">
        <v>2.0</v>
      </c>
      <c r="L640" s="5" t="s">
        <v>62</v>
      </c>
      <c r="M640" s="5">
        <v>0.0</v>
      </c>
    </row>
    <row r="641" ht="22.5" customHeight="1">
      <c r="A641" s="5" t="s">
        <v>2404</v>
      </c>
      <c r="B641" s="5" t="s">
        <v>22</v>
      </c>
      <c r="C641" s="6">
        <v>5.0</v>
      </c>
      <c r="D641" s="6">
        <v>20.0</v>
      </c>
      <c r="E641" s="6">
        <v>14.0</v>
      </c>
      <c r="F641" s="6">
        <v>20.0</v>
      </c>
      <c r="G641" s="6">
        <v>16.0</v>
      </c>
      <c r="H641" s="6">
        <v>9.0</v>
      </c>
      <c r="I641" s="6">
        <v>2.0</v>
      </c>
      <c r="J641" s="9">
        <v>45956.0</v>
      </c>
      <c r="K641" s="6">
        <v>7.0</v>
      </c>
      <c r="L641" s="5" t="s">
        <v>62</v>
      </c>
      <c r="M641" s="5">
        <v>0.0</v>
      </c>
    </row>
    <row r="642" ht="22.5" customHeight="1">
      <c r="A642" s="5" t="s">
        <v>2406</v>
      </c>
      <c r="B642" s="5" t="s">
        <v>22</v>
      </c>
      <c r="C642" s="6">
        <v>11.0</v>
      </c>
      <c r="D642" s="6">
        <v>55.0</v>
      </c>
      <c r="E642" s="6">
        <v>4.0</v>
      </c>
      <c r="F642" s="6">
        <v>23.0</v>
      </c>
      <c r="G642" s="6">
        <v>21.0</v>
      </c>
      <c r="H642" s="6">
        <v>10.0</v>
      </c>
      <c r="I642" s="6">
        <v>1.0</v>
      </c>
      <c r="J642" s="9">
        <v>45601.0</v>
      </c>
      <c r="K642" s="6">
        <v>8.0</v>
      </c>
      <c r="L642" s="5" t="s">
        <v>62</v>
      </c>
      <c r="M642" s="5">
        <v>0.0</v>
      </c>
    </row>
    <row r="643" ht="22.5" customHeight="1">
      <c r="A643" s="5" t="s">
        <v>2409</v>
      </c>
      <c r="B643" s="5" t="s">
        <v>22</v>
      </c>
      <c r="C643" s="6">
        <v>5.0</v>
      </c>
      <c r="D643" s="6">
        <v>21.0</v>
      </c>
      <c r="E643" s="6">
        <v>12.0</v>
      </c>
      <c r="F643" s="6">
        <v>25.0</v>
      </c>
      <c r="G643" s="6">
        <v>41.0</v>
      </c>
      <c r="H643" s="6">
        <v>16.0</v>
      </c>
      <c r="I643" s="6">
        <v>0.0</v>
      </c>
      <c r="J643" s="9">
        <v>46168.0</v>
      </c>
      <c r="K643" s="6">
        <v>6.0</v>
      </c>
      <c r="L643" s="5" t="s">
        <v>62</v>
      </c>
      <c r="M643" s="5">
        <v>0.0</v>
      </c>
    </row>
    <row r="644" ht="22.5" customHeight="1">
      <c r="A644" s="5" t="s">
        <v>2412</v>
      </c>
      <c r="B644" s="5" t="s">
        <v>65</v>
      </c>
      <c r="C644" s="6">
        <v>8.0</v>
      </c>
      <c r="D644" s="6">
        <v>13.0</v>
      </c>
      <c r="E644" s="6">
        <v>10.0</v>
      </c>
      <c r="F644" s="6">
        <v>6.0</v>
      </c>
      <c r="G644" s="6">
        <v>31.0</v>
      </c>
      <c r="H644" s="8"/>
      <c r="I644" s="6">
        <v>2.0</v>
      </c>
      <c r="J644" s="9">
        <v>46105.0</v>
      </c>
      <c r="K644" s="6">
        <v>8.0</v>
      </c>
      <c r="L644" s="5" t="s">
        <v>62</v>
      </c>
      <c r="M644" s="5">
        <v>0.0</v>
      </c>
    </row>
    <row r="645" ht="22.5" customHeight="1">
      <c r="A645" s="5" t="s">
        <v>2414</v>
      </c>
      <c r="B645" s="5" t="s">
        <v>170</v>
      </c>
      <c r="C645" s="6">
        <v>8.0</v>
      </c>
      <c r="D645" s="6">
        <v>40.0</v>
      </c>
      <c r="E645" s="6">
        <v>4.0</v>
      </c>
      <c r="F645" s="6">
        <v>20.0</v>
      </c>
      <c r="G645" s="6">
        <v>11.0</v>
      </c>
      <c r="H645" s="6">
        <v>11.0</v>
      </c>
      <c r="I645" s="6">
        <v>2.0</v>
      </c>
      <c r="J645" s="9">
        <v>44911.0</v>
      </c>
      <c r="K645" s="6">
        <v>1.0</v>
      </c>
      <c r="L645" s="5" t="s">
        <v>113</v>
      </c>
      <c r="M645" s="5">
        <v>1.0</v>
      </c>
    </row>
    <row r="646" ht="22.5" customHeight="1">
      <c r="A646" s="5" t="s">
        <v>2418</v>
      </c>
      <c r="B646" s="5" t="s">
        <v>22</v>
      </c>
      <c r="C646" s="6">
        <v>8.0</v>
      </c>
      <c r="D646" s="6">
        <v>25.0</v>
      </c>
      <c r="E646" s="6">
        <v>6.0</v>
      </c>
      <c r="F646" s="6">
        <v>58.0</v>
      </c>
      <c r="G646" s="6">
        <v>29.0</v>
      </c>
      <c r="H646" s="6">
        <v>14.0</v>
      </c>
      <c r="I646" s="6">
        <v>2.0</v>
      </c>
      <c r="J646" s="9">
        <v>46264.0</v>
      </c>
      <c r="K646" s="6">
        <v>7.0</v>
      </c>
      <c r="L646" s="5" t="s">
        <v>62</v>
      </c>
      <c r="M646" s="5">
        <v>0.0</v>
      </c>
    </row>
    <row r="647" ht="22.5" customHeight="1">
      <c r="A647" s="5" t="s">
        <v>2421</v>
      </c>
      <c r="B647" s="5" t="s">
        <v>22</v>
      </c>
      <c r="C647" s="6">
        <v>6.0</v>
      </c>
      <c r="D647" s="6">
        <v>18.0</v>
      </c>
      <c r="E647" s="6">
        <v>6.0</v>
      </c>
      <c r="F647" s="6">
        <v>49.0</v>
      </c>
      <c r="G647" s="6">
        <v>32.0</v>
      </c>
      <c r="H647" s="6">
        <v>20.0</v>
      </c>
      <c r="I647" s="6">
        <v>3.0</v>
      </c>
      <c r="J647" s="9">
        <v>44543.0</v>
      </c>
      <c r="K647" s="6">
        <v>6.0</v>
      </c>
      <c r="L647" s="5" t="s">
        <v>113</v>
      </c>
      <c r="M647" s="5">
        <v>1.0</v>
      </c>
    </row>
    <row r="648" ht="22.5" customHeight="1">
      <c r="A648" s="5" t="s">
        <v>2423</v>
      </c>
      <c r="B648" s="5" t="s">
        <v>22</v>
      </c>
      <c r="C648" s="6">
        <v>8.0</v>
      </c>
      <c r="D648" s="6">
        <v>19.0</v>
      </c>
      <c r="E648" s="6">
        <v>4.0</v>
      </c>
      <c r="F648" s="6">
        <v>44.0</v>
      </c>
      <c r="G648" s="6">
        <v>38.0</v>
      </c>
      <c r="H648" s="6">
        <v>3.0</v>
      </c>
      <c r="I648" s="6">
        <v>0.0</v>
      </c>
      <c r="J648" s="9">
        <v>46012.0</v>
      </c>
      <c r="K648" s="6">
        <v>5.0</v>
      </c>
      <c r="L648" s="5" t="s">
        <v>62</v>
      </c>
      <c r="M648" s="5">
        <v>0.0</v>
      </c>
    </row>
    <row r="649" ht="22.5" customHeight="1">
      <c r="A649" s="5" t="s">
        <v>2427</v>
      </c>
      <c r="B649" s="5" t="s">
        <v>65</v>
      </c>
      <c r="C649" s="6">
        <v>6.0</v>
      </c>
      <c r="D649" s="6">
        <v>22.0</v>
      </c>
      <c r="E649" s="6">
        <v>14.0</v>
      </c>
      <c r="F649" s="6">
        <v>20.0</v>
      </c>
      <c r="G649" s="6">
        <v>19.0</v>
      </c>
      <c r="H649" s="6">
        <v>3.0</v>
      </c>
      <c r="I649" s="6">
        <v>2.0</v>
      </c>
      <c r="J649" s="9">
        <v>45388.0</v>
      </c>
      <c r="K649" s="6">
        <v>4.0</v>
      </c>
      <c r="L649" s="5" t="s">
        <v>62</v>
      </c>
      <c r="M649" s="5">
        <v>0.0</v>
      </c>
    </row>
    <row r="650" ht="22.5" customHeight="1">
      <c r="A650" s="5" t="s">
        <v>2431</v>
      </c>
      <c r="B650" s="5" t="s">
        <v>22</v>
      </c>
      <c r="C650" s="6">
        <v>7.0</v>
      </c>
      <c r="D650" s="6">
        <v>37.0</v>
      </c>
      <c r="E650" s="6">
        <v>2.0</v>
      </c>
      <c r="F650" s="6">
        <v>5.0</v>
      </c>
      <c r="G650" s="6">
        <v>31.0</v>
      </c>
      <c r="H650" s="6">
        <v>2.0</v>
      </c>
      <c r="I650" s="6">
        <v>2.0</v>
      </c>
      <c r="J650" s="9">
        <v>44707.0</v>
      </c>
      <c r="K650" s="6">
        <v>2.0</v>
      </c>
      <c r="L650" s="5" t="s">
        <v>113</v>
      </c>
      <c r="M650" s="5">
        <v>1.0</v>
      </c>
    </row>
    <row r="651" ht="22.5" customHeight="1">
      <c r="A651" s="5" t="s">
        <v>2434</v>
      </c>
      <c r="B651" s="5" t="s">
        <v>22</v>
      </c>
      <c r="C651" s="6">
        <v>5.0</v>
      </c>
      <c r="D651" s="6">
        <v>13.0</v>
      </c>
      <c r="E651" s="6">
        <v>4.0</v>
      </c>
      <c r="F651" s="6">
        <v>12.0</v>
      </c>
      <c r="G651" s="6">
        <v>28.0</v>
      </c>
      <c r="H651" s="6">
        <v>7.0</v>
      </c>
      <c r="I651" s="6">
        <v>5.0</v>
      </c>
      <c r="J651" s="9">
        <v>46236.0</v>
      </c>
      <c r="K651" s="6">
        <v>9.0</v>
      </c>
      <c r="L651" s="5" t="s">
        <v>62</v>
      </c>
      <c r="M651" s="5">
        <v>0.0</v>
      </c>
    </row>
    <row r="652" ht="22.5" customHeight="1">
      <c r="A652" s="5" t="s">
        <v>2438</v>
      </c>
      <c r="B652" s="5" t="s">
        <v>84</v>
      </c>
      <c r="C652" s="6">
        <v>7.0</v>
      </c>
      <c r="D652" s="6">
        <v>13.0</v>
      </c>
      <c r="E652" s="6">
        <v>5.0</v>
      </c>
      <c r="F652" s="6">
        <v>24.0</v>
      </c>
      <c r="G652" s="6">
        <v>14.0</v>
      </c>
      <c r="H652" s="6">
        <v>18.0</v>
      </c>
      <c r="I652" s="6">
        <v>5.0</v>
      </c>
      <c r="J652" s="9">
        <v>46009.0</v>
      </c>
      <c r="K652" s="6">
        <v>6.0</v>
      </c>
      <c r="L652" s="5" t="s">
        <v>62</v>
      </c>
      <c r="M652" s="5">
        <v>0.0</v>
      </c>
    </row>
    <row r="653" ht="22.5" customHeight="1">
      <c r="A653" s="5" t="s">
        <v>2441</v>
      </c>
      <c r="B653" s="5" t="s">
        <v>84</v>
      </c>
      <c r="C653" s="6">
        <v>4.0</v>
      </c>
      <c r="D653" s="6">
        <v>24.0</v>
      </c>
      <c r="E653" s="6">
        <v>1.0</v>
      </c>
      <c r="F653" s="6">
        <v>37.0</v>
      </c>
      <c r="G653" s="6">
        <v>21.0</v>
      </c>
      <c r="H653" s="6">
        <v>5.0</v>
      </c>
      <c r="I653" s="6">
        <v>0.0</v>
      </c>
      <c r="J653" s="9">
        <v>45772.0</v>
      </c>
      <c r="K653" s="6">
        <v>9.0</v>
      </c>
      <c r="L653" s="5" t="s">
        <v>62</v>
      </c>
      <c r="M653" s="5">
        <v>0.0</v>
      </c>
    </row>
    <row r="654" ht="22.5" customHeight="1">
      <c r="A654" s="5" t="s">
        <v>2444</v>
      </c>
      <c r="B654" s="5" t="s">
        <v>65</v>
      </c>
      <c r="C654" s="6">
        <v>9.0</v>
      </c>
      <c r="D654" s="6">
        <v>16.0</v>
      </c>
      <c r="E654" s="6">
        <v>1.0</v>
      </c>
      <c r="F654" s="6">
        <v>15.0</v>
      </c>
      <c r="G654" s="6">
        <v>38.0</v>
      </c>
      <c r="H654" s="6">
        <v>7.0</v>
      </c>
      <c r="I654" s="6">
        <v>1.0</v>
      </c>
      <c r="J654" s="9">
        <v>46226.0</v>
      </c>
      <c r="K654" s="6">
        <v>7.0</v>
      </c>
      <c r="L654" s="5" t="s">
        <v>62</v>
      </c>
      <c r="M654" s="5">
        <v>0.0</v>
      </c>
    </row>
    <row r="655" ht="22.5" customHeight="1">
      <c r="A655" s="5" t="s">
        <v>2446</v>
      </c>
      <c r="B655" s="5" t="s">
        <v>22</v>
      </c>
      <c r="C655" s="6">
        <v>9.0</v>
      </c>
      <c r="D655" s="6">
        <v>42.0</v>
      </c>
      <c r="E655" s="6">
        <v>5.0</v>
      </c>
      <c r="F655" s="6">
        <v>22.0</v>
      </c>
      <c r="G655" s="6">
        <v>20.0</v>
      </c>
      <c r="H655" s="6">
        <v>2.0</v>
      </c>
      <c r="I655" s="6">
        <v>3.0</v>
      </c>
      <c r="J655" s="9">
        <v>45764.0</v>
      </c>
      <c r="K655" s="6">
        <v>10.0</v>
      </c>
      <c r="L655" s="5" t="s">
        <v>62</v>
      </c>
      <c r="M655" s="5">
        <v>0.0</v>
      </c>
    </row>
    <row r="656" ht="22.5" customHeight="1">
      <c r="A656" s="5" t="s">
        <v>2449</v>
      </c>
      <c r="B656" s="5" t="s">
        <v>22</v>
      </c>
      <c r="C656" s="6">
        <v>8.0</v>
      </c>
      <c r="D656" s="6">
        <v>27.0</v>
      </c>
      <c r="E656" s="6">
        <v>7.0</v>
      </c>
      <c r="F656" s="6">
        <v>59.0</v>
      </c>
      <c r="G656" s="6">
        <v>20.0</v>
      </c>
      <c r="H656" s="6">
        <v>8.0</v>
      </c>
      <c r="I656" s="6">
        <v>1.0</v>
      </c>
      <c r="J656" s="9">
        <v>46089.0</v>
      </c>
      <c r="K656" s="6">
        <v>8.0</v>
      </c>
      <c r="L656" s="5" t="s">
        <v>62</v>
      </c>
      <c r="M656" s="5">
        <v>0.0</v>
      </c>
    </row>
    <row r="657" ht="22.5" customHeight="1">
      <c r="A657" s="5" t="s">
        <v>2452</v>
      </c>
      <c r="B657" s="5" t="s">
        <v>22</v>
      </c>
      <c r="C657" s="6">
        <v>7.0</v>
      </c>
      <c r="D657" s="6">
        <v>24.0</v>
      </c>
      <c r="E657" s="6">
        <v>9.0</v>
      </c>
      <c r="F657" s="6">
        <v>44.0</v>
      </c>
      <c r="G657" s="6">
        <v>17.0</v>
      </c>
      <c r="H657" s="8"/>
      <c r="I657" s="6">
        <v>3.0</v>
      </c>
      <c r="J657" s="9">
        <v>45640.0</v>
      </c>
      <c r="K657" s="6">
        <v>8.0</v>
      </c>
      <c r="L657" s="5" t="s">
        <v>62</v>
      </c>
      <c r="M657" s="5">
        <v>0.0</v>
      </c>
    </row>
    <row r="658" ht="22.5" customHeight="1">
      <c r="A658" s="5" t="s">
        <v>2454</v>
      </c>
      <c r="B658" s="5" t="s">
        <v>22</v>
      </c>
      <c r="C658" s="6">
        <v>3.0</v>
      </c>
      <c r="D658" s="6">
        <v>13.0</v>
      </c>
      <c r="E658" s="6">
        <v>3.0</v>
      </c>
      <c r="F658" s="6">
        <v>38.0</v>
      </c>
      <c r="G658" s="6">
        <v>33.0</v>
      </c>
      <c r="H658" s="6">
        <v>5.0</v>
      </c>
      <c r="I658" s="6">
        <v>2.0</v>
      </c>
      <c r="J658" s="9">
        <v>45883.0</v>
      </c>
      <c r="K658" s="6">
        <v>8.0</v>
      </c>
      <c r="L658" s="5" t="s">
        <v>62</v>
      </c>
      <c r="M658" s="5">
        <v>0.0</v>
      </c>
    </row>
    <row r="659" ht="22.5" customHeight="1">
      <c r="A659" s="5" t="s">
        <v>2458</v>
      </c>
      <c r="B659" s="5" t="s">
        <v>44</v>
      </c>
      <c r="C659" s="6">
        <v>5.0</v>
      </c>
      <c r="D659" s="6">
        <v>19.0</v>
      </c>
      <c r="E659" s="6">
        <v>4.0</v>
      </c>
      <c r="F659" s="6">
        <v>54.0</v>
      </c>
      <c r="G659" s="6">
        <v>29.0</v>
      </c>
      <c r="H659" s="6">
        <v>16.0</v>
      </c>
      <c r="I659" s="6">
        <v>0.0</v>
      </c>
      <c r="J659" s="9">
        <v>46091.0</v>
      </c>
      <c r="K659" s="6">
        <v>9.0</v>
      </c>
      <c r="L659" s="5" t="s">
        <v>62</v>
      </c>
      <c r="M659" s="5">
        <v>0.0</v>
      </c>
    </row>
    <row r="660" ht="22.5" customHeight="1">
      <c r="A660" s="5" t="s">
        <v>2460</v>
      </c>
      <c r="B660" s="5" t="s">
        <v>22</v>
      </c>
      <c r="C660" s="6">
        <v>11.0</v>
      </c>
      <c r="D660" s="6">
        <v>54.0</v>
      </c>
      <c r="E660" s="6">
        <v>5.0</v>
      </c>
      <c r="F660" s="6">
        <v>7.0</v>
      </c>
      <c r="G660" s="6">
        <v>19.0</v>
      </c>
      <c r="H660" s="6">
        <v>18.0</v>
      </c>
      <c r="I660" s="6">
        <v>5.0</v>
      </c>
      <c r="J660" s="9">
        <v>44477.0</v>
      </c>
      <c r="K660" s="6">
        <v>2.0</v>
      </c>
      <c r="L660" s="5" t="s">
        <v>113</v>
      </c>
      <c r="M660" s="5">
        <v>1.0</v>
      </c>
    </row>
    <row r="661" ht="22.5" customHeight="1">
      <c r="A661" s="5" t="s">
        <v>2463</v>
      </c>
      <c r="B661" s="5" t="s">
        <v>170</v>
      </c>
      <c r="C661" s="6">
        <v>10.0</v>
      </c>
      <c r="D661" s="6">
        <v>45.0</v>
      </c>
      <c r="E661" s="6">
        <v>21.0</v>
      </c>
      <c r="F661" s="6">
        <v>14.0</v>
      </c>
      <c r="G661" s="6">
        <v>31.0</v>
      </c>
      <c r="H661" s="6">
        <v>13.0</v>
      </c>
      <c r="I661" s="6">
        <v>3.0</v>
      </c>
      <c r="J661" s="9">
        <v>45747.0</v>
      </c>
      <c r="K661" s="6">
        <v>3.0</v>
      </c>
      <c r="L661" s="10" t="s">
        <v>62</v>
      </c>
      <c r="M661" s="10">
        <v>0.0</v>
      </c>
    </row>
    <row r="662" ht="22.5" customHeight="1">
      <c r="A662" s="5" t="s">
        <v>2467</v>
      </c>
      <c r="B662" s="5" t="s">
        <v>65</v>
      </c>
      <c r="C662" s="6">
        <v>8.0</v>
      </c>
      <c r="D662" s="6">
        <v>17.0</v>
      </c>
      <c r="E662" s="6">
        <v>15.0</v>
      </c>
      <c r="F662" s="6">
        <v>32.0</v>
      </c>
      <c r="G662" s="6">
        <v>14.0</v>
      </c>
      <c r="H662" s="6">
        <v>5.0</v>
      </c>
      <c r="I662" s="6">
        <v>2.0</v>
      </c>
      <c r="J662" s="11"/>
      <c r="K662" s="6">
        <v>4.0</v>
      </c>
      <c r="L662" s="5" t="s">
        <v>113</v>
      </c>
      <c r="M662" s="5">
        <v>1.0</v>
      </c>
    </row>
    <row r="663" ht="22.5" customHeight="1">
      <c r="A663" s="5" t="s">
        <v>2470</v>
      </c>
      <c r="B663" s="5" t="s">
        <v>65</v>
      </c>
      <c r="C663" s="6">
        <v>7.0</v>
      </c>
      <c r="D663" s="6">
        <v>11.0</v>
      </c>
      <c r="E663" s="6">
        <v>3.0</v>
      </c>
      <c r="F663" s="6">
        <v>43.0</v>
      </c>
      <c r="G663" s="6">
        <v>31.0</v>
      </c>
      <c r="H663" s="6">
        <v>14.0</v>
      </c>
      <c r="I663" s="6">
        <v>1.0</v>
      </c>
      <c r="J663" s="9">
        <v>45768.0</v>
      </c>
      <c r="K663" s="6">
        <v>7.0</v>
      </c>
      <c r="L663" s="5" t="s">
        <v>62</v>
      </c>
      <c r="M663" s="5">
        <v>0.0</v>
      </c>
    </row>
    <row r="664" ht="22.5" customHeight="1">
      <c r="A664" s="5" t="s">
        <v>2474</v>
      </c>
      <c r="B664" s="5" t="s">
        <v>84</v>
      </c>
      <c r="C664" s="6">
        <v>3.0</v>
      </c>
      <c r="D664" s="6">
        <v>9.0</v>
      </c>
      <c r="E664" s="6">
        <v>16.0</v>
      </c>
      <c r="F664" s="6">
        <v>18.0</v>
      </c>
      <c r="G664" s="6">
        <v>24.0</v>
      </c>
      <c r="H664" s="6">
        <v>3.0</v>
      </c>
      <c r="I664" s="6">
        <v>1.0</v>
      </c>
      <c r="J664" s="9">
        <v>45418.0</v>
      </c>
      <c r="K664" s="6">
        <v>1.0</v>
      </c>
      <c r="L664" s="5" t="s">
        <v>62</v>
      </c>
      <c r="M664" s="5">
        <v>0.0</v>
      </c>
    </row>
    <row r="665" ht="22.5" customHeight="1">
      <c r="A665" s="5" t="s">
        <v>2477</v>
      </c>
      <c r="B665" s="5" t="s">
        <v>44</v>
      </c>
      <c r="C665" s="6">
        <v>6.0</v>
      </c>
      <c r="D665" s="6">
        <v>27.0</v>
      </c>
      <c r="E665" s="6">
        <v>8.0</v>
      </c>
      <c r="F665" s="6">
        <v>9.0</v>
      </c>
      <c r="G665" s="6">
        <v>24.0</v>
      </c>
      <c r="H665" s="6">
        <v>10.0</v>
      </c>
      <c r="I665" s="6">
        <v>3.0</v>
      </c>
      <c r="J665" s="9">
        <v>46169.0</v>
      </c>
      <c r="K665" s="6">
        <v>7.0</v>
      </c>
      <c r="L665" s="5" t="s">
        <v>62</v>
      </c>
      <c r="M665" s="5">
        <v>0.0</v>
      </c>
    </row>
    <row r="666" ht="22.5" customHeight="1">
      <c r="A666" s="5" t="s">
        <v>2481</v>
      </c>
      <c r="B666" s="5" t="s">
        <v>22</v>
      </c>
      <c r="C666" s="6">
        <v>4.0</v>
      </c>
      <c r="D666" s="6">
        <v>17.0</v>
      </c>
      <c r="E666" s="6">
        <v>1.0</v>
      </c>
      <c r="F666" s="6">
        <v>49.0</v>
      </c>
      <c r="G666" s="6">
        <v>23.0</v>
      </c>
      <c r="H666" s="6">
        <v>3.0</v>
      </c>
      <c r="I666" s="6">
        <v>3.0</v>
      </c>
      <c r="J666" s="11"/>
      <c r="K666" s="6">
        <v>5.0</v>
      </c>
      <c r="L666" s="5" t="s">
        <v>113</v>
      </c>
      <c r="M666" s="5">
        <v>1.0</v>
      </c>
    </row>
    <row r="667" ht="22.5" customHeight="1">
      <c r="A667" s="5" t="s">
        <v>2483</v>
      </c>
      <c r="B667" s="5" t="s">
        <v>65</v>
      </c>
      <c r="C667" s="6">
        <v>11.0</v>
      </c>
      <c r="D667" s="6">
        <v>30.0</v>
      </c>
      <c r="E667" s="6">
        <v>10.0</v>
      </c>
      <c r="F667" s="6">
        <v>50.0</v>
      </c>
      <c r="G667" s="6">
        <v>29.0</v>
      </c>
      <c r="H667" s="6">
        <v>11.0</v>
      </c>
      <c r="I667" s="6">
        <v>2.0</v>
      </c>
      <c r="J667" s="9">
        <v>46067.0</v>
      </c>
      <c r="K667" s="6">
        <v>7.0</v>
      </c>
      <c r="L667" s="5" t="s">
        <v>62</v>
      </c>
      <c r="M667" s="5">
        <v>0.0</v>
      </c>
    </row>
    <row r="668" ht="22.5" customHeight="1">
      <c r="A668" s="5" t="s">
        <v>2485</v>
      </c>
      <c r="B668" s="5" t="s">
        <v>22</v>
      </c>
      <c r="C668" s="6">
        <v>5.0</v>
      </c>
      <c r="D668" s="6">
        <v>23.0</v>
      </c>
      <c r="E668" s="6">
        <v>8.0</v>
      </c>
      <c r="F668" s="6">
        <v>49.0</v>
      </c>
      <c r="G668" s="6">
        <v>38.0</v>
      </c>
      <c r="H668" s="6">
        <v>20.0</v>
      </c>
      <c r="I668" s="6">
        <v>2.0</v>
      </c>
      <c r="J668" s="9">
        <v>45340.0</v>
      </c>
      <c r="K668" s="6">
        <v>2.0</v>
      </c>
      <c r="L668" s="5" t="s">
        <v>62</v>
      </c>
      <c r="M668" s="5">
        <v>0.0</v>
      </c>
    </row>
    <row r="669" ht="22.5" customHeight="1">
      <c r="A669" s="5" t="s">
        <v>2489</v>
      </c>
      <c r="B669" s="5" t="s">
        <v>22</v>
      </c>
      <c r="C669" s="6">
        <v>4.0</v>
      </c>
      <c r="D669" s="6">
        <v>7.0</v>
      </c>
      <c r="E669" s="6">
        <v>2.0</v>
      </c>
      <c r="F669" s="6">
        <v>39.0</v>
      </c>
      <c r="G669" s="6">
        <v>24.0</v>
      </c>
      <c r="H669" s="6">
        <v>6.0</v>
      </c>
      <c r="I669" s="6">
        <v>5.0</v>
      </c>
      <c r="J669" s="9">
        <v>45491.0</v>
      </c>
      <c r="K669" s="6">
        <v>3.0</v>
      </c>
      <c r="L669" s="5" t="s">
        <v>62</v>
      </c>
      <c r="M669" s="5">
        <v>0.0</v>
      </c>
    </row>
    <row r="670" ht="22.5" customHeight="1">
      <c r="A670" s="5" t="s">
        <v>2491</v>
      </c>
      <c r="B670" s="5" t="s">
        <v>44</v>
      </c>
      <c r="C670" s="6">
        <v>6.0</v>
      </c>
      <c r="D670" s="6">
        <v>24.0</v>
      </c>
      <c r="E670" s="6">
        <v>5.0</v>
      </c>
      <c r="F670" s="6">
        <v>30.0</v>
      </c>
      <c r="G670" s="6">
        <v>10.0</v>
      </c>
      <c r="H670" s="6">
        <v>1.0</v>
      </c>
      <c r="I670" s="6">
        <v>4.0</v>
      </c>
      <c r="J670" s="9">
        <v>45730.0</v>
      </c>
      <c r="K670" s="6">
        <v>8.0</v>
      </c>
      <c r="L670" s="5" t="s">
        <v>62</v>
      </c>
      <c r="M670" s="5">
        <v>0.0</v>
      </c>
    </row>
    <row r="671" ht="22.5" customHeight="1">
      <c r="A671" s="5" t="s">
        <v>2495</v>
      </c>
      <c r="B671" s="5" t="s">
        <v>22</v>
      </c>
      <c r="C671" s="6">
        <v>5.0</v>
      </c>
      <c r="D671" s="6">
        <v>26.0</v>
      </c>
      <c r="E671" s="6">
        <v>1.0</v>
      </c>
      <c r="F671" s="6">
        <v>30.0</v>
      </c>
      <c r="G671" s="6">
        <v>23.0</v>
      </c>
      <c r="H671" s="6">
        <v>3.0</v>
      </c>
      <c r="I671" s="6">
        <v>5.0</v>
      </c>
      <c r="J671" s="9">
        <v>46037.0</v>
      </c>
      <c r="K671" s="6">
        <v>5.0</v>
      </c>
      <c r="L671" s="5" t="s">
        <v>62</v>
      </c>
      <c r="M671" s="5">
        <v>0.0</v>
      </c>
    </row>
    <row r="672" ht="22.5" customHeight="1">
      <c r="A672" s="5" t="s">
        <v>2497</v>
      </c>
      <c r="B672" s="5" t="s">
        <v>44</v>
      </c>
      <c r="C672" s="6">
        <v>4.0</v>
      </c>
      <c r="D672" s="6">
        <v>19.0</v>
      </c>
      <c r="E672" s="6">
        <v>2.0</v>
      </c>
      <c r="F672" s="6">
        <v>47.0</v>
      </c>
      <c r="G672" s="6">
        <v>34.0</v>
      </c>
      <c r="H672" s="6">
        <v>12.0</v>
      </c>
      <c r="I672" s="6">
        <v>2.0</v>
      </c>
      <c r="J672" s="9">
        <v>44679.0</v>
      </c>
      <c r="K672" s="6">
        <v>4.0</v>
      </c>
      <c r="L672" s="5" t="s">
        <v>113</v>
      </c>
      <c r="M672" s="5">
        <v>1.0</v>
      </c>
    </row>
    <row r="673" ht="22.5" customHeight="1">
      <c r="A673" s="5" t="s">
        <v>2500</v>
      </c>
      <c r="B673" s="5" t="s">
        <v>44</v>
      </c>
      <c r="C673" s="6">
        <v>6.0</v>
      </c>
      <c r="D673" s="6">
        <v>36.0</v>
      </c>
      <c r="E673" s="6">
        <v>6.0</v>
      </c>
      <c r="F673" s="6">
        <v>60.0</v>
      </c>
      <c r="G673" s="6">
        <v>30.0</v>
      </c>
      <c r="H673" s="6">
        <v>11.0</v>
      </c>
      <c r="I673" s="6">
        <v>1.0</v>
      </c>
      <c r="J673" s="9">
        <v>45368.0</v>
      </c>
      <c r="K673" s="6">
        <v>3.0</v>
      </c>
      <c r="L673" s="5" t="s">
        <v>62</v>
      </c>
      <c r="M673" s="5">
        <v>0.0</v>
      </c>
    </row>
    <row r="674" ht="22.5" customHeight="1">
      <c r="A674" s="5" t="s">
        <v>2502</v>
      </c>
      <c r="B674" s="5" t="s">
        <v>22</v>
      </c>
      <c r="C674" s="6">
        <v>6.0</v>
      </c>
      <c r="D674" s="6">
        <v>32.0</v>
      </c>
      <c r="E674" s="6">
        <v>11.0</v>
      </c>
      <c r="F674" s="6">
        <v>28.0</v>
      </c>
      <c r="G674" s="6">
        <v>13.0</v>
      </c>
      <c r="H674" s="6">
        <v>19.0</v>
      </c>
      <c r="I674" s="6">
        <v>1.0</v>
      </c>
      <c r="J674" s="9">
        <v>44954.0</v>
      </c>
      <c r="K674" s="6">
        <v>2.0</v>
      </c>
      <c r="L674" s="10" t="s">
        <v>113</v>
      </c>
      <c r="M674" s="10">
        <v>1.0</v>
      </c>
    </row>
    <row r="675" ht="22.5" customHeight="1">
      <c r="A675" s="5" t="s">
        <v>2505</v>
      </c>
      <c r="B675" s="5" t="s">
        <v>22</v>
      </c>
      <c r="C675" s="6">
        <v>4.0</v>
      </c>
      <c r="D675" s="6">
        <v>12.0</v>
      </c>
      <c r="E675" s="6">
        <v>27.0</v>
      </c>
      <c r="F675" s="6">
        <v>57.0</v>
      </c>
      <c r="G675" s="6">
        <v>12.0</v>
      </c>
      <c r="H675" s="6">
        <v>16.0</v>
      </c>
      <c r="I675" s="6">
        <v>1.0</v>
      </c>
      <c r="J675" s="9">
        <v>45844.0</v>
      </c>
      <c r="K675" s="6">
        <v>6.0</v>
      </c>
      <c r="L675" s="5" t="s">
        <v>62</v>
      </c>
      <c r="M675" s="5">
        <v>0.0</v>
      </c>
    </row>
    <row r="676" ht="22.5" customHeight="1">
      <c r="A676" s="5" t="s">
        <v>2506</v>
      </c>
      <c r="B676" s="5" t="s">
        <v>22</v>
      </c>
      <c r="C676" s="6">
        <v>7.0</v>
      </c>
      <c r="D676" s="6">
        <v>33.0</v>
      </c>
      <c r="E676" s="6">
        <v>5.0</v>
      </c>
      <c r="F676" s="6">
        <v>9.0</v>
      </c>
      <c r="G676" s="6">
        <v>38.0</v>
      </c>
      <c r="H676" s="6">
        <v>9.0</v>
      </c>
      <c r="I676" s="6">
        <v>3.0</v>
      </c>
      <c r="J676" s="9">
        <v>46049.0</v>
      </c>
      <c r="K676" s="6">
        <v>8.0</v>
      </c>
      <c r="L676" s="5" t="s">
        <v>62</v>
      </c>
      <c r="M676" s="5">
        <v>0.0</v>
      </c>
    </row>
    <row r="677" ht="22.5" customHeight="1">
      <c r="A677" s="5" t="s">
        <v>2511</v>
      </c>
      <c r="B677" s="5" t="s">
        <v>65</v>
      </c>
      <c r="C677" s="6">
        <v>4.0</v>
      </c>
      <c r="D677" s="6">
        <v>19.0</v>
      </c>
      <c r="E677" s="6">
        <v>5.0</v>
      </c>
      <c r="F677" s="6">
        <v>44.0</v>
      </c>
      <c r="G677" s="6">
        <v>28.0</v>
      </c>
      <c r="H677" s="6">
        <v>10.0</v>
      </c>
      <c r="I677" s="6">
        <v>0.0</v>
      </c>
      <c r="J677" s="9">
        <v>45609.0</v>
      </c>
      <c r="K677" s="6">
        <v>7.0</v>
      </c>
      <c r="L677" s="5" t="s">
        <v>62</v>
      </c>
      <c r="M677" s="5">
        <v>0.0</v>
      </c>
    </row>
    <row r="678" ht="22.5" customHeight="1">
      <c r="A678" s="5" t="s">
        <v>2513</v>
      </c>
      <c r="B678" s="5" t="s">
        <v>22</v>
      </c>
      <c r="C678" s="6">
        <v>7.0</v>
      </c>
      <c r="D678" s="6">
        <v>39.0</v>
      </c>
      <c r="E678" s="6">
        <v>5.0</v>
      </c>
      <c r="F678" s="6">
        <v>25.0</v>
      </c>
      <c r="G678" s="6">
        <v>33.0</v>
      </c>
      <c r="H678" s="6">
        <v>10.0</v>
      </c>
      <c r="I678" s="6">
        <v>5.0</v>
      </c>
      <c r="J678" s="9">
        <v>45386.0</v>
      </c>
      <c r="K678" s="6">
        <v>2.0</v>
      </c>
      <c r="L678" s="5" t="s">
        <v>62</v>
      </c>
      <c r="M678" s="5">
        <v>0.0</v>
      </c>
    </row>
    <row r="679" ht="22.5" customHeight="1">
      <c r="A679" s="5" t="s">
        <v>2516</v>
      </c>
      <c r="B679" s="5" t="s">
        <v>22</v>
      </c>
      <c r="C679" s="6">
        <v>2.0</v>
      </c>
      <c r="D679" s="6">
        <v>6.0</v>
      </c>
      <c r="E679" s="6">
        <v>18.0</v>
      </c>
      <c r="F679" s="6">
        <v>14.0</v>
      </c>
      <c r="G679" s="6">
        <v>16.0</v>
      </c>
      <c r="H679" s="6">
        <v>14.0</v>
      </c>
      <c r="I679" s="6">
        <v>3.0</v>
      </c>
      <c r="J679" s="9">
        <v>45463.0</v>
      </c>
      <c r="K679" s="6">
        <v>3.0</v>
      </c>
      <c r="L679" s="5" t="s">
        <v>62</v>
      </c>
      <c r="M679" s="5">
        <v>0.0</v>
      </c>
    </row>
    <row r="680" ht="22.5" customHeight="1">
      <c r="A680" s="5" t="s">
        <v>2521</v>
      </c>
      <c r="B680" s="5" t="s">
        <v>22</v>
      </c>
      <c r="C680" s="6">
        <v>6.0</v>
      </c>
      <c r="D680" s="6">
        <v>11.0</v>
      </c>
      <c r="E680" s="6">
        <v>3.0</v>
      </c>
      <c r="F680" s="6">
        <v>25.0</v>
      </c>
      <c r="G680" s="6">
        <v>24.0</v>
      </c>
      <c r="H680" s="6">
        <v>2.0</v>
      </c>
      <c r="I680" s="6">
        <v>1.0</v>
      </c>
      <c r="J680" s="9">
        <v>44995.0</v>
      </c>
      <c r="K680" s="6">
        <v>2.0</v>
      </c>
      <c r="L680" s="5" t="s">
        <v>113</v>
      </c>
      <c r="M680" s="5">
        <v>1.0</v>
      </c>
    </row>
    <row r="681" ht="22.5" customHeight="1">
      <c r="A681" s="5" t="s">
        <v>2523</v>
      </c>
      <c r="B681" s="5" t="s">
        <v>65</v>
      </c>
      <c r="C681" s="6">
        <v>6.0</v>
      </c>
      <c r="D681" s="6">
        <v>32.0</v>
      </c>
      <c r="E681" s="6">
        <v>7.0</v>
      </c>
      <c r="F681" s="6">
        <v>32.0</v>
      </c>
      <c r="G681" s="6">
        <v>23.0</v>
      </c>
      <c r="H681" s="6">
        <v>9.0</v>
      </c>
      <c r="I681" s="6">
        <v>1.0</v>
      </c>
      <c r="J681" s="9">
        <v>46106.0</v>
      </c>
      <c r="K681" s="6">
        <v>7.0</v>
      </c>
      <c r="L681" s="5" t="s">
        <v>62</v>
      </c>
      <c r="M681" s="5">
        <v>0.0</v>
      </c>
    </row>
    <row r="682" ht="22.5" customHeight="1">
      <c r="A682" s="5" t="s">
        <v>2526</v>
      </c>
      <c r="B682" s="5" t="s">
        <v>22</v>
      </c>
      <c r="C682" s="6">
        <v>10.0</v>
      </c>
      <c r="D682" s="6">
        <v>24.0</v>
      </c>
      <c r="E682" s="6">
        <v>7.0</v>
      </c>
      <c r="F682" s="6">
        <v>52.0</v>
      </c>
      <c r="G682" s="6">
        <v>24.0</v>
      </c>
      <c r="H682" s="6">
        <v>13.0</v>
      </c>
      <c r="I682" s="6">
        <v>0.0</v>
      </c>
      <c r="J682" s="9">
        <v>45865.0</v>
      </c>
      <c r="K682" s="6">
        <v>6.0</v>
      </c>
      <c r="L682" s="5" t="s">
        <v>62</v>
      </c>
      <c r="M682" s="5">
        <v>0.0</v>
      </c>
    </row>
    <row r="683" ht="22.5" customHeight="1">
      <c r="A683" s="5" t="s">
        <v>2527</v>
      </c>
      <c r="B683" s="5" t="s">
        <v>22</v>
      </c>
      <c r="C683" s="6">
        <v>9.0</v>
      </c>
      <c r="D683" s="6">
        <v>51.0</v>
      </c>
      <c r="E683" s="6">
        <v>8.0</v>
      </c>
      <c r="F683" s="6">
        <v>38.0</v>
      </c>
      <c r="G683" s="6">
        <v>25.0</v>
      </c>
      <c r="H683" s="6">
        <v>9.0</v>
      </c>
      <c r="I683" s="6">
        <v>0.0</v>
      </c>
      <c r="J683" s="11"/>
      <c r="K683" s="6">
        <v>2.0</v>
      </c>
      <c r="L683" s="10" t="s">
        <v>113</v>
      </c>
      <c r="M683" s="10">
        <v>1.0</v>
      </c>
    </row>
    <row r="684" ht="22.5" customHeight="1">
      <c r="A684" s="5" t="s">
        <v>2531</v>
      </c>
      <c r="B684" s="5" t="s">
        <v>170</v>
      </c>
      <c r="C684" s="6">
        <v>5.0</v>
      </c>
      <c r="D684" s="6">
        <v>23.0</v>
      </c>
      <c r="E684" s="6">
        <v>4.0</v>
      </c>
      <c r="F684" s="6">
        <v>45.0</v>
      </c>
      <c r="G684" s="6">
        <v>20.0</v>
      </c>
      <c r="H684" s="6">
        <v>9.0</v>
      </c>
      <c r="I684" s="6">
        <v>3.0</v>
      </c>
      <c r="J684" s="9">
        <v>45658.0</v>
      </c>
      <c r="K684" s="6">
        <v>3.0</v>
      </c>
      <c r="L684" s="5" t="s">
        <v>62</v>
      </c>
      <c r="M684" s="5">
        <v>0.0</v>
      </c>
    </row>
    <row r="685" ht="22.5" customHeight="1">
      <c r="A685" s="5" t="s">
        <v>2534</v>
      </c>
      <c r="B685" s="5" t="s">
        <v>22</v>
      </c>
      <c r="C685" s="6">
        <v>8.0</v>
      </c>
      <c r="D685" s="6">
        <v>33.0</v>
      </c>
      <c r="E685" s="6">
        <v>5.0</v>
      </c>
      <c r="F685" s="6">
        <v>13.0</v>
      </c>
      <c r="G685" s="6">
        <v>34.0</v>
      </c>
      <c r="H685" s="6">
        <v>14.0</v>
      </c>
      <c r="I685" s="6">
        <v>5.0</v>
      </c>
      <c r="J685" s="9">
        <v>44540.0</v>
      </c>
      <c r="K685" s="6">
        <v>3.0</v>
      </c>
      <c r="L685" s="5" t="s">
        <v>113</v>
      </c>
      <c r="M685" s="5">
        <v>1.0</v>
      </c>
    </row>
    <row r="686" ht="22.5" customHeight="1">
      <c r="A686" s="5" t="s">
        <v>2536</v>
      </c>
      <c r="B686" s="5" t="s">
        <v>44</v>
      </c>
      <c r="C686" s="6">
        <v>4.0</v>
      </c>
      <c r="D686" s="6">
        <v>19.0</v>
      </c>
      <c r="E686" s="6">
        <v>11.0</v>
      </c>
      <c r="F686" s="6">
        <v>32.0</v>
      </c>
      <c r="G686" s="6">
        <v>33.0</v>
      </c>
      <c r="H686" s="6">
        <v>3.0</v>
      </c>
      <c r="I686" s="6">
        <v>5.0</v>
      </c>
      <c r="J686" s="9">
        <v>44557.0</v>
      </c>
      <c r="K686" s="6">
        <v>4.0</v>
      </c>
      <c r="L686" s="5" t="s">
        <v>113</v>
      </c>
      <c r="M686" s="5">
        <v>1.0</v>
      </c>
    </row>
    <row r="687" ht="22.5" customHeight="1">
      <c r="A687" s="5" t="s">
        <v>2538</v>
      </c>
      <c r="B687" s="5" t="s">
        <v>84</v>
      </c>
      <c r="C687" s="6">
        <v>10.0</v>
      </c>
      <c r="D687" s="6">
        <v>60.0</v>
      </c>
      <c r="E687" s="6">
        <v>6.0</v>
      </c>
      <c r="F687" s="6">
        <v>29.0</v>
      </c>
      <c r="G687" s="6">
        <v>38.0</v>
      </c>
      <c r="H687" s="6">
        <v>12.0</v>
      </c>
      <c r="I687" s="6">
        <v>1.0</v>
      </c>
      <c r="J687" s="9">
        <v>46063.0</v>
      </c>
      <c r="K687" s="6">
        <v>6.0</v>
      </c>
      <c r="L687" s="5" t="s">
        <v>62</v>
      </c>
      <c r="M687" s="5">
        <v>0.0</v>
      </c>
    </row>
    <row r="688" ht="22.5" customHeight="1">
      <c r="A688" s="5" t="s">
        <v>2541</v>
      </c>
      <c r="B688" s="5" t="s">
        <v>22</v>
      </c>
      <c r="C688" s="6">
        <v>8.0</v>
      </c>
      <c r="D688" s="6">
        <v>44.0</v>
      </c>
      <c r="E688" s="6">
        <v>4.0</v>
      </c>
      <c r="F688" s="6">
        <v>26.0</v>
      </c>
      <c r="G688" s="6">
        <v>25.0</v>
      </c>
      <c r="H688" s="6">
        <v>5.0</v>
      </c>
      <c r="I688" s="6">
        <v>3.0</v>
      </c>
      <c r="J688" s="9">
        <v>45831.0</v>
      </c>
      <c r="K688" s="6">
        <v>8.0</v>
      </c>
      <c r="L688" s="5" t="s">
        <v>62</v>
      </c>
      <c r="M688" s="5">
        <v>0.0</v>
      </c>
    </row>
    <row r="689" ht="22.5" customHeight="1">
      <c r="A689" s="5" t="s">
        <v>2543</v>
      </c>
      <c r="B689" s="5" t="s">
        <v>84</v>
      </c>
      <c r="C689" s="6">
        <v>5.0</v>
      </c>
      <c r="D689" s="6">
        <v>10.0</v>
      </c>
      <c r="E689" s="6">
        <v>12.0</v>
      </c>
      <c r="F689" s="6">
        <v>17.0</v>
      </c>
      <c r="G689" s="6">
        <v>29.0</v>
      </c>
      <c r="H689" s="6">
        <v>15.0</v>
      </c>
      <c r="I689" s="6">
        <v>2.0</v>
      </c>
      <c r="J689" s="9">
        <v>45908.0</v>
      </c>
      <c r="K689" s="6">
        <v>8.0</v>
      </c>
      <c r="L689" s="5" t="s">
        <v>62</v>
      </c>
      <c r="M689" s="5">
        <v>0.0</v>
      </c>
    </row>
    <row r="690" ht="22.5" customHeight="1">
      <c r="A690" s="5" t="s">
        <v>2547</v>
      </c>
      <c r="B690" s="5" t="s">
        <v>84</v>
      </c>
      <c r="C690" s="6">
        <v>4.0</v>
      </c>
      <c r="D690" s="6">
        <v>7.0</v>
      </c>
      <c r="E690" s="6">
        <v>12.0</v>
      </c>
      <c r="F690" s="6">
        <v>55.0</v>
      </c>
      <c r="G690" s="6">
        <v>16.0</v>
      </c>
      <c r="H690" s="6">
        <v>6.0</v>
      </c>
      <c r="I690" s="6">
        <v>1.0</v>
      </c>
      <c r="J690" s="9">
        <v>46110.0</v>
      </c>
      <c r="K690" s="6">
        <v>8.0</v>
      </c>
      <c r="L690" s="5" t="s">
        <v>62</v>
      </c>
      <c r="M690" s="5">
        <v>0.0</v>
      </c>
    </row>
    <row r="691" ht="22.5" customHeight="1">
      <c r="A691" s="5" t="s">
        <v>2549</v>
      </c>
      <c r="B691" s="5" t="s">
        <v>22</v>
      </c>
      <c r="C691" s="6">
        <v>3.0</v>
      </c>
      <c r="D691" s="6">
        <v>6.0</v>
      </c>
      <c r="E691" s="6">
        <v>2.0</v>
      </c>
      <c r="F691" s="6">
        <v>58.0</v>
      </c>
      <c r="G691" s="6">
        <v>22.0</v>
      </c>
      <c r="H691" s="6">
        <v>15.0</v>
      </c>
      <c r="I691" s="6">
        <v>2.0</v>
      </c>
      <c r="J691" s="9">
        <v>45195.0</v>
      </c>
      <c r="K691" s="6">
        <v>4.0</v>
      </c>
      <c r="L691" s="5" t="s">
        <v>62</v>
      </c>
      <c r="M691" s="5">
        <v>0.0</v>
      </c>
    </row>
    <row r="692" ht="22.5" customHeight="1">
      <c r="A692" s="5" t="s">
        <v>2551</v>
      </c>
      <c r="B692" s="5" t="s">
        <v>84</v>
      </c>
      <c r="C692" s="6">
        <v>5.0</v>
      </c>
      <c r="D692" s="6">
        <v>21.0</v>
      </c>
      <c r="E692" s="6">
        <v>4.0</v>
      </c>
      <c r="F692" s="6">
        <v>10.0</v>
      </c>
      <c r="G692" s="6">
        <v>31.0</v>
      </c>
      <c r="H692" s="6">
        <v>10.0</v>
      </c>
      <c r="I692" s="6">
        <v>4.0</v>
      </c>
      <c r="J692" s="9">
        <v>45412.0</v>
      </c>
      <c r="K692" s="6">
        <v>2.0</v>
      </c>
      <c r="L692" s="5" t="s">
        <v>62</v>
      </c>
      <c r="M692" s="5">
        <v>0.0</v>
      </c>
    </row>
    <row r="693" ht="22.5" customHeight="1">
      <c r="A693" s="5" t="s">
        <v>2554</v>
      </c>
      <c r="B693" s="5" t="s">
        <v>84</v>
      </c>
      <c r="C693" s="6">
        <v>8.0</v>
      </c>
      <c r="D693" s="6">
        <v>43.0</v>
      </c>
      <c r="E693" s="6">
        <v>3.0</v>
      </c>
      <c r="F693" s="6">
        <v>41.0</v>
      </c>
      <c r="G693" s="6">
        <v>17.0</v>
      </c>
      <c r="H693" s="6">
        <v>12.0</v>
      </c>
      <c r="I693" s="6">
        <v>3.0</v>
      </c>
      <c r="J693" s="9">
        <v>45918.0</v>
      </c>
      <c r="K693" s="6">
        <v>9.0</v>
      </c>
      <c r="L693" s="5" t="s">
        <v>62</v>
      </c>
      <c r="M693" s="5">
        <v>0.0</v>
      </c>
    </row>
    <row r="694" ht="22.5" customHeight="1">
      <c r="A694" s="5" t="s">
        <v>2558</v>
      </c>
      <c r="B694" s="5" t="s">
        <v>22</v>
      </c>
      <c r="C694" s="6">
        <v>5.0</v>
      </c>
      <c r="D694" s="6">
        <v>26.0</v>
      </c>
      <c r="E694" s="6">
        <v>2.0</v>
      </c>
      <c r="F694" s="6">
        <v>11.0</v>
      </c>
      <c r="G694" s="6">
        <v>15.0</v>
      </c>
      <c r="H694" s="6">
        <v>17.0</v>
      </c>
      <c r="I694" s="6">
        <v>5.0</v>
      </c>
      <c r="J694" s="9">
        <v>45157.0</v>
      </c>
      <c r="K694" s="6">
        <v>2.0</v>
      </c>
      <c r="L694" s="5" t="s">
        <v>113</v>
      </c>
      <c r="M694" s="5">
        <v>1.0</v>
      </c>
    </row>
    <row r="695" ht="22.5" customHeight="1">
      <c r="A695" s="5" t="s">
        <v>2560</v>
      </c>
      <c r="B695" s="5" t="s">
        <v>84</v>
      </c>
      <c r="C695" s="6">
        <v>4.0</v>
      </c>
      <c r="D695" s="6">
        <v>8.0</v>
      </c>
      <c r="E695" s="6">
        <v>2.0</v>
      </c>
      <c r="F695" s="6">
        <v>58.0</v>
      </c>
      <c r="G695" s="6">
        <v>23.0</v>
      </c>
      <c r="H695" s="6">
        <v>19.0</v>
      </c>
      <c r="I695" s="6">
        <v>4.0</v>
      </c>
      <c r="J695" s="9">
        <v>44664.0</v>
      </c>
      <c r="K695" s="6">
        <v>2.0</v>
      </c>
      <c r="L695" s="5" t="s">
        <v>113</v>
      </c>
      <c r="M695" s="5">
        <v>1.0</v>
      </c>
    </row>
    <row r="696" ht="22.5" customHeight="1">
      <c r="A696" s="5" t="s">
        <v>2563</v>
      </c>
      <c r="B696" s="5" t="s">
        <v>84</v>
      </c>
      <c r="C696" s="6">
        <v>7.0</v>
      </c>
      <c r="D696" s="6">
        <v>27.0</v>
      </c>
      <c r="E696" s="6">
        <v>4.0</v>
      </c>
      <c r="F696" s="6">
        <v>52.0</v>
      </c>
      <c r="G696" s="6">
        <v>26.0</v>
      </c>
      <c r="H696" s="6">
        <v>12.0</v>
      </c>
      <c r="I696" s="6">
        <v>0.0</v>
      </c>
      <c r="J696" s="9">
        <v>45867.0</v>
      </c>
      <c r="K696" s="6">
        <v>6.0</v>
      </c>
      <c r="L696" s="5" t="s">
        <v>62</v>
      </c>
      <c r="M696" s="5">
        <v>0.0</v>
      </c>
    </row>
    <row r="697" ht="22.5" customHeight="1">
      <c r="A697" s="5" t="s">
        <v>2567</v>
      </c>
      <c r="B697" s="5" t="s">
        <v>65</v>
      </c>
      <c r="C697" s="6">
        <v>4.0</v>
      </c>
      <c r="D697" s="6">
        <v>13.0</v>
      </c>
      <c r="E697" s="6">
        <v>2.0</v>
      </c>
      <c r="F697" s="6">
        <v>7.0</v>
      </c>
      <c r="G697" s="6">
        <v>39.0</v>
      </c>
      <c r="H697" s="6">
        <v>5.0</v>
      </c>
      <c r="I697" s="6">
        <v>3.0</v>
      </c>
      <c r="J697" s="9">
        <v>46097.0</v>
      </c>
      <c r="K697" s="6">
        <v>6.0</v>
      </c>
      <c r="L697" s="5" t="s">
        <v>62</v>
      </c>
      <c r="M697" s="5">
        <v>0.0</v>
      </c>
    </row>
    <row r="698" ht="22.5" customHeight="1">
      <c r="A698" s="5" t="s">
        <v>2569</v>
      </c>
      <c r="B698" s="5" t="s">
        <v>84</v>
      </c>
      <c r="C698" s="6">
        <v>9.0</v>
      </c>
      <c r="D698" s="6">
        <v>52.0</v>
      </c>
      <c r="E698" s="6">
        <v>11.0</v>
      </c>
      <c r="F698" s="6">
        <v>5.0</v>
      </c>
      <c r="G698" s="6">
        <v>26.0</v>
      </c>
      <c r="H698" s="6">
        <v>20.0</v>
      </c>
      <c r="I698" s="6">
        <v>1.0</v>
      </c>
      <c r="J698" s="9">
        <v>44664.0</v>
      </c>
      <c r="K698" s="6">
        <v>4.0</v>
      </c>
      <c r="L698" s="5" t="s">
        <v>113</v>
      </c>
      <c r="M698" s="5">
        <v>1.0</v>
      </c>
    </row>
    <row r="699" ht="22.5" customHeight="1">
      <c r="A699" s="5" t="s">
        <v>2571</v>
      </c>
      <c r="B699" s="5" t="s">
        <v>65</v>
      </c>
      <c r="C699" s="6">
        <v>5.0</v>
      </c>
      <c r="D699" s="6">
        <v>27.0</v>
      </c>
      <c r="E699" s="6">
        <v>12.0</v>
      </c>
      <c r="F699" s="6">
        <v>27.0</v>
      </c>
      <c r="G699" s="6">
        <v>36.0</v>
      </c>
      <c r="H699" s="6">
        <v>7.0</v>
      </c>
      <c r="I699" s="6">
        <v>1.0</v>
      </c>
      <c r="J699" s="9">
        <v>45667.0</v>
      </c>
      <c r="K699" s="6">
        <v>8.0</v>
      </c>
      <c r="L699" s="5" t="s">
        <v>62</v>
      </c>
      <c r="M699" s="5">
        <v>0.0</v>
      </c>
    </row>
    <row r="700" ht="22.5" customHeight="1">
      <c r="A700" s="5" t="s">
        <v>2575</v>
      </c>
      <c r="B700" s="5" t="s">
        <v>22</v>
      </c>
      <c r="C700" s="6">
        <v>6.0</v>
      </c>
      <c r="D700" s="6">
        <v>22.0</v>
      </c>
      <c r="E700" s="6">
        <v>10.0</v>
      </c>
      <c r="F700" s="6">
        <v>40.0</v>
      </c>
      <c r="G700" s="6">
        <v>16.0</v>
      </c>
      <c r="H700" s="6">
        <v>18.0</v>
      </c>
      <c r="I700" s="6">
        <v>3.0</v>
      </c>
      <c r="J700" s="9">
        <v>45894.0</v>
      </c>
      <c r="K700" s="6">
        <v>6.0</v>
      </c>
      <c r="L700" s="5" t="s">
        <v>62</v>
      </c>
      <c r="M700" s="5">
        <v>0.0</v>
      </c>
    </row>
    <row r="701" ht="22.5" customHeight="1">
      <c r="A701" s="5" t="s">
        <v>2578</v>
      </c>
      <c r="B701" s="5" t="s">
        <v>84</v>
      </c>
      <c r="C701" s="6">
        <v>4.0</v>
      </c>
      <c r="D701" s="6">
        <v>17.0</v>
      </c>
      <c r="E701" s="6">
        <v>7.0</v>
      </c>
      <c r="F701" s="6">
        <v>33.0</v>
      </c>
      <c r="G701" s="6">
        <v>19.0</v>
      </c>
      <c r="H701" s="6">
        <v>16.0</v>
      </c>
      <c r="I701" s="6">
        <v>2.0</v>
      </c>
      <c r="J701" s="9">
        <v>45792.0</v>
      </c>
      <c r="K701" s="6">
        <v>4.0</v>
      </c>
      <c r="L701" s="5" t="s">
        <v>62</v>
      </c>
      <c r="M701" s="5">
        <v>0.0</v>
      </c>
    </row>
    <row r="702" ht="22.5" customHeight="1">
      <c r="A702" s="5" t="s">
        <v>2579</v>
      </c>
      <c r="B702" s="5" t="s">
        <v>44</v>
      </c>
      <c r="C702" s="6">
        <v>8.0</v>
      </c>
      <c r="D702" s="6">
        <v>45.0</v>
      </c>
      <c r="E702" s="6">
        <v>4.0</v>
      </c>
      <c r="F702" s="6">
        <v>12.0</v>
      </c>
      <c r="G702" s="6">
        <v>29.0</v>
      </c>
      <c r="H702" s="8"/>
      <c r="I702" s="6">
        <v>0.0</v>
      </c>
      <c r="J702" s="9">
        <v>44537.0</v>
      </c>
      <c r="K702" s="6">
        <v>3.0</v>
      </c>
      <c r="L702" s="5" t="s">
        <v>113</v>
      </c>
      <c r="M702" s="5">
        <v>1.0</v>
      </c>
    </row>
    <row r="703" ht="22.5" customHeight="1">
      <c r="A703" s="5" t="s">
        <v>2582</v>
      </c>
      <c r="B703" s="5" t="s">
        <v>44</v>
      </c>
      <c r="C703" s="6">
        <v>12.0</v>
      </c>
      <c r="D703" s="6">
        <v>26.0</v>
      </c>
      <c r="E703" s="6">
        <v>3.0</v>
      </c>
      <c r="F703" s="6">
        <v>48.0</v>
      </c>
      <c r="G703" s="6">
        <v>21.0</v>
      </c>
      <c r="H703" s="6">
        <v>10.0</v>
      </c>
      <c r="I703" s="6">
        <v>3.0</v>
      </c>
      <c r="J703" s="9">
        <v>45459.0</v>
      </c>
      <c r="K703" s="6">
        <v>3.0</v>
      </c>
      <c r="L703" s="5" t="s">
        <v>62</v>
      </c>
      <c r="M703" s="5">
        <v>0.0</v>
      </c>
    </row>
    <row r="704" ht="22.5" customHeight="1">
      <c r="A704" s="5" t="s">
        <v>2584</v>
      </c>
      <c r="B704" s="5" t="s">
        <v>22</v>
      </c>
      <c r="C704" s="6">
        <v>12.0</v>
      </c>
      <c r="D704" s="6">
        <v>52.0</v>
      </c>
      <c r="E704" s="6">
        <v>7.0</v>
      </c>
      <c r="F704" s="6">
        <v>34.0</v>
      </c>
      <c r="G704" s="6">
        <v>30.0</v>
      </c>
      <c r="H704" s="6">
        <v>13.0</v>
      </c>
      <c r="I704" s="6">
        <v>2.0</v>
      </c>
      <c r="J704" s="9">
        <v>44863.0</v>
      </c>
      <c r="K704" s="6">
        <v>2.0</v>
      </c>
      <c r="L704" s="5" t="s">
        <v>113</v>
      </c>
      <c r="M704" s="5">
        <v>1.0</v>
      </c>
    </row>
    <row r="705" ht="22.5" customHeight="1">
      <c r="A705" s="5" t="s">
        <v>2588</v>
      </c>
      <c r="B705" s="5" t="s">
        <v>65</v>
      </c>
      <c r="C705" s="6">
        <v>6.0</v>
      </c>
      <c r="D705" s="6">
        <v>10.0</v>
      </c>
      <c r="E705" s="6">
        <v>3.0</v>
      </c>
      <c r="F705" s="6">
        <v>50.0</v>
      </c>
      <c r="G705" s="6">
        <v>22.0</v>
      </c>
      <c r="H705" s="6">
        <v>3.0</v>
      </c>
      <c r="I705" s="6">
        <v>0.0</v>
      </c>
      <c r="J705" s="9">
        <v>46024.0</v>
      </c>
      <c r="K705" s="6">
        <v>5.0</v>
      </c>
      <c r="L705" s="5" t="s">
        <v>62</v>
      </c>
      <c r="M705" s="5">
        <v>0.0</v>
      </c>
    </row>
    <row r="706" ht="22.5" customHeight="1">
      <c r="A706" s="5" t="s">
        <v>2592</v>
      </c>
      <c r="B706" s="5" t="s">
        <v>65</v>
      </c>
      <c r="C706" s="6">
        <v>8.0</v>
      </c>
      <c r="D706" s="6">
        <v>47.0</v>
      </c>
      <c r="E706" s="6">
        <v>2.0</v>
      </c>
      <c r="F706" s="6">
        <v>6.0</v>
      </c>
      <c r="G706" s="6">
        <v>34.0</v>
      </c>
      <c r="H706" s="6">
        <v>11.0</v>
      </c>
      <c r="I706" s="6">
        <v>3.0</v>
      </c>
      <c r="J706" s="9">
        <v>44595.0</v>
      </c>
      <c r="K706" s="6">
        <v>4.0</v>
      </c>
      <c r="L706" s="5" t="s">
        <v>113</v>
      </c>
      <c r="M706" s="5">
        <v>1.0</v>
      </c>
    </row>
    <row r="707" ht="22.5" customHeight="1">
      <c r="A707" s="5" t="s">
        <v>2594</v>
      </c>
      <c r="B707" s="5" t="s">
        <v>22</v>
      </c>
      <c r="C707" s="6">
        <v>2.0</v>
      </c>
      <c r="D707" s="6">
        <v>8.0</v>
      </c>
      <c r="E707" s="6">
        <v>3.0</v>
      </c>
      <c r="F707" s="6">
        <v>59.0</v>
      </c>
      <c r="G707" s="6">
        <v>25.0</v>
      </c>
      <c r="H707" s="6">
        <v>12.0</v>
      </c>
      <c r="I707" s="6">
        <v>3.0</v>
      </c>
      <c r="J707" s="9">
        <v>44466.0</v>
      </c>
      <c r="K707" s="6">
        <v>4.0</v>
      </c>
      <c r="L707" s="5" t="s">
        <v>113</v>
      </c>
      <c r="M707" s="5">
        <v>1.0</v>
      </c>
    </row>
    <row r="708" ht="22.5" customHeight="1">
      <c r="A708" s="5" t="s">
        <v>2598</v>
      </c>
      <c r="B708" s="5" t="s">
        <v>65</v>
      </c>
      <c r="C708" s="6">
        <v>4.0</v>
      </c>
      <c r="D708" s="6">
        <v>12.0</v>
      </c>
      <c r="E708" s="6">
        <v>9.0</v>
      </c>
      <c r="F708" s="6">
        <v>31.0</v>
      </c>
      <c r="G708" s="6">
        <v>39.0</v>
      </c>
      <c r="H708" s="6">
        <v>2.0</v>
      </c>
      <c r="I708" s="6">
        <v>5.0</v>
      </c>
      <c r="J708" s="9">
        <v>44652.0</v>
      </c>
      <c r="K708" s="6">
        <v>5.0</v>
      </c>
      <c r="L708" s="5" t="s">
        <v>113</v>
      </c>
      <c r="M708" s="5">
        <v>1.0</v>
      </c>
    </row>
    <row r="709" ht="22.5" customHeight="1">
      <c r="A709" s="5" t="s">
        <v>2601</v>
      </c>
      <c r="B709" s="5" t="s">
        <v>65</v>
      </c>
      <c r="C709" s="6">
        <v>5.0</v>
      </c>
      <c r="D709" s="6">
        <v>27.0</v>
      </c>
      <c r="E709" s="6">
        <v>7.0</v>
      </c>
      <c r="F709" s="6">
        <v>41.0</v>
      </c>
      <c r="G709" s="6">
        <v>41.0</v>
      </c>
      <c r="H709" s="6">
        <v>1.0</v>
      </c>
      <c r="I709" s="6">
        <v>0.0</v>
      </c>
      <c r="J709" s="9">
        <v>44771.0</v>
      </c>
      <c r="K709" s="6">
        <v>2.0</v>
      </c>
      <c r="L709" s="5" t="s">
        <v>113</v>
      </c>
      <c r="M709" s="5">
        <v>1.0</v>
      </c>
    </row>
    <row r="710" ht="22.5" customHeight="1">
      <c r="A710" s="5" t="s">
        <v>2602</v>
      </c>
      <c r="B710" s="5" t="s">
        <v>84</v>
      </c>
      <c r="C710" s="6">
        <v>7.0</v>
      </c>
      <c r="D710" s="6">
        <v>41.0</v>
      </c>
      <c r="E710" s="6">
        <v>13.0</v>
      </c>
      <c r="F710" s="6">
        <v>44.0</v>
      </c>
      <c r="G710" s="6">
        <v>32.0</v>
      </c>
      <c r="H710" s="6">
        <v>18.0</v>
      </c>
      <c r="I710" s="6">
        <v>0.0</v>
      </c>
      <c r="J710" s="9">
        <v>44710.0</v>
      </c>
      <c r="K710" s="6">
        <v>2.0</v>
      </c>
      <c r="L710" s="10" t="s">
        <v>113</v>
      </c>
      <c r="M710" s="10">
        <v>1.0</v>
      </c>
    </row>
    <row r="711" ht="22.5" customHeight="1">
      <c r="A711" s="5" t="s">
        <v>2603</v>
      </c>
      <c r="B711" s="5" t="s">
        <v>65</v>
      </c>
      <c r="C711" s="6">
        <v>4.0</v>
      </c>
      <c r="D711" s="6">
        <v>23.0</v>
      </c>
      <c r="E711" s="6">
        <v>9.0</v>
      </c>
      <c r="F711" s="6">
        <v>56.0</v>
      </c>
      <c r="G711" s="6">
        <v>26.0</v>
      </c>
      <c r="H711" s="6">
        <v>13.0</v>
      </c>
      <c r="I711" s="6">
        <v>0.0</v>
      </c>
      <c r="J711" s="9">
        <v>45604.0</v>
      </c>
      <c r="K711" s="6">
        <v>7.0</v>
      </c>
      <c r="L711" s="5" t="s">
        <v>62</v>
      </c>
      <c r="M711" s="5">
        <v>0.0</v>
      </c>
    </row>
    <row r="712" ht="22.5" customHeight="1">
      <c r="A712" s="5" t="s">
        <v>2605</v>
      </c>
      <c r="B712" s="5" t="s">
        <v>44</v>
      </c>
      <c r="C712" s="6">
        <v>5.0</v>
      </c>
      <c r="D712" s="6">
        <v>8.0</v>
      </c>
      <c r="E712" s="6">
        <v>1.0</v>
      </c>
      <c r="F712" s="6">
        <v>40.0</v>
      </c>
      <c r="G712" s="6">
        <v>28.0</v>
      </c>
      <c r="H712" s="6">
        <v>19.0</v>
      </c>
      <c r="I712" s="6">
        <v>1.0</v>
      </c>
      <c r="J712" s="9">
        <v>45184.0</v>
      </c>
      <c r="K712" s="6">
        <v>4.0</v>
      </c>
      <c r="L712" s="5" t="s">
        <v>62</v>
      </c>
      <c r="M712" s="5">
        <v>0.0</v>
      </c>
    </row>
    <row r="713" ht="22.5" customHeight="1">
      <c r="A713" s="5" t="s">
        <v>2607</v>
      </c>
      <c r="B713" s="5" t="s">
        <v>22</v>
      </c>
      <c r="C713" s="6">
        <v>9.0</v>
      </c>
      <c r="D713" s="6">
        <v>47.0</v>
      </c>
      <c r="E713" s="6">
        <v>12.0</v>
      </c>
      <c r="F713" s="6">
        <v>59.0</v>
      </c>
      <c r="G713" s="6">
        <v>14.0</v>
      </c>
      <c r="H713" s="6">
        <v>7.0</v>
      </c>
      <c r="I713" s="6">
        <v>1.0</v>
      </c>
      <c r="J713" s="9">
        <v>45954.0</v>
      </c>
      <c r="K713" s="6">
        <v>7.0</v>
      </c>
      <c r="L713" s="5" t="s">
        <v>62</v>
      </c>
      <c r="M713" s="5">
        <v>0.0</v>
      </c>
    </row>
    <row r="714" ht="22.5" customHeight="1">
      <c r="A714" s="5" t="s">
        <v>2611</v>
      </c>
      <c r="B714" s="5" t="s">
        <v>22</v>
      </c>
      <c r="C714" s="6">
        <v>8.0</v>
      </c>
      <c r="D714" s="6">
        <v>34.0</v>
      </c>
      <c r="E714" s="6">
        <v>12.0</v>
      </c>
      <c r="F714" s="6">
        <v>28.0</v>
      </c>
      <c r="G714" s="6">
        <v>30.0</v>
      </c>
      <c r="H714" s="6">
        <v>2.0</v>
      </c>
      <c r="I714" s="6">
        <v>3.0</v>
      </c>
      <c r="J714" s="9">
        <v>45918.0</v>
      </c>
      <c r="K714" s="6">
        <v>7.0</v>
      </c>
      <c r="L714" s="5" t="s">
        <v>62</v>
      </c>
      <c r="M714" s="5">
        <v>0.0</v>
      </c>
    </row>
    <row r="715" ht="22.5" customHeight="1">
      <c r="A715" s="5" t="s">
        <v>2613</v>
      </c>
      <c r="B715" s="5" t="s">
        <v>84</v>
      </c>
      <c r="C715" s="6">
        <v>5.0</v>
      </c>
      <c r="D715" s="6">
        <v>22.0</v>
      </c>
      <c r="E715" s="6">
        <v>8.0</v>
      </c>
      <c r="F715" s="6">
        <v>31.0</v>
      </c>
      <c r="G715" s="6">
        <v>17.0</v>
      </c>
      <c r="H715" s="6">
        <v>13.0</v>
      </c>
      <c r="I715" s="6">
        <v>2.0</v>
      </c>
      <c r="J715" s="9">
        <v>45915.0</v>
      </c>
      <c r="K715" s="6">
        <v>10.0</v>
      </c>
      <c r="L715" s="5" t="s">
        <v>62</v>
      </c>
      <c r="M715" s="5">
        <v>0.0</v>
      </c>
    </row>
    <row r="716" ht="22.5" customHeight="1">
      <c r="A716" s="5" t="s">
        <v>2616</v>
      </c>
      <c r="B716" s="5" t="s">
        <v>22</v>
      </c>
      <c r="C716" s="6">
        <v>5.0</v>
      </c>
      <c r="D716" s="6">
        <v>23.0</v>
      </c>
      <c r="E716" s="6">
        <v>8.0</v>
      </c>
      <c r="F716" s="6">
        <v>6.0</v>
      </c>
      <c r="G716" s="6">
        <v>19.0</v>
      </c>
      <c r="H716" s="6">
        <v>13.0</v>
      </c>
      <c r="I716" s="6">
        <v>2.0</v>
      </c>
      <c r="J716" s="9">
        <v>45884.0</v>
      </c>
      <c r="K716" s="6">
        <v>7.0</v>
      </c>
      <c r="L716" s="5" t="s">
        <v>62</v>
      </c>
      <c r="M716" s="5">
        <v>0.0</v>
      </c>
    </row>
    <row r="717" ht="22.5" customHeight="1">
      <c r="A717" s="5" t="s">
        <v>2617</v>
      </c>
      <c r="B717" s="5" t="s">
        <v>84</v>
      </c>
      <c r="C717" s="6">
        <v>13.0</v>
      </c>
      <c r="D717" s="6">
        <v>59.0</v>
      </c>
      <c r="E717" s="6">
        <v>9.0</v>
      </c>
      <c r="F717" s="6">
        <v>38.0</v>
      </c>
      <c r="G717" s="6">
        <v>22.0</v>
      </c>
      <c r="H717" s="6">
        <v>7.0</v>
      </c>
      <c r="I717" s="6">
        <v>1.0</v>
      </c>
      <c r="J717" s="9">
        <v>44649.0</v>
      </c>
      <c r="K717" s="6">
        <v>1.0</v>
      </c>
      <c r="L717" s="5" t="s">
        <v>113</v>
      </c>
      <c r="M717" s="5">
        <v>1.0</v>
      </c>
    </row>
    <row r="718" ht="22.5" customHeight="1">
      <c r="A718" s="5" t="s">
        <v>2620</v>
      </c>
      <c r="B718" s="5" t="s">
        <v>22</v>
      </c>
      <c r="C718" s="6">
        <v>6.0</v>
      </c>
      <c r="D718" s="6">
        <v>24.0</v>
      </c>
      <c r="E718" s="6">
        <v>6.0</v>
      </c>
      <c r="F718" s="6">
        <v>29.0</v>
      </c>
      <c r="G718" s="6">
        <v>36.0</v>
      </c>
      <c r="H718" s="6">
        <v>20.0</v>
      </c>
      <c r="I718" s="6">
        <v>2.0</v>
      </c>
      <c r="J718" s="9">
        <v>44894.0</v>
      </c>
      <c r="K718" s="6">
        <v>1.0</v>
      </c>
      <c r="L718" s="5" t="s">
        <v>113</v>
      </c>
      <c r="M718" s="5">
        <v>1.0</v>
      </c>
    </row>
    <row r="719" ht="22.5" customHeight="1">
      <c r="A719" s="5" t="s">
        <v>2623</v>
      </c>
      <c r="B719" s="5" t="s">
        <v>22</v>
      </c>
      <c r="C719" s="6">
        <v>5.0</v>
      </c>
      <c r="D719" s="6">
        <v>30.0</v>
      </c>
      <c r="E719" s="6">
        <v>2.0</v>
      </c>
      <c r="F719" s="6">
        <v>55.0</v>
      </c>
      <c r="G719" s="6">
        <v>32.0</v>
      </c>
      <c r="H719" s="6">
        <v>8.0</v>
      </c>
      <c r="I719" s="6">
        <v>1.0</v>
      </c>
      <c r="J719" s="9">
        <v>45658.0</v>
      </c>
      <c r="K719" s="6">
        <v>6.0</v>
      </c>
      <c r="L719" s="5" t="s">
        <v>62</v>
      </c>
      <c r="M719" s="5">
        <v>0.0</v>
      </c>
    </row>
    <row r="720" ht="22.5" customHeight="1">
      <c r="A720" s="5" t="s">
        <v>2626</v>
      </c>
      <c r="B720" s="5" t="s">
        <v>65</v>
      </c>
      <c r="C720" s="6">
        <v>5.0</v>
      </c>
      <c r="D720" s="6">
        <v>14.0</v>
      </c>
      <c r="E720" s="6">
        <v>6.0</v>
      </c>
      <c r="F720" s="6">
        <v>10.0</v>
      </c>
      <c r="G720" s="6">
        <v>22.0</v>
      </c>
      <c r="H720" s="6">
        <v>10.0</v>
      </c>
      <c r="I720" s="6">
        <v>4.0</v>
      </c>
      <c r="J720" s="9">
        <v>45648.0</v>
      </c>
      <c r="K720" s="6">
        <v>6.0</v>
      </c>
      <c r="L720" s="5" t="s">
        <v>62</v>
      </c>
      <c r="M720" s="5">
        <v>0.0</v>
      </c>
    </row>
    <row r="721" ht="22.5" customHeight="1">
      <c r="A721" s="5" t="s">
        <v>2630</v>
      </c>
      <c r="B721" s="5" t="s">
        <v>65</v>
      </c>
      <c r="C721" s="6">
        <v>7.0</v>
      </c>
      <c r="D721" s="6">
        <v>13.0</v>
      </c>
      <c r="E721" s="6">
        <v>4.0</v>
      </c>
      <c r="F721" s="6">
        <v>14.0</v>
      </c>
      <c r="G721" s="6">
        <v>25.0</v>
      </c>
      <c r="H721" s="6">
        <v>12.0</v>
      </c>
      <c r="I721" s="6">
        <v>4.0</v>
      </c>
      <c r="J721" s="9">
        <v>46145.0</v>
      </c>
      <c r="K721" s="6">
        <v>7.0</v>
      </c>
      <c r="L721" s="5" t="s">
        <v>62</v>
      </c>
      <c r="M721" s="5">
        <v>0.0</v>
      </c>
    </row>
    <row r="722" ht="22.5" customHeight="1">
      <c r="A722" s="5" t="s">
        <v>2632</v>
      </c>
      <c r="B722" s="5" t="s">
        <v>65</v>
      </c>
      <c r="C722" s="6">
        <v>6.0</v>
      </c>
      <c r="D722" s="6">
        <v>31.0</v>
      </c>
      <c r="E722" s="6">
        <v>1.0</v>
      </c>
      <c r="F722" s="6">
        <v>54.0</v>
      </c>
      <c r="G722" s="6">
        <v>18.0</v>
      </c>
      <c r="H722" s="6">
        <v>17.0</v>
      </c>
      <c r="I722" s="6">
        <v>2.0</v>
      </c>
      <c r="J722" s="9">
        <v>45258.0</v>
      </c>
      <c r="K722" s="6">
        <v>5.0</v>
      </c>
      <c r="L722" s="5" t="s">
        <v>62</v>
      </c>
      <c r="M722" s="5">
        <v>0.0</v>
      </c>
    </row>
    <row r="723" ht="22.5" customHeight="1">
      <c r="A723" s="5" t="s">
        <v>2634</v>
      </c>
      <c r="B723" s="5" t="s">
        <v>22</v>
      </c>
      <c r="C723" s="6">
        <v>7.0</v>
      </c>
      <c r="D723" s="6">
        <v>40.0</v>
      </c>
      <c r="E723" s="6">
        <v>5.0</v>
      </c>
      <c r="F723" s="6">
        <v>24.0</v>
      </c>
      <c r="G723" s="6">
        <v>35.0</v>
      </c>
      <c r="H723" s="8"/>
      <c r="I723" s="6">
        <v>5.0</v>
      </c>
      <c r="J723" s="9">
        <v>45969.0</v>
      </c>
      <c r="K723" s="6">
        <v>8.0</v>
      </c>
      <c r="L723" s="5" t="s">
        <v>62</v>
      </c>
      <c r="M723" s="5">
        <v>0.0</v>
      </c>
    </row>
    <row r="724" ht="22.5" customHeight="1">
      <c r="A724" s="5" t="s">
        <v>2637</v>
      </c>
      <c r="B724" s="5" t="s">
        <v>84</v>
      </c>
      <c r="C724" s="6">
        <v>8.0</v>
      </c>
      <c r="D724" s="6">
        <v>12.0</v>
      </c>
      <c r="E724" s="6">
        <v>2.0</v>
      </c>
      <c r="F724" s="6">
        <v>31.0</v>
      </c>
      <c r="G724" s="6">
        <v>18.0</v>
      </c>
      <c r="H724" s="6">
        <v>8.0</v>
      </c>
      <c r="I724" s="6">
        <v>0.0</v>
      </c>
      <c r="J724" s="11"/>
      <c r="K724" s="6">
        <v>6.0</v>
      </c>
      <c r="L724" s="5" t="s">
        <v>113</v>
      </c>
      <c r="M724" s="5">
        <v>1.0</v>
      </c>
    </row>
    <row r="725" ht="22.5" customHeight="1">
      <c r="A725" s="5" t="s">
        <v>2639</v>
      </c>
      <c r="B725" s="5" t="s">
        <v>22</v>
      </c>
      <c r="C725" s="6">
        <v>6.0</v>
      </c>
      <c r="D725" s="6">
        <v>35.0</v>
      </c>
      <c r="E725" s="6">
        <v>14.0</v>
      </c>
      <c r="F725" s="6">
        <v>9.0</v>
      </c>
      <c r="G725" s="6">
        <v>28.0</v>
      </c>
      <c r="H725" s="6">
        <v>12.0</v>
      </c>
      <c r="I725" s="6">
        <v>2.0</v>
      </c>
      <c r="J725" s="9">
        <v>45823.0</v>
      </c>
      <c r="K725" s="6">
        <v>7.0</v>
      </c>
      <c r="L725" s="5" t="s">
        <v>62</v>
      </c>
      <c r="M725" s="5">
        <v>0.0</v>
      </c>
    </row>
    <row r="726" ht="22.5" customHeight="1">
      <c r="A726" s="5" t="s">
        <v>2643</v>
      </c>
      <c r="B726" s="5" t="s">
        <v>84</v>
      </c>
      <c r="C726" s="6">
        <v>4.0</v>
      </c>
      <c r="D726" s="6">
        <v>14.0</v>
      </c>
      <c r="E726" s="6">
        <v>5.0</v>
      </c>
      <c r="F726" s="6">
        <v>23.0</v>
      </c>
      <c r="G726" s="6">
        <v>29.0</v>
      </c>
      <c r="H726" s="6">
        <v>12.0</v>
      </c>
      <c r="I726" s="6">
        <v>3.0</v>
      </c>
      <c r="J726" s="9">
        <v>45601.0</v>
      </c>
      <c r="K726" s="6">
        <v>7.0</v>
      </c>
      <c r="L726" s="5" t="s">
        <v>62</v>
      </c>
      <c r="M726" s="5">
        <v>0.0</v>
      </c>
    </row>
    <row r="727" ht="22.5" customHeight="1">
      <c r="A727" s="5" t="s">
        <v>2646</v>
      </c>
      <c r="B727" s="5" t="s">
        <v>170</v>
      </c>
      <c r="C727" s="6">
        <v>6.0</v>
      </c>
      <c r="D727" s="6">
        <v>12.0</v>
      </c>
      <c r="E727" s="6">
        <v>5.0</v>
      </c>
      <c r="F727" s="6">
        <v>46.0</v>
      </c>
      <c r="G727" s="6">
        <v>41.0</v>
      </c>
      <c r="H727" s="6">
        <v>3.0</v>
      </c>
      <c r="I727" s="6">
        <v>4.0</v>
      </c>
      <c r="J727" s="9">
        <v>45732.0</v>
      </c>
      <c r="K727" s="6">
        <v>7.0</v>
      </c>
      <c r="L727" s="5" t="s">
        <v>62</v>
      </c>
      <c r="M727" s="5">
        <v>0.0</v>
      </c>
    </row>
    <row r="728" ht="22.5" customHeight="1">
      <c r="A728" s="5" t="s">
        <v>2649</v>
      </c>
      <c r="B728" s="5" t="s">
        <v>22</v>
      </c>
      <c r="C728" s="6">
        <v>8.0</v>
      </c>
      <c r="D728" s="6">
        <v>48.0</v>
      </c>
      <c r="E728" s="6">
        <v>5.0</v>
      </c>
      <c r="F728" s="6">
        <v>42.0</v>
      </c>
      <c r="G728" s="6">
        <v>24.0</v>
      </c>
      <c r="H728" s="6">
        <v>20.0</v>
      </c>
      <c r="I728" s="6">
        <v>2.0</v>
      </c>
      <c r="J728" s="9">
        <v>46186.0</v>
      </c>
      <c r="K728" s="6">
        <v>7.0</v>
      </c>
      <c r="L728" s="5" t="s">
        <v>62</v>
      </c>
      <c r="M728" s="5">
        <v>0.0</v>
      </c>
    </row>
    <row r="729" ht="22.5" customHeight="1">
      <c r="A729" s="5" t="s">
        <v>2651</v>
      </c>
      <c r="B729" s="5" t="s">
        <v>65</v>
      </c>
      <c r="C729" s="6">
        <v>8.0</v>
      </c>
      <c r="D729" s="6">
        <v>25.0</v>
      </c>
      <c r="E729" s="6">
        <v>14.0</v>
      </c>
      <c r="F729" s="6">
        <v>18.0</v>
      </c>
      <c r="G729" s="6">
        <v>30.0</v>
      </c>
      <c r="H729" s="6">
        <v>1.0</v>
      </c>
      <c r="I729" s="6">
        <v>2.0</v>
      </c>
      <c r="J729" s="9">
        <v>44636.0</v>
      </c>
      <c r="K729" s="6">
        <v>4.0</v>
      </c>
      <c r="L729" s="5" t="s">
        <v>113</v>
      </c>
      <c r="M729" s="5">
        <v>1.0</v>
      </c>
    </row>
    <row r="730" ht="22.5" customHeight="1">
      <c r="A730" s="5" t="s">
        <v>2654</v>
      </c>
      <c r="B730" s="5" t="s">
        <v>22</v>
      </c>
      <c r="C730" s="6">
        <v>7.0</v>
      </c>
      <c r="D730" s="6">
        <v>15.0</v>
      </c>
      <c r="E730" s="6">
        <v>5.0</v>
      </c>
      <c r="F730" s="6">
        <v>45.0</v>
      </c>
      <c r="G730" s="6">
        <v>10.0</v>
      </c>
      <c r="H730" s="6">
        <v>4.0</v>
      </c>
      <c r="I730" s="6">
        <v>3.0</v>
      </c>
      <c r="J730" s="9">
        <v>46152.0</v>
      </c>
      <c r="K730" s="6">
        <v>7.0</v>
      </c>
      <c r="L730" s="5" t="s">
        <v>62</v>
      </c>
      <c r="M730" s="5">
        <v>0.0</v>
      </c>
    </row>
    <row r="731" ht="22.5" customHeight="1">
      <c r="A731" s="5" t="s">
        <v>2659</v>
      </c>
      <c r="B731" s="5" t="s">
        <v>84</v>
      </c>
      <c r="C731" s="6">
        <v>6.0</v>
      </c>
      <c r="D731" s="6">
        <v>14.0</v>
      </c>
      <c r="E731" s="6">
        <v>4.0</v>
      </c>
      <c r="F731" s="6">
        <v>8.0</v>
      </c>
      <c r="G731" s="6">
        <v>30.0</v>
      </c>
      <c r="H731" s="6">
        <v>11.0</v>
      </c>
      <c r="I731" s="6">
        <v>2.0</v>
      </c>
      <c r="J731" s="9">
        <v>45585.0</v>
      </c>
      <c r="K731" s="6">
        <v>6.0</v>
      </c>
      <c r="L731" s="5" t="s">
        <v>62</v>
      </c>
      <c r="M731" s="5">
        <v>0.0</v>
      </c>
    </row>
    <row r="732" ht="22.5" customHeight="1">
      <c r="A732" s="5" t="s">
        <v>2661</v>
      </c>
      <c r="B732" s="5" t="s">
        <v>84</v>
      </c>
      <c r="C732" s="6">
        <v>7.0</v>
      </c>
      <c r="D732" s="6">
        <v>11.0</v>
      </c>
      <c r="E732" s="6">
        <v>7.0</v>
      </c>
      <c r="F732" s="6">
        <v>25.0</v>
      </c>
      <c r="G732" s="6">
        <v>12.0</v>
      </c>
      <c r="H732" s="6">
        <v>12.0</v>
      </c>
      <c r="I732" s="6">
        <v>3.0</v>
      </c>
      <c r="J732" s="9">
        <v>45029.0</v>
      </c>
      <c r="K732" s="6">
        <v>2.0</v>
      </c>
      <c r="L732" s="5" t="s">
        <v>113</v>
      </c>
      <c r="M732" s="5">
        <v>1.0</v>
      </c>
    </row>
    <row r="733" ht="22.5" customHeight="1">
      <c r="A733" s="5" t="s">
        <v>2664</v>
      </c>
      <c r="B733" s="5" t="s">
        <v>44</v>
      </c>
      <c r="C733" s="6">
        <v>7.0</v>
      </c>
      <c r="D733" s="6">
        <v>32.0</v>
      </c>
      <c r="E733" s="6">
        <v>9.0</v>
      </c>
      <c r="F733" s="6">
        <v>22.0</v>
      </c>
      <c r="G733" s="6">
        <v>24.0</v>
      </c>
      <c r="H733" s="6">
        <v>9.0</v>
      </c>
      <c r="I733" s="6">
        <v>0.0</v>
      </c>
      <c r="J733" s="9">
        <v>46085.0</v>
      </c>
      <c r="K733" s="6">
        <v>8.0</v>
      </c>
      <c r="L733" s="5" t="s">
        <v>62</v>
      </c>
      <c r="M733" s="5">
        <v>0.0</v>
      </c>
    </row>
    <row r="734" ht="22.5" customHeight="1">
      <c r="A734" s="5" t="s">
        <v>2666</v>
      </c>
      <c r="B734" s="5" t="s">
        <v>84</v>
      </c>
      <c r="C734" s="6">
        <v>4.0</v>
      </c>
      <c r="D734" s="6">
        <v>11.0</v>
      </c>
      <c r="E734" s="6">
        <v>8.0</v>
      </c>
      <c r="F734" s="6">
        <v>24.0</v>
      </c>
      <c r="G734" s="6">
        <v>26.0</v>
      </c>
      <c r="H734" s="6">
        <v>10.0</v>
      </c>
      <c r="I734" s="6">
        <v>4.0</v>
      </c>
      <c r="J734" s="9">
        <v>45248.0</v>
      </c>
      <c r="K734" s="6">
        <v>5.0</v>
      </c>
      <c r="L734" s="5" t="s">
        <v>62</v>
      </c>
      <c r="M734" s="5">
        <v>0.0</v>
      </c>
    </row>
    <row r="735" ht="22.5" customHeight="1">
      <c r="A735" s="5" t="s">
        <v>2669</v>
      </c>
      <c r="B735" s="5" t="s">
        <v>65</v>
      </c>
      <c r="C735" s="6">
        <v>2.0</v>
      </c>
      <c r="D735" s="6">
        <v>7.0</v>
      </c>
      <c r="E735" s="6">
        <v>2.0</v>
      </c>
      <c r="F735" s="6">
        <v>45.0</v>
      </c>
      <c r="G735" s="6">
        <v>16.0</v>
      </c>
      <c r="H735" s="6">
        <v>6.0</v>
      </c>
      <c r="I735" s="6">
        <v>0.0</v>
      </c>
      <c r="J735" s="9">
        <v>45872.0</v>
      </c>
      <c r="K735" s="6">
        <v>5.0</v>
      </c>
      <c r="L735" s="10" t="s">
        <v>62</v>
      </c>
      <c r="M735" s="10">
        <v>0.0</v>
      </c>
    </row>
    <row r="736" ht="22.5" customHeight="1">
      <c r="A736" s="5" t="s">
        <v>2672</v>
      </c>
      <c r="B736" s="5" t="s">
        <v>65</v>
      </c>
      <c r="C736" s="6">
        <v>11.0</v>
      </c>
      <c r="D736" s="6">
        <v>45.0</v>
      </c>
      <c r="E736" s="6">
        <v>4.0</v>
      </c>
      <c r="F736" s="6">
        <v>15.0</v>
      </c>
      <c r="G736" s="6">
        <v>35.0</v>
      </c>
      <c r="H736" s="6">
        <v>1.0</v>
      </c>
      <c r="I736" s="6">
        <v>2.0</v>
      </c>
      <c r="J736" s="9">
        <v>44890.0</v>
      </c>
      <c r="K736" s="6">
        <v>4.0</v>
      </c>
      <c r="L736" s="5" t="s">
        <v>113</v>
      </c>
      <c r="M736" s="5">
        <v>1.0</v>
      </c>
    </row>
    <row r="737" ht="22.5" customHeight="1">
      <c r="A737" s="5" t="s">
        <v>2675</v>
      </c>
      <c r="B737" s="5" t="s">
        <v>84</v>
      </c>
      <c r="C737" s="6">
        <v>6.0</v>
      </c>
      <c r="D737" s="6">
        <v>11.0</v>
      </c>
      <c r="E737" s="6">
        <v>10.0</v>
      </c>
      <c r="F737" s="6">
        <v>18.0</v>
      </c>
      <c r="G737" s="6">
        <v>28.0</v>
      </c>
      <c r="H737" s="6">
        <v>5.0</v>
      </c>
      <c r="I737" s="6">
        <v>3.0</v>
      </c>
      <c r="J737" s="9">
        <v>46178.0</v>
      </c>
      <c r="K737" s="6">
        <v>6.0</v>
      </c>
      <c r="L737" s="10" t="s">
        <v>62</v>
      </c>
      <c r="M737" s="10">
        <v>0.0</v>
      </c>
    </row>
    <row r="738" ht="22.5" customHeight="1">
      <c r="A738" s="5" t="s">
        <v>2677</v>
      </c>
      <c r="B738" s="5" t="s">
        <v>65</v>
      </c>
      <c r="C738" s="6">
        <v>9.0</v>
      </c>
      <c r="D738" s="6">
        <v>29.0</v>
      </c>
      <c r="E738" s="6">
        <v>9.0</v>
      </c>
      <c r="F738" s="6">
        <v>21.0</v>
      </c>
      <c r="G738" s="6">
        <v>10.0</v>
      </c>
      <c r="H738" s="6">
        <v>9.0</v>
      </c>
      <c r="I738" s="6">
        <v>4.0</v>
      </c>
      <c r="J738" s="9">
        <v>45540.0</v>
      </c>
      <c r="K738" s="6">
        <v>8.0</v>
      </c>
      <c r="L738" s="5" t="s">
        <v>62</v>
      </c>
      <c r="M738" s="5">
        <v>0.0</v>
      </c>
    </row>
    <row r="739" ht="22.5" customHeight="1">
      <c r="A739" s="5" t="s">
        <v>2680</v>
      </c>
      <c r="B739" s="5" t="s">
        <v>22</v>
      </c>
      <c r="C739" s="6">
        <v>6.0</v>
      </c>
      <c r="D739" s="6">
        <v>10.0</v>
      </c>
      <c r="E739" s="6">
        <v>3.0</v>
      </c>
      <c r="F739" s="6">
        <v>57.0</v>
      </c>
      <c r="G739" s="6">
        <v>25.0</v>
      </c>
      <c r="H739" s="6">
        <v>19.0</v>
      </c>
      <c r="I739" s="6">
        <v>1.0</v>
      </c>
      <c r="J739" s="9">
        <v>45754.0</v>
      </c>
      <c r="K739" s="6">
        <v>7.0</v>
      </c>
      <c r="L739" s="5" t="s">
        <v>62</v>
      </c>
      <c r="M739" s="5">
        <v>0.0</v>
      </c>
    </row>
    <row r="740" ht="22.5" customHeight="1">
      <c r="A740" s="5" t="s">
        <v>2683</v>
      </c>
      <c r="B740" s="5" t="s">
        <v>22</v>
      </c>
      <c r="C740" s="6">
        <v>5.0</v>
      </c>
      <c r="D740" s="6">
        <v>29.0</v>
      </c>
      <c r="E740" s="6">
        <v>8.0</v>
      </c>
      <c r="F740" s="6">
        <v>40.0</v>
      </c>
      <c r="G740" s="6">
        <v>17.0</v>
      </c>
      <c r="H740" s="6">
        <v>18.0</v>
      </c>
      <c r="I740" s="6">
        <v>2.0</v>
      </c>
      <c r="J740" s="9">
        <v>45680.0</v>
      </c>
      <c r="K740" s="6">
        <v>6.0</v>
      </c>
      <c r="L740" s="5" t="s">
        <v>62</v>
      </c>
      <c r="M740" s="5">
        <v>0.0</v>
      </c>
    </row>
    <row r="741" ht="22.5" customHeight="1">
      <c r="A741" s="5" t="s">
        <v>2687</v>
      </c>
      <c r="B741" s="5" t="s">
        <v>22</v>
      </c>
      <c r="C741" s="6">
        <v>6.0</v>
      </c>
      <c r="D741" s="6">
        <v>25.0</v>
      </c>
      <c r="E741" s="6">
        <v>4.0</v>
      </c>
      <c r="F741" s="6">
        <v>13.0</v>
      </c>
      <c r="G741" s="6">
        <v>17.0</v>
      </c>
      <c r="H741" s="6">
        <v>9.0</v>
      </c>
      <c r="I741" s="6">
        <v>2.0</v>
      </c>
      <c r="J741" s="9">
        <v>45961.0</v>
      </c>
      <c r="K741" s="6">
        <v>4.0</v>
      </c>
      <c r="L741" s="5" t="s">
        <v>62</v>
      </c>
      <c r="M741" s="5">
        <v>0.0</v>
      </c>
    </row>
    <row r="742" ht="22.5" customHeight="1">
      <c r="A742" s="5" t="s">
        <v>2689</v>
      </c>
      <c r="B742" s="5" t="s">
        <v>44</v>
      </c>
      <c r="C742" s="6">
        <v>2.0</v>
      </c>
      <c r="D742" s="6">
        <v>7.0</v>
      </c>
      <c r="E742" s="6">
        <v>7.0</v>
      </c>
      <c r="F742" s="6">
        <v>34.0</v>
      </c>
      <c r="G742" s="6">
        <v>10.0</v>
      </c>
      <c r="H742" s="6">
        <v>15.0</v>
      </c>
      <c r="I742" s="6">
        <v>5.0</v>
      </c>
      <c r="J742" s="9">
        <v>45089.0</v>
      </c>
      <c r="K742" s="6">
        <v>4.0</v>
      </c>
      <c r="L742" s="10" t="s">
        <v>113</v>
      </c>
      <c r="M742" s="10">
        <v>1.0</v>
      </c>
    </row>
    <row r="743" ht="22.5" customHeight="1">
      <c r="A743" s="5" t="s">
        <v>2692</v>
      </c>
      <c r="B743" s="5" t="s">
        <v>84</v>
      </c>
      <c r="C743" s="6">
        <v>5.0</v>
      </c>
      <c r="D743" s="6">
        <v>13.0</v>
      </c>
      <c r="E743" s="6">
        <v>14.0</v>
      </c>
      <c r="F743" s="6">
        <v>38.0</v>
      </c>
      <c r="G743" s="6">
        <v>23.0</v>
      </c>
      <c r="H743" s="6">
        <v>17.0</v>
      </c>
      <c r="I743" s="6">
        <v>2.0</v>
      </c>
      <c r="J743" s="11"/>
      <c r="K743" s="6">
        <v>3.0</v>
      </c>
      <c r="L743" s="5" t="s">
        <v>113</v>
      </c>
      <c r="M743" s="5">
        <v>1.0</v>
      </c>
    </row>
    <row r="744" ht="22.5" customHeight="1">
      <c r="A744" s="5" t="s">
        <v>2694</v>
      </c>
      <c r="B744" s="5" t="s">
        <v>170</v>
      </c>
      <c r="C744" s="6">
        <v>8.0</v>
      </c>
      <c r="D744" s="6">
        <v>35.0</v>
      </c>
      <c r="E744" s="6">
        <v>5.0</v>
      </c>
      <c r="F744" s="6">
        <v>52.0</v>
      </c>
      <c r="G744" s="6">
        <v>31.0</v>
      </c>
      <c r="H744" s="6">
        <v>8.0</v>
      </c>
      <c r="I744" s="6">
        <v>2.0</v>
      </c>
      <c r="J744" s="9">
        <v>44919.0</v>
      </c>
      <c r="K744" s="6">
        <v>1.0</v>
      </c>
      <c r="L744" s="5" t="s">
        <v>113</v>
      </c>
      <c r="M744" s="5">
        <v>1.0</v>
      </c>
    </row>
    <row r="745" ht="22.5" customHeight="1">
      <c r="A745" s="5" t="s">
        <v>2695</v>
      </c>
      <c r="B745" s="5" t="s">
        <v>65</v>
      </c>
      <c r="C745" s="6">
        <v>9.0</v>
      </c>
      <c r="D745" s="6">
        <v>31.0</v>
      </c>
      <c r="E745" s="6">
        <v>5.0</v>
      </c>
      <c r="F745" s="6">
        <v>50.0</v>
      </c>
      <c r="G745" s="6">
        <v>24.0</v>
      </c>
      <c r="H745" s="6">
        <v>16.0</v>
      </c>
      <c r="I745" s="6">
        <v>5.0</v>
      </c>
      <c r="J745" s="9">
        <v>45889.0</v>
      </c>
      <c r="K745" s="6">
        <v>5.0</v>
      </c>
      <c r="L745" s="5" t="s">
        <v>62</v>
      </c>
      <c r="M745" s="5">
        <v>0.0</v>
      </c>
    </row>
    <row r="746" ht="22.5" customHeight="1">
      <c r="A746" s="5" t="s">
        <v>2697</v>
      </c>
      <c r="B746" s="5" t="s">
        <v>84</v>
      </c>
      <c r="C746" s="6">
        <v>9.0</v>
      </c>
      <c r="D746" s="6">
        <v>16.0</v>
      </c>
      <c r="E746" s="6">
        <v>15.0</v>
      </c>
      <c r="F746" s="6">
        <v>39.0</v>
      </c>
      <c r="G746" s="6">
        <v>10.0</v>
      </c>
      <c r="H746" s="6">
        <v>2.0</v>
      </c>
      <c r="I746" s="6">
        <v>2.0</v>
      </c>
      <c r="J746" s="9">
        <v>44836.0</v>
      </c>
      <c r="K746" s="6">
        <v>4.0</v>
      </c>
      <c r="L746" s="5" t="s">
        <v>113</v>
      </c>
      <c r="M746" s="5">
        <v>1.0</v>
      </c>
    </row>
    <row r="747" ht="22.5" customHeight="1">
      <c r="A747" s="5" t="s">
        <v>2698</v>
      </c>
      <c r="B747" s="5" t="s">
        <v>22</v>
      </c>
      <c r="C747" s="6">
        <v>7.0</v>
      </c>
      <c r="D747" s="6">
        <v>23.0</v>
      </c>
      <c r="E747" s="6">
        <v>7.0</v>
      </c>
      <c r="F747" s="6">
        <v>43.0</v>
      </c>
      <c r="G747" s="6">
        <v>24.0</v>
      </c>
      <c r="H747" s="6">
        <v>15.0</v>
      </c>
      <c r="I747" s="6">
        <v>1.0</v>
      </c>
      <c r="J747" s="9">
        <v>46158.0</v>
      </c>
      <c r="K747" s="6">
        <v>6.0</v>
      </c>
      <c r="L747" s="5" t="s">
        <v>62</v>
      </c>
      <c r="M747" s="5">
        <v>0.0</v>
      </c>
    </row>
    <row r="748" ht="22.5" customHeight="1">
      <c r="A748" s="5" t="s">
        <v>2700</v>
      </c>
      <c r="B748" s="5" t="s">
        <v>22</v>
      </c>
      <c r="C748" s="6">
        <v>7.0</v>
      </c>
      <c r="D748" s="6">
        <v>24.0</v>
      </c>
      <c r="E748" s="6">
        <v>9.0</v>
      </c>
      <c r="F748" s="6">
        <v>47.0</v>
      </c>
      <c r="G748" s="6">
        <v>25.0</v>
      </c>
      <c r="H748" s="6">
        <v>16.0</v>
      </c>
      <c r="I748" s="6">
        <v>2.0</v>
      </c>
      <c r="J748" s="11"/>
      <c r="K748" s="6">
        <v>5.0</v>
      </c>
      <c r="L748" s="5" t="s">
        <v>113</v>
      </c>
      <c r="M748" s="5">
        <v>1.0</v>
      </c>
    </row>
    <row r="749" ht="22.5" customHeight="1">
      <c r="A749" s="5" t="s">
        <v>2703</v>
      </c>
      <c r="B749" s="5" t="s">
        <v>84</v>
      </c>
      <c r="C749" s="6">
        <v>9.0</v>
      </c>
      <c r="D749" s="6">
        <v>14.0</v>
      </c>
      <c r="E749" s="6">
        <v>6.0</v>
      </c>
      <c r="F749" s="6">
        <v>12.0</v>
      </c>
      <c r="G749" s="6">
        <v>23.0</v>
      </c>
      <c r="H749" s="6">
        <v>4.0</v>
      </c>
      <c r="I749" s="6">
        <v>5.0</v>
      </c>
      <c r="J749" s="11"/>
      <c r="K749" s="6">
        <v>8.0</v>
      </c>
      <c r="L749" s="5" t="s">
        <v>113</v>
      </c>
      <c r="M749" s="5">
        <v>1.0</v>
      </c>
    </row>
    <row r="750" ht="22.5" customHeight="1">
      <c r="A750" s="5" t="s">
        <v>2705</v>
      </c>
      <c r="B750" s="5" t="s">
        <v>44</v>
      </c>
      <c r="C750" s="6">
        <v>5.0</v>
      </c>
      <c r="D750" s="6">
        <v>16.0</v>
      </c>
      <c r="E750" s="6">
        <v>6.0</v>
      </c>
      <c r="F750" s="6">
        <v>13.0</v>
      </c>
      <c r="G750" s="6">
        <v>14.0</v>
      </c>
      <c r="H750" s="6">
        <v>18.0</v>
      </c>
      <c r="I750" s="6">
        <v>2.0</v>
      </c>
      <c r="J750" s="9">
        <v>45382.0</v>
      </c>
      <c r="K750" s="6">
        <v>3.0</v>
      </c>
      <c r="L750" s="5" t="s">
        <v>62</v>
      </c>
      <c r="M750" s="5">
        <v>0.0</v>
      </c>
    </row>
    <row r="751" ht="22.5" customHeight="1">
      <c r="A751" s="5" t="s">
        <v>2707</v>
      </c>
      <c r="B751" s="5" t="s">
        <v>44</v>
      </c>
      <c r="C751" s="6">
        <v>5.0</v>
      </c>
      <c r="D751" s="6">
        <v>15.0</v>
      </c>
      <c r="E751" s="6">
        <v>6.0</v>
      </c>
      <c r="F751" s="6">
        <v>36.0</v>
      </c>
      <c r="G751" s="6">
        <v>13.0</v>
      </c>
      <c r="H751" s="6">
        <v>15.0</v>
      </c>
      <c r="I751" s="6">
        <v>1.0</v>
      </c>
      <c r="J751" s="9">
        <v>46048.0</v>
      </c>
      <c r="K751" s="6">
        <v>6.0</v>
      </c>
      <c r="L751" s="10" t="s">
        <v>62</v>
      </c>
      <c r="M751" s="10">
        <v>0.0</v>
      </c>
    </row>
    <row r="752" ht="22.5" customHeight="1">
      <c r="A752" s="5" t="s">
        <v>2708</v>
      </c>
      <c r="B752" s="5" t="s">
        <v>22</v>
      </c>
      <c r="C752" s="6">
        <v>5.0</v>
      </c>
      <c r="D752" s="6">
        <v>22.0</v>
      </c>
      <c r="E752" s="6">
        <v>4.0</v>
      </c>
      <c r="F752" s="6">
        <v>50.0</v>
      </c>
      <c r="G752" s="6">
        <v>38.0</v>
      </c>
      <c r="H752" s="6">
        <v>14.0</v>
      </c>
      <c r="I752" s="6">
        <v>1.0</v>
      </c>
      <c r="J752" s="9">
        <v>45586.0</v>
      </c>
      <c r="K752" s="6">
        <v>8.0</v>
      </c>
      <c r="L752" s="5" t="s">
        <v>62</v>
      </c>
      <c r="M752" s="5">
        <v>0.0</v>
      </c>
    </row>
    <row r="753" ht="22.5" customHeight="1">
      <c r="A753" s="5" t="s">
        <v>2710</v>
      </c>
      <c r="B753" s="5" t="s">
        <v>44</v>
      </c>
      <c r="C753" s="6">
        <v>9.0</v>
      </c>
      <c r="D753" s="6">
        <v>47.0</v>
      </c>
      <c r="E753" s="6">
        <v>9.0</v>
      </c>
      <c r="F753" s="6">
        <v>59.0</v>
      </c>
      <c r="G753" s="6">
        <v>24.0</v>
      </c>
      <c r="H753" s="6">
        <v>1.0</v>
      </c>
      <c r="I753" s="6">
        <v>2.0</v>
      </c>
      <c r="J753" s="9">
        <v>45473.0</v>
      </c>
      <c r="K753" s="6">
        <v>2.0</v>
      </c>
      <c r="L753" s="5" t="s">
        <v>62</v>
      </c>
      <c r="M753" s="5">
        <v>0.0</v>
      </c>
    </row>
    <row r="754" ht="22.5" customHeight="1">
      <c r="A754" s="5" t="s">
        <v>2712</v>
      </c>
      <c r="B754" s="5" t="s">
        <v>22</v>
      </c>
      <c r="C754" s="6">
        <v>3.0</v>
      </c>
      <c r="D754" s="6">
        <v>12.0</v>
      </c>
      <c r="E754" s="6">
        <v>12.0</v>
      </c>
      <c r="F754" s="6">
        <v>20.0</v>
      </c>
      <c r="G754" s="6">
        <v>27.0</v>
      </c>
      <c r="H754" s="6">
        <v>11.0</v>
      </c>
      <c r="I754" s="6">
        <v>1.0</v>
      </c>
      <c r="J754" s="9">
        <v>45302.0</v>
      </c>
      <c r="K754" s="6">
        <v>1.0</v>
      </c>
      <c r="L754" s="10" t="s">
        <v>62</v>
      </c>
      <c r="M754" s="10">
        <v>0.0</v>
      </c>
    </row>
    <row r="755" ht="22.5" customHeight="1">
      <c r="A755" s="5" t="s">
        <v>2715</v>
      </c>
      <c r="B755" s="5" t="s">
        <v>84</v>
      </c>
      <c r="C755" s="6">
        <v>9.0</v>
      </c>
      <c r="D755" s="6">
        <v>28.0</v>
      </c>
      <c r="E755" s="6">
        <v>10.0</v>
      </c>
      <c r="F755" s="6">
        <v>50.0</v>
      </c>
      <c r="G755" s="6">
        <v>23.0</v>
      </c>
      <c r="H755" s="6">
        <v>18.0</v>
      </c>
      <c r="I755" s="6">
        <v>3.0</v>
      </c>
      <c r="J755" s="9">
        <v>46021.0</v>
      </c>
      <c r="K755" s="6">
        <v>4.0</v>
      </c>
      <c r="L755" s="5" t="s">
        <v>62</v>
      </c>
      <c r="M755" s="5">
        <v>0.0</v>
      </c>
    </row>
    <row r="756" ht="22.5" customHeight="1">
      <c r="A756" s="5" t="s">
        <v>2717</v>
      </c>
      <c r="B756" s="5" t="s">
        <v>44</v>
      </c>
      <c r="C756" s="6">
        <v>7.0</v>
      </c>
      <c r="D756" s="6">
        <v>14.0</v>
      </c>
      <c r="E756" s="6">
        <v>2.0</v>
      </c>
      <c r="F756" s="6">
        <v>43.0</v>
      </c>
      <c r="G756" s="6">
        <v>24.0</v>
      </c>
      <c r="H756" s="6">
        <v>16.0</v>
      </c>
      <c r="I756" s="6">
        <v>3.0</v>
      </c>
      <c r="J756" s="9">
        <v>46061.0</v>
      </c>
      <c r="K756" s="6">
        <v>9.0</v>
      </c>
      <c r="L756" s="5" t="s">
        <v>62</v>
      </c>
      <c r="M756" s="5">
        <v>0.0</v>
      </c>
    </row>
    <row r="757" ht="22.5" customHeight="1">
      <c r="A757" s="5" t="s">
        <v>2720</v>
      </c>
      <c r="B757" s="5" t="s">
        <v>84</v>
      </c>
      <c r="C757" s="6">
        <v>1.0</v>
      </c>
      <c r="D757" s="6">
        <v>2.0</v>
      </c>
      <c r="E757" s="6">
        <v>13.0</v>
      </c>
      <c r="F757" s="6">
        <v>22.0</v>
      </c>
      <c r="G757" s="6">
        <v>18.0</v>
      </c>
      <c r="H757" s="6">
        <v>7.0</v>
      </c>
      <c r="I757" s="6">
        <v>0.0</v>
      </c>
      <c r="J757" s="11"/>
      <c r="K757" s="6">
        <v>6.0</v>
      </c>
      <c r="L757" s="5" t="s">
        <v>113</v>
      </c>
      <c r="M757" s="5">
        <v>1.0</v>
      </c>
    </row>
    <row r="758" ht="22.5" customHeight="1">
      <c r="A758" s="5" t="s">
        <v>2724</v>
      </c>
      <c r="B758" s="5" t="s">
        <v>170</v>
      </c>
      <c r="C758" s="6">
        <v>3.0</v>
      </c>
      <c r="D758" s="6">
        <v>16.0</v>
      </c>
      <c r="E758" s="6">
        <v>7.0</v>
      </c>
      <c r="F758" s="6">
        <v>53.0</v>
      </c>
      <c r="G758" s="6">
        <v>20.0</v>
      </c>
      <c r="H758" s="6">
        <v>11.0</v>
      </c>
      <c r="I758" s="6">
        <v>2.0</v>
      </c>
      <c r="J758" s="9">
        <v>44475.0</v>
      </c>
      <c r="K758" s="6">
        <v>2.0</v>
      </c>
      <c r="L758" s="5" t="s">
        <v>113</v>
      </c>
      <c r="M758" s="5">
        <v>1.0</v>
      </c>
    </row>
    <row r="759" ht="22.5" customHeight="1">
      <c r="A759" s="5" t="s">
        <v>2726</v>
      </c>
      <c r="B759" s="5" t="s">
        <v>170</v>
      </c>
      <c r="C759" s="6">
        <v>4.0</v>
      </c>
      <c r="D759" s="6">
        <v>16.0</v>
      </c>
      <c r="E759" s="6">
        <v>5.0</v>
      </c>
      <c r="F759" s="6">
        <v>8.0</v>
      </c>
      <c r="G759" s="6">
        <v>31.0</v>
      </c>
      <c r="H759" s="6">
        <v>17.0</v>
      </c>
      <c r="I759" s="6">
        <v>3.0</v>
      </c>
      <c r="J759" s="9">
        <v>44695.0</v>
      </c>
      <c r="K759" s="6">
        <v>5.0</v>
      </c>
      <c r="L759" s="5" t="s">
        <v>113</v>
      </c>
      <c r="M759" s="5">
        <v>1.0</v>
      </c>
    </row>
    <row r="760" ht="22.5" customHeight="1">
      <c r="A760" s="5" t="s">
        <v>2729</v>
      </c>
      <c r="B760" s="5" t="s">
        <v>22</v>
      </c>
      <c r="C760" s="6">
        <v>5.0</v>
      </c>
      <c r="D760" s="6">
        <v>25.0</v>
      </c>
      <c r="E760" s="6">
        <v>3.0</v>
      </c>
      <c r="F760" s="6">
        <v>18.0</v>
      </c>
      <c r="G760" s="6">
        <v>26.0</v>
      </c>
      <c r="H760" s="6">
        <v>1.0</v>
      </c>
      <c r="I760" s="6">
        <v>0.0</v>
      </c>
      <c r="J760" s="9">
        <v>45298.0</v>
      </c>
      <c r="K760" s="6">
        <v>2.0</v>
      </c>
      <c r="L760" s="5" t="s">
        <v>62</v>
      </c>
      <c r="M760" s="5">
        <v>0.0</v>
      </c>
    </row>
    <row r="761" ht="22.5" customHeight="1">
      <c r="A761" s="5" t="s">
        <v>2731</v>
      </c>
      <c r="B761" s="5" t="s">
        <v>84</v>
      </c>
      <c r="C761" s="6">
        <v>7.0</v>
      </c>
      <c r="D761" s="6">
        <v>13.0</v>
      </c>
      <c r="E761" s="6">
        <v>5.0</v>
      </c>
      <c r="F761" s="6">
        <v>25.0</v>
      </c>
      <c r="G761" s="6">
        <v>33.0</v>
      </c>
      <c r="H761" s="6">
        <v>11.0</v>
      </c>
      <c r="I761" s="6">
        <v>5.0</v>
      </c>
      <c r="J761" s="9">
        <v>46131.0</v>
      </c>
      <c r="K761" s="6">
        <v>8.0</v>
      </c>
      <c r="L761" s="5" t="s">
        <v>62</v>
      </c>
      <c r="M761" s="5">
        <v>0.0</v>
      </c>
    </row>
    <row r="762" ht="22.5" customHeight="1">
      <c r="A762" s="5" t="s">
        <v>2734</v>
      </c>
      <c r="B762" s="5" t="s">
        <v>65</v>
      </c>
      <c r="C762" s="6">
        <v>3.0</v>
      </c>
      <c r="D762" s="6">
        <v>11.0</v>
      </c>
      <c r="E762" s="6">
        <v>15.0</v>
      </c>
      <c r="F762" s="6">
        <v>27.0</v>
      </c>
      <c r="G762" s="6">
        <v>22.0</v>
      </c>
      <c r="H762" s="6">
        <v>5.0</v>
      </c>
      <c r="I762" s="6">
        <v>2.0</v>
      </c>
      <c r="J762" s="9">
        <v>46215.0</v>
      </c>
      <c r="K762" s="6">
        <v>9.0</v>
      </c>
      <c r="L762" s="5" t="s">
        <v>62</v>
      </c>
      <c r="M762" s="5">
        <v>0.0</v>
      </c>
    </row>
    <row r="763" ht="22.5" customHeight="1">
      <c r="A763" s="5" t="s">
        <v>2736</v>
      </c>
      <c r="B763" s="5" t="s">
        <v>84</v>
      </c>
      <c r="C763" s="6">
        <v>3.0</v>
      </c>
      <c r="D763" s="6">
        <v>15.0</v>
      </c>
      <c r="E763" s="6">
        <v>7.0</v>
      </c>
      <c r="F763" s="6">
        <v>58.0</v>
      </c>
      <c r="G763" s="6">
        <v>30.0</v>
      </c>
      <c r="H763" s="6">
        <v>2.0</v>
      </c>
      <c r="I763" s="6">
        <v>5.0</v>
      </c>
      <c r="J763" s="9">
        <v>46243.0</v>
      </c>
      <c r="K763" s="6">
        <v>10.0</v>
      </c>
      <c r="L763" s="5" t="s">
        <v>62</v>
      </c>
      <c r="M763" s="5">
        <v>0.0</v>
      </c>
    </row>
    <row r="764" ht="22.5" customHeight="1">
      <c r="A764" s="5" t="s">
        <v>2739</v>
      </c>
      <c r="B764" s="5" t="s">
        <v>84</v>
      </c>
      <c r="C764" s="6">
        <v>4.0</v>
      </c>
      <c r="D764" s="6">
        <v>21.0</v>
      </c>
      <c r="E764" s="6">
        <v>6.0</v>
      </c>
      <c r="F764" s="6">
        <v>5.0</v>
      </c>
      <c r="G764" s="6">
        <v>23.0</v>
      </c>
      <c r="H764" s="6">
        <v>1.0</v>
      </c>
      <c r="I764" s="6">
        <v>1.0</v>
      </c>
      <c r="J764" s="11"/>
      <c r="K764" s="6">
        <v>10.0</v>
      </c>
      <c r="L764" s="5" t="s">
        <v>113</v>
      </c>
      <c r="M764" s="5">
        <v>1.0</v>
      </c>
    </row>
    <row r="765" ht="22.5" customHeight="1">
      <c r="A765" s="5" t="s">
        <v>2743</v>
      </c>
      <c r="B765" s="5" t="s">
        <v>84</v>
      </c>
      <c r="C765" s="6">
        <v>8.0</v>
      </c>
      <c r="D765" s="6">
        <v>27.0</v>
      </c>
      <c r="E765" s="6">
        <v>1.0</v>
      </c>
      <c r="F765" s="6">
        <v>51.0</v>
      </c>
      <c r="G765" s="6">
        <v>20.0</v>
      </c>
      <c r="H765" s="6">
        <v>8.0</v>
      </c>
      <c r="I765" s="6">
        <v>2.0</v>
      </c>
      <c r="J765" s="9">
        <v>45572.0</v>
      </c>
      <c r="K765" s="6">
        <v>7.0</v>
      </c>
      <c r="L765" s="5" t="s">
        <v>62</v>
      </c>
      <c r="M765" s="5">
        <v>0.0</v>
      </c>
    </row>
    <row r="766" ht="22.5" customHeight="1">
      <c r="A766" s="5" t="s">
        <v>2746</v>
      </c>
      <c r="B766" s="5" t="s">
        <v>170</v>
      </c>
      <c r="C766" s="6">
        <v>8.0</v>
      </c>
      <c r="D766" s="6">
        <v>14.0</v>
      </c>
      <c r="E766" s="6">
        <v>2.0</v>
      </c>
      <c r="F766" s="6">
        <v>57.0</v>
      </c>
      <c r="G766" s="6">
        <v>41.0</v>
      </c>
      <c r="H766" s="6">
        <v>12.0</v>
      </c>
      <c r="I766" s="6">
        <v>1.0</v>
      </c>
      <c r="J766" s="11"/>
      <c r="K766" s="6">
        <v>6.0</v>
      </c>
      <c r="L766" s="5" t="s">
        <v>113</v>
      </c>
      <c r="M766" s="5">
        <v>1.0</v>
      </c>
    </row>
    <row r="767" ht="22.5" customHeight="1">
      <c r="A767" s="5" t="s">
        <v>2747</v>
      </c>
      <c r="B767" s="5" t="s">
        <v>22</v>
      </c>
      <c r="C767" s="6">
        <v>5.0</v>
      </c>
      <c r="D767" s="6">
        <v>10.0</v>
      </c>
      <c r="E767" s="6">
        <v>3.0</v>
      </c>
      <c r="F767" s="6">
        <v>29.0</v>
      </c>
      <c r="G767" s="6">
        <v>24.0</v>
      </c>
      <c r="H767" s="6">
        <v>6.0</v>
      </c>
      <c r="I767" s="6">
        <v>2.0</v>
      </c>
      <c r="J767" s="9">
        <v>45648.0</v>
      </c>
      <c r="K767" s="6">
        <v>7.0</v>
      </c>
      <c r="L767" s="5" t="s">
        <v>62</v>
      </c>
      <c r="M767" s="5">
        <v>0.0</v>
      </c>
    </row>
    <row r="768" ht="22.5" customHeight="1">
      <c r="A768" s="5" t="s">
        <v>2750</v>
      </c>
      <c r="B768" s="5" t="s">
        <v>84</v>
      </c>
      <c r="C768" s="6">
        <v>4.0</v>
      </c>
      <c r="D768" s="6">
        <v>17.0</v>
      </c>
      <c r="E768" s="6">
        <v>11.0</v>
      </c>
      <c r="F768" s="6">
        <v>41.0</v>
      </c>
      <c r="G768" s="6">
        <v>28.0</v>
      </c>
      <c r="H768" s="6">
        <v>2.0</v>
      </c>
      <c r="I768" s="6">
        <v>3.0</v>
      </c>
      <c r="J768" s="9">
        <v>44852.0</v>
      </c>
      <c r="K768" s="6">
        <v>4.0</v>
      </c>
      <c r="L768" s="10" t="s">
        <v>113</v>
      </c>
      <c r="M768" s="10">
        <v>1.0</v>
      </c>
    </row>
    <row r="769" ht="22.5" customHeight="1">
      <c r="A769" s="5" t="s">
        <v>2752</v>
      </c>
      <c r="B769" s="5" t="s">
        <v>84</v>
      </c>
      <c r="C769" s="6">
        <v>8.0</v>
      </c>
      <c r="D769" s="6">
        <v>18.0</v>
      </c>
      <c r="E769" s="6">
        <v>2.0</v>
      </c>
      <c r="F769" s="6">
        <v>43.0</v>
      </c>
      <c r="G769" s="6">
        <v>29.0</v>
      </c>
      <c r="H769" s="6">
        <v>14.0</v>
      </c>
      <c r="I769" s="6">
        <v>2.0</v>
      </c>
      <c r="J769" s="9">
        <v>45401.0</v>
      </c>
      <c r="K769" s="6">
        <v>3.0</v>
      </c>
      <c r="L769" s="5" t="s">
        <v>62</v>
      </c>
      <c r="M769" s="5">
        <v>0.0</v>
      </c>
    </row>
    <row r="770" ht="22.5" customHeight="1">
      <c r="A770" s="5" t="s">
        <v>2755</v>
      </c>
      <c r="B770" s="5" t="s">
        <v>84</v>
      </c>
      <c r="C770" s="6">
        <v>4.0</v>
      </c>
      <c r="D770" s="6">
        <v>8.0</v>
      </c>
      <c r="E770" s="6">
        <v>5.0</v>
      </c>
      <c r="F770" s="6">
        <v>16.0</v>
      </c>
      <c r="G770" s="6">
        <v>18.0</v>
      </c>
      <c r="H770" s="6">
        <v>19.0</v>
      </c>
      <c r="I770" s="6">
        <v>2.0</v>
      </c>
      <c r="J770" s="9">
        <v>45391.0</v>
      </c>
      <c r="K770" s="6">
        <v>2.0</v>
      </c>
      <c r="L770" s="5" t="s">
        <v>62</v>
      </c>
      <c r="M770" s="5">
        <v>0.0</v>
      </c>
    </row>
    <row r="771" ht="22.5" customHeight="1">
      <c r="A771" s="5" t="s">
        <v>2757</v>
      </c>
      <c r="B771" s="5" t="s">
        <v>22</v>
      </c>
      <c r="C771" s="6">
        <v>7.0</v>
      </c>
      <c r="D771" s="6">
        <v>24.0</v>
      </c>
      <c r="E771" s="6">
        <v>12.0</v>
      </c>
      <c r="F771" s="6">
        <v>20.0</v>
      </c>
      <c r="G771" s="6">
        <v>23.0</v>
      </c>
      <c r="H771" s="6">
        <v>17.0</v>
      </c>
      <c r="I771" s="6">
        <v>1.0</v>
      </c>
      <c r="J771" s="9">
        <v>46249.0</v>
      </c>
      <c r="K771" s="6">
        <v>10.0</v>
      </c>
      <c r="L771" s="5" t="s">
        <v>62</v>
      </c>
      <c r="M771" s="5">
        <v>0.0</v>
      </c>
    </row>
    <row r="772" ht="22.5" customHeight="1">
      <c r="A772" s="5" t="s">
        <v>2760</v>
      </c>
      <c r="B772" s="5" t="s">
        <v>84</v>
      </c>
      <c r="C772" s="6">
        <v>5.0</v>
      </c>
      <c r="D772" s="6">
        <v>18.0</v>
      </c>
      <c r="E772" s="6">
        <v>2.0</v>
      </c>
      <c r="F772" s="6">
        <v>20.0</v>
      </c>
      <c r="G772" s="6">
        <v>33.0</v>
      </c>
      <c r="H772" s="6">
        <v>5.0</v>
      </c>
      <c r="I772" s="6">
        <v>2.0</v>
      </c>
      <c r="J772" s="9">
        <v>45714.0</v>
      </c>
      <c r="K772" s="6">
        <v>5.0</v>
      </c>
      <c r="L772" s="5" t="s">
        <v>62</v>
      </c>
      <c r="M772" s="5">
        <v>0.0</v>
      </c>
    </row>
    <row r="773" ht="22.5" customHeight="1">
      <c r="A773" s="5" t="s">
        <v>2763</v>
      </c>
      <c r="B773" s="5" t="s">
        <v>84</v>
      </c>
      <c r="C773" s="6">
        <v>7.0</v>
      </c>
      <c r="D773" s="6">
        <v>21.0</v>
      </c>
      <c r="E773" s="6">
        <v>5.0</v>
      </c>
      <c r="F773" s="6">
        <v>44.0</v>
      </c>
      <c r="G773" s="6">
        <v>24.0</v>
      </c>
      <c r="H773" s="6">
        <v>7.0</v>
      </c>
      <c r="I773" s="6">
        <v>0.0</v>
      </c>
      <c r="J773" s="9">
        <v>45126.0</v>
      </c>
      <c r="K773" s="6">
        <v>4.0</v>
      </c>
      <c r="L773" s="5" t="s">
        <v>113</v>
      </c>
      <c r="M773" s="5">
        <v>1.0</v>
      </c>
    </row>
    <row r="774" ht="22.5" customHeight="1">
      <c r="A774" s="5" t="s">
        <v>2766</v>
      </c>
      <c r="B774" s="5" t="s">
        <v>170</v>
      </c>
      <c r="C774" s="6">
        <v>10.0</v>
      </c>
      <c r="D774" s="6">
        <v>43.0</v>
      </c>
      <c r="E774" s="6">
        <v>15.0</v>
      </c>
      <c r="F774" s="6">
        <v>57.0</v>
      </c>
      <c r="G774" s="6">
        <v>19.0</v>
      </c>
      <c r="H774" s="6">
        <v>19.0</v>
      </c>
      <c r="I774" s="6">
        <v>2.0</v>
      </c>
      <c r="J774" s="9">
        <v>44564.0</v>
      </c>
      <c r="K774" s="6">
        <v>3.0</v>
      </c>
      <c r="L774" s="5" t="s">
        <v>113</v>
      </c>
      <c r="M774" s="5">
        <v>1.0</v>
      </c>
    </row>
    <row r="775" ht="22.5" customHeight="1">
      <c r="A775" s="5" t="s">
        <v>2769</v>
      </c>
      <c r="B775" s="5" t="s">
        <v>22</v>
      </c>
      <c r="C775" s="6">
        <v>7.0</v>
      </c>
      <c r="D775" s="6">
        <v>39.0</v>
      </c>
      <c r="E775" s="6">
        <v>16.0</v>
      </c>
      <c r="F775" s="6">
        <v>11.0</v>
      </c>
      <c r="G775" s="6">
        <v>25.0</v>
      </c>
      <c r="H775" s="6">
        <v>1.0</v>
      </c>
      <c r="I775" s="6">
        <v>2.0</v>
      </c>
      <c r="J775" s="9">
        <v>44841.0</v>
      </c>
      <c r="K775" s="6">
        <v>4.0</v>
      </c>
      <c r="L775" s="5" t="s">
        <v>113</v>
      </c>
      <c r="M775" s="5">
        <v>1.0</v>
      </c>
    </row>
    <row r="776" ht="22.5" customHeight="1">
      <c r="A776" s="5" t="s">
        <v>2771</v>
      </c>
      <c r="B776" s="5" t="s">
        <v>65</v>
      </c>
      <c r="C776" s="6">
        <v>11.0</v>
      </c>
      <c r="D776" s="6">
        <v>61.0</v>
      </c>
      <c r="E776" s="6">
        <v>14.0</v>
      </c>
      <c r="F776" s="6">
        <v>49.0</v>
      </c>
      <c r="G776" s="6">
        <v>15.0</v>
      </c>
      <c r="H776" s="6">
        <v>2.0</v>
      </c>
      <c r="I776" s="6">
        <v>1.0</v>
      </c>
      <c r="J776" s="9">
        <v>45694.0</v>
      </c>
      <c r="K776" s="6">
        <v>6.0</v>
      </c>
      <c r="L776" s="5" t="s">
        <v>62</v>
      </c>
      <c r="M776" s="5">
        <v>0.0</v>
      </c>
    </row>
    <row r="777" ht="22.5" customHeight="1">
      <c r="A777" s="5" t="s">
        <v>2774</v>
      </c>
      <c r="B777" s="5" t="s">
        <v>84</v>
      </c>
      <c r="C777" s="6">
        <v>7.0</v>
      </c>
      <c r="D777" s="6">
        <v>11.0</v>
      </c>
      <c r="E777" s="6">
        <v>1.0</v>
      </c>
      <c r="F777" s="6">
        <v>26.0</v>
      </c>
      <c r="G777" s="6">
        <v>20.0</v>
      </c>
      <c r="H777" s="6">
        <v>17.0</v>
      </c>
      <c r="I777" s="6">
        <v>2.0</v>
      </c>
      <c r="J777" s="9">
        <v>44575.0</v>
      </c>
      <c r="K777" s="6">
        <v>6.0</v>
      </c>
      <c r="L777" s="5" t="s">
        <v>113</v>
      </c>
      <c r="M777" s="5">
        <v>1.0</v>
      </c>
    </row>
    <row r="778" ht="22.5" customHeight="1">
      <c r="A778" s="5" t="s">
        <v>2776</v>
      </c>
      <c r="B778" s="5" t="s">
        <v>22</v>
      </c>
      <c r="C778" s="6">
        <v>11.0</v>
      </c>
      <c r="D778" s="6">
        <v>60.0</v>
      </c>
      <c r="E778" s="6">
        <v>7.0</v>
      </c>
      <c r="F778" s="6">
        <v>22.0</v>
      </c>
      <c r="G778" s="6">
        <v>22.0</v>
      </c>
      <c r="H778" s="6">
        <v>20.0</v>
      </c>
      <c r="I778" s="6">
        <v>3.0</v>
      </c>
      <c r="J778" s="9">
        <v>45808.0</v>
      </c>
      <c r="K778" s="6">
        <v>9.0</v>
      </c>
      <c r="L778" s="5" t="s">
        <v>62</v>
      </c>
      <c r="M778" s="5">
        <v>0.0</v>
      </c>
    </row>
    <row r="779" ht="22.5" customHeight="1">
      <c r="A779" s="5" t="s">
        <v>2777</v>
      </c>
      <c r="B779" s="5" t="s">
        <v>170</v>
      </c>
      <c r="C779" s="6">
        <v>3.0</v>
      </c>
      <c r="D779" s="6">
        <v>9.0</v>
      </c>
      <c r="E779" s="6">
        <v>2.0</v>
      </c>
      <c r="F779" s="6">
        <v>49.0</v>
      </c>
      <c r="G779" s="6">
        <v>17.0</v>
      </c>
      <c r="H779" s="6">
        <v>17.0</v>
      </c>
      <c r="I779" s="6">
        <v>2.0</v>
      </c>
      <c r="J779" s="9">
        <v>45743.0</v>
      </c>
      <c r="K779" s="6">
        <v>4.0</v>
      </c>
      <c r="L779" s="5" t="s">
        <v>62</v>
      </c>
      <c r="M779" s="5">
        <v>0.0</v>
      </c>
    </row>
    <row r="780" ht="22.5" customHeight="1">
      <c r="A780" s="5" t="s">
        <v>2779</v>
      </c>
      <c r="B780" s="5" t="s">
        <v>84</v>
      </c>
      <c r="C780" s="6">
        <v>6.0</v>
      </c>
      <c r="D780" s="6">
        <v>18.0</v>
      </c>
      <c r="E780" s="6">
        <v>10.0</v>
      </c>
      <c r="F780" s="6">
        <v>44.0</v>
      </c>
      <c r="G780" s="6">
        <v>10.0</v>
      </c>
      <c r="H780" s="6">
        <v>14.0</v>
      </c>
      <c r="I780" s="6">
        <v>1.0</v>
      </c>
      <c r="J780" s="9">
        <v>46240.0</v>
      </c>
      <c r="K780" s="6">
        <v>8.0</v>
      </c>
      <c r="L780" s="5" t="s">
        <v>62</v>
      </c>
      <c r="M780" s="5">
        <v>0.0</v>
      </c>
    </row>
    <row r="781" ht="22.5" customHeight="1">
      <c r="A781" s="5" t="s">
        <v>2783</v>
      </c>
      <c r="B781" s="5" t="s">
        <v>22</v>
      </c>
      <c r="C781" s="6">
        <v>4.0</v>
      </c>
      <c r="D781" s="6">
        <v>23.0</v>
      </c>
      <c r="E781" s="6">
        <v>10.0</v>
      </c>
      <c r="F781" s="6">
        <v>55.0</v>
      </c>
      <c r="G781" s="6">
        <v>19.0</v>
      </c>
      <c r="H781" s="6">
        <v>3.0</v>
      </c>
      <c r="I781" s="6">
        <v>2.0</v>
      </c>
      <c r="J781" s="9">
        <v>46254.0</v>
      </c>
      <c r="K781" s="6">
        <v>5.0</v>
      </c>
      <c r="L781" s="5" t="s">
        <v>62</v>
      </c>
      <c r="M781" s="5">
        <v>0.0</v>
      </c>
    </row>
    <row r="782" ht="22.5" customHeight="1">
      <c r="A782" s="5" t="s">
        <v>2785</v>
      </c>
      <c r="B782" s="5" t="s">
        <v>84</v>
      </c>
      <c r="C782" s="6">
        <v>6.0</v>
      </c>
      <c r="D782" s="6">
        <v>12.0</v>
      </c>
      <c r="E782" s="6">
        <v>2.0</v>
      </c>
      <c r="F782" s="6">
        <v>17.0</v>
      </c>
      <c r="G782" s="6">
        <v>26.0</v>
      </c>
      <c r="H782" s="6">
        <v>12.0</v>
      </c>
      <c r="I782" s="6">
        <v>2.0</v>
      </c>
      <c r="J782" s="9">
        <v>44857.0</v>
      </c>
      <c r="K782" s="6">
        <v>2.0</v>
      </c>
      <c r="L782" s="5" t="s">
        <v>113</v>
      </c>
      <c r="M782" s="5">
        <v>1.0</v>
      </c>
    </row>
    <row r="783" ht="22.5" customHeight="1">
      <c r="A783" s="5" t="s">
        <v>2787</v>
      </c>
      <c r="B783" s="5" t="s">
        <v>84</v>
      </c>
      <c r="C783" s="6">
        <v>6.0</v>
      </c>
      <c r="D783" s="6">
        <v>25.0</v>
      </c>
      <c r="E783" s="6">
        <v>5.0</v>
      </c>
      <c r="F783" s="6">
        <v>5.0</v>
      </c>
      <c r="G783" s="6">
        <v>26.0</v>
      </c>
      <c r="H783" s="6">
        <v>1.0</v>
      </c>
      <c r="I783" s="6">
        <v>1.0</v>
      </c>
      <c r="J783" s="9">
        <v>44600.0</v>
      </c>
      <c r="K783" s="6">
        <v>2.0</v>
      </c>
      <c r="L783" s="5" t="s">
        <v>113</v>
      </c>
      <c r="M783" s="5">
        <v>1.0</v>
      </c>
    </row>
    <row r="784" ht="22.5" customHeight="1">
      <c r="A784" s="5" t="s">
        <v>2789</v>
      </c>
      <c r="B784" s="5" t="s">
        <v>84</v>
      </c>
      <c r="C784" s="6">
        <v>4.0</v>
      </c>
      <c r="D784" s="6">
        <v>19.0</v>
      </c>
      <c r="E784" s="6">
        <v>10.0</v>
      </c>
      <c r="F784" s="6">
        <v>32.0</v>
      </c>
      <c r="G784" s="6">
        <v>19.0</v>
      </c>
      <c r="H784" s="8"/>
      <c r="I784" s="6">
        <v>5.0</v>
      </c>
      <c r="J784" s="9">
        <v>45407.0</v>
      </c>
      <c r="K784" s="6">
        <v>3.0</v>
      </c>
      <c r="L784" s="5" t="s">
        <v>62</v>
      </c>
      <c r="M784" s="5">
        <v>0.0</v>
      </c>
    </row>
    <row r="785" ht="22.5" customHeight="1">
      <c r="A785" s="5" t="s">
        <v>2792</v>
      </c>
      <c r="B785" s="5" t="s">
        <v>84</v>
      </c>
      <c r="C785" s="6">
        <v>10.0</v>
      </c>
      <c r="D785" s="6">
        <v>19.0</v>
      </c>
      <c r="E785" s="6">
        <v>10.0</v>
      </c>
      <c r="F785" s="6">
        <v>34.0</v>
      </c>
      <c r="G785" s="6">
        <v>39.0</v>
      </c>
      <c r="H785" s="6">
        <v>3.0</v>
      </c>
      <c r="I785" s="6">
        <v>1.0</v>
      </c>
      <c r="J785" s="9">
        <v>45345.0</v>
      </c>
      <c r="K785" s="6">
        <v>1.0</v>
      </c>
      <c r="L785" s="5" t="s">
        <v>62</v>
      </c>
      <c r="M785" s="5">
        <v>0.0</v>
      </c>
    </row>
    <row r="786" ht="22.5" customHeight="1">
      <c r="A786" s="5" t="s">
        <v>2795</v>
      </c>
      <c r="B786" s="5" t="s">
        <v>44</v>
      </c>
      <c r="C786" s="6">
        <v>9.0</v>
      </c>
      <c r="D786" s="6">
        <v>16.0</v>
      </c>
      <c r="E786" s="6">
        <v>8.0</v>
      </c>
      <c r="F786" s="6">
        <v>46.0</v>
      </c>
      <c r="G786" s="6">
        <v>19.0</v>
      </c>
      <c r="H786" s="6">
        <v>4.0</v>
      </c>
      <c r="I786" s="6">
        <v>2.0</v>
      </c>
      <c r="J786" s="9">
        <v>45988.0</v>
      </c>
      <c r="K786" s="6">
        <v>7.0</v>
      </c>
      <c r="L786" s="5" t="s">
        <v>62</v>
      </c>
      <c r="M786" s="5">
        <v>0.0</v>
      </c>
    </row>
    <row r="787" ht="22.5" customHeight="1">
      <c r="A787" s="5" t="s">
        <v>2797</v>
      </c>
      <c r="B787" s="5" t="s">
        <v>65</v>
      </c>
      <c r="C787" s="6">
        <v>6.0</v>
      </c>
      <c r="D787" s="6">
        <v>17.0</v>
      </c>
      <c r="E787" s="6">
        <v>2.0</v>
      </c>
      <c r="F787" s="6">
        <v>13.0</v>
      </c>
      <c r="G787" s="6">
        <v>21.0</v>
      </c>
      <c r="H787" s="6">
        <v>17.0</v>
      </c>
      <c r="I787" s="6">
        <v>3.0</v>
      </c>
      <c r="J787" s="9">
        <v>45331.0</v>
      </c>
      <c r="K787" s="6">
        <v>3.0</v>
      </c>
      <c r="L787" s="5" t="s">
        <v>62</v>
      </c>
      <c r="M787" s="5">
        <v>0.0</v>
      </c>
    </row>
    <row r="788" ht="22.5" customHeight="1">
      <c r="A788" s="5" t="s">
        <v>2800</v>
      </c>
      <c r="B788" s="5" t="s">
        <v>22</v>
      </c>
      <c r="C788" s="6">
        <v>8.0</v>
      </c>
      <c r="D788" s="6">
        <v>45.0</v>
      </c>
      <c r="E788" s="6">
        <v>15.0</v>
      </c>
      <c r="F788" s="6">
        <v>46.0</v>
      </c>
      <c r="G788" s="6">
        <v>21.0</v>
      </c>
      <c r="H788" s="6">
        <v>3.0</v>
      </c>
      <c r="I788" s="6">
        <v>0.0</v>
      </c>
      <c r="J788" s="11"/>
      <c r="K788" s="6">
        <v>2.0</v>
      </c>
      <c r="L788" s="5" t="s">
        <v>113</v>
      </c>
      <c r="M788" s="5">
        <v>1.0</v>
      </c>
    </row>
    <row r="789" ht="22.5" customHeight="1">
      <c r="A789" s="5" t="s">
        <v>2801</v>
      </c>
      <c r="B789" s="5" t="s">
        <v>65</v>
      </c>
      <c r="C789" s="6">
        <v>4.0</v>
      </c>
      <c r="D789" s="6">
        <v>14.0</v>
      </c>
      <c r="E789" s="6">
        <v>10.0</v>
      </c>
      <c r="F789" s="6">
        <v>39.0</v>
      </c>
      <c r="G789" s="6">
        <v>36.0</v>
      </c>
      <c r="H789" s="6">
        <v>13.0</v>
      </c>
      <c r="I789" s="6">
        <v>4.0</v>
      </c>
      <c r="J789" s="9">
        <v>45090.0</v>
      </c>
      <c r="K789" s="6">
        <v>1.0</v>
      </c>
      <c r="L789" s="5" t="s">
        <v>113</v>
      </c>
      <c r="M789" s="5">
        <v>1.0</v>
      </c>
    </row>
    <row r="790" ht="22.5" customHeight="1">
      <c r="A790" s="5" t="s">
        <v>2803</v>
      </c>
      <c r="B790" s="5" t="s">
        <v>44</v>
      </c>
      <c r="C790" s="6">
        <v>4.0</v>
      </c>
      <c r="D790" s="6">
        <v>10.0</v>
      </c>
      <c r="E790" s="6">
        <v>2.0</v>
      </c>
      <c r="F790" s="6">
        <v>58.0</v>
      </c>
      <c r="G790" s="6">
        <v>10.0</v>
      </c>
      <c r="H790" s="6">
        <v>20.0</v>
      </c>
      <c r="I790" s="6">
        <v>0.0</v>
      </c>
      <c r="J790" s="9">
        <v>44956.0</v>
      </c>
      <c r="K790" s="6">
        <v>2.0</v>
      </c>
      <c r="L790" s="5" t="s">
        <v>113</v>
      </c>
      <c r="M790" s="5">
        <v>1.0</v>
      </c>
    </row>
    <row r="791" ht="22.5" customHeight="1">
      <c r="A791" s="5" t="s">
        <v>2806</v>
      </c>
      <c r="B791" s="5" t="s">
        <v>65</v>
      </c>
      <c r="C791" s="6">
        <v>10.0</v>
      </c>
      <c r="D791" s="6">
        <v>28.0</v>
      </c>
      <c r="E791" s="6">
        <v>6.0</v>
      </c>
      <c r="F791" s="6">
        <v>46.0</v>
      </c>
      <c r="G791" s="6">
        <v>27.0</v>
      </c>
      <c r="H791" s="6">
        <v>8.0</v>
      </c>
      <c r="I791" s="6">
        <v>2.0</v>
      </c>
      <c r="J791" s="9">
        <v>46206.0</v>
      </c>
      <c r="K791" s="6">
        <v>6.0</v>
      </c>
      <c r="L791" s="5" t="s">
        <v>62</v>
      </c>
      <c r="M791" s="5">
        <v>0.0</v>
      </c>
    </row>
    <row r="792" ht="22.5" customHeight="1">
      <c r="A792" s="5" t="s">
        <v>2809</v>
      </c>
      <c r="B792" s="5" t="s">
        <v>44</v>
      </c>
      <c r="C792" s="6">
        <v>3.0</v>
      </c>
      <c r="D792" s="6">
        <v>9.0</v>
      </c>
      <c r="E792" s="6">
        <v>17.0</v>
      </c>
      <c r="F792" s="6">
        <v>39.0</v>
      </c>
      <c r="G792" s="6">
        <v>17.0</v>
      </c>
      <c r="H792" s="6">
        <v>2.0</v>
      </c>
      <c r="I792" s="6">
        <v>2.0</v>
      </c>
      <c r="J792" s="9">
        <v>45778.0</v>
      </c>
      <c r="K792" s="6">
        <v>7.0</v>
      </c>
      <c r="L792" s="5" t="s">
        <v>62</v>
      </c>
      <c r="M792" s="5">
        <v>0.0</v>
      </c>
    </row>
    <row r="793" ht="22.5" customHeight="1">
      <c r="A793" s="5" t="s">
        <v>2811</v>
      </c>
      <c r="B793" s="5" t="s">
        <v>84</v>
      </c>
      <c r="C793" s="6">
        <v>3.0</v>
      </c>
      <c r="D793" s="6">
        <v>14.0</v>
      </c>
      <c r="E793" s="6">
        <v>3.0</v>
      </c>
      <c r="F793" s="6">
        <v>14.0</v>
      </c>
      <c r="G793" s="6">
        <v>30.0</v>
      </c>
      <c r="H793" s="6">
        <v>14.0</v>
      </c>
      <c r="I793" s="6">
        <v>2.0</v>
      </c>
      <c r="J793" s="9">
        <v>46230.0</v>
      </c>
      <c r="K793" s="6">
        <v>7.0</v>
      </c>
      <c r="L793" s="5" t="s">
        <v>62</v>
      </c>
      <c r="M793" s="5">
        <v>0.0</v>
      </c>
    </row>
    <row r="794" ht="22.5" customHeight="1">
      <c r="A794" s="5" t="s">
        <v>2814</v>
      </c>
      <c r="B794" s="5" t="s">
        <v>170</v>
      </c>
      <c r="C794" s="6">
        <v>6.0</v>
      </c>
      <c r="D794" s="6">
        <v>14.0</v>
      </c>
      <c r="E794" s="6">
        <v>6.0</v>
      </c>
      <c r="F794" s="6">
        <v>8.0</v>
      </c>
      <c r="G794" s="6">
        <v>26.0</v>
      </c>
      <c r="H794" s="6">
        <v>14.0</v>
      </c>
      <c r="I794" s="6">
        <v>1.0</v>
      </c>
      <c r="J794" s="9">
        <v>45671.0</v>
      </c>
      <c r="K794" s="6">
        <v>7.0</v>
      </c>
      <c r="L794" s="5" t="s">
        <v>62</v>
      </c>
      <c r="M794" s="5">
        <v>0.0</v>
      </c>
    </row>
    <row r="795" ht="22.5" customHeight="1">
      <c r="A795" s="5" t="s">
        <v>2817</v>
      </c>
      <c r="B795" s="5" t="s">
        <v>22</v>
      </c>
      <c r="C795" s="6">
        <v>5.0</v>
      </c>
      <c r="D795" s="6">
        <v>21.0</v>
      </c>
      <c r="E795" s="6">
        <v>2.0</v>
      </c>
      <c r="F795" s="6">
        <v>51.0</v>
      </c>
      <c r="G795" s="6">
        <v>27.0</v>
      </c>
      <c r="H795" s="6">
        <v>20.0</v>
      </c>
      <c r="I795" s="6">
        <v>2.0</v>
      </c>
      <c r="J795" s="9">
        <v>46209.0</v>
      </c>
      <c r="K795" s="6">
        <v>1.0</v>
      </c>
      <c r="L795" s="5" t="s">
        <v>62</v>
      </c>
      <c r="M795" s="5">
        <v>0.0</v>
      </c>
    </row>
    <row r="796" ht="22.5" customHeight="1">
      <c r="A796" s="5" t="s">
        <v>2819</v>
      </c>
      <c r="B796" s="5" t="s">
        <v>44</v>
      </c>
      <c r="C796" s="6">
        <v>5.0</v>
      </c>
      <c r="D796" s="6">
        <v>22.0</v>
      </c>
      <c r="E796" s="6">
        <v>2.0</v>
      </c>
      <c r="F796" s="6">
        <v>39.0</v>
      </c>
      <c r="G796" s="6">
        <v>29.0</v>
      </c>
      <c r="H796" s="6">
        <v>12.0</v>
      </c>
      <c r="I796" s="6">
        <v>0.0</v>
      </c>
      <c r="J796" s="9">
        <v>45822.0</v>
      </c>
      <c r="K796" s="6">
        <v>7.0</v>
      </c>
      <c r="L796" s="5" t="s">
        <v>62</v>
      </c>
      <c r="M796" s="5">
        <v>0.0</v>
      </c>
    </row>
    <row r="797" ht="22.5" customHeight="1">
      <c r="A797" s="5" t="s">
        <v>2822</v>
      </c>
      <c r="B797" s="5" t="s">
        <v>65</v>
      </c>
      <c r="C797" s="6">
        <v>9.0</v>
      </c>
      <c r="D797" s="6">
        <v>37.0</v>
      </c>
      <c r="E797" s="6">
        <v>2.0</v>
      </c>
      <c r="F797" s="6">
        <v>38.0</v>
      </c>
      <c r="G797" s="6">
        <v>21.0</v>
      </c>
      <c r="H797" s="6">
        <v>11.0</v>
      </c>
      <c r="I797" s="6">
        <v>2.0</v>
      </c>
      <c r="J797" s="9">
        <v>45391.0</v>
      </c>
      <c r="K797" s="6">
        <v>5.0</v>
      </c>
      <c r="L797" s="5" t="s">
        <v>62</v>
      </c>
      <c r="M797" s="5">
        <v>0.0</v>
      </c>
    </row>
    <row r="798" ht="22.5" customHeight="1">
      <c r="A798" s="5" t="s">
        <v>2823</v>
      </c>
      <c r="B798" s="5" t="s">
        <v>65</v>
      </c>
      <c r="C798" s="6">
        <v>6.0</v>
      </c>
      <c r="D798" s="6">
        <v>10.0</v>
      </c>
      <c r="E798" s="6">
        <v>8.0</v>
      </c>
      <c r="F798" s="6">
        <v>8.0</v>
      </c>
      <c r="G798" s="6">
        <v>30.0</v>
      </c>
      <c r="H798" s="6">
        <v>4.0</v>
      </c>
      <c r="I798" s="6">
        <v>0.0</v>
      </c>
      <c r="J798" s="9">
        <v>45347.0</v>
      </c>
      <c r="K798" s="6">
        <v>4.0</v>
      </c>
      <c r="L798" s="5" t="s">
        <v>62</v>
      </c>
      <c r="M798" s="5">
        <v>0.0</v>
      </c>
    </row>
    <row r="799" ht="22.5" customHeight="1">
      <c r="A799" s="5" t="s">
        <v>2826</v>
      </c>
      <c r="B799" s="5" t="s">
        <v>44</v>
      </c>
      <c r="C799" s="6">
        <v>3.0</v>
      </c>
      <c r="D799" s="6">
        <v>7.0</v>
      </c>
      <c r="E799" s="6">
        <v>5.0</v>
      </c>
      <c r="F799" s="6">
        <v>10.0</v>
      </c>
      <c r="G799" s="6">
        <v>30.0</v>
      </c>
      <c r="H799" s="6">
        <v>7.0</v>
      </c>
      <c r="I799" s="6">
        <v>0.0</v>
      </c>
      <c r="J799" s="9">
        <v>44974.0</v>
      </c>
      <c r="K799" s="6">
        <v>4.0</v>
      </c>
      <c r="L799" s="5" t="s">
        <v>113</v>
      </c>
      <c r="M799" s="5">
        <v>1.0</v>
      </c>
    </row>
    <row r="800" ht="22.5" customHeight="1">
      <c r="A800" s="5" t="s">
        <v>2829</v>
      </c>
      <c r="B800" s="5" t="s">
        <v>22</v>
      </c>
      <c r="C800" s="6">
        <v>7.0</v>
      </c>
      <c r="D800" s="6">
        <v>25.0</v>
      </c>
      <c r="E800" s="6">
        <v>12.0</v>
      </c>
      <c r="F800" s="6">
        <v>39.0</v>
      </c>
      <c r="G800" s="6">
        <v>37.0</v>
      </c>
      <c r="H800" s="6">
        <v>11.0</v>
      </c>
      <c r="I800" s="6">
        <v>3.0</v>
      </c>
      <c r="J800" s="9">
        <v>45464.0</v>
      </c>
      <c r="K800" s="6">
        <v>4.0</v>
      </c>
      <c r="L800" s="5" t="s">
        <v>62</v>
      </c>
      <c r="M800" s="5">
        <v>0.0</v>
      </c>
    </row>
    <row r="801" ht="22.5" customHeight="1">
      <c r="A801" s="5" t="s">
        <v>2831</v>
      </c>
      <c r="B801" s="5" t="s">
        <v>65</v>
      </c>
      <c r="C801" s="6">
        <v>5.0</v>
      </c>
      <c r="D801" s="6">
        <v>14.0</v>
      </c>
      <c r="E801" s="6">
        <v>9.0</v>
      </c>
      <c r="F801" s="6">
        <v>26.0</v>
      </c>
      <c r="G801" s="6">
        <v>32.0</v>
      </c>
      <c r="H801" s="6">
        <v>16.0</v>
      </c>
      <c r="I801" s="6">
        <v>1.0</v>
      </c>
      <c r="J801" s="9">
        <v>46187.0</v>
      </c>
      <c r="K801" s="6">
        <v>9.0</v>
      </c>
      <c r="L801" s="5" t="s">
        <v>62</v>
      </c>
      <c r="M801" s="5">
        <v>0.0</v>
      </c>
    </row>
    <row r="802" ht="22.5" customHeight="1">
      <c r="A802" s="5" t="s">
        <v>2833</v>
      </c>
      <c r="B802" s="5" t="s">
        <v>22</v>
      </c>
      <c r="C802" s="6">
        <v>4.0</v>
      </c>
      <c r="D802" s="6">
        <v>15.0</v>
      </c>
      <c r="E802" s="6">
        <v>3.0</v>
      </c>
      <c r="F802" s="6">
        <v>10.0</v>
      </c>
      <c r="G802" s="6">
        <v>37.0</v>
      </c>
      <c r="H802" s="6">
        <v>2.0</v>
      </c>
      <c r="I802" s="6">
        <v>2.0</v>
      </c>
      <c r="J802" s="9">
        <v>45991.0</v>
      </c>
      <c r="K802" s="6">
        <v>5.0</v>
      </c>
      <c r="L802" s="10" t="s">
        <v>62</v>
      </c>
      <c r="M802" s="10">
        <v>0.0</v>
      </c>
    </row>
    <row r="803" ht="22.5" customHeight="1">
      <c r="A803" s="5" t="s">
        <v>2835</v>
      </c>
      <c r="B803" s="5" t="s">
        <v>84</v>
      </c>
      <c r="C803" s="6">
        <v>8.0</v>
      </c>
      <c r="D803" s="6">
        <v>35.0</v>
      </c>
      <c r="E803" s="6">
        <v>3.0</v>
      </c>
      <c r="F803" s="6">
        <v>48.0</v>
      </c>
      <c r="G803" s="6">
        <v>25.0</v>
      </c>
      <c r="H803" s="6">
        <v>3.0</v>
      </c>
      <c r="I803" s="6">
        <v>0.0</v>
      </c>
      <c r="J803" s="9">
        <v>45887.0</v>
      </c>
      <c r="K803" s="6">
        <v>5.0</v>
      </c>
      <c r="L803" s="5" t="s">
        <v>62</v>
      </c>
      <c r="M803" s="5">
        <v>0.0</v>
      </c>
    </row>
    <row r="804" ht="22.5" customHeight="1">
      <c r="A804" s="5" t="s">
        <v>2837</v>
      </c>
      <c r="B804" s="5" t="s">
        <v>22</v>
      </c>
      <c r="C804" s="6">
        <v>6.0</v>
      </c>
      <c r="D804" s="6">
        <v>32.0</v>
      </c>
      <c r="E804" s="6">
        <v>7.0</v>
      </c>
      <c r="F804" s="6">
        <v>42.0</v>
      </c>
      <c r="G804" s="6">
        <v>14.0</v>
      </c>
      <c r="H804" s="6">
        <v>20.0</v>
      </c>
      <c r="I804" s="6">
        <v>1.0</v>
      </c>
      <c r="J804" s="9">
        <v>46252.0</v>
      </c>
      <c r="K804" s="6">
        <v>5.0</v>
      </c>
      <c r="L804" s="5" t="s">
        <v>62</v>
      </c>
      <c r="M804" s="5">
        <v>0.0</v>
      </c>
    </row>
    <row r="805" ht="22.5" customHeight="1">
      <c r="A805" s="5" t="s">
        <v>2838</v>
      </c>
      <c r="B805" s="5" t="s">
        <v>170</v>
      </c>
      <c r="C805" s="6">
        <v>7.0</v>
      </c>
      <c r="D805" s="6">
        <v>29.0</v>
      </c>
      <c r="E805" s="6">
        <v>13.0</v>
      </c>
      <c r="F805" s="6">
        <v>58.0</v>
      </c>
      <c r="G805" s="6">
        <v>31.0</v>
      </c>
      <c r="H805" s="6">
        <v>11.0</v>
      </c>
      <c r="I805" s="6">
        <v>3.0</v>
      </c>
      <c r="J805" s="9">
        <v>45982.0</v>
      </c>
      <c r="K805" s="6">
        <v>8.0</v>
      </c>
      <c r="L805" s="5" t="s">
        <v>62</v>
      </c>
      <c r="M805" s="5">
        <v>0.0</v>
      </c>
    </row>
    <row r="806" ht="22.5" customHeight="1">
      <c r="A806" s="5" t="s">
        <v>2840</v>
      </c>
      <c r="B806" s="5" t="s">
        <v>84</v>
      </c>
      <c r="C806" s="6">
        <v>9.0</v>
      </c>
      <c r="D806" s="6">
        <v>16.0</v>
      </c>
      <c r="E806" s="6">
        <v>7.0</v>
      </c>
      <c r="F806" s="6">
        <v>21.0</v>
      </c>
      <c r="G806" s="6">
        <v>15.0</v>
      </c>
      <c r="H806" s="6">
        <v>20.0</v>
      </c>
      <c r="I806" s="6">
        <v>3.0</v>
      </c>
      <c r="J806" s="9">
        <v>44648.0</v>
      </c>
      <c r="K806" s="6">
        <v>1.0</v>
      </c>
      <c r="L806" s="5" t="s">
        <v>113</v>
      </c>
      <c r="M806" s="5">
        <v>1.0</v>
      </c>
    </row>
  </sheetData>
  <dataValidations>
    <dataValidation type="custom" allowBlank="1" showDropDown="1" sqref="J2:J806">
      <formula1>OR(NOT(ISERROR(DATEVALUE(J2))), AND(ISNUMBER(J2), LEFT(CELL("format", J2))="D"))</formula1>
    </dataValidation>
    <dataValidation type="custom" allowBlank="1" showDropDown="1" sqref="C2:D806 F2:I806 K2:K806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3110</v>
      </c>
      <c r="C1" s="1" t="s">
        <v>3111</v>
      </c>
      <c r="D1" s="1" t="s">
        <v>3112</v>
      </c>
      <c r="E1" s="1" t="s">
        <v>3113</v>
      </c>
    </row>
    <row r="2">
      <c r="A2" s="1" t="s">
        <v>21</v>
      </c>
      <c r="B2" s="1" t="s">
        <v>3114</v>
      </c>
      <c r="C2" s="1" t="s">
        <v>3115</v>
      </c>
      <c r="D2" s="2" t="s">
        <v>3100</v>
      </c>
      <c r="E2" s="2" t="s">
        <v>3116</v>
      </c>
    </row>
    <row r="3">
      <c r="A3" s="1" t="s">
        <v>40</v>
      </c>
      <c r="B3" s="1" t="s">
        <v>3117</v>
      </c>
      <c r="C3" s="1" t="s">
        <v>3118</v>
      </c>
      <c r="D3" s="2" t="s">
        <v>79</v>
      </c>
      <c r="E3" s="2" t="s">
        <v>3119</v>
      </c>
    </row>
    <row r="4">
      <c r="A4" s="1" t="s">
        <v>57</v>
      </c>
      <c r="C4" s="1" t="s">
        <v>3120</v>
      </c>
      <c r="D4" s="2" t="s">
        <v>3121</v>
      </c>
    </row>
    <row r="5">
      <c r="A5" s="1" t="s">
        <v>72</v>
      </c>
      <c r="B5" s="1" t="s">
        <v>3122</v>
      </c>
      <c r="C5" s="1" t="s">
        <v>3123</v>
      </c>
      <c r="D5" s="2" t="s">
        <v>2182</v>
      </c>
      <c r="E5" s="2" t="s">
        <v>1671</v>
      </c>
    </row>
    <row r="6">
      <c r="A6" s="1" t="s">
        <v>87</v>
      </c>
      <c r="B6" s="1" t="s">
        <v>3124</v>
      </c>
      <c r="C6" s="1" t="s">
        <v>3125</v>
      </c>
      <c r="D6" s="2" t="s">
        <v>3126</v>
      </c>
      <c r="E6" s="2" t="s">
        <v>3127</v>
      </c>
    </row>
    <row r="7">
      <c r="A7" s="1" t="s">
        <v>99</v>
      </c>
      <c r="B7" s="1" t="s">
        <v>3128</v>
      </c>
      <c r="C7" s="1" t="s">
        <v>3129</v>
      </c>
      <c r="D7" s="2" t="s">
        <v>3130</v>
      </c>
    </row>
    <row r="8">
      <c r="A8" s="1" t="s">
        <v>119</v>
      </c>
      <c r="B8" s="1" t="s">
        <v>3131</v>
      </c>
      <c r="C8" s="1" t="s">
        <v>3132</v>
      </c>
      <c r="D8" s="2" t="s">
        <v>2652</v>
      </c>
      <c r="E8" s="2" t="s">
        <v>2673</v>
      </c>
    </row>
    <row r="9">
      <c r="A9" s="1" t="s">
        <v>126</v>
      </c>
      <c r="B9" s="1" t="s">
        <v>3133</v>
      </c>
      <c r="C9" s="1" t="s">
        <v>3134</v>
      </c>
      <c r="D9" s="2" t="s">
        <v>2873</v>
      </c>
      <c r="E9" s="2" t="s">
        <v>3135</v>
      </c>
    </row>
    <row r="10">
      <c r="A10" s="1" t="s">
        <v>134</v>
      </c>
      <c r="B10" s="1" t="s">
        <v>3136</v>
      </c>
      <c r="C10" s="1" t="s">
        <v>3137</v>
      </c>
      <c r="D10" s="2" t="s">
        <v>3138</v>
      </c>
      <c r="E10" s="2" t="s">
        <v>3139</v>
      </c>
    </row>
    <row r="11">
      <c r="A11" s="1" t="s">
        <v>145</v>
      </c>
      <c r="B11" s="1" t="s">
        <v>3140</v>
      </c>
      <c r="D11" s="2" t="s">
        <v>1319</v>
      </c>
      <c r="E11" s="2" t="s">
        <v>2975</v>
      </c>
    </row>
    <row r="12">
      <c r="A12" s="1" t="s">
        <v>156</v>
      </c>
      <c r="B12" s="2" t="s">
        <v>3141</v>
      </c>
      <c r="C12" s="1" t="s">
        <v>3142</v>
      </c>
      <c r="D12" s="2" t="s">
        <v>676</v>
      </c>
      <c r="E12" s="2" t="s">
        <v>3143</v>
      </c>
    </row>
    <row r="13">
      <c r="A13" s="1" t="s">
        <v>169</v>
      </c>
      <c r="B13" s="1" t="s">
        <v>3144</v>
      </c>
      <c r="C13" s="1" t="s">
        <v>3145</v>
      </c>
      <c r="D13" s="2" t="s">
        <v>3017</v>
      </c>
    </row>
    <row r="14">
      <c r="A14" s="1" t="s">
        <v>182</v>
      </c>
      <c r="B14" s="2" t="s">
        <v>3146</v>
      </c>
      <c r="C14" s="1" t="s">
        <v>3147</v>
      </c>
      <c r="D14" s="2" t="s">
        <v>3148</v>
      </c>
      <c r="E14" s="2" t="s">
        <v>3099</v>
      </c>
    </row>
    <row r="15">
      <c r="A15" s="1" t="s">
        <v>192</v>
      </c>
      <c r="B15" s="1" t="s">
        <v>3149</v>
      </c>
      <c r="C15" s="1" t="s">
        <v>3150</v>
      </c>
      <c r="D15" s="2" t="s">
        <v>2960</v>
      </c>
    </row>
    <row r="16">
      <c r="A16" s="1" t="s">
        <v>202</v>
      </c>
      <c r="B16" s="1" t="s">
        <v>3151</v>
      </c>
      <c r="C16" s="1" t="s">
        <v>3152</v>
      </c>
      <c r="D16" s="2" t="s">
        <v>972</v>
      </c>
      <c r="E16" s="2" t="s">
        <v>3153</v>
      </c>
    </row>
    <row r="17">
      <c r="A17" s="1" t="s">
        <v>214</v>
      </c>
      <c r="B17" s="1" t="s">
        <v>3154</v>
      </c>
      <c r="C17" s="1" t="s">
        <v>3155</v>
      </c>
    </row>
    <row r="18">
      <c r="A18" s="1" t="s">
        <v>225</v>
      </c>
      <c r="B18" s="1" t="s">
        <v>3156</v>
      </c>
      <c r="C18" s="1" t="s">
        <v>3157</v>
      </c>
      <c r="D18" s="2" t="s">
        <v>2007</v>
      </c>
    </row>
    <row r="19">
      <c r="A19" s="1" t="s">
        <v>233</v>
      </c>
      <c r="B19" s="1" t="s">
        <v>3158</v>
      </c>
      <c r="C19" s="1" t="s">
        <v>3159</v>
      </c>
      <c r="D19" s="2" t="s">
        <v>3160</v>
      </c>
      <c r="E19" s="2" t="s">
        <v>60</v>
      </c>
    </row>
    <row r="20">
      <c r="A20" s="1" t="s">
        <v>242</v>
      </c>
      <c r="B20" s="2" t="s">
        <v>3161</v>
      </c>
      <c r="C20" s="1" t="s">
        <v>3162</v>
      </c>
      <c r="D20" s="2" t="s">
        <v>60</v>
      </c>
      <c r="E20" s="2" t="s">
        <v>60</v>
      </c>
    </row>
    <row r="21">
      <c r="A21" s="1" t="s">
        <v>253</v>
      </c>
      <c r="B21" s="1" t="s">
        <v>3163</v>
      </c>
      <c r="C21" s="1" t="s">
        <v>3164</v>
      </c>
    </row>
    <row r="22">
      <c r="A22" s="1" t="s">
        <v>262</v>
      </c>
      <c r="B22" s="1" t="s">
        <v>3165</v>
      </c>
      <c r="C22" s="1" t="s">
        <v>3166</v>
      </c>
      <c r="D22" s="2" t="s">
        <v>2307</v>
      </c>
      <c r="E22" s="2" t="s">
        <v>3167</v>
      </c>
    </row>
    <row r="23">
      <c r="A23" s="1" t="s">
        <v>274</v>
      </c>
      <c r="B23" s="2" t="s">
        <v>3168</v>
      </c>
      <c r="C23" s="1" t="s">
        <v>3169</v>
      </c>
      <c r="D23" s="2" t="s">
        <v>3170</v>
      </c>
      <c r="E23" s="2" t="s">
        <v>259</v>
      </c>
    </row>
    <row r="24">
      <c r="A24" s="1" t="s">
        <v>281</v>
      </c>
      <c r="B24" s="2" t="s">
        <v>3171</v>
      </c>
      <c r="C24" s="1" t="s">
        <v>3172</v>
      </c>
      <c r="D24" s="2" t="s">
        <v>3173</v>
      </c>
    </row>
    <row r="25">
      <c r="A25" s="1" t="s">
        <v>291</v>
      </c>
      <c r="B25" s="2" t="s">
        <v>3174</v>
      </c>
      <c r="C25" s="1" t="s">
        <v>3175</v>
      </c>
      <c r="D25" s="2" t="s">
        <v>3176</v>
      </c>
      <c r="E25" s="2" t="s">
        <v>3177</v>
      </c>
    </row>
    <row r="26">
      <c r="A26" s="1" t="s">
        <v>298</v>
      </c>
      <c r="B26" s="1" t="s">
        <v>3178</v>
      </c>
      <c r="C26" s="1" t="s">
        <v>3179</v>
      </c>
      <c r="D26" s="2" t="s">
        <v>60</v>
      </c>
      <c r="E26" s="2" t="s">
        <v>697</v>
      </c>
    </row>
    <row r="27">
      <c r="A27" s="1" t="s">
        <v>306</v>
      </c>
      <c r="B27" s="1" t="s">
        <v>3180</v>
      </c>
      <c r="C27" s="1" t="s">
        <v>3181</v>
      </c>
      <c r="D27" s="2" t="s">
        <v>3182</v>
      </c>
      <c r="E27" s="2" t="s">
        <v>3183</v>
      </c>
    </row>
    <row r="28">
      <c r="A28" s="1" t="s">
        <v>314</v>
      </c>
      <c r="C28" s="1" t="s">
        <v>3184</v>
      </c>
      <c r="D28" s="2" t="s">
        <v>3185</v>
      </c>
      <c r="E28" s="2" t="s">
        <v>3186</v>
      </c>
    </row>
    <row r="29">
      <c r="A29" s="1" t="s">
        <v>321</v>
      </c>
      <c r="B29" s="1" t="s">
        <v>3187</v>
      </c>
      <c r="C29" s="1" t="s">
        <v>3188</v>
      </c>
      <c r="D29" s="2" t="s">
        <v>3189</v>
      </c>
      <c r="E29" s="2" t="s">
        <v>2790</v>
      </c>
    </row>
    <row r="30">
      <c r="A30" s="1" t="s">
        <v>329</v>
      </c>
      <c r="B30" s="1" t="s">
        <v>3190</v>
      </c>
      <c r="C30" s="1" t="s">
        <v>3191</v>
      </c>
      <c r="D30" s="2" t="s">
        <v>3192</v>
      </c>
      <c r="E30" s="2" t="s">
        <v>3193</v>
      </c>
    </row>
    <row r="31">
      <c r="A31" s="1" t="s">
        <v>335</v>
      </c>
      <c r="B31" s="1" t="s">
        <v>3194</v>
      </c>
      <c r="C31" s="1" t="s">
        <v>3195</v>
      </c>
      <c r="D31" s="2" t="s">
        <v>485</v>
      </c>
    </row>
    <row r="32">
      <c r="A32" s="1" t="s">
        <v>341</v>
      </c>
      <c r="B32" s="2" t="s">
        <v>3196</v>
      </c>
      <c r="C32" s="1" t="s">
        <v>3197</v>
      </c>
      <c r="D32" s="2" t="s">
        <v>3198</v>
      </c>
      <c r="E32" s="2" t="s">
        <v>3199</v>
      </c>
    </row>
    <row r="33">
      <c r="A33" s="1" t="s">
        <v>349</v>
      </c>
      <c r="B33" s="1" t="s">
        <v>3200</v>
      </c>
      <c r="C33" s="1" t="s">
        <v>3201</v>
      </c>
      <c r="D33" s="2" t="s">
        <v>3202</v>
      </c>
      <c r="E33" s="2" t="s">
        <v>427</v>
      </c>
    </row>
    <row r="34">
      <c r="A34" s="1" t="s">
        <v>356</v>
      </c>
      <c r="B34" s="2" t="s">
        <v>3203</v>
      </c>
      <c r="C34" s="1" t="s">
        <v>3204</v>
      </c>
      <c r="D34" s="2" t="s">
        <v>3205</v>
      </c>
      <c r="E34" s="2" t="s">
        <v>3206</v>
      </c>
    </row>
    <row r="35">
      <c r="A35" s="1" t="s">
        <v>362</v>
      </c>
      <c r="B35" s="1" t="s">
        <v>3207</v>
      </c>
      <c r="C35" s="1" t="s">
        <v>3208</v>
      </c>
      <c r="D35" s="2" t="s">
        <v>1249</v>
      </c>
      <c r="E35" s="2" t="s">
        <v>39</v>
      </c>
    </row>
    <row r="36">
      <c r="A36" s="1" t="s">
        <v>367</v>
      </c>
      <c r="B36" s="1" t="s">
        <v>3209</v>
      </c>
      <c r="C36" s="1" t="s">
        <v>3210</v>
      </c>
      <c r="D36" s="2" t="s">
        <v>3211</v>
      </c>
      <c r="E36" s="2" t="s">
        <v>3212</v>
      </c>
    </row>
    <row r="37">
      <c r="A37" s="1" t="s">
        <v>373</v>
      </c>
      <c r="B37" s="1" t="s">
        <v>3213</v>
      </c>
      <c r="C37" s="1" t="s">
        <v>3214</v>
      </c>
      <c r="D37" s="2" t="s">
        <v>3215</v>
      </c>
      <c r="E37" s="2" t="s">
        <v>3216</v>
      </c>
    </row>
    <row r="38">
      <c r="A38" s="1" t="s">
        <v>380</v>
      </c>
      <c r="B38" s="1" t="s">
        <v>3217</v>
      </c>
      <c r="C38" s="1" t="s">
        <v>3218</v>
      </c>
      <c r="D38" s="2" t="s">
        <v>3219</v>
      </c>
      <c r="E38" s="2" t="s">
        <v>3220</v>
      </c>
    </row>
    <row r="39">
      <c r="A39" s="1" t="s">
        <v>389</v>
      </c>
      <c r="B39" s="2" t="s">
        <v>3221</v>
      </c>
      <c r="C39" s="1" t="s">
        <v>3222</v>
      </c>
      <c r="D39" s="2" t="s">
        <v>3223</v>
      </c>
      <c r="E39" s="2" t="s">
        <v>3224</v>
      </c>
    </row>
    <row r="40">
      <c r="A40" s="1" t="s">
        <v>398</v>
      </c>
      <c r="B40" s="1" t="s">
        <v>3225</v>
      </c>
      <c r="C40" s="1" t="s">
        <v>3226</v>
      </c>
      <c r="D40" s="2" t="s">
        <v>2514</v>
      </c>
      <c r="E40" s="2" t="s">
        <v>3227</v>
      </c>
    </row>
    <row r="41">
      <c r="A41" s="1" t="s">
        <v>404</v>
      </c>
      <c r="B41" s="2" t="s">
        <v>3228</v>
      </c>
      <c r="C41" s="1" t="s">
        <v>3229</v>
      </c>
      <c r="D41" s="2" t="s">
        <v>2035</v>
      </c>
      <c r="E41" s="2" t="s">
        <v>1926</v>
      </c>
    </row>
    <row r="42">
      <c r="A42" s="1" t="s">
        <v>410</v>
      </c>
      <c r="B42" s="1" t="s">
        <v>3230</v>
      </c>
      <c r="C42" s="1" t="s">
        <v>3231</v>
      </c>
      <c r="D42" s="2" t="s">
        <v>3232</v>
      </c>
      <c r="E42" s="2" t="s">
        <v>3233</v>
      </c>
    </row>
    <row r="43">
      <c r="A43" s="1" t="s">
        <v>415</v>
      </c>
      <c r="B43" s="1" t="s">
        <v>3234</v>
      </c>
      <c r="C43" s="1" t="s">
        <v>3235</v>
      </c>
    </row>
    <row r="44">
      <c r="A44" s="1" t="s">
        <v>421</v>
      </c>
      <c r="B44" s="1" t="s">
        <v>3236</v>
      </c>
      <c r="C44" s="1" t="s">
        <v>3237</v>
      </c>
      <c r="D44" s="2" t="s">
        <v>3238</v>
      </c>
    </row>
    <row r="45">
      <c r="A45" s="1" t="s">
        <v>426</v>
      </c>
      <c r="B45" s="1" t="s">
        <v>3239</v>
      </c>
      <c r="C45" s="1" t="s">
        <v>3240</v>
      </c>
    </row>
    <row r="46">
      <c r="A46" s="1" t="s">
        <v>431</v>
      </c>
      <c r="B46" s="1" t="s">
        <v>3241</v>
      </c>
      <c r="C46" s="1" t="s">
        <v>3242</v>
      </c>
      <c r="D46" s="2" t="s">
        <v>3243</v>
      </c>
      <c r="E46" s="2" t="s">
        <v>3244</v>
      </c>
    </row>
    <row r="47">
      <c r="A47" s="1" t="s">
        <v>438</v>
      </c>
      <c r="B47" s="1" t="s">
        <v>3245</v>
      </c>
      <c r="C47" s="1" t="s">
        <v>3246</v>
      </c>
      <c r="D47" s="2" t="s">
        <v>3247</v>
      </c>
    </row>
    <row r="48">
      <c r="A48" s="1" t="s">
        <v>443</v>
      </c>
      <c r="B48" s="2" t="s">
        <v>3248</v>
      </c>
      <c r="C48" s="1" t="s">
        <v>3249</v>
      </c>
      <c r="D48" s="2" t="s">
        <v>2270</v>
      </c>
    </row>
    <row r="49">
      <c r="A49" s="1" t="s">
        <v>450</v>
      </c>
      <c r="B49" s="2" t="s">
        <v>3250</v>
      </c>
      <c r="C49" s="1" t="s">
        <v>3251</v>
      </c>
      <c r="D49" s="2" t="s">
        <v>3252</v>
      </c>
      <c r="E49" s="2" t="s">
        <v>3253</v>
      </c>
    </row>
    <row r="50">
      <c r="A50" s="1" t="s">
        <v>455</v>
      </c>
      <c r="B50" s="1" t="s">
        <v>3254</v>
      </c>
      <c r="C50" s="1" t="s">
        <v>3255</v>
      </c>
      <c r="D50" s="2" t="s">
        <v>3199</v>
      </c>
      <c r="E50" s="2" t="s">
        <v>3256</v>
      </c>
    </row>
    <row r="51">
      <c r="A51" s="1" t="s">
        <v>467</v>
      </c>
      <c r="B51" s="1" t="s">
        <v>3257</v>
      </c>
      <c r="C51" s="1" t="s">
        <v>3258</v>
      </c>
      <c r="D51" s="2" t="s">
        <v>465</v>
      </c>
    </row>
    <row r="52">
      <c r="A52" s="1" t="s">
        <v>472</v>
      </c>
      <c r="B52" s="1" t="s">
        <v>3259</v>
      </c>
      <c r="C52" s="1" t="s">
        <v>3260</v>
      </c>
      <c r="D52" s="2" t="s">
        <v>3102</v>
      </c>
    </row>
    <row r="53">
      <c r="A53" s="1" t="s">
        <v>479</v>
      </c>
      <c r="C53" s="1" t="s">
        <v>3261</v>
      </c>
      <c r="D53" s="2" t="s">
        <v>3262</v>
      </c>
      <c r="E53" s="2" t="s">
        <v>3263</v>
      </c>
    </row>
    <row r="54">
      <c r="A54" s="1" t="s">
        <v>484</v>
      </c>
      <c r="C54" s="1" t="s">
        <v>3264</v>
      </c>
      <c r="D54" s="2" t="s">
        <v>3265</v>
      </c>
    </row>
    <row r="55">
      <c r="A55" s="1" t="s">
        <v>493</v>
      </c>
      <c r="B55" s="1" t="s">
        <v>3266</v>
      </c>
      <c r="C55" s="1" t="s">
        <v>3267</v>
      </c>
      <c r="D55" s="2" t="s">
        <v>3268</v>
      </c>
      <c r="E55" s="2" t="s">
        <v>3148</v>
      </c>
    </row>
    <row r="56">
      <c r="A56" s="1" t="s">
        <v>502</v>
      </c>
      <c r="B56" s="2" t="s">
        <v>3269</v>
      </c>
      <c r="C56" s="1" t="s">
        <v>3270</v>
      </c>
      <c r="D56" s="2" t="s">
        <v>3271</v>
      </c>
      <c r="E56" s="2" t="s">
        <v>60</v>
      </c>
    </row>
    <row r="57">
      <c r="A57" s="1" t="s">
        <v>507</v>
      </c>
      <c r="B57" s="1" t="s">
        <v>3272</v>
      </c>
      <c r="C57" s="1" t="s">
        <v>3273</v>
      </c>
      <c r="D57" s="2" t="s">
        <v>3274</v>
      </c>
      <c r="E57" s="2" t="s">
        <v>2343</v>
      </c>
    </row>
    <row r="58">
      <c r="A58" s="1" t="s">
        <v>513</v>
      </c>
      <c r="B58" s="1" t="s">
        <v>3275</v>
      </c>
      <c r="C58" s="1" t="s">
        <v>3276</v>
      </c>
      <c r="D58" s="2" t="s">
        <v>2307</v>
      </c>
      <c r="E58" s="2" t="s">
        <v>676</v>
      </c>
    </row>
    <row r="59">
      <c r="A59" s="1" t="s">
        <v>519</v>
      </c>
      <c r="B59" s="1" t="s">
        <v>3277</v>
      </c>
      <c r="C59" s="1" t="s">
        <v>3278</v>
      </c>
      <c r="D59" s="2" t="s">
        <v>3173</v>
      </c>
      <c r="E59" s="2" t="s">
        <v>3279</v>
      </c>
    </row>
    <row r="60">
      <c r="A60" s="1" t="s">
        <v>524</v>
      </c>
      <c r="B60" s="2" t="s">
        <v>3280</v>
      </c>
      <c r="C60" s="1" t="s">
        <v>3281</v>
      </c>
      <c r="D60" s="2" t="s">
        <v>400</v>
      </c>
      <c r="E60" s="2" t="s">
        <v>3148</v>
      </c>
    </row>
    <row r="61">
      <c r="A61" s="1" t="s">
        <v>530</v>
      </c>
      <c r="B61" s="1" t="s">
        <v>3282</v>
      </c>
      <c r="C61" s="1" t="s">
        <v>3283</v>
      </c>
      <c r="D61" s="2" t="s">
        <v>1140</v>
      </c>
    </row>
    <row r="62">
      <c r="A62" s="1" t="s">
        <v>535</v>
      </c>
      <c r="B62" s="1" t="s">
        <v>3284</v>
      </c>
      <c r="C62" s="1" t="s">
        <v>3285</v>
      </c>
      <c r="D62" s="2" t="s">
        <v>3286</v>
      </c>
      <c r="E62" s="2" t="s">
        <v>3287</v>
      </c>
    </row>
    <row r="63">
      <c r="A63" s="1" t="s">
        <v>541</v>
      </c>
      <c r="B63" s="1" t="s">
        <v>3288</v>
      </c>
      <c r="C63" s="1" t="s">
        <v>3289</v>
      </c>
      <c r="D63" s="2" t="s">
        <v>3290</v>
      </c>
      <c r="E63" s="2" t="s">
        <v>3291</v>
      </c>
    </row>
    <row r="64">
      <c r="A64" s="1" t="s">
        <v>548</v>
      </c>
      <c r="B64" s="1" t="s">
        <v>3292</v>
      </c>
      <c r="C64" s="1" t="s">
        <v>3293</v>
      </c>
      <c r="D64" s="2" t="s">
        <v>3294</v>
      </c>
    </row>
    <row r="65">
      <c r="A65" s="1" t="s">
        <v>554</v>
      </c>
      <c r="B65" s="2" t="s">
        <v>3295</v>
      </c>
      <c r="C65" s="1" t="s">
        <v>3296</v>
      </c>
      <c r="D65" s="2" t="s">
        <v>3297</v>
      </c>
      <c r="E65" s="2" t="s">
        <v>3298</v>
      </c>
    </row>
    <row r="66">
      <c r="A66" s="1" t="s">
        <v>563</v>
      </c>
      <c r="B66" s="1" t="s">
        <v>3299</v>
      </c>
      <c r="C66" s="1" t="s">
        <v>3300</v>
      </c>
      <c r="D66" s="2" t="s">
        <v>2062</v>
      </c>
      <c r="E66" s="2" t="s">
        <v>1140</v>
      </c>
    </row>
    <row r="67">
      <c r="A67" s="1" t="s">
        <v>568</v>
      </c>
      <c r="B67" s="1" t="s">
        <v>3301</v>
      </c>
      <c r="C67" s="1" t="s">
        <v>3302</v>
      </c>
      <c r="D67" s="2" t="s">
        <v>3303</v>
      </c>
      <c r="E67" s="2" t="s">
        <v>2863</v>
      </c>
    </row>
    <row r="68">
      <c r="A68" s="1" t="s">
        <v>574</v>
      </c>
      <c r="B68" s="2" t="s">
        <v>3304</v>
      </c>
      <c r="C68" s="1" t="s">
        <v>3305</v>
      </c>
      <c r="D68" s="2" t="s">
        <v>3183</v>
      </c>
      <c r="E68" s="2" t="s">
        <v>3306</v>
      </c>
    </row>
    <row r="69">
      <c r="A69" s="1" t="s">
        <v>580</v>
      </c>
      <c r="B69" s="1" t="s">
        <v>3307</v>
      </c>
      <c r="C69" s="1" t="s">
        <v>3308</v>
      </c>
      <c r="D69" s="2" t="s">
        <v>3309</v>
      </c>
      <c r="E69" s="2" t="s">
        <v>3233</v>
      </c>
    </row>
    <row r="70">
      <c r="A70" s="1" t="s">
        <v>586</v>
      </c>
      <c r="C70" s="1" t="s">
        <v>3310</v>
      </c>
      <c r="D70" s="2" t="s">
        <v>3138</v>
      </c>
    </row>
    <row r="71">
      <c r="A71" s="1" t="s">
        <v>589</v>
      </c>
      <c r="B71" s="1" t="s">
        <v>3311</v>
      </c>
      <c r="C71" s="1" t="s">
        <v>3312</v>
      </c>
      <c r="D71" s="2" t="s">
        <v>332</v>
      </c>
      <c r="E71" s="2" t="s">
        <v>3313</v>
      </c>
    </row>
    <row r="72">
      <c r="A72" s="1" t="s">
        <v>595</v>
      </c>
      <c r="B72" s="1" t="s">
        <v>3314</v>
      </c>
      <c r="C72" s="1" t="s">
        <v>3315</v>
      </c>
      <c r="D72" s="2" t="s">
        <v>1789</v>
      </c>
    </row>
    <row r="73">
      <c r="A73" s="1" t="s">
        <v>600</v>
      </c>
      <c r="B73" s="1" t="s">
        <v>3316</v>
      </c>
      <c r="C73" s="1" t="s">
        <v>3317</v>
      </c>
      <c r="D73" s="2" t="s">
        <v>1125</v>
      </c>
    </row>
    <row r="74">
      <c r="A74" s="1" t="s">
        <v>603</v>
      </c>
      <c r="B74" s="1" t="s">
        <v>3318</v>
      </c>
      <c r="C74" s="1" t="s">
        <v>3319</v>
      </c>
      <c r="D74" s="2" t="s">
        <v>3320</v>
      </c>
      <c r="E74" s="2" t="s">
        <v>2478</v>
      </c>
    </row>
    <row r="75">
      <c r="A75" s="1" t="s">
        <v>606</v>
      </c>
      <c r="B75" s="2" t="s">
        <v>3321</v>
      </c>
      <c r="C75" s="1" t="s">
        <v>3322</v>
      </c>
      <c r="D75" s="2" t="s">
        <v>3323</v>
      </c>
    </row>
    <row r="76">
      <c r="A76" s="1" t="s">
        <v>610</v>
      </c>
      <c r="B76" s="1" t="s">
        <v>3324</v>
      </c>
      <c r="C76" s="1" t="s">
        <v>3325</v>
      </c>
      <c r="D76" s="2" t="s">
        <v>60</v>
      </c>
    </row>
    <row r="77">
      <c r="A77" s="1" t="s">
        <v>615</v>
      </c>
      <c r="B77" s="1" t="s">
        <v>3326</v>
      </c>
      <c r="C77" s="1" t="s">
        <v>3327</v>
      </c>
      <c r="D77" s="2" t="s">
        <v>724</v>
      </c>
    </row>
    <row r="78">
      <c r="A78" s="1" t="s">
        <v>619</v>
      </c>
      <c r="B78" s="1" t="s">
        <v>3328</v>
      </c>
      <c r="C78" s="1" t="s">
        <v>3329</v>
      </c>
    </row>
    <row r="79">
      <c r="A79" s="1" t="s">
        <v>623</v>
      </c>
      <c r="B79" s="1" t="s">
        <v>3330</v>
      </c>
      <c r="C79" s="1" t="s">
        <v>3331</v>
      </c>
      <c r="D79" s="2" t="s">
        <v>3291</v>
      </c>
    </row>
    <row r="80">
      <c r="A80" s="1" t="s">
        <v>628</v>
      </c>
      <c r="B80" s="1" t="s">
        <v>3332</v>
      </c>
      <c r="C80" s="1" t="s">
        <v>3333</v>
      </c>
      <c r="D80" s="2" t="s">
        <v>3334</v>
      </c>
      <c r="E80" s="2" t="s">
        <v>3335</v>
      </c>
    </row>
    <row r="81">
      <c r="A81" s="1" t="s">
        <v>633</v>
      </c>
      <c r="B81" s="1" t="s">
        <v>3336</v>
      </c>
      <c r="C81" s="1" t="s">
        <v>3337</v>
      </c>
      <c r="D81" s="2" t="s">
        <v>3338</v>
      </c>
    </row>
    <row r="82">
      <c r="A82" s="1" t="s">
        <v>636</v>
      </c>
      <c r="B82" s="1" t="s">
        <v>3339</v>
      </c>
      <c r="C82" s="1" t="s">
        <v>3340</v>
      </c>
      <c r="D82" s="2" t="s">
        <v>2860</v>
      </c>
      <c r="E82" s="2" t="s">
        <v>3341</v>
      </c>
    </row>
    <row r="83">
      <c r="A83" s="1" t="s">
        <v>640</v>
      </c>
      <c r="B83" s="1" t="s">
        <v>3342</v>
      </c>
      <c r="D83" s="2" t="s">
        <v>3343</v>
      </c>
    </row>
    <row r="84">
      <c r="A84" s="1" t="s">
        <v>644</v>
      </c>
      <c r="C84" s="1" t="s">
        <v>3344</v>
      </c>
      <c r="D84" s="2" t="s">
        <v>3345</v>
      </c>
      <c r="E84" s="2" t="s">
        <v>3346</v>
      </c>
    </row>
    <row r="85">
      <c r="A85" s="1" t="s">
        <v>649</v>
      </c>
      <c r="B85" s="2" t="s">
        <v>3347</v>
      </c>
      <c r="C85" s="1" t="s">
        <v>3348</v>
      </c>
      <c r="D85" s="2" t="s">
        <v>3044</v>
      </c>
      <c r="E85" s="2" t="s">
        <v>407</v>
      </c>
    </row>
    <row r="86">
      <c r="A86" s="1" t="s">
        <v>653</v>
      </c>
      <c r="B86" s="1" t="s">
        <v>3349</v>
      </c>
      <c r="C86" s="1" t="s">
        <v>3350</v>
      </c>
      <c r="D86" s="2" t="s">
        <v>1983</v>
      </c>
      <c r="E86" s="2" t="s">
        <v>2292</v>
      </c>
    </row>
    <row r="87">
      <c r="A87" s="1" t="s">
        <v>657</v>
      </c>
      <c r="B87" s="1" t="s">
        <v>3351</v>
      </c>
      <c r="C87" s="1" t="s">
        <v>3352</v>
      </c>
      <c r="D87" s="2" t="s">
        <v>3353</v>
      </c>
      <c r="E87" s="2" t="s">
        <v>2860</v>
      </c>
    </row>
    <row r="88">
      <c r="A88" s="1" t="s">
        <v>661</v>
      </c>
      <c r="B88" s="1" t="s">
        <v>3354</v>
      </c>
      <c r="C88" s="1" t="s">
        <v>3355</v>
      </c>
      <c r="D88" s="2" t="s">
        <v>3233</v>
      </c>
    </row>
    <row r="89">
      <c r="A89" s="1" t="s">
        <v>665</v>
      </c>
      <c r="B89" s="2" t="s">
        <v>3356</v>
      </c>
      <c r="C89" s="1" t="s">
        <v>3357</v>
      </c>
      <c r="D89" s="2" t="s">
        <v>2670</v>
      </c>
      <c r="E89" s="2" t="s">
        <v>2953</v>
      </c>
    </row>
    <row r="90">
      <c r="A90" s="1" t="s">
        <v>671</v>
      </c>
      <c r="B90" s="1" t="s">
        <v>3358</v>
      </c>
      <c r="C90" s="1" t="s">
        <v>3359</v>
      </c>
      <c r="D90" s="2" t="s">
        <v>1797</v>
      </c>
    </row>
    <row r="91">
      <c r="A91" s="1" t="s">
        <v>674</v>
      </c>
      <c r="B91" s="2" t="s">
        <v>3360</v>
      </c>
      <c r="C91" s="1" t="s">
        <v>3361</v>
      </c>
      <c r="D91" s="2" t="s">
        <v>485</v>
      </c>
      <c r="E91" s="2" t="s">
        <v>3362</v>
      </c>
    </row>
    <row r="92">
      <c r="A92" s="1" t="s">
        <v>679</v>
      </c>
      <c r="B92" s="1" t="s">
        <v>3363</v>
      </c>
      <c r="C92" s="1" t="s">
        <v>3364</v>
      </c>
      <c r="D92" s="2" t="s">
        <v>3365</v>
      </c>
    </row>
    <row r="93">
      <c r="A93" s="1" t="s">
        <v>683</v>
      </c>
      <c r="B93" s="1" t="s">
        <v>3366</v>
      </c>
      <c r="C93" s="1" t="s">
        <v>3367</v>
      </c>
      <c r="D93" s="2" t="s">
        <v>2456</v>
      </c>
      <c r="E93" s="2" t="s">
        <v>2820</v>
      </c>
    </row>
    <row r="94">
      <c r="A94" s="1" t="s">
        <v>687</v>
      </c>
      <c r="B94" s="1" t="s">
        <v>3368</v>
      </c>
      <c r="C94" s="1" t="s">
        <v>3369</v>
      </c>
      <c r="D94" s="2" t="s">
        <v>3370</v>
      </c>
      <c r="E94" s="2" t="s">
        <v>3286</v>
      </c>
    </row>
    <row r="95">
      <c r="A95" s="1" t="s">
        <v>693</v>
      </c>
      <c r="B95" s="1" t="s">
        <v>3371</v>
      </c>
      <c r="C95" s="1" t="s">
        <v>3372</v>
      </c>
      <c r="D95" s="2" t="s">
        <v>2913</v>
      </c>
      <c r="E95" s="2" t="s">
        <v>3373</v>
      </c>
    </row>
    <row r="96">
      <c r="A96" s="1" t="s">
        <v>695</v>
      </c>
      <c r="B96" s="1" t="s">
        <v>3374</v>
      </c>
      <c r="C96" s="1" t="s">
        <v>3375</v>
      </c>
      <c r="D96" s="2" t="s">
        <v>3127</v>
      </c>
      <c r="E96" s="2" t="s">
        <v>1167</v>
      </c>
    </row>
    <row r="97">
      <c r="A97" s="1" t="s">
        <v>701</v>
      </c>
      <c r="B97" s="1" t="s">
        <v>3376</v>
      </c>
      <c r="C97" s="1" t="s">
        <v>3377</v>
      </c>
      <c r="D97" s="2" t="s">
        <v>3298</v>
      </c>
      <c r="E97" s="2" t="s">
        <v>3378</v>
      </c>
    </row>
    <row r="98">
      <c r="A98" s="1" t="s">
        <v>704</v>
      </c>
      <c r="C98" s="1" t="s">
        <v>3379</v>
      </c>
      <c r="D98" s="2" t="s">
        <v>3271</v>
      </c>
    </row>
    <row r="99">
      <c r="A99" s="1" t="s">
        <v>707</v>
      </c>
      <c r="B99" s="2" t="s">
        <v>3380</v>
      </c>
      <c r="C99" s="1" t="s">
        <v>3381</v>
      </c>
      <c r="D99" s="2" t="s">
        <v>3382</v>
      </c>
      <c r="E99" s="2" t="s">
        <v>3383</v>
      </c>
    </row>
    <row r="100">
      <c r="A100" s="1" t="s">
        <v>712</v>
      </c>
      <c r="C100" s="1" t="s">
        <v>3384</v>
      </c>
      <c r="D100" s="2" t="s">
        <v>3385</v>
      </c>
    </row>
    <row r="101">
      <c r="A101" s="1" t="s">
        <v>717</v>
      </c>
      <c r="B101" s="2" t="s">
        <v>3386</v>
      </c>
      <c r="C101" s="1" t="s">
        <v>3387</v>
      </c>
      <c r="D101" s="2" t="s">
        <v>3388</v>
      </c>
      <c r="E101" s="2" t="s">
        <v>2031</v>
      </c>
    </row>
    <row r="102">
      <c r="A102" s="1" t="s">
        <v>722</v>
      </c>
      <c r="B102" s="2" t="s">
        <v>3389</v>
      </c>
      <c r="C102" s="1" t="s">
        <v>3390</v>
      </c>
      <c r="D102" s="2" t="s">
        <v>3391</v>
      </c>
      <c r="E102" s="2" t="s">
        <v>3323</v>
      </c>
    </row>
    <row r="103">
      <c r="A103" s="1" t="s">
        <v>727</v>
      </c>
      <c r="B103" s="2" t="s">
        <v>3392</v>
      </c>
      <c r="C103" s="1" t="s">
        <v>3393</v>
      </c>
      <c r="D103" s="2" t="s">
        <v>3394</v>
      </c>
      <c r="E103" s="2" t="s">
        <v>2949</v>
      </c>
    </row>
    <row r="104">
      <c r="A104" s="1" t="s">
        <v>730</v>
      </c>
      <c r="B104" s="1" t="s">
        <v>3395</v>
      </c>
      <c r="C104" s="1" t="s">
        <v>3396</v>
      </c>
      <c r="D104" s="2" t="s">
        <v>1547</v>
      </c>
      <c r="E104" s="2" t="s">
        <v>2035</v>
      </c>
    </row>
    <row r="105">
      <c r="A105" s="1" t="s">
        <v>737</v>
      </c>
      <c r="B105" s="1" t="s">
        <v>3397</v>
      </c>
      <c r="C105" s="1" t="s">
        <v>3398</v>
      </c>
      <c r="D105" s="2" t="s">
        <v>475</v>
      </c>
    </row>
    <row r="106">
      <c r="A106" s="1" t="s">
        <v>741</v>
      </c>
      <c r="B106" s="1" t="s">
        <v>3399</v>
      </c>
      <c r="C106" s="1" t="s">
        <v>3400</v>
      </c>
      <c r="D106" s="2" t="s">
        <v>3401</v>
      </c>
      <c r="E106" s="2" t="s">
        <v>3049</v>
      </c>
    </row>
    <row r="107">
      <c r="A107" s="1" t="s">
        <v>744</v>
      </c>
      <c r="B107" s="1" t="s">
        <v>3402</v>
      </c>
      <c r="C107" s="1" t="s">
        <v>3403</v>
      </c>
      <c r="D107" s="2" t="s">
        <v>2820</v>
      </c>
      <c r="E107" s="2" t="s">
        <v>3404</v>
      </c>
    </row>
    <row r="108">
      <c r="A108" s="1" t="s">
        <v>749</v>
      </c>
      <c r="B108" s="1" t="s">
        <v>3405</v>
      </c>
      <c r="C108" s="1" t="s">
        <v>3406</v>
      </c>
      <c r="D108" s="2" t="s">
        <v>3407</v>
      </c>
      <c r="E108" s="2" t="s">
        <v>3408</v>
      </c>
    </row>
    <row r="109">
      <c r="A109" s="1" t="s">
        <v>751</v>
      </c>
      <c r="B109" s="2" t="s">
        <v>3409</v>
      </c>
      <c r="C109" s="1" t="s">
        <v>3410</v>
      </c>
      <c r="D109" s="2" t="s">
        <v>2478</v>
      </c>
      <c r="E109" s="2" t="s">
        <v>3206</v>
      </c>
    </row>
    <row r="110">
      <c r="A110" s="1" t="s">
        <v>756</v>
      </c>
      <c r="B110" s="1" t="s">
        <v>3411</v>
      </c>
      <c r="C110" s="1" t="s">
        <v>3412</v>
      </c>
      <c r="D110" s="2" t="s">
        <v>3413</v>
      </c>
    </row>
    <row r="111">
      <c r="A111" s="1" t="s">
        <v>762</v>
      </c>
      <c r="B111" s="1" t="s">
        <v>3414</v>
      </c>
      <c r="D111" s="2" t="s">
        <v>3415</v>
      </c>
      <c r="E111" s="2" t="s">
        <v>3416</v>
      </c>
    </row>
    <row r="112">
      <c r="A112" s="1" t="s">
        <v>766</v>
      </c>
      <c r="B112" s="2" t="s">
        <v>3417</v>
      </c>
      <c r="C112" s="1" t="s">
        <v>3418</v>
      </c>
      <c r="D112" s="2" t="s">
        <v>206</v>
      </c>
    </row>
    <row r="113">
      <c r="A113" s="1" t="s">
        <v>768</v>
      </c>
      <c r="B113" s="2" t="s">
        <v>3419</v>
      </c>
      <c r="C113" s="1" t="s">
        <v>3420</v>
      </c>
      <c r="D113" s="2" t="s">
        <v>3421</v>
      </c>
    </row>
    <row r="114">
      <c r="A114" s="1" t="s">
        <v>771</v>
      </c>
      <c r="B114" s="1" t="s">
        <v>3422</v>
      </c>
      <c r="C114" s="1" t="s">
        <v>3423</v>
      </c>
      <c r="D114" s="2" t="s">
        <v>3424</v>
      </c>
    </row>
    <row r="115">
      <c r="A115" s="1" t="s">
        <v>775</v>
      </c>
      <c r="B115" s="1" t="s">
        <v>3425</v>
      </c>
      <c r="C115" s="1" t="s">
        <v>3426</v>
      </c>
      <c r="D115" s="2" t="s">
        <v>3427</v>
      </c>
    </row>
    <row r="116">
      <c r="A116" s="1" t="s">
        <v>780</v>
      </c>
      <c r="B116" s="1" t="s">
        <v>3428</v>
      </c>
      <c r="C116" s="1" t="s">
        <v>3429</v>
      </c>
      <c r="D116" s="2" t="s">
        <v>3430</v>
      </c>
      <c r="E116" s="2" t="s">
        <v>1604</v>
      </c>
    </row>
    <row r="117">
      <c r="A117" s="1" t="s">
        <v>783</v>
      </c>
      <c r="B117" s="1" t="s">
        <v>3431</v>
      </c>
      <c r="C117" s="1" t="s">
        <v>3432</v>
      </c>
      <c r="D117" s="2" t="s">
        <v>3433</v>
      </c>
      <c r="E117" s="2" t="s">
        <v>3434</v>
      </c>
    </row>
    <row r="118">
      <c r="A118" s="1" t="s">
        <v>786</v>
      </c>
      <c r="B118" s="1" t="s">
        <v>3435</v>
      </c>
      <c r="C118" s="1" t="s">
        <v>3436</v>
      </c>
      <c r="D118" s="2" t="s">
        <v>3437</v>
      </c>
      <c r="E118" s="2" t="s">
        <v>3192</v>
      </c>
    </row>
    <row r="119">
      <c r="A119" s="1" t="s">
        <v>791</v>
      </c>
      <c r="B119" s="1" t="s">
        <v>3438</v>
      </c>
      <c r="C119" s="1" t="s">
        <v>3439</v>
      </c>
      <c r="D119" s="2" t="s">
        <v>3440</v>
      </c>
      <c r="E119" s="2" t="s">
        <v>3441</v>
      </c>
    </row>
    <row r="120">
      <c r="A120" s="1" t="s">
        <v>795</v>
      </c>
      <c r="C120" s="1" t="s">
        <v>3442</v>
      </c>
      <c r="D120" s="2" t="s">
        <v>3092</v>
      </c>
      <c r="E120" s="2" t="s">
        <v>1097</v>
      </c>
    </row>
    <row r="121">
      <c r="A121" s="1" t="s">
        <v>798</v>
      </c>
      <c r="B121" s="1" t="s">
        <v>3443</v>
      </c>
      <c r="C121" s="1" t="s">
        <v>3444</v>
      </c>
      <c r="D121" s="2" t="s">
        <v>3445</v>
      </c>
      <c r="E121" s="2" t="s">
        <v>3446</v>
      </c>
    </row>
    <row r="122">
      <c r="A122" s="1" t="s">
        <v>801</v>
      </c>
      <c r="B122" s="2" t="s">
        <v>3447</v>
      </c>
      <c r="C122" s="1" t="s">
        <v>3448</v>
      </c>
      <c r="D122" s="2" t="s">
        <v>3290</v>
      </c>
      <c r="E122" s="2" t="s">
        <v>1366</v>
      </c>
    </row>
    <row r="123">
      <c r="A123" s="1" t="s">
        <v>805</v>
      </c>
      <c r="B123" s="1" t="s">
        <v>3449</v>
      </c>
      <c r="C123" s="1" t="s">
        <v>3450</v>
      </c>
      <c r="D123" s="2" t="s">
        <v>2559</v>
      </c>
    </row>
    <row r="124">
      <c r="A124" s="1" t="s">
        <v>811</v>
      </c>
      <c r="B124" s="2" t="s">
        <v>3451</v>
      </c>
      <c r="C124" s="1" t="s">
        <v>3452</v>
      </c>
      <c r="D124" s="2" t="s">
        <v>1403</v>
      </c>
    </row>
    <row r="125">
      <c r="A125" s="1" t="s">
        <v>815</v>
      </c>
      <c r="B125" s="1" t="s">
        <v>3453</v>
      </c>
      <c r="C125" s="1" t="s">
        <v>3454</v>
      </c>
      <c r="D125" s="2" t="s">
        <v>3455</v>
      </c>
      <c r="E125" s="2" t="s">
        <v>3456</v>
      </c>
    </row>
    <row r="126">
      <c r="A126" s="1" t="s">
        <v>819</v>
      </c>
      <c r="B126" s="1" t="s">
        <v>3457</v>
      </c>
      <c r="C126" s="1" t="s">
        <v>3458</v>
      </c>
    </row>
    <row r="127">
      <c r="A127" s="1" t="s">
        <v>822</v>
      </c>
      <c r="C127" s="1" t="s">
        <v>3459</v>
      </c>
      <c r="D127" s="2" t="s">
        <v>427</v>
      </c>
      <c r="E127" s="2" t="s">
        <v>2307</v>
      </c>
    </row>
    <row r="128">
      <c r="A128" s="1" t="s">
        <v>826</v>
      </c>
      <c r="B128" s="1" t="s">
        <v>3460</v>
      </c>
      <c r="C128" s="1" t="s">
        <v>3461</v>
      </c>
      <c r="D128" s="2" t="s">
        <v>3462</v>
      </c>
    </row>
    <row r="129">
      <c r="A129" s="1" t="s">
        <v>830</v>
      </c>
      <c r="B129" s="2" t="s">
        <v>3463</v>
      </c>
      <c r="C129" s="1" t="s">
        <v>3464</v>
      </c>
      <c r="D129" s="2" t="s">
        <v>3049</v>
      </c>
      <c r="E129" s="2" t="s">
        <v>3465</v>
      </c>
    </row>
    <row r="130">
      <c r="A130" s="1" t="s">
        <v>834</v>
      </c>
      <c r="B130" s="1" t="s">
        <v>3466</v>
      </c>
      <c r="C130" s="1" t="s">
        <v>3467</v>
      </c>
      <c r="D130" s="2" t="s">
        <v>3468</v>
      </c>
    </row>
    <row r="131">
      <c r="A131" s="1" t="s">
        <v>837</v>
      </c>
      <c r="B131" s="1" t="s">
        <v>3469</v>
      </c>
      <c r="C131" s="1" t="s">
        <v>3470</v>
      </c>
    </row>
    <row r="132">
      <c r="A132" s="1" t="s">
        <v>841</v>
      </c>
      <c r="B132" s="1" t="s">
        <v>3471</v>
      </c>
      <c r="C132" s="1" t="s">
        <v>3472</v>
      </c>
      <c r="D132" s="2" t="s">
        <v>3424</v>
      </c>
      <c r="E132" s="2" t="s">
        <v>2035</v>
      </c>
    </row>
    <row r="133">
      <c r="A133" s="1" t="s">
        <v>845</v>
      </c>
      <c r="B133" s="1" t="s">
        <v>3473</v>
      </c>
      <c r="D133" s="2" t="s">
        <v>3244</v>
      </c>
      <c r="E133" s="2" t="s">
        <v>532</v>
      </c>
    </row>
    <row r="134">
      <c r="A134" s="1" t="s">
        <v>849</v>
      </c>
      <c r="C134" s="1" t="s">
        <v>3474</v>
      </c>
      <c r="D134" s="2" t="s">
        <v>3475</v>
      </c>
    </row>
    <row r="135">
      <c r="A135" s="1" t="s">
        <v>854</v>
      </c>
      <c r="B135" s="1" t="s">
        <v>3476</v>
      </c>
      <c r="C135" s="1" t="s">
        <v>3477</v>
      </c>
      <c r="D135" s="2" t="s">
        <v>3478</v>
      </c>
      <c r="E135" s="2" t="s">
        <v>1097</v>
      </c>
    </row>
    <row r="136">
      <c r="A136" s="1" t="s">
        <v>857</v>
      </c>
      <c r="B136" s="2" t="s">
        <v>3479</v>
      </c>
      <c r="C136" s="1" t="s">
        <v>3480</v>
      </c>
    </row>
    <row r="137">
      <c r="A137" s="1" t="s">
        <v>861</v>
      </c>
      <c r="B137" s="1" t="s">
        <v>3481</v>
      </c>
      <c r="C137" s="1" t="s">
        <v>3482</v>
      </c>
      <c r="D137" s="2" t="s">
        <v>3238</v>
      </c>
      <c r="E137" s="2" t="s">
        <v>3483</v>
      </c>
    </row>
    <row r="138">
      <c r="A138" s="1" t="s">
        <v>864</v>
      </c>
      <c r="B138" s="1" t="s">
        <v>3484</v>
      </c>
      <c r="C138" s="1" t="s">
        <v>3485</v>
      </c>
      <c r="D138" s="2" t="s">
        <v>3486</v>
      </c>
      <c r="E138" s="2" t="s">
        <v>2986</v>
      </c>
    </row>
    <row r="139">
      <c r="A139" s="1" t="s">
        <v>871</v>
      </c>
      <c r="B139" s="2" t="s">
        <v>3487</v>
      </c>
      <c r="C139" s="1" t="s">
        <v>3488</v>
      </c>
      <c r="D139" s="2" t="s">
        <v>1569</v>
      </c>
      <c r="E139" s="2" t="s">
        <v>2514</v>
      </c>
    </row>
    <row r="140">
      <c r="A140" s="1" t="s">
        <v>876</v>
      </c>
      <c r="B140" s="1" t="s">
        <v>3489</v>
      </c>
      <c r="C140" s="1" t="s">
        <v>3490</v>
      </c>
      <c r="D140" s="2" t="s">
        <v>3491</v>
      </c>
      <c r="E140" s="2" t="s">
        <v>3057</v>
      </c>
    </row>
    <row r="141">
      <c r="A141" s="1" t="s">
        <v>881</v>
      </c>
      <c r="B141" s="1" t="s">
        <v>3492</v>
      </c>
      <c r="C141" s="1" t="s">
        <v>3493</v>
      </c>
      <c r="D141" s="2" t="s">
        <v>3494</v>
      </c>
      <c r="E141" s="2" t="s">
        <v>3495</v>
      </c>
    </row>
    <row r="142">
      <c r="A142" s="1" t="s">
        <v>884</v>
      </c>
      <c r="B142" s="2" t="s">
        <v>3496</v>
      </c>
      <c r="C142" s="1" t="s">
        <v>3497</v>
      </c>
      <c r="D142" s="2" t="s">
        <v>3498</v>
      </c>
      <c r="E142" s="2" t="s">
        <v>3499</v>
      </c>
    </row>
    <row r="143">
      <c r="A143" s="1" t="s">
        <v>889</v>
      </c>
      <c r="B143" s="1" t="s">
        <v>3500</v>
      </c>
      <c r="C143" s="1" t="s">
        <v>3501</v>
      </c>
      <c r="D143" s="2" t="s">
        <v>3462</v>
      </c>
      <c r="E143" s="2" t="s">
        <v>2983</v>
      </c>
    </row>
    <row r="144">
      <c r="A144" s="1" t="s">
        <v>892</v>
      </c>
      <c r="B144" s="1" t="s">
        <v>3502</v>
      </c>
      <c r="C144" s="1" t="s">
        <v>3503</v>
      </c>
      <c r="D144" s="2" t="s">
        <v>465</v>
      </c>
      <c r="E144" s="2" t="s">
        <v>2169</v>
      </c>
    </row>
    <row r="145">
      <c r="A145" s="1" t="s">
        <v>897</v>
      </c>
      <c r="B145" s="1" t="s">
        <v>3504</v>
      </c>
      <c r="C145" s="1" t="s">
        <v>3505</v>
      </c>
      <c r="D145" s="2" t="s">
        <v>3121</v>
      </c>
    </row>
    <row r="146">
      <c r="A146" s="1" t="s">
        <v>901</v>
      </c>
      <c r="B146" s="1" t="s">
        <v>3506</v>
      </c>
      <c r="C146" s="1" t="s">
        <v>3507</v>
      </c>
      <c r="D146" s="2" t="s">
        <v>1378</v>
      </c>
      <c r="E146" s="2" t="s">
        <v>2820</v>
      </c>
    </row>
    <row r="147">
      <c r="A147" s="1" t="s">
        <v>906</v>
      </c>
      <c r="B147" s="1" t="s">
        <v>3508</v>
      </c>
      <c r="C147" s="1" t="s">
        <v>3509</v>
      </c>
      <c r="D147" s="2" t="s">
        <v>3510</v>
      </c>
      <c r="E147" s="2" t="s">
        <v>3511</v>
      </c>
    </row>
    <row r="148">
      <c r="A148" s="1" t="s">
        <v>910</v>
      </c>
      <c r="B148" s="1" t="s">
        <v>3512</v>
      </c>
      <c r="C148" s="1" t="s">
        <v>3513</v>
      </c>
      <c r="D148" s="2" t="s">
        <v>3514</v>
      </c>
      <c r="E148" s="2" t="s">
        <v>3173</v>
      </c>
    </row>
    <row r="149">
      <c r="A149" s="1" t="s">
        <v>915</v>
      </c>
      <c r="B149" s="1" t="s">
        <v>3515</v>
      </c>
      <c r="C149" s="1" t="s">
        <v>3516</v>
      </c>
      <c r="D149" s="2" t="s">
        <v>3416</v>
      </c>
      <c r="E149" s="2" t="s">
        <v>3416</v>
      </c>
    </row>
    <row r="150">
      <c r="A150" s="1" t="s">
        <v>919</v>
      </c>
      <c r="B150" s="1" t="s">
        <v>3517</v>
      </c>
      <c r="C150" s="1" t="s">
        <v>3518</v>
      </c>
      <c r="D150" s="2" t="s">
        <v>3519</v>
      </c>
      <c r="E150" s="2" t="s">
        <v>3309</v>
      </c>
    </row>
    <row r="151">
      <c r="A151" s="1" t="s">
        <v>922</v>
      </c>
      <c r="B151" s="1" t="s">
        <v>3520</v>
      </c>
      <c r="C151" s="1" t="s">
        <v>3521</v>
      </c>
      <c r="D151" s="2" t="s">
        <v>2841</v>
      </c>
      <c r="E151" s="2" t="s">
        <v>3514</v>
      </c>
    </row>
    <row r="152">
      <c r="A152" s="1" t="s">
        <v>924</v>
      </c>
      <c r="B152" s="1" t="s">
        <v>3522</v>
      </c>
      <c r="C152" s="1" t="s">
        <v>3523</v>
      </c>
      <c r="D152" s="2" t="s">
        <v>2832</v>
      </c>
      <c r="E152" s="2" t="s">
        <v>3524</v>
      </c>
    </row>
    <row r="153">
      <c r="A153" s="1" t="s">
        <v>928</v>
      </c>
      <c r="C153" s="1" t="s">
        <v>3525</v>
      </c>
      <c r="D153" s="2" t="s">
        <v>3205</v>
      </c>
      <c r="E153" s="2" t="s">
        <v>3206</v>
      </c>
    </row>
    <row r="154">
      <c r="A154" s="1" t="s">
        <v>931</v>
      </c>
      <c r="B154" s="2" t="s">
        <v>3526</v>
      </c>
      <c r="C154" s="1" t="s">
        <v>3527</v>
      </c>
      <c r="D154" s="2" t="s">
        <v>747</v>
      </c>
      <c r="E154" s="2" t="s">
        <v>3247</v>
      </c>
    </row>
    <row r="155">
      <c r="A155" s="1" t="s">
        <v>934</v>
      </c>
      <c r="B155" s="1" t="s">
        <v>3528</v>
      </c>
      <c r="C155" s="1" t="s">
        <v>3529</v>
      </c>
      <c r="D155" s="2" t="s">
        <v>3530</v>
      </c>
    </row>
    <row r="156">
      <c r="A156" s="1" t="s">
        <v>936</v>
      </c>
      <c r="B156" s="1" t="s">
        <v>3531</v>
      </c>
      <c r="C156" s="1" t="s">
        <v>3532</v>
      </c>
      <c r="D156" s="2" t="s">
        <v>1125</v>
      </c>
      <c r="E156" s="2" t="s">
        <v>761</v>
      </c>
    </row>
    <row r="157">
      <c r="A157" s="1" t="s">
        <v>940</v>
      </c>
      <c r="B157" s="1" t="s">
        <v>3533</v>
      </c>
      <c r="C157" s="1" t="s">
        <v>3534</v>
      </c>
      <c r="D157" s="2" t="s">
        <v>3535</v>
      </c>
    </row>
    <row r="158">
      <c r="A158" s="1" t="s">
        <v>943</v>
      </c>
      <c r="B158" s="1" t="s">
        <v>3536</v>
      </c>
      <c r="C158" s="1" t="s">
        <v>3537</v>
      </c>
      <c r="D158" s="2" t="s">
        <v>3538</v>
      </c>
    </row>
    <row r="159">
      <c r="A159" s="1" t="s">
        <v>947</v>
      </c>
      <c r="B159" s="2" t="s">
        <v>3539</v>
      </c>
      <c r="C159" s="1" t="s">
        <v>3540</v>
      </c>
      <c r="D159" s="2" t="s">
        <v>3541</v>
      </c>
      <c r="E159" s="2" t="s">
        <v>3101</v>
      </c>
    </row>
    <row r="160">
      <c r="A160" s="1" t="s">
        <v>950</v>
      </c>
      <c r="B160" s="2" t="s">
        <v>3542</v>
      </c>
      <c r="C160" s="1" t="s">
        <v>3543</v>
      </c>
      <c r="D160" s="2" t="s">
        <v>3486</v>
      </c>
    </row>
    <row r="161">
      <c r="A161" s="1" t="s">
        <v>954</v>
      </c>
      <c r="B161" s="1" t="s">
        <v>3544</v>
      </c>
      <c r="C161" s="1" t="s">
        <v>3545</v>
      </c>
      <c r="D161" s="2" t="s">
        <v>1705</v>
      </c>
      <c r="E161" s="2" t="s">
        <v>3546</v>
      </c>
    </row>
    <row r="162">
      <c r="A162" s="1" t="s">
        <v>957</v>
      </c>
      <c r="B162" s="1" t="s">
        <v>3547</v>
      </c>
      <c r="C162" s="1" t="s">
        <v>3548</v>
      </c>
      <c r="D162" s="2" t="s">
        <v>1140</v>
      </c>
    </row>
    <row r="163">
      <c r="A163" s="1" t="s">
        <v>962</v>
      </c>
      <c r="B163" s="1" t="s">
        <v>3549</v>
      </c>
      <c r="D163" s="2" t="s">
        <v>3002</v>
      </c>
      <c r="E163" s="2" t="s">
        <v>3550</v>
      </c>
    </row>
    <row r="164">
      <c r="A164" s="1" t="s">
        <v>965</v>
      </c>
      <c r="B164" s="1" t="s">
        <v>3551</v>
      </c>
      <c r="C164" s="1" t="s">
        <v>3552</v>
      </c>
      <c r="D164" s="2" t="s">
        <v>3434</v>
      </c>
      <c r="E164" s="2" t="s">
        <v>3440</v>
      </c>
    </row>
    <row r="165">
      <c r="A165" s="1" t="s">
        <v>969</v>
      </c>
      <c r="D165" s="2" t="s">
        <v>3546</v>
      </c>
    </row>
    <row r="166">
      <c r="A166" s="1" t="s">
        <v>975</v>
      </c>
      <c r="B166" s="1" t="s">
        <v>3553</v>
      </c>
      <c r="C166" s="1" t="s">
        <v>3554</v>
      </c>
      <c r="D166" s="2" t="s">
        <v>3530</v>
      </c>
      <c r="E166" s="2" t="s">
        <v>3555</v>
      </c>
    </row>
    <row r="167">
      <c r="A167" s="1" t="s">
        <v>979</v>
      </c>
      <c r="B167" s="1" t="s">
        <v>3556</v>
      </c>
      <c r="C167" s="1" t="s">
        <v>3557</v>
      </c>
      <c r="D167" s="2" t="s">
        <v>3341</v>
      </c>
    </row>
    <row r="168">
      <c r="A168" s="1" t="s">
        <v>982</v>
      </c>
      <c r="B168" s="1" t="s">
        <v>3558</v>
      </c>
      <c r="C168" s="1" t="s">
        <v>3559</v>
      </c>
      <c r="D168" s="2" t="s">
        <v>3560</v>
      </c>
      <c r="E168" s="2" t="s">
        <v>3560</v>
      </c>
    </row>
    <row r="169">
      <c r="A169" s="1" t="s">
        <v>986</v>
      </c>
      <c r="B169" s="1" t="s">
        <v>3561</v>
      </c>
      <c r="C169" s="1" t="s">
        <v>3562</v>
      </c>
      <c r="D169" s="2" t="s">
        <v>3563</v>
      </c>
    </row>
    <row r="170">
      <c r="A170" s="1" t="s">
        <v>989</v>
      </c>
      <c r="B170" s="2" t="s">
        <v>3564</v>
      </c>
      <c r="C170" s="1" t="s">
        <v>3565</v>
      </c>
      <c r="D170" s="2" t="s">
        <v>3404</v>
      </c>
      <c r="E170" s="2" t="s">
        <v>3566</v>
      </c>
    </row>
    <row r="171">
      <c r="A171" s="1" t="s">
        <v>992</v>
      </c>
      <c r="B171" s="2" t="s">
        <v>3567</v>
      </c>
      <c r="C171" s="1" t="s">
        <v>3568</v>
      </c>
      <c r="D171" s="2" t="s">
        <v>3569</v>
      </c>
    </row>
    <row r="172">
      <c r="A172" s="1" t="s">
        <v>995</v>
      </c>
      <c r="B172" s="1" t="s">
        <v>3570</v>
      </c>
      <c r="C172" s="1" t="s">
        <v>3571</v>
      </c>
      <c r="D172" s="2" t="s">
        <v>3220</v>
      </c>
    </row>
    <row r="173">
      <c r="A173" s="1" t="s">
        <v>998</v>
      </c>
      <c r="B173" s="1" t="s">
        <v>3572</v>
      </c>
      <c r="C173" s="1" t="s">
        <v>3573</v>
      </c>
      <c r="D173" s="2" t="s">
        <v>3574</v>
      </c>
    </row>
    <row r="174">
      <c r="A174" s="1" t="s">
        <v>1002</v>
      </c>
      <c r="B174" s="2" t="s">
        <v>3575</v>
      </c>
      <c r="C174" s="1" t="s">
        <v>3576</v>
      </c>
      <c r="D174" s="2" t="s">
        <v>3577</v>
      </c>
    </row>
    <row r="175">
      <c r="A175" s="1" t="s">
        <v>1003</v>
      </c>
      <c r="B175" s="1" t="s">
        <v>3578</v>
      </c>
      <c r="C175" s="1" t="s">
        <v>3579</v>
      </c>
      <c r="D175" s="2" t="s">
        <v>3580</v>
      </c>
    </row>
    <row r="176">
      <c r="A176" s="1" t="s">
        <v>1006</v>
      </c>
      <c r="B176" s="1" t="s">
        <v>3581</v>
      </c>
      <c r="C176" s="1" t="s">
        <v>3582</v>
      </c>
      <c r="D176" s="2" t="s">
        <v>3475</v>
      </c>
      <c r="E176" s="2" t="s">
        <v>781</v>
      </c>
    </row>
    <row r="177">
      <c r="A177" s="1" t="s">
        <v>1010</v>
      </c>
      <c r="B177" s="1" t="s">
        <v>3583</v>
      </c>
      <c r="C177" s="1" t="s">
        <v>3584</v>
      </c>
      <c r="D177" s="2" t="s">
        <v>3291</v>
      </c>
    </row>
    <row r="178">
      <c r="A178" s="1" t="s">
        <v>1012</v>
      </c>
      <c r="B178" s="1" t="s">
        <v>3585</v>
      </c>
      <c r="C178" s="1" t="s">
        <v>3586</v>
      </c>
      <c r="D178" s="2" t="s">
        <v>3587</v>
      </c>
      <c r="E178" s="2" t="s">
        <v>3202</v>
      </c>
    </row>
    <row r="179">
      <c r="A179" s="1" t="s">
        <v>1016</v>
      </c>
      <c r="B179" s="1" t="s">
        <v>3588</v>
      </c>
      <c r="C179" s="1" t="s">
        <v>3589</v>
      </c>
      <c r="D179" s="2" t="s">
        <v>3590</v>
      </c>
    </row>
    <row r="180">
      <c r="A180" s="1" t="s">
        <v>1019</v>
      </c>
      <c r="B180" s="1" t="s">
        <v>3591</v>
      </c>
      <c r="C180" s="1" t="s">
        <v>3592</v>
      </c>
      <c r="D180" s="2" t="s">
        <v>3546</v>
      </c>
      <c r="E180" s="2" t="s">
        <v>3593</v>
      </c>
    </row>
    <row r="181">
      <c r="A181" s="1" t="s">
        <v>1023</v>
      </c>
      <c r="B181" s="1" t="s">
        <v>3594</v>
      </c>
      <c r="C181" s="1" t="s">
        <v>3595</v>
      </c>
      <c r="D181" s="2" t="s">
        <v>2955</v>
      </c>
      <c r="E181" s="2" t="s">
        <v>3206</v>
      </c>
    </row>
    <row r="182">
      <c r="A182" s="1" t="s">
        <v>1029</v>
      </c>
      <c r="B182" s="1" t="s">
        <v>3596</v>
      </c>
      <c r="C182" s="1" t="s">
        <v>3597</v>
      </c>
      <c r="D182" s="2" t="s">
        <v>2478</v>
      </c>
      <c r="E182" s="2" t="s">
        <v>3206</v>
      </c>
    </row>
    <row r="183">
      <c r="A183" s="1" t="s">
        <v>1031</v>
      </c>
      <c r="B183" s="1" t="s">
        <v>3598</v>
      </c>
      <c r="C183" s="1" t="s">
        <v>3599</v>
      </c>
      <c r="D183" s="2" t="s">
        <v>3600</v>
      </c>
      <c r="E183" s="2" t="s">
        <v>3119</v>
      </c>
    </row>
    <row r="184">
      <c r="A184" s="1" t="s">
        <v>1034</v>
      </c>
      <c r="B184" s="1" t="s">
        <v>3601</v>
      </c>
      <c r="C184" s="1" t="s">
        <v>3602</v>
      </c>
      <c r="D184" s="2" t="s">
        <v>3550</v>
      </c>
      <c r="E184" s="2" t="s">
        <v>3603</v>
      </c>
    </row>
    <row r="185">
      <c r="A185" s="1" t="s">
        <v>1038</v>
      </c>
      <c r="B185" s="1" t="s">
        <v>3604</v>
      </c>
      <c r="C185" s="1" t="s">
        <v>3605</v>
      </c>
      <c r="D185" s="2" t="s">
        <v>3606</v>
      </c>
      <c r="E185" s="2" t="s">
        <v>3607</v>
      </c>
    </row>
    <row r="186">
      <c r="A186" s="1" t="s">
        <v>1043</v>
      </c>
      <c r="B186" s="1" t="s">
        <v>3608</v>
      </c>
      <c r="C186" s="1" t="s">
        <v>3609</v>
      </c>
      <c r="D186" s="2" t="s">
        <v>3139</v>
      </c>
      <c r="E186" s="2" t="s">
        <v>3202</v>
      </c>
    </row>
    <row r="187">
      <c r="A187" s="1" t="s">
        <v>1047</v>
      </c>
      <c r="B187" s="1" t="s">
        <v>3610</v>
      </c>
      <c r="C187" s="1" t="s">
        <v>3611</v>
      </c>
    </row>
    <row r="188">
      <c r="A188" s="1" t="s">
        <v>1051</v>
      </c>
      <c r="B188" s="1" t="s">
        <v>3612</v>
      </c>
      <c r="C188" s="1" t="s">
        <v>3613</v>
      </c>
      <c r="D188" s="2" t="s">
        <v>3614</v>
      </c>
      <c r="E188" s="2" t="s">
        <v>2701</v>
      </c>
    </row>
    <row r="189">
      <c r="A189" s="1" t="s">
        <v>1054</v>
      </c>
      <c r="B189" s="2" t="s">
        <v>3615</v>
      </c>
      <c r="C189" s="1" t="s">
        <v>3616</v>
      </c>
      <c r="D189" s="2" t="s">
        <v>3617</v>
      </c>
    </row>
    <row r="190">
      <c r="A190" s="1" t="s">
        <v>1056</v>
      </c>
      <c r="C190" s="1" t="s">
        <v>3618</v>
      </c>
      <c r="D190" s="2" t="s">
        <v>1462</v>
      </c>
    </row>
    <row r="191">
      <c r="A191" s="1" t="s">
        <v>1059</v>
      </c>
      <c r="B191" s="1" t="s">
        <v>3619</v>
      </c>
      <c r="C191" s="1" t="s">
        <v>3620</v>
      </c>
      <c r="D191" s="2" t="s">
        <v>1768</v>
      </c>
      <c r="E191" s="2" t="s">
        <v>1658</v>
      </c>
    </row>
    <row r="192">
      <c r="A192" s="1" t="s">
        <v>1063</v>
      </c>
      <c r="B192" s="2" t="s">
        <v>3621</v>
      </c>
      <c r="D192" s="2" t="s">
        <v>3622</v>
      </c>
      <c r="E192" s="2" t="s">
        <v>3623</v>
      </c>
    </row>
    <row r="193">
      <c r="A193" s="1" t="s">
        <v>1066</v>
      </c>
      <c r="B193" s="1" t="s">
        <v>3624</v>
      </c>
      <c r="C193" s="1" t="s">
        <v>3625</v>
      </c>
      <c r="D193" s="2" t="s">
        <v>3577</v>
      </c>
      <c r="E193" s="2" t="s">
        <v>3626</v>
      </c>
    </row>
    <row r="194">
      <c r="A194" s="1" t="s">
        <v>1068</v>
      </c>
      <c r="B194" s="1" t="s">
        <v>3627</v>
      </c>
      <c r="C194" s="1" t="s">
        <v>3628</v>
      </c>
      <c r="D194" s="2" t="s">
        <v>3223</v>
      </c>
      <c r="E194" s="2" t="s">
        <v>3121</v>
      </c>
    </row>
    <row r="195">
      <c r="A195" s="1" t="s">
        <v>1072</v>
      </c>
      <c r="B195" s="1" t="s">
        <v>3629</v>
      </c>
      <c r="C195" s="1" t="s">
        <v>3630</v>
      </c>
      <c r="D195" s="2" t="s">
        <v>3631</v>
      </c>
    </row>
    <row r="196">
      <c r="A196" s="1" t="s">
        <v>1076</v>
      </c>
      <c r="B196" s="1" t="s">
        <v>3632</v>
      </c>
      <c r="C196" s="1" t="s">
        <v>3633</v>
      </c>
      <c r="D196" s="2" t="s">
        <v>3014</v>
      </c>
      <c r="E196" s="2" t="s">
        <v>3044</v>
      </c>
    </row>
    <row r="197">
      <c r="A197" s="1" t="s">
        <v>1080</v>
      </c>
      <c r="B197" s="1" t="s">
        <v>3634</v>
      </c>
      <c r="C197" s="1" t="s">
        <v>3635</v>
      </c>
      <c r="D197" s="2" t="s">
        <v>3388</v>
      </c>
      <c r="E197" s="2" t="s">
        <v>2031</v>
      </c>
    </row>
    <row r="198">
      <c r="A198" s="1" t="s">
        <v>1084</v>
      </c>
      <c r="B198" s="2" t="s">
        <v>3636</v>
      </c>
      <c r="C198" s="1" t="s">
        <v>3637</v>
      </c>
      <c r="D198" s="2" t="s">
        <v>3535</v>
      </c>
    </row>
    <row r="199">
      <c r="A199" s="1" t="s">
        <v>1087</v>
      </c>
      <c r="B199" s="1" t="s">
        <v>3638</v>
      </c>
      <c r="C199" s="1" t="s">
        <v>3639</v>
      </c>
    </row>
    <row r="200">
      <c r="A200" s="1" t="s">
        <v>1090</v>
      </c>
      <c r="C200" s="1" t="s">
        <v>3640</v>
      </c>
      <c r="D200" s="2" t="s">
        <v>2873</v>
      </c>
      <c r="E200" s="2" t="s">
        <v>1140</v>
      </c>
    </row>
    <row r="201">
      <c r="A201" s="1" t="s">
        <v>1095</v>
      </c>
      <c r="B201" s="1" t="s">
        <v>3641</v>
      </c>
      <c r="C201" s="1" t="s">
        <v>3642</v>
      </c>
      <c r="D201" s="2" t="s">
        <v>3643</v>
      </c>
      <c r="E201" s="2" t="s">
        <v>3644</v>
      </c>
    </row>
    <row r="202">
      <c r="A202" s="1" t="s">
        <v>1099</v>
      </c>
      <c r="B202" s="1" t="s">
        <v>3645</v>
      </c>
      <c r="C202" s="1" t="s">
        <v>3646</v>
      </c>
      <c r="D202" s="2" t="s">
        <v>3320</v>
      </c>
      <c r="E202" s="2" t="s">
        <v>3382</v>
      </c>
    </row>
    <row r="203">
      <c r="A203" s="1" t="s">
        <v>1102</v>
      </c>
      <c r="B203" s="1" t="s">
        <v>3647</v>
      </c>
      <c r="C203" s="1" t="s">
        <v>3648</v>
      </c>
      <c r="D203" s="2" t="s">
        <v>3649</v>
      </c>
    </row>
    <row r="204">
      <c r="A204" s="1" t="s">
        <v>1104</v>
      </c>
      <c r="B204" s="2" t="s">
        <v>3650</v>
      </c>
      <c r="C204" s="1" t="s">
        <v>3651</v>
      </c>
      <c r="D204" s="2" t="s">
        <v>3252</v>
      </c>
    </row>
    <row r="205">
      <c r="A205" s="1" t="s">
        <v>1108</v>
      </c>
      <c r="B205" s="1" t="s">
        <v>3652</v>
      </c>
      <c r="C205" s="1" t="s">
        <v>3653</v>
      </c>
      <c r="D205" s="2" t="s">
        <v>1789</v>
      </c>
      <c r="E205" s="2" t="s">
        <v>3654</v>
      </c>
    </row>
    <row r="206">
      <c r="A206" s="1" t="s">
        <v>1111</v>
      </c>
      <c r="B206" s="2" t="s">
        <v>3655</v>
      </c>
      <c r="C206" s="1" t="s">
        <v>3656</v>
      </c>
      <c r="D206" s="2" t="s">
        <v>1390</v>
      </c>
      <c r="E206" s="2" t="s">
        <v>3657</v>
      </c>
    </row>
    <row r="207">
      <c r="A207" s="1" t="s">
        <v>1114</v>
      </c>
      <c r="C207" s="1" t="s">
        <v>3658</v>
      </c>
      <c r="D207" s="2" t="s">
        <v>3021</v>
      </c>
      <c r="E207" s="2" t="s">
        <v>3491</v>
      </c>
    </row>
    <row r="208">
      <c r="A208" s="1" t="s">
        <v>1118</v>
      </c>
      <c r="B208" s="1" t="s">
        <v>3659</v>
      </c>
      <c r="C208" s="1" t="s">
        <v>3660</v>
      </c>
      <c r="D208" s="2" t="s">
        <v>3176</v>
      </c>
      <c r="E208" s="2" t="s">
        <v>3176</v>
      </c>
    </row>
    <row r="209">
      <c r="A209" s="1" t="s">
        <v>1121</v>
      </c>
      <c r="B209" s="1" t="s">
        <v>3661</v>
      </c>
      <c r="C209" s="1" t="s">
        <v>3662</v>
      </c>
      <c r="D209" s="2" t="s">
        <v>2790</v>
      </c>
    </row>
    <row r="210">
      <c r="A210" s="1" t="s">
        <v>1123</v>
      </c>
      <c r="B210" s="1" t="s">
        <v>3663</v>
      </c>
      <c r="C210" s="1" t="s">
        <v>3664</v>
      </c>
      <c r="D210" s="2" t="s">
        <v>3665</v>
      </c>
      <c r="E210" s="2" t="s">
        <v>3666</v>
      </c>
    </row>
    <row r="211">
      <c r="A211" s="1" t="s">
        <v>1127</v>
      </c>
      <c r="B211" s="1" t="s">
        <v>3667</v>
      </c>
      <c r="C211" s="1" t="s">
        <v>3668</v>
      </c>
      <c r="D211" s="2" t="s">
        <v>3413</v>
      </c>
      <c r="E211" s="2" t="s">
        <v>3669</v>
      </c>
    </row>
    <row r="212">
      <c r="A212" s="1" t="s">
        <v>1129</v>
      </c>
      <c r="B212" s="1" t="s">
        <v>3670</v>
      </c>
      <c r="C212" s="1" t="s">
        <v>3671</v>
      </c>
      <c r="D212" s="2" t="s">
        <v>3535</v>
      </c>
    </row>
    <row r="213">
      <c r="A213" s="1" t="s">
        <v>1132</v>
      </c>
      <c r="B213" s="2" t="s">
        <v>3672</v>
      </c>
      <c r="C213" s="1" t="s">
        <v>3673</v>
      </c>
      <c r="D213" s="2" t="s">
        <v>3674</v>
      </c>
    </row>
    <row r="214">
      <c r="A214" s="1" t="s">
        <v>1135</v>
      </c>
      <c r="B214" s="2" t="s">
        <v>3675</v>
      </c>
      <c r="C214" s="1" t="s">
        <v>3676</v>
      </c>
      <c r="D214" s="2" t="s">
        <v>2270</v>
      </c>
      <c r="E214" s="2" t="s">
        <v>3677</v>
      </c>
    </row>
    <row r="215">
      <c r="A215" s="1" t="s">
        <v>1138</v>
      </c>
      <c r="B215" s="1" t="s">
        <v>3678</v>
      </c>
      <c r="C215" s="1" t="s">
        <v>3210</v>
      </c>
      <c r="D215" s="2" t="s">
        <v>3622</v>
      </c>
      <c r="E215" s="2" t="s">
        <v>3569</v>
      </c>
    </row>
    <row r="216">
      <c r="A216" s="1" t="s">
        <v>1142</v>
      </c>
      <c r="B216" s="1" t="s">
        <v>3679</v>
      </c>
      <c r="C216" s="1" t="s">
        <v>3680</v>
      </c>
      <c r="D216" s="2" t="s">
        <v>2270</v>
      </c>
      <c r="E216" s="2" t="s">
        <v>3681</v>
      </c>
    </row>
    <row r="217">
      <c r="A217" s="1" t="s">
        <v>1145</v>
      </c>
      <c r="B217" s="1" t="s">
        <v>3682</v>
      </c>
      <c r="C217" s="1" t="s">
        <v>3683</v>
      </c>
    </row>
    <row r="218">
      <c r="A218" s="1" t="s">
        <v>1148</v>
      </c>
      <c r="B218" s="1" t="s">
        <v>3684</v>
      </c>
      <c r="C218" s="1" t="s">
        <v>3685</v>
      </c>
      <c r="D218" s="2" t="s">
        <v>3530</v>
      </c>
      <c r="E218" s="2" t="s">
        <v>3530</v>
      </c>
    </row>
    <row r="219">
      <c r="A219" s="1" t="s">
        <v>1152</v>
      </c>
      <c r="B219" s="1" t="s">
        <v>3686</v>
      </c>
      <c r="C219" s="1" t="s">
        <v>3687</v>
      </c>
      <c r="D219" s="2" t="s">
        <v>3681</v>
      </c>
    </row>
    <row r="220">
      <c r="A220" s="1" t="s">
        <v>1155</v>
      </c>
      <c r="B220" s="1" t="s">
        <v>3688</v>
      </c>
      <c r="C220" s="1" t="s">
        <v>3689</v>
      </c>
      <c r="D220" s="2" t="s">
        <v>3690</v>
      </c>
      <c r="E220" s="2" t="s">
        <v>3519</v>
      </c>
    </row>
    <row r="221">
      <c r="A221" s="1" t="s">
        <v>1158</v>
      </c>
      <c r="B221" s="1" t="s">
        <v>3691</v>
      </c>
      <c r="C221" s="1" t="s">
        <v>3692</v>
      </c>
      <c r="D221" s="2" t="s">
        <v>2873</v>
      </c>
      <c r="E221" s="2" t="s">
        <v>3693</v>
      </c>
    </row>
    <row r="222">
      <c r="A222" s="1" t="s">
        <v>1163</v>
      </c>
      <c r="B222" s="1" t="s">
        <v>3694</v>
      </c>
      <c r="C222" s="1" t="s">
        <v>3695</v>
      </c>
      <c r="D222" s="2" t="s">
        <v>378</v>
      </c>
      <c r="E222" s="2" t="s">
        <v>3303</v>
      </c>
    </row>
    <row r="223">
      <c r="A223" s="1" t="s">
        <v>1165</v>
      </c>
      <c r="B223" s="1" t="s">
        <v>3696</v>
      </c>
      <c r="C223" s="1" t="s">
        <v>3697</v>
      </c>
      <c r="D223" s="2" t="s">
        <v>747</v>
      </c>
    </row>
    <row r="224">
      <c r="A224" s="1" t="s">
        <v>1169</v>
      </c>
      <c r="C224" s="1" t="s">
        <v>3698</v>
      </c>
      <c r="D224" s="2" t="s">
        <v>2068</v>
      </c>
      <c r="E224" s="2" t="s">
        <v>2863</v>
      </c>
    </row>
    <row r="225">
      <c r="A225" s="1" t="s">
        <v>1173</v>
      </c>
      <c r="B225" s="2" t="s">
        <v>3699</v>
      </c>
      <c r="C225" s="1" t="s">
        <v>3700</v>
      </c>
      <c r="D225" s="2" t="s">
        <v>3701</v>
      </c>
    </row>
    <row r="226">
      <c r="A226" s="1" t="s">
        <v>1175</v>
      </c>
      <c r="B226" s="2" t="s">
        <v>3702</v>
      </c>
      <c r="C226" s="1" t="s">
        <v>3703</v>
      </c>
      <c r="D226" s="2" t="s">
        <v>60</v>
      </c>
    </row>
    <row r="227">
      <c r="A227" s="1" t="s">
        <v>1179</v>
      </c>
      <c r="B227" s="1" t="s">
        <v>3704</v>
      </c>
      <c r="C227" s="1" t="s">
        <v>3705</v>
      </c>
      <c r="D227" s="2" t="s">
        <v>3706</v>
      </c>
      <c r="E227" s="2" t="s">
        <v>3707</v>
      </c>
    </row>
    <row r="228">
      <c r="A228" s="1" t="s">
        <v>1182</v>
      </c>
      <c r="B228" s="1" t="s">
        <v>3708</v>
      </c>
      <c r="C228" s="1" t="s">
        <v>3709</v>
      </c>
      <c r="D228" s="2" t="s">
        <v>3710</v>
      </c>
      <c r="E228" s="2" t="s">
        <v>1666</v>
      </c>
    </row>
    <row r="229">
      <c r="A229" s="1" t="s">
        <v>1185</v>
      </c>
      <c r="B229" s="1" t="s">
        <v>3711</v>
      </c>
      <c r="C229" s="1" t="s">
        <v>3712</v>
      </c>
      <c r="D229" s="2" t="s">
        <v>3430</v>
      </c>
    </row>
    <row r="230">
      <c r="A230" s="1" t="s">
        <v>1191</v>
      </c>
      <c r="B230" s="1" t="s">
        <v>3713</v>
      </c>
      <c r="C230" s="1" t="s">
        <v>3714</v>
      </c>
      <c r="D230" s="2" t="s">
        <v>3715</v>
      </c>
      <c r="E230" s="2" t="s">
        <v>3716</v>
      </c>
    </row>
    <row r="231">
      <c r="A231" s="1" t="s">
        <v>1193</v>
      </c>
      <c r="B231" s="1" t="s">
        <v>3717</v>
      </c>
      <c r="C231" s="1" t="s">
        <v>3718</v>
      </c>
      <c r="D231" s="2" t="s">
        <v>3394</v>
      </c>
      <c r="E231" s="2" t="s">
        <v>1319</v>
      </c>
    </row>
    <row r="232">
      <c r="A232" s="1" t="s">
        <v>1196</v>
      </c>
      <c r="B232" s="1" t="s">
        <v>3719</v>
      </c>
      <c r="C232" s="1" t="s">
        <v>3720</v>
      </c>
      <c r="D232" s="2" t="s">
        <v>3721</v>
      </c>
      <c r="E232" s="2" t="s">
        <v>3424</v>
      </c>
    </row>
    <row r="233">
      <c r="A233" s="1" t="s">
        <v>1198</v>
      </c>
      <c r="B233" s="2" t="s">
        <v>3722</v>
      </c>
      <c r="C233" s="1" t="s">
        <v>3723</v>
      </c>
      <c r="D233" s="2" t="s">
        <v>3724</v>
      </c>
      <c r="E233" s="2" t="s">
        <v>3265</v>
      </c>
    </row>
    <row r="234">
      <c r="A234" s="1" t="s">
        <v>1201</v>
      </c>
      <c r="B234" s="1" t="s">
        <v>3725</v>
      </c>
      <c r="C234" s="1" t="s">
        <v>3726</v>
      </c>
      <c r="D234" s="2" t="s">
        <v>3727</v>
      </c>
    </row>
    <row r="235">
      <c r="A235" s="1" t="s">
        <v>1204</v>
      </c>
      <c r="B235" s="2" t="s">
        <v>3728</v>
      </c>
      <c r="C235" s="1" t="s">
        <v>3729</v>
      </c>
      <c r="D235" s="2" t="s">
        <v>3546</v>
      </c>
      <c r="E235" s="2" t="s">
        <v>1462</v>
      </c>
    </row>
    <row r="236">
      <c r="A236" s="1" t="s">
        <v>1206</v>
      </c>
      <c r="B236" s="1" t="s">
        <v>3730</v>
      </c>
      <c r="C236" s="1" t="s">
        <v>3731</v>
      </c>
      <c r="D236" s="2" t="s">
        <v>2580</v>
      </c>
      <c r="E236" s="2" t="s">
        <v>3430</v>
      </c>
    </row>
    <row r="237">
      <c r="A237" s="1" t="s">
        <v>1210</v>
      </c>
      <c r="B237" s="1" t="s">
        <v>3732</v>
      </c>
      <c r="C237" s="1" t="s">
        <v>3733</v>
      </c>
      <c r="D237" s="2" t="s">
        <v>3707</v>
      </c>
    </row>
    <row r="238">
      <c r="A238" s="1" t="s">
        <v>1213</v>
      </c>
      <c r="B238" s="1" t="s">
        <v>3734</v>
      </c>
      <c r="C238" s="1" t="s">
        <v>3735</v>
      </c>
      <c r="D238" s="2" t="s">
        <v>2895</v>
      </c>
      <c r="E238" s="2" t="s">
        <v>1366</v>
      </c>
    </row>
    <row r="239">
      <c r="A239" s="1" t="s">
        <v>1215</v>
      </c>
      <c r="B239" s="1" t="s">
        <v>3736</v>
      </c>
      <c r="C239" s="1" t="s">
        <v>3737</v>
      </c>
      <c r="D239" s="2" t="s">
        <v>3738</v>
      </c>
      <c r="E239" s="2" t="s">
        <v>3693</v>
      </c>
    </row>
    <row r="240">
      <c r="A240" s="1" t="s">
        <v>1218</v>
      </c>
      <c r="B240" s="2" t="s">
        <v>3739</v>
      </c>
      <c r="C240" s="1" t="s">
        <v>3740</v>
      </c>
      <c r="D240" s="2" t="s">
        <v>3560</v>
      </c>
      <c r="E240" s="2" t="s">
        <v>3600</v>
      </c>
    </row>
    <row r="241">
      <c r="A241" s="1" t="s">
        <v>1221</v>
      </c>
      <c r="B241" s="1" t="s">
        <v>3741</v>
      </c>
      <c r="C241" s="1" t="s">
        <v>3742</v>
      </c>
      <c r="D241" s="2" t="s">
        <v>3743</v>
      </c>
      <c r="E241" s="2" t="s">
        <v>3744</v>
      </c>
    </row>
    <row r="242">
      <c r="A242" s="1" t="s">
        <v>1224</v>
      </c>
      <c r="B242" s="2" t="s">
        <v>3745</v>
      </c>
      <c r="C242" s="1" t="s">
        <v>3746</v>
      </c>
      <c r="D242" s="2" t="s">
        <v>1485</v>
      </c>
      <c r="E242" s="2" t="s">
        <v>1222</v>
      </c>
    </row>
    <row r="243">
      <c r="A243" s="1" t="s">
        <v>1227</v>
      </c>
      <c r="B243" s="1" t="s">
        <v>3747</v>
      </c>
      <c r="C243" s="1" t="s">
        <v>3748</v>
      </c>
      <c r="D243" s="2" t="s">
        <v>3185</v>
      </c>
    </row>
    <row r="244">
      <c r="A244" s="1" t="s">
        <v>1229</v>
      </c>
      <c r="C244" s="1" t="s">
        <v>3749</v>
      </c>
      <c r="D244" s="2" t="s">
        <v>3750</v>
      </c>
      <c r="E244" s="2" t="s">
        <v>60</v>
      </c>
    </row>
    <row r="245">
      <c r="A245" s="1" t="s">
        <v>1230</v>
      </c>
      <c r="B245" s="1" t="s">
        <v>3751</v>
      </c>
      <c r="C245" s="1" t="s">
        <v>3752</v>
      </c>
      <c r="D245" s="2" t="s">
        <v>2068</v>
      </c>
      <c r="E245" s="2" t="s">
        <v>3753</v>
      </c>
    </row>
    <row r="246">
      <c r="A246" s="1" t="s">
        <v>1234</v>
      </c>
      <c r="B246" s="2" t="s">
        <v>3754</v>
      </c>
      <c r="C246" s="1" t="s">
        <v>3755</v>
      </c>
      <c r="D246" s="2" t="s">
        <v>39</v>
      </c>
      <c r="E246" s="2" t="s">
        <v>3756</v>
      </c>
    </row>
    <row r="247">
      <c r="A247" s="1" t="s">
        <v>1236</v>
      </c>
      <c r="B247" s="1" t="s">
        <v>3757</v>
      </c>
      <c r="C247" s="1" t="s">
        <v>3758</v>
      </c>
      <c r="D247" s="2" t="s">
        <v>60</v>
      </c>
    </row>
    <row r="248">
      <c r="A248" s="1" t="s">
        <v>1241</v>
      </c>
      <c r="B248" s="1" t="s">
        <v>3759</v>
      </c>
      <c r="C248" s="1" t="s">
        <v>3760</v>
      </c>
      <c r="D248" s="2" t="s">
        <v>3761</v>
      </c>
      <c r="E248" s="2" t="s">
        <v>3762</v>
      </c>
    </row>
    <row r="249">
      <c r="A249" s="1" t="s">
        <v>1245</v>
      </c>
      <c r="B249" s="1" t="s">
        <v>3763</v>
      </c>
      <c r="C249" s="1" t="s">
        <v>3764</v>
      </c>
      <c r="D249" s="2" t="s">
        <v>3765</v>
      </c>
      <c r="E249" s="2" t="s">
        <v>400</v>
      </c>
    </row>
    <row r="250">
      <c r="A250" s="1" t="s">
        <v>1248</v>
      </c>
      <c r="B250" s="2" t="s">
        <v>3766</v>
      </c>
      <c r="C250" s="1" t="s">
        <v>3767</v>
      </c>
      <c r="D250" s="2" t="s">
        <v>3701</v>
      </c>
    </row>
    <row r="251">
      <c r="A251" s="1" t="s">
        <v>1251</v>
      </c>
      <c r="B251" s="1" t="s">
        <v>3768</v>
      </c>
      <c r="C251" s="1" t="s">
        <v>3769</v>
      </c>
      <c r="D251" s="2" t="s">
        <v>3649</v>
      </c>
      <c r="E251" s="2" t="s">
        <v>3119</v>
      </c>
    </row>
    <row r="252">
      <c r="A252" s="1" t="s">
        <v>1255</v>
      </c>
      <c r="B252" s="1" t="s">
        <v>3770</v>
      </c>
      <c r="C252" s="1" t="s">
        <v>3771</v>
      </c>
      <c r="D252" s="2" t="s">
        <v>3772</v>
      </c>
      <c r="E252" s="2" t="s">
        <v>2169</v>
      </c>
    </row>
    <row r="253">
      <c r="A253" s="1" t="s">
        <v>1258</v>
      </c>
      <c r="B253" s="1" t="s">
        <v>3773</v>
      </c>
      <c r="C253" s="1" t="s">
        <v>3774</v>
      </c>
      <c r="D253" s="2" t="s">
        <v>3775</v>
      </c>
      <c r="E253" s="2" t="s">
        <v>532</v>
      </c>
    </row>
    <row r="254">
      <c r="A254" s="1" t="s">
        <v>1261</v>
      </c>
      <c r="B254" s="1" t="s">
        <v>3776</v>
      </c>
      <c r="C254" s="1" t="s">
        <v>3777</v>
      </c>
      <c r="D254" s="2" t="s">
        <v>3017</v>
      </c>
      <c r="E254" s="2" t="s">
        <v>3391</v>
      </c>
    </row>
    <row r="255">
      <c r="A255" s="1" t="s">
        <v>1263</v>
      </c>
      <c r="B255" s="1" t="s">
        <v>3778</v>
      </c>
      <c r="C255" s="1" t="s">
        <v>3779</v>
      </c>
      <c r="D255" s="2" t="s">
        <v>3780</v>
      </c>
    </row>
    <row r="256">
      <c r="A256" s="1" t="s">
        <v>1266</v>
      </c>
      <c r="B256" s="1" t="s">
        <v>3781</v>
      </c>
      <c r="C256" s="1" t="s">
        <v>3782</v>
      </c>
      <c r="D256" s="2" t="s">
        <v>3626</v>
      </c>
    </row>
    <row r="257">
      <c r="A257" s="1" t="s">
        <v>1271</v>
      </c>
      <c r="B257" s="2" t="s">
        <v>3783</v>
      </c>
      <c r="C257" s="1" t="s">
        <v>3784</v>
      </c>
      <c r="D257" s="2" t="s">
        <v>3577</v>
      </c>
    </row>
    <row r="258">
      <c r="A258" s="1" t="s">
        <v>1274</v>
      </c>
      <c r="B258" s="1" t="s">
        <v>3785</v>
      </c>
      <c r="C258" s="1" t="s">
        <v>3786</v>
      </c>
      <c r="D258" s="2" t="s">
        <v>3143</v>
      </c>
      <c r="E258" s="2" t="s">
        <v>3143</v>
      </c>
    </row>
    <row r="259">
      <c r="A259" s="1" t="s">
        <v>1279</v>
      </c>
      <c r="B259" s="2" t="s">
        <v>3787</v>
      </c>
      <c r="D259" s="2" t="s">
        <v>3160</v>
      </c>
    </row>
    <row r="260">
      <c r="A260" s="1" t="s">
        <v>1282</v>
      </c>
      <c r="B260" s="2" t="s">
        <v>3788</v>
      </c>
      <c r="C260" s="1" t="s">
        <v>3789</v>
      </c>
      <c r="D260" s="2" t="s">
        <v>3177</v>
      </c>
      <c r="E260" s="2" t="s">
        <v>1849</v>
      </c>
    </row>
    <row r="261">
      <c r="A261" s="1" t="s">
        <v>1286</v>
      </c>
      <c r="B261" s="1" t="s">
        <v>3790</v>
      </c>
      <c r="C261" s="1" t="s">
        <v>3791</v>
      </c>
      <c r="D261" s="2" t="s">
        <v>3462</v>
      </c>
      <c r="E261" s="2" t="s">
        <v>2343</v>
      </c>
    </row>
    <row r="262">
      <c r="A262" s="1" t="s">
        <v>1289</v>
      </c>
      <c r="B262" s="1" t="s">
        <v>3792</v>
      </c>
      <c r="C262" s="1" t="s">
        <v>3793</v>
      </c>
      <c r="D262" s="2" t="s">
        <v>3794</v>
      </c>
      <c r="E262" s="2" t="s">
        <v>3794</v>
      </c>
    </row>
    <row r="263">
      <c r="A263" s="1" t="s">
        <v>1293</v>
      </c>
      <c r="B263" s="1" t="s">
        <v>3795</v>
      </c>
      <c r="C263" s="1" t="s">
        <v>3796</v>
      </c>
      <c r="D263" s="2" t="s">
        <v>3309</v>
      </c>
      <c r="E263" s="2" t="s">
        <v>3309</v>
      </c>
    </row>
    <row r="264">
      <c r="A264" s="1" t="s">
        <v>1296</v>
      </c>
      <c r="B264" s="1" t="s">
        <v>3797</v>
      </c>
      <c r="C264" s="1" t="s">
        <v>3798</v>
      </c>
      <c r="D264" s="2" t="s">
        <v>3394</v>
      </c>
    </row>
    <row r="265">
      <c r="A265" s="1" t="s">
        <v>1299</v>
      </c>
      <c r="B265" s="1" t="s">
        <v>3799</v>
      </c>
      <c r="C265" s="1" t="s">
        <v>3800</v>
      </c>
      <c r="D265" s="2" t="s">
        <v>3323</v>
      </c>
      <c r="E265" s="2" t="s">
        <v>498</v>
      </c>
    </row>
    <row r="266">
      <c r="A266" s="1" t="s">
        <v>1302</v>
      </c>
      <c r="B266" s="1" t="s">
        <v>3801</v>
      </c>
      <c r="C266" s="1" t="s">
        <v>3802</v>
      </c>
      <c r="D266" s="2" t="s">
        <v>724</v>
      </c>
      <c r="E266" s="2" t="s">
        <v>465</v>
      </c>
    </row>
    <row r="267">
      <c r="A267" s="1" t="s">
        <v>1305</v>
      </c>
      <c r="B267" s="1" t="s">
        <v>3803</v>
      </c>
      <c r="C267" s="1" t="s">
        <v>3804</v>
      </c>
      <c r="D267" s="2" t="s">
        <v>3762</v>
      </c>
    </row>
    <row r="268">
      <c r="A268" s="1" t="s">
        <v>1309</v>
      </c>
      <c r="B268" s="1" t="s">
        <v>3805</v>
      </c>
      <c r="C268" s="1" t="s">
        <v>3806</v>
      </c>
      <c r="D268" s="2" t="s">
        <v>3383</v>
      </c>
      <c r="E268" s="2" t="s">
        <v>3206</v>
      </c>
    </row>
    <row r="269">
      <c r="A269" s="1" t="s">
        <v>1311</v>
      </c>
      <c r="B269" s="1" t="s">
        <v>3807</v>
      </c>
      <c r="C269" s="1" t="s">
        <v>3808</v>
      </c>
      <c r="D269" s="2" t="s">
        <v>3021</v>
      </c>
      <c r="E269" s="2" t="s">
        <v>3809</v>
      </c>
    </row>
    <row r="270">
      <c r="A270" s="1" t="s">
        <v>1314</v>
      </c>
      <c r="B270" s="1" t="s">
        <v>3810</v>
      </c>
      <c r="C270" s="1" t="s">
        <v>3811</v>
      </c>
      <c r="D270" s="2" t="s">
        <v>2456</v>
      </c>
    </row>
    <row r="271">
      <c r="A271" s="1" t="s">
        <v>1317</v>
      </c>
      <c r="B271" s="1" t="s">
        <v>3812</v>
      </c>
      <c r="C271" s="1" t="s">
        <v>3813</v>
      </c>
      <c r="D271" s="2" t="s">
        <v>552</v>
      </c>
    </row>
    <row r="272">
      <c r="A272" s="1" t="s">
        <v>1321</v>
      </c>
      <c r="B272" s="1" t="s">
        <v>3814</v>
      </c>
      <c r="C272" s="1" t="s">
        <v>3815</v>
      </c>
    </row>
    <row r="273">
      <c r="A273" s="1" t="s">
        <v>1324</v>
      </c>
      <c r="B273" s="1" t="s">
        <v>3816</v>
      </c>
      <c r="C273" s="1" t="s">
        <v>3817</v>
      </c>
      <c r="D273" s="2" t="s">
        <v>3690</v>
      </c>
    </row>
    <row r="274">
      <c r="A274" s="1" t="s">
        <v>1328</v>
      </c>
      <c r="B274" s="1" t="s">
        <v>3818</v>
      </c>
      <c r="C274" s="1" t="s">
        <v>3819</v>
      </c>
      <c r="D274" s="2" t="s">
        <v>3643</v>
      </c>
      <c r="E274" s="2" t="s">
        <v>3820</v>
      </c>
    </row>
    <row r="275">
      <c r="A275" s="1" t="s">
        <v>1332</v>
      </c>
      <c r="C275" s="1" t="s">
        <v>3821</v>
      </c>
      <c r="D275" s="2" t="s">
        <v>1140</v>
      </c>
      <c r="E275" s="2" t="s">
        <v>3478</v>
      </c>
    </row>
    <row r="276">
      <c r="A276" s="1" t="s">
        <v>1336</v>
      </c>
      <c r="B276" s="2" t="s">
        <v>3822</v>
      </c>
      <c r="C276" s="1" t="s">
        <v>3823</v>
      </c>
      <c r="D276" s="2" t="s">
        <v>2894</v>
      </c>
    </row>
    <row r="277">
      <c r="A277" s="1" t="s">
        <v>1339</v>
      </c>
      <c r="B277" s="2" t="s">
        <v>3824</v>
      </c>
      <c r="D277" s="2" t="s">
        <v>2343</v>
      </c>
      <c r="E277" s="2" t="s">
        <v>3080</v>
      </c>
    </row>
    <row r="278">
      <c r="A278" s="1" t="s">
        <v>1341</v>
      </c>
      <c r="B278" s="1" t="s">
        <v>3825</v>
      </c>
      <c r="C278" s="1" t="s">
        <v>3826</v>
      </c>
      <c r="D278" s="2" t="s">
        <v>3475</v>
      </c>
    </row>
    <row r="279">
      <c r="A279" s="1" t="s">
        <v>1345</v>
      </c>
      <c r="B279" s="1" t="s">
        <v>3827</v>
      </c>
      <c r="C279" s="1" t="s">
        <v>3828</v>
      </c>
      <c r="D279" s="2" t="s">
        <v>3829</v>
      </c>
      <c r="E279" s="2" t="s">
        <v>3829</v>
      </c>
    </row>
    <row r="280">
      <c r="A280" s="1" t="s">
        <v>1350</v>
      </c>
      <c r="B280" s="2" t="s">
        <v>3830</v>
      </c>
      <c r="C280" s="1" t="s">
        <v>3831</v>
      </c>
      <c r="D280" s="2" t="s">
        <v>3173</v>
      </c>
    </row>
    <row r="281">
      <c r="A281" s="1" t="s">
        <v>1352</v>
      </c>
      <c r="C281" s="1" t="s">
        <v>3832</v>
      </c>
      <c r="D281" s="2" t="s">
        <v>3666</v>
      </c>
      <c r="E281" s="2" t="s">
        <v>3102</v>
      </c>
    </row>
    <row r="282">
      <c r="A282" s="1" t="s">
        <v>1353</v>
      </c>
      <c r="C282" s="1" t="s">
        <v>3833</v>
      </c>
      <c r="D282" s="2" t="s">
        <v>724</v>
      </c>
    </row>
    <row r="283">
      <c r="A283" s="1" t="s">
        <v>1356</v>
      </c>
      <c r="B283" s="1" t="s">
        <v>3834</v>
      </c>
      <c r="C283" s="1" t="s">
        <v>3835</v>
      </c>
      <c r="D283" s="2" t="s">
        <v>3092</v>
      </c>
    </row>
    <row r="284">
      <c r="A284" s="1" t="s">
        <v>1357</v>
      </c>
      <c r="B284" s="1" t="s">
        <v>3836</v>
      </c>
      <c r="C284" s="1" t="s">
        <v>3837</v>
      </c>
      <c r="D284" s="2" t="s">
        <v>3677</v>
      </c>
      <c r="E284" s="2" t="s">
        <v>2986</v>
      </c>
    </row>
    <row r="285">
      <c r="A285" s="1" t="s">
        <v>1358</v>
      </c>
      <c r="B285" s="1" t="s">
        <v>3838</v>
      </c>
      <c r="C285" s="1" t="s">
        <v>3839</v>
      </c>
      <c r="D285" s="2" t="s">
        <v>3840</v>
      </c>
      <c r="E285" s="2" t="s">
        <v>3841</v>
      </c>
    </row>
    <row r="286">
      <c r="A286" s="1" t="s">
        <v>1360</v>
      </c>
      <c r="B286" s="1" t="s">
        <v>3842</v>
      </c>
      <c r="C286" s="1" t="s">
        <v>3843</v>
      </c>
      <c r="D286" s="2" t="s">
        <v>3844</v>
      </c>
    </row>
    <row r="287">
      <c r="A287" s="1" t="s">
        <v>1364</v>
      </c>
      <c r="B287" s="2" t="s">
        <v>3845</v>
      </c>
      <c r="C287" s="1" t="s">
        <v>3846</v>
      </c>
      <c r="D287" s="2" t="s">
        <v>2068</v>
      </c>
    </row>
    <row r="288">
      <c r="A288" s="1" t="s">
        <v>1367</v>
      </c>
      <c r="B288" s="1" t="s">
        <v>3847</v>
      </c>
      <c r="C288" s="1" t="s">
        <v>3848</v>
      </c>
      <c r="D288" s="2" t="s">
        <v>2825</v>
      </c>
    </row>
    <row r="289">
      <c r="A289" s="1" t="s">
        <v>1369</v>
      </c>
      <c r="B289" s="1" t="s">
        <v>3849</v>
      </c>
      <c r="C289" s="1" t="s">
        <v>3850</v>
      </c>
      <c r="D289" s="2" t="s">
        <v>3167</v>
      </c>
      <c r="E289" s="2" t="s">
        <v>3851</v>
      </c>
    </row>
    <row r="290">
      <c r="A290" s="1" t="s">
        <v>1372</v>
      </c>
      <c r="B290" s="2" t="s">
        <v>3852</v>
      </c>
      <c r="C290" s="1" t="s">
        <v>3853</v>
      </c>
      <c r="D290" s="2" t="s">
        <v>587</v>
      </c>
      <c r="E290" s="2" t="s">
        <v>2580</v>
      </c>
    </row>
    <row r="291">
      <c r="A291" s="1" t="s">
        <v>1374</v>
      </c>
      <c r="B291" s="1" t="s">
        <v>3854</v>
      </c>
      <c r="C291" s="1" t="s">
        <v>3855</v>
      </c>
      <c r="D291" s="2" t="s">
        <v>3856</v>
      </c>
      <c r="E291" s="2" t="s">
        <v>3407</v>
      </c>
    </row>
    <row r="292">
      <c r="A292" s="1" t="s">
        <v>1377</v>
      </c>
      <c r="B292" s="1" t="s">
        <v>3857</v>
      </c>
      <c r="C292" s="1" t="s">
        <v>3858</v>
      </c>
      <c r="D292" s="2" t="s">
        <v>3715</v>
      </c>
      <c r="E292" s="2" t="s">
        <v>3859</v>
      </c>
    </row>
    <row r="293">
      <c r="A293" s="1" t="s">
        <v>1380</v>
      </c>
      <c r="B293" s="1" t="s">
        <v>3860</v>
      </c>
      <c r="C293" s="1" t="s">
        <v>3861</v>
      </c>
    </row>
    <row r="294">
      <c r="A294" s="1" t="s">
        <v>1384</v>
      </c>
      <c r="B294" s="1" t="s">
        <v>3862</v>
      </c>
      <c r="C294" s="1" t="s">
        <v>3863</v>
      </c>
      <c r="D294" s="2" t="s">
        <v>3297</v>
      </c>
    </row>
    <row r="295">
      <c r="A295" s="1" t="s">
        <v>1387</v>
      </c>
      <c r="B295" s="1" t="s">
        <v>3864</v>
      </c>
      <c r="C295" s="1" t="s">
        <v>3865</v>
      </c>
      <c r="D295" s="2" t="s">
        <v>3866</v>
      </c>
      <c r="E295" s="2" t="s">
        <v>3394</v>
      </c>
    </row>
    <row r="296">
      <c r="A296" s="1" t="s">
        <v>1389</v>
      </c>
      <c r="B296" s="1" t="s">
        <v>3867</v>
      </c>
      <c r="C296" s="1" t="s">
        <v>3868</v>
      </c>
      <c r="D296" s="2" t="s">
        <v>3869</v>
      </c>
      <c r="E296" s="2" t="s">
        <v>3870</v>
      </c>
    </row>
    <row r="297">
      <c r="A297" s="1" t="s">
        <v>1394</v>
      </c>
      <c r="B297" s="1" t="s">
        <v>3871</v>
      </c>
      <c r="C297" s="1" t="s">
        <v>3872</v>
      </c>
      <c r="D297" s="2" t="s">
        <v>2873</v>
      </c>
    </row>
    <row r="298">
      <c r="A298" s="1" t="s">
        <v>1397</v>
      </c>
      <c r="B298" s="1" t="s">
        <v>3873</v>
      </c>
      <c r="C298" s="1" t="s">
        <v>3874</v>
      </c>
      <c r="D298" s="2" t="s">
        <v>3820</v>
      </c>
      <c r="E298" s="2" t="s">
        <v>440</v>
      </c>
    </row>
    <row r="299">
      <c r="A299" s="1" t="s">
        <v>1400</v>
      </c>
      <c r="B299" s="1" t="s">
        <v>3875</v>
      </c>
      <c r="C299" s="1" t="s">
        <v>3876</v>
      </c>
      <c r="D299" s="2" t="s">
        <v>3495</v>
      </c>
      <c r="E299" s="2" t="s">
        <v>3244</v>
      </c>
    </row>
    <row r="300">
      <c r="A300" s="1" t="s">
        <v>1404</v>
      </c>
      <c r="B300" s="1" t="s">
        <v>3877</v>
      </c>
      <c r="C300" s="1" t="s">
        <v>3878</v>
      </c>
      <c r="D300" s="2" t="s">
        <v>1097</v>
      </c>
      <c r="E300" s="2" t="s">
        <v>3211</v>
      </c>
    </row>
    <row r="301">
      <c r="A301" s="1" t="s">
        <v>1406</v>
      </c>
      <c r="B301" s="1" t="s">
        <v>3879</v>
      </c>
      <c r="C301" s="1" t="s">
        <v>3880</v>
      </c>
      <c r="D301" s="2" t="s">
        <v>1845</v>
      </c>
    </row>
    <row r="302">
      <c r="A302" s="1" t="s">
        <v>1408</v>
      </c>
      <c r="B302" s="1" t="s">
        <v>3881</v>
      </c>
      <c r="C302" s="1" t="s">
        <v>3882</v>
      </c>
      <c r="D302" s="2" t="s">
        <v>3809</v>
      </c>
    </row>
    <row r="303">
      <c r="A303" s="1" t="s">
        <v>1411</v>
      </c>
      <c r="B303" s="1" t="s">
        <v>3883</v>
      </c>
      <c r="C303" s="1" t="s">
        <v>3884</v>
      </c>
      <c r="D303" s="2" t="s">
        <v>3215</v>
      </c>
    </row>
    <row r="304">
      <c r="A304" s="1" t="s">
        <v>1414</v>
      </c>
      <c r="B304" s="1" t="s">
        <v>3885</v>
      </c>
      <c r="C304" s="1" t="s">
        <v>3886</v>
      </c>
      <c r="D304" s="2" t="s">
        <v>3829</v>
      </c>
      <c r="E304" s="2" t="s">
        <v>3887</v>
      </c>
    </row>
    <row r="305">
      <c r="A305" s="1" t="s">
        <v>1418</v>
      </c>
      <c r="B305" s="2" t="s">
        <v>3888</v>
      </c>
      <c r="C305" s="1" t="s">
        <v>3889</v>
      </c>
      <c r="D305" s="2" t="s">
        <v>3710</v>
      </c>
      <c r="E305" s="2" t="s">
        <v>427</v>
      </c>
    </row>
    <row r="306">
      <c r="A306" s="1" t="s">
        <v>1421</v>
      </c>
      <c r="B306" s="1" t="s">
        <v>3890</v>
      </c>
      <c r="C306" s="1" t="s">
        <v>3891</v>
      </c>
      <c r="D306" s="2" t="s">
        <v>3415</v>
      </c>
    </row>
    <row r="307">
      <c r="A307" s="1" t="s">
        <v>1425</v>
      </c>
      <c r="B307" s="1" t="s">
        <v>3892</v>
      </c>
      <c r="C307" s="1" t="s">
        <v>3893</v>
      </c>
      <c r="D307" s="2" t="s">
        <v>3256</v>
      </c>
    </row>
    <row r="308">
      <c r="A308" s="1" t="s">
        <v>1427</v>
      </c>
      <c r="B308" s="1" t="s">
        <v>3894</v>
      </c>
      <c r="C308" s="1" t="s">
        <v>3895</v>
      </c>
      <c r="D308" s="2" t="s">
        <v>3896</v>
      </c>
      <c r="E308" s="2" t="s">
        <v>3243</v>
      </c>
    </row>
    <row r="309">
      <c r="A309" s="1" t="s">
        <v>1430</v>
      </c>
      <c r="B309" s="1" t="s">
        <v>3897</v>
      </c>
      <c r="C309" s="1" t="s">
        <v>3898</v>
      </c>
      <c r="D309" s="2" t="s">
        <v>3138</v>
      </c>
      <c r="E309" s="2" t="s">
        <v>2913</v>
      </c>
    </row>
    <row r="310">
      <c r="A310" s="1" t="s">
        <v>1432</v>
      </c>
      <c r="B310" s="2" t="s">
        <v>3899</v>
      </c>
      <c r="C310" s="1" t="s">
        <v>3900</v>
      </c>
      <c r="D310" s="2" t="s">
        <v>3901</v>
      </c>
      <c r="E310" s="2" t="s">
        <v>3297</v>
      </c>
    </row>
    <row r="311">
      <c r="A311" s="1" t="s">
        <v>1435</v>
      </c>
      <c r="B311" s="1" t="s">
        <v>3902</v>
      </c>
      <c r="C311" s="1" t="s">
        <v>3903</v>
      </c>
      <c r="D311" s="2" t="s">
        <v>3904</v>
      </c>
      <c r="E311" s="2" t="s">
        <v>3391</v>
      </c>
    </row>
    <row r="312">
      <c r="A312" s="1" t="s">
        <v>1438</v>
      </c>
      <c r="C312" s="1" t="s">
        <v>3905</v>
      </c>
      <c r="D312" s="2" t="s">
        <v>3906</v>
      </c>
      <c r="E312" s="2" t="s">
        <v>3193</v>
      </c>
    </row>
    <row r="313">
      <c r="A313" s="1" t="s">
        <v>1441</v>
      </c>
      <c r="C313" s="1" t="s">
        <v>3907</v>
      </c>
      <c r="D313" s="2" t="s">
        <v>3160</v>
      </c>
    </row>
    <row r="314">
      <c r="A314" s="1" t="s">
        <v>1444</v>
      </c>
      <c r="B314" s="2" t="s">
        <v>3908</v>
      </c>
      <c r="C314" s="1" t="s">
        <v>3909</v>
      </c>
      <c r="D314" s="2" t="s">
        <v>3910</v>
      </c>
      <c r="E314" s="2" t="s">
        <v>3373</v>
      </c>
    </row>
    <row r="315">
      <c r="A315" s="1" t="s">
        <v>1447</v>
      </c>
      <c r="B315" s="2" t="s">
        <v>3911</v>
      </c>
      <c r="C315" s="1" t="s">
        <v>3912</v>
      </c>
      <c r="D315" s="2" t="s">
        <v>2914</v>
      </c>
      <c r="E315" s="2" t="s">
        <v>3913</v>
      </c>
    </row>
    <row r="316">
      <c r="A316" s="1" t="s">
        <v>1450</v>
      </c>
      <c r="C316" s="1" t="s">
        <v>3914</v>
      </c>
      <c r="D316" s="2" t="s">
        <v>2914</v>
      </c>
      <c r="E316" s="2" t="s">
        <v>3631</v>
      </c>
    </row>
    <row r="317">
      <c r="A317" s="1" t="s">
        <v>1454</v>
      </c>
      <c r="B317" s="1" t="s">
        <v>3915</v>
      </c>
      <c r="C317" s="1" t="s">
        <v>3916</v>
      </c>
      <c r="D317" s="2" t="s">
        <v>3917</v>
      </c>
      <c r="E317" s="2" t="s">
        <v>3370</v>
      </c>
    </row>
    <row r="318">
      <c r="A318" s="1" t="s">
        <v>1458</v>
      </c>
      <c r="B318" s="1" t="s">
        <v>3918</v>
      </c>
      <c r="D318" s="2" t="s">
        <v>3148</v>
      </c>
    </row>
    <row r="319">
      <c r="A319" s="1" t="s">
        <v>1463</v>
      </c>
      <c r="B319" s="2" t="s">
        <v>3919</v>
      </c>
      <c r="C319" s="1" t="s">
        <v>3920</v>
      </c>
      <c r="D319" s="2" t="s">
        <v>3921</v>
      </c>
    </row>
    <row r="320">
      <c r="A320" s="1" t="s">
        <v>1465</v>
      </c>
      <c r="B320" s="1" t="s">
        <v>3922</v>
      </c>
      <c r="C320" s="1" t="s">
        <v>3923</v>
      </c>
      <c r="D320" s="2" t="s">
        <v>3924</v>
      </c>
      <c r="E320" s="2" t="s">
        <v>1334</v>
      </c>
    </row>
    <row r="321">
      <c r="A321" s="1" t="s">
        <v>1467</v>
      </c>
      <c r="B321" s="1" t="s">
        <v>3925</v>
      </c>
      <c r="C321" s="1" t="s">
        <v>3926</v>
      </c>
      <c r="D321" s="2" t="s">
        <v>859</v>
      </c>
    </row>
    <row r="322">
      <c r="A322" s="1" t="s">
        <v>1469</v>
      </c>
      <c r="B322" s="1" t="s">
        <v>3927</v>
      </c>
      <c r="C322" s="1" t="s">
        <v>3928</v>
      </c>
    </row>
    <row r="323">
      <c r="A323" s="1" t="s">
        <v>1472</v>
      </c>
      <c r="B323" s="2" t="s">
        <v>3929</v>
      </c>
      <c r="C323" s="1" t="s">
        <v>3930</v>
      </c>
      <c r="D323" s="2" t="s">
        <v>3233</v>
      </c>
      <c r="E323" s="2" t="s">
        <v>3649</v>
      </c>
    </row>
    <row r="324">
      <c r="A324" s="1" t="s">
        <v>1474</v>
      </c>
      <c r="B324" s="1" t="s">
        <v>3931</v>
      </c>
      <c r="D324" s="2" t="s">
        <v>724</v>
      </c>
    </row>
    <row r="325">
      <c r="A325" s="1" t="s">
        <v>1477</v>
      </c>
      <c r="B325" s="1" t="s">
        <v>3932</v>
      </c>
      <c r="C325" s="1" t="s">
        <v>3933</v>
      </c>
      <c r="D325" s="2" t="s">
        <v>1820</v>
      </c>
      <c r="E325" s="2" t="s">
        <v>1479</v>
      </c>
    </row>
    <row r="326">
      <c r="A326" s="1" t="s">
        <v>1480</v>
      </c>
      <c r="B326" s="1" t="s">
        <v>3934</v>
      </c>
      <c r="C326" s="1" t="s">
        <v>3935</v>
      </c>
      <c r="D326" s="2" t="s">
        <v>3244</v>
      </c>
      <c r="E326" s="2" t="s">
        <v>3206</v>
      </c>
    </row>
    <row r="327">
      <c r="A327" s="1" t="s">
        <v>1482</v>
      </c>
      <c r="B327" s="1" t="s">
        <v>3936</v>
      </c>
      <c r="C327" s="1" t="s">
        <v>3937</v>
      </c>
      <c r="D327" s="2" t="s">
        <v>1580</v>
      </c>
      <c r="E327" s="2" t="s">
        <v>3938</v>
      </c>
    </row>
    <row r="328">
      <c r="A328" s="1" t="s">
        <v>1484</v>
      </c>
      <c r="B328" s="2" t="s">
        <v>3939</v>
      </c>
      <c r="C328" s="1" t="s">
        <v>3940</v>
      </c>
      <c r="D328" s="2" t="s">
        <v>1955</v>
      </c>
      <c r="E328" s="2" t="s">
        <v>3690</v>
      </c>
    </row>
    <row r="329">
      <c r="A329" s="1" t="s">
        <v>1488</v>
      </c>
      <c r="B329" s="1" t="s">
        <v>3941</v>
      </c>
      <c r="C329" s="1" t="s">
        <v>3942</v>
      </c>
      <c r="D329" s="2" t="s">
        <v>2922</v>
      </c>
      <c r="E329" s="2" t="s">
        <v>3943</v>
      </c>
    </row>
    <row r="330">
      <c r="A330" s="1" t="s">
        <v>1490</v>
      </c>
      <c r="B330" s="2" t="s">
        <v>3944</v>
      </c>
      <c r="C330" s="1" t="s">
        <v>3945</v>
      </c>
      <c r="D330" s="2" t="s">
        <v>3946</v>
      </c>
      <c r="E330" s="2" t="s">
        <v>3574</v>
      </c>
    </row>
    <row r="331">
      <c r="A331" s="1" t="s">
        <v>1494</v>
      </c>
      <c r="B331" s="1" t="s">
        <v>3947</v>
      </c>
      <c r="C331" s="1" t="s">
        <v>3948</v>
      </c>
      <c r="D331" s="2" t="s">
        <v>3949</v>
      </c>
      <c r="E331" s="2" t="s">
        <v>3603</v>
      </c>
    </row>
    <row r="332">
      <c r="A332" s="1" t="s">
        <v>1498</v>
      </c>
      <c r="B332" s="1" t="s">
        <v>3950</v>
      </c>
      <c r="C332" s="1" t="s">
        <v>3951</v>
      </c>
      <c r="D332" s="2" t="s">
        <v>3286</v>
      </c>
    </row>
    <row r="333">
      <c r="A333" s="1" t="s">
        <v>1501</v>
      </c>
      <c r="B333" s="2" t="s">
        <v>3952</v>
      </c>
      <c r="C333" s="1" t="s">
        <v>3953</v>
      </c>
      <c r="D333" s="2" t="s">
        <v>3870</v>
      </c>
    </row>
    <row r="334">
      <c r="A334" s="1" t="s">
        <v>1504</v>
      </c>
      <c r="B334" s="1" t="s">
        <v>3954</v>
      </c>
      <c r="C334" s="1" t="s">
        <v>3955</v>
      </c>
      <c r="D334" s="2" t="s">
        <v>3956</v>
      </c>
    </row>
    <row r="335">
      <c r="A335" s="1" t="s">
        <v>1507</v>
      </c>
      <c r="B335" s="1" t="s">
        <v>3957</v>
      </c>
      <c r="C335" s="1" t="s">
        <v>3958</v>
      </c>
      <c r="D335" s="2" t="s">
        <v>332</v>
      </c>
    </row>
    <row r="336">
      <c r="A336" s="1" t="s">
        <v>1510</v>
      </c>
      <c r="B336" s="1" t="s">
        <v>3959</v>
      </c>
      <c r="C336" s="1" t="s">
        <v>3960</v>
      </c>
      <c r="D336" s="2" t="s">
        <v>3961</v>
      </c>
      <c r="E336" s="2" t="s">
        <v>3962</v>
      </c>
    </row>
    <row r="337">
      <c r="A337" s="1" t="s">
        <v>1513</v>
      </c>
      <c r="B337" s="1" t="s">
        <v>3963</v>
      </c>
      <c r="C337" s="1" t="s">
        <v>3964</v>
      </c>
      <c r="D337" s="2" t="s">
        <v>2562</v>
      </c>
      <c r="E337" s="2" t="s">
        <v>3433</v>
      </c>
    </row>
    <row r="338">
      <c r="A338" s="1" t="s">
        <v>1515</v>
      </c>
      <c r="B338" s="2" t="s">
        <v>3965</v>
      </c>
      <c r="C338" s="1" t="s">
        <v>3966</v>
      </c>
      <c r="D338" s="2" t="s">
        <v>2343</v>
      </c>
    </row>
    <row r="339">
      <c r="A339" s="1" t="s">
        <v>1516</v>
      </c>
      <c r="B339" s="1" t="s">
        <v>3967</v>
      </c>
      <c r="C339" s="1" t="s">
        <v>3968</v>
      </c>
      <c r="D339" s="2" t="s">
        <v>773</v>
      </c>
      <c r="E339" s="2" t="s">
        <v>3514</v>
      </c>
    </row>
    <row r="340">
      <c r="A340" s="1" t="s">
        <v>1517</v>
      </c>
      <c r="B340" s="2" t="s">
        <v>3969</v>
      </c>
      <c r="C340" s="1" t="s">
        <v>3970</v>
      </c>
      <c r="D340" s="2" t="s">
        <v>3666</v>
      </c>
    </row>
    <row r="341">
      <c r="A341" s="1" t="s">
        <v>1522</v>
      </c>
      <c r="B341" s="1" t="s">
        <v>3971</v>
      </c>
      <c r="C341" s="1" t="s">
        <v>3972</v>
      </c>
      <c r="D341" s="2" t="s">
        <v>3973</v>
      </c>
    </row>
    <row r="342">
      <c r="A342" s="1" t="s">
        <v>1524</v>
      </c>
      <c r="B342" s="1" t="s">
        <v>3974</v>
      </c>
      <c r="C342" s="1" t="s">
        <v>3975</v>
      </c>
      <c r="D342" s="2" t="s">
        <v>3707</v>
      </c>
    </row>
    <row r="343">
      <c r="A343" s="1" t="s">
        <v>1528</v>
      </c>
      <c r="B343" s="2" t="s">
        <v>3976</v>
      </c>
      <c r="C343" s="1" t="s">
        <v>3977</v>
      </c>
      <c r="D343" s="2" t="s">
        <v>3015</v>
      </c>
      <c r="E343" s="2" t="s">
        <v>3978</v>
      </c>
    </row>
    <row r="344">
      <c r="A344" s="1" t="s">
        <v>1530</v>
      </c>
      <c r="B344" s="2" t="s">
        <v>3979</v>
      </c>
      <c r="C344" s="1" t="s">
        <v>3980</v>
      </c>
      <c r="D344" s="2" t="s">
        <v>2907</v>
      </c>
    </row>
    <row r="345">
      <c r="A345" s="1" t="s">
        <v>1534</v>
      </c>
      <c r="B345" s="2" t="s">
        <v>3981</v>
      </c>
      <c r="C345" s="1" t="s">
        <v>3982</v>
      </c>
      <c r="D345" s="2" t="s">
        <v>3538</v>
      </c>
      <c r="E345" s="2" t="s">
        <v>3775</v>
      </c>
    </row>
    <row r="346">
      <c r="A346" s="1" t="s">
        <v>1536</v>
      </c>
      <c r="B346" s="1" t="s">
        <v>3983</v>
      </c>
      <c r="C346" s="1" t="s">
        <v>3984</v>
      </c>
      <c r="D346" s="2" t="s">
        <v>747</v>
      </c>
      <c r="E346" s="2" t="s">
        <v>3780</v>
      </c>
    </row>
    <row r="347">
      <c r="A347" s="1" t="s">
        <v>1539</v>
      </c>
      <c r="B347" s="2" t="s">
        <v>3985</v>
      </c>
      <c r="C347" s="1" t="s">
        <v>3986</v>
      </c>
      <c r="D347" s="2" t="s">
        <v>60</v>
      </c>
    </row>
    <row r="348">
      <c r="A348" s="1" t="s">
        <v>1542</v>
      </c>
      <c r="B348" s="1" t="s">
        <v>3987</v>
      </c>
      <c r="C348" s="1" t="s">
        <v>3988</v>
      </c>
      <c r="D348" s="2" t="s">
        <v>1565</v>
      </c>
      <c r="E348" s="2" t="s">
        <v>3510</v>
      </c>
    </row>
    <row r="349">
      <c r="A349" s="1" t="s">
        <v>1544</v>
      </c>
      <c r="B349" s="1" t="s">
        <v>3989</v>
      </c>
      <c r="C349" s="1" t="s">
        <v>3990</v>
      </c>
      <c r="D349" s="2" t="s">
        <v>3991</v>
      </c>
      <c r="E349" s="2" t="s">
        <v>3992</v>
      </c>
    </row>
    <row r="350">
      <c r="A350" s="1" t="s">
        <v>1548</v>
      </c>
      <c r="B350" s="1" t="s">
        <v>3993</v>
      </c>
      <c r="C350" s="1" t="s">
        <v>3994</v>
      </c>
      <c r="D350" s="2" t="s">
        <v>3744</v>
      </c>
      <c r="E350" s="2" t="s">
        <v>3706</v>
      </c>
    </row>
    <row r="351">
      <c r="A351" s="1" t="s">
        <v>1550</v>
      </c>
      <c r="C351" s="1" t="s">
        <v>3995</v>
      </c>
      <c r="D351" s="2" t="s">
        <v>3455</v>
      </c>
      <c r="E351" s="2" t="s">
        <v>3996</v>
      </c>
    </row>
    <row r="352">
      <c r="A352" s="1" t="s">
        <v>1553</v>
      </c>
      <c r="B352" s="1" t="s">
        <v>3997</v>
      </c>
      <c r="C352" s="1" t="s">
        <v>3998</v>
      </c>
      <c r="D352" s="2" t="s">
        <v>3999</v>
      </c>
    </row>
    <row r="353">
      <c r="A353" s="1" t="s">
        <v>1556</v>
      </c>
      <c r="B353" s="2" t="s">
        <v>4000</v>
      </c>
      <c r="C353" s="1" t="s">
        <v>4001</v>
      </c>
      <c r="D353" s="2" t="s">
        <v>3297</v>
      </c>
      <c r="E353" s="2" t="s">
        <v>2657</v>
      </c>
    </row>
    <row r="354">
      <c r="A354" s="1" t="s">
        <v>1558</v>
      </c>
      <c r="B354" s="1" t="s">
        <v>4002</v>
      </c>
      <c r="C354" s="1" t="s">
        <v>4003</v>
      </c>
      <c r="D354" s="2" t="s">
        <v>3550</v>
      </c>
      <c r="E354" s="2" t="s">
        <v>3710</v>
      </c>
    </row>
    <row r="355">
      <c r="A355" s="1" t="s">
        <v>1561</v>
      </c>
      <c r="B355" s="1" t="s">
        <v>4004</v>
      </c>
      <c r="C355" s="1" t="s">
        <v>4005</v>
      </c>
      <c r="D355" s="2" t="s">
        <v>3370</v>
      </c>
      <c r="E355" s="2" t="s">
        <v>3028</v>
      </c>
    </row>
    <row r="356">
      <c r="A356" s="1" t="s">
        <v>1564</v>
      </c>
      <c r="B356" s="1" t="s">
        <v>4006</v>
      </c>
      <c r="C356" s="1" t="s">
        <v>4007</v>
      </c>
      <c r="D356" s="2" t="s">
        <v>4008</v>
      </c>
    </row>
    <row r="357">
      <c r="A357" s="1" t="s">
        <v>1567</v>
      </c>
      <c r="B357" s="1" t="s">
        <v>4009</v>
      </c>
      <c r="C357" s="1" t="s">
        <v>4010</v>
      </c>
      <c r="D357" s="2" t="s">
        <v>4011</v>
      </c>
      <c r="E357" s="2" t="s">
        <v>1863</v>
      </c>
    </row>
    <row r="358">
      <c r="A358" s="1" t="s">
        <v>1571</v>
      </c>
      <c r="B358" s="1" t="s">
        <v>4012</v>
      </c>
      <c r="C358" s="1" t="s">
        <v>4013</v>
      </c>
      <c r="D358" s="2" t="s">
        <v>2004</v>
      </c>
      <c r="E358" s="2" t="s">
        <v>39</v>
      </c>
    </row>
    <row r="359">
      <c r="A359" s="1" t="s">
        <v>1574</v>
      </c>
      <c r="B359" s="1" t="s">
        <v>4014</v>
      </c>
      <c r="C359" s="1" t="s">
        <v>4015</v>
      </c>
      <c r="D359" s="2" t="s">
        <v>2907</v>
      </c>
      <c r="E359" s="2" t="s">
        <v>3116</v>
      </c>
    </row>
    <row r="360">
      <c r="A360" s="1" t="s">
        <v>1577</v>
      </c>
      <c r="B360" s="1" t="s">
        <v>4016</v>
      </c>
      <c r="C360" s="1" t="s">
        <v>4017</v>
      </c>
      <c r="D360" s="2" t="s">
        <v>3666</v>
      </c>
      <c r="E360" s="2" t="s">
        <v>3580</v>
      </c>
    </row>
    <row r="361">
      <c r="A361" s="1" t="s">
        <v>1579</v>
      </c>
      <c r="B361" s="1" t="s">
        <v>4018</v>
      </c>
      <c r="C361" s="1" t="s">
        <v>4019</v>
      </c>
      <c r="D361" s="2" t="s">
        <v>4020</v>
      </c>
      <c r="E361" s="2" t="s">
        <v>1820</v>
      </c>
    </row>
    <row r="362">
      <c r="A362" s="1" t="s">
        <v>1582</v>
      </c>
      <c r="B362" s="1" t="s">
        <v>4021</v>
      </c>
      <c r="C362" s="1" t="s">
        <v>4022</v>
      </c>
      <c r="D362" s="2" t="s">
        <v>4023</v>
      </c>
    </row>
    <row r="363">
      <c r="A363" s="1" t="s">
        <v>1585</v>
      </c>
      <c r="B363" s="2" t="s">
        <v>4024</v>
      </c>
      <c r="C363" s="1" t="s">
        <v>4025</v>
      </c>
      <c r="D363" s="2" t="s">
        <v>1409</v>
      </c>
      <c r="E363" s="2" t="s">
        <v>4026</v>
      </c>
    </row>
    <row r="364">
      <c r="A364" s="1" t="s">
        <v>1588</v>
      </c>
      <c r="B364" s="1" t="s">
        <v>4027</v>
      </c>
      <c r="C364" s="1" t="s">
        <v>4028</v>
      </c>
      <c r="D364" s="2" t="s">
        <v>1097</v>
      </c>
      <c r="E364" s="2" t="s">
        <v>3530</v>
      </c>
    </row>
    <row r="365">
      <c r="A365" s="1" t="s">
        <v>1591</v>
      </c>
      <c r="B365" s="1" t="s">
        <v>4029</v>
      </c>
      <c r="C365" s="1" t="s">
        <v>4030</v>
      </c>
      <c r="D365" s="2" t="s">
        <v>4031</v>
      </c>
      <c r="E365" s="2" t="s">
        <v>4032</v>
      </c>
    </row>
    <row r="366">
      <c r="A366" s="1" t="s">
        <v>1594</v>
      </c>
      <c r="B366" s="1" t="s">
        <v>4033</v>
      </c>
      <c r="D366" s="2" t="s">
        <v>3143</v>
      </c>
    </row>
    <row r="367">
      <c r="A367" s="1" t="s">
        <v>1597</v>
      </c>
      <c r="B367" s="2" t="s">
        <v>4034</v>
      </c>
      <c r="C367" s="1" t="s">
        <v>4035</v>
      </c>
      <c r="D367" s="2" t="s">
        <v>2701</v>
      </c>
    </row>
    <row r="368">
      <c r="A368" s="1" t="s">
        <v>1600</v>
      </c>
      <c r="B368" s="2" t="s">
        <v>4036</v>
      </c>
      <c r="C368" s="1" t="s">
        <v>4037</v>
      </c>
      <c r="D368" s="2" t="s">
        <v>2610</v>
      </c>
      <c r="E368" s="2" t="s">
        <v>2374</v>
      </c>
    </row>
    <row r="369">
      <c r="A369" s="1" t="s">
        <v>1603</v>
      </c>
      <c r="B369" s="1" t="s">
        <v>4038</v>
      </c>
      <c r="C369" s="1" t="s">
        <v>4039</v>
      </c>
      <c r="D369" s="2" t="s">
        <v>3007</v>
      </c>
    </row>
    <row r="370">
      <c r="A370" s="1" t="s">
        <v>1606</v>
      </c>
      <c r="B370" s="1" t="s">
        <v>4040</v>
      </c>
      <c r="C370" s="1" t="s">
        <v>4041</v>
      </c>
      <c r="D370" s="2" t="s">
        <v>3844</v>
      </c>
    </row>
    <row r="371">
      <c r="A371" s="1" t="s">
        <v>1608</v>
      </c>
      <c r="B371" s="2" t="s">
        <v>4042</v>
      </c>
      <c r="C371" s="1" t="s">
        <v>4043</v>
      </c>
      <c r="D371" s="2" t="s">
        <v>3593</v>
      </c>
    </row>
    <row r="372">
      <c r="A372" s="1" t="s">
        <v>1611</v>
      </c>
      <c r="B372" s="2" t="s">
        <v>4044</v>
      </c>
      <c r="C372" s="1" t="s">
        <v>4045</v>
      </c>
      <c r="D372" s="2" t="s">
        <v>3910</v>
      </c>
      <c r="E372" s="2" t="s">
        <v>4046</v>
      </c>
    </row>
    <row r="373">
      <c r="A373" s="1" t="s">
        <v>1614</v>
      </c>
      <c r="B373" s="2" t="s">
        <v>4047</v>
      </c>
      <c r="C373" s="1" t="s">
        <v>4048</v>
      </c>
      <c r="D373" s="2" t="s">
        <v>4049</v>
      </c>
      <c r="E373" s="2" t="s">
        <v>4050</v>
      </c>
    </row>
    <row r="374">
      <c r="A374" s="1" t="s">
        <v>1616</v>
      </c>
      <c r="B374" s="2" t="s">
        <v>4051</v>
      </c>
      <c r="C374" s="1" t="s">
        <v>4052</v>
      </c>
      <c r="D374" s="2" t="s">
        <v>3607</v>
      </c>
      <c r="E374" s="2" t="s">
        <v>2035</v>
      </c>
    </row>
    <row r="375">
      <c r="A375" s="1" t="s">
        <v>1619</v>
      </c>
      <c r="B375" s="2" t="s">
        <v>4053</v>
      </c>
      <c r="C375" s="1" t="s">
        <v>4054</v>
      </c>
      <c r="D375" s="2" t="s">
        <v>3494</v>
      </c>
    </row>
    <row r="376">
      <c r="A376" s="1" t="s">
        <v>1623</v>
      </c>
      <c r="B376" s="1" t="s">
        <v>4055</v>
      </c>
      <c r="C376" s="1" t="s">
        <v>4056</v>
      </c>
      <c r="D376" s="2" t="s">
        <v>2182</v>
      </c>
      <c r="E376" s="2" t="s">
        <v>1176</v>
      </c>
    </row>
    <row r="377">
      <c r="A377" s="1" t="s">
        <v>1625</v>
      </c>
      <c r="B377" s="1" t="s">
        <v>4057</v>
      </c>
      <c r="C377" s="1" t="s">
        <v>4058</v>
      </c>
      <c r="D377" s="2" t="s">
        <v>4059</v>
      </c>
      <c r="E377" s="2" t="s">
        <v>3404</v>
      </c>
    </row>
    <row r="378">
      <c r="A378" s="1" t="s">
        <v>1628</v>
      </c>
      <c r="B378" s="1" t="s">
        <v>4060</v>
      </c>
      <c r="C378" s="1" t="s">
        <v>4061</v>
      </c>
      <c r="D378" s="2" t="s">
        <v>3148</v>
      </c>
      <c r="E378" s="2" t="s">
        <v>4062</v>
      </c>
    </row>
    <row r="379">
      <c r="A379" s="1" t="s">
        <v>1631</v>
      </c>
      <c r="B379" s="2" t="s">
        <v>4063</v>
      </c>
      <c r="C379" s="1" t="s">
        <v>4064</v>
      </c>
      <c r="D379" s="2" t="s">
        <v>4065</v>
      </c>
      <c r="E379" s="2" t="s">
        <v>3353</v>
      </c>
    </row>
    <row r="380">
      <c r="A380" s="1" t="s">
        <v>1633</v>
      </c>
      <c r="B380" s="1" t="s">
        <v>4066</v>
      </c>
      <c r="C380" s="1" t="s">
        <v>4067</v>
      </c>
      <c r="D380" s="2" t="s">
        <v>3765</v>
      </c>
    </row>
    <row r="381">
      <c r="A381" s="1" t="s">
        <v>1636</v>
      </c>
      <c r="B381" s="1" t="s">
        <v>4068</v>
      </c>
      <c r="C381" s="1" t="s">
        <v>4069</v>
      </c>
      <c r="D381" s="2" t="s">
        <v>2964</v>
      </c>
    </row>
    <row r="382">
      <c r="A382" s="1" t="s">
        <v>1639</v>
      </c>
      <c r="B382" s="1" t="s">
        <v>4070</v>
      </c>
      <c r="C382" s="1" t="s">
        <v>4071</v>
      </c>
      <c r="D382" s="2" t="s">
        <v>972</v>
      </c>
      <c r="E382" s="2" t="s">
        <v>3252</v>
      </c>
    </row>
    <row r="383">
      <c r="A383" s="1" t="s">
        <v>1642</v>
      </c>
      <c r="B383" s="1" t="s">
        <v>4072</v>
      </c>
      <c r="C383" s="1" t="s">
        <v>4073</v>
      </c>
      <c r="D383" s="2" t="s">
        <v>3338</v>
      </c>
      <c r="E383" s="2" t="s">
        <v>3494</v>
      </c>
    </row>
    <row r="384">
      <c r="A384" s="1" t="s">
        <v>1644</v>
      </c>
      <c r="B384" s="1" t="s">
        <v>4074</v>
      </c>
      <c r="C384" s="1" t="s">
        <v>4075</v>
      </c>
      <c r="D384" s="2" t="s">
        <v>3851</v>
      </c>
    </row>
    <row r="385">
      <c r="A385" s="1" t="s">
        <v>1647</v>
      </c>
      <c r="C385" s="1" t="s">
        <v>4076</v>
      </c>
      <c r="D385" s="2" t="s">
        <v>4077</v>
      </c>
    </row>
    <row r="386">
      <c r="A386" s="1" t="s">
        <v>1649</v>
      </c>
      <c r="B386" s="1" t="s">
        <v>4078</v>
      </c>
      <c r="C386" s="1" t="s">
        <v>4079</v>
      </c>
      <c r="D386" s="2" t="s">
        <v>2907</v>
      </c>
      <c r="E386" s="2" t="s">
        <v>3917</v>
      </c>
    </row>
    <row r="387">
      <c r="A387" s="1" t="s">
        <v>1652</v>
      </c>
      <c r="B387" s="1" t="s">
        <v>4080</v>
      </c>
      <c r="C387" s="1" t="s">
        <v>4081</v>
      </c>
      <c r="D387" s="2" t="s">
        <v>3715</v>
      </c>
    </row>
    <row r="388">
      <c r="A388" s="1" t="s">
        <v>1655</v>
      </c>
      <c r="B388" s="2" t="s">
        <v>4082</v>
      </c>
      <c r="C388" s="1" t="s">
        <v>4083</v>
      </c>
      <c r="D388" s="2" t="s">
        <v>2068</v>
      </c>
      <c r="E388" s="2" t="s">
        <v>39</v>
      </c>
    </row>
    <row r="389">
      <c r="A389" s="1" t="s">
        <v>1659</v>
      </c>
      <c r="B389" s="2" t="s">
        <v>4084</v>
      </c>
      <c r="C389" s="1" t="s">
        <v>4085</v>
      </c>
      <c r="D389" s="2" t="s">
        <v>4086</v>
      </c>
    </row>
    <row r="390">
      <c r="A390" s="1" t="s">
        <v>1661</v>
      </c>
      <c r="B390" s="1" t="s">
        <v>4087</v>
      </c>
      <c r="C390" s="1" t="s">
        <v>4088</v>
      </c>
      <c r="D390" s="2" t="s">
        <v>3904</v>
      </c>
      <c r="E390" s="2" t="s">
        <v>4089</v>
      </c>
    </row>
    <row r="391">
      <c r="A391" s="1" t="s">
        <v>1664</v>
      </c>
      <c r="B391" s="1" t="s">
        <v>4090</v>
      </c>
      <c r="C391" s="1" t="s">
        <v>4091</v>
      </c>
      <c r="D391" s="2" t="s">
        <v>2182</v>
      </c>
      <c r="E391" s="2" t="s">
        <v>1176</v>
      </c>
    </row>
    <row r="392">
      <c r="A392" s="1" t="s">
        <v>1668</v>
      </c>
      <c r="B392" s="1" t="s">
        <v>4092</v>
      </c>
      <c r="C392" s="1" t="s">
        <v>4093</v>
      </c>
      <c r="D392" s="2" t="s">
        <v>1955</v>
      </c>
    </row>
    <row r="393">
      <c r="A393" s="1" t="s">
        <v>1670</v>
      </c>
      <c r="B393" s="1" t="s">
        <v>4094</v>
      </c>
      <c r="C393" s="1" t="s">
        <v>4095</v>
      </c>
      <c r="D393" s="2" t="s">
        <v>1097</v>
      </c>
      <c r="E393" s="2" t="s">
        <v>3753</v>
      </c>
    </row>
    <row r="394">
      <c r="A394" s="1" t="s">
        <v>1673</v>
      </c>
      <c r="B394" s="2" t="s">
        <v>4096</v>
      </c>
      <c r="C394" s="1" t="s">
        <v>4097</v>
      </c>
      <c r="D394" s="2" t="s">
        <v>3631</v>
      </c>
      <c r="E394" s="2" t="s">
        <v>1325</v>
      </c>
    </row>
    <row r="395">
      <c r="A395" s="1" t="s">
        <v>1675</v>
      </c>
      <c r="C395" s="1" t="s">
        <v>4098</v>
      </c>
      <c r="D395" s="2" t="s">
        <v>724</v>
      </c>
      <c r="E395" s="2" t="s">
        <v>3263</v>
      </c>
    </row>
    <row r="396">
      <c r="A396" s="1" t="s">
        <v>1679</v>
      </c>
      <c r="B396" s="1" t="s">
        <v>4099</v>
      </c>
      <c r="C396" s="1" t="s">
        <v>4100</v>
      </c>
      <c r="D396" s="2" t="s">
        <v>2979</v>
      </c>
    </row>
    <row r="397">
      <c r="A397" s="1" t="s">
        <v>1682</v>
      </c>
      <c r="B397" s="1" t="s">
        <v>4101</v>
      </c>
      <c r="C397" s="1" t="s">
        <v>4102</v>
      </c>
      <c r="D397" s="2" t="s">
        <v>3550</v>
      </c>
    </row>
    <row r="398">
      <c r="A398" s="1" t="s">
        <v>1685</v>
      </c>
      <c r="B398" s="1" t="s">
        <v>4103</v>
      </c>
      <c r="C398" s="1" t="s">
        <v>4104</v>
      </c>
      <c r="D398" s="2" t="s">
        <v>3345</v>
      </c>
      <c r="E398" s="2" t="s">
        <v>4089</v>
      </c>
    </row>
    <row r="399">
      <c r="A399" s="1" t="s">
        <v>1688</v>
      </c>
      <c r="B399" s="1" t="s">
        <v>4105</v>
      </c>
      <c r="C399" s="1" t="s">
        <v>4106</v>
      </c>
      <c r="D399" s="2" t="s">
        <v>3183</v>
      </c>
      <c r="E399" s="2" t="s">
        <v>2960</v>
      </c>
    </row>
    <row r="400">
      <c r="A400" s="1" t="s">
        <v>1691</v>
      </c>
      <c r="B400" s="1" t="s">
        <v>4107</v>
      </c>
      <c r="C400" s="1" t="s">
        <v>4108</v>
      </c>
      <c r="D400" s="2" t="s">
        <v>4109</v>
      </c>
      <c r="E400" s="2" t="s">
        <v>3669</v>
      </c>
    </row>
    <row r="401">
      <c r="A401" s="1" t="s">
        <v>1694</v>
      </c>
      <c r="B401" s="1" t="s">
        <v>4110</v>
      </c>
      <c r="C401" s="1" t="s">
        <v>4111</v>
      </c>
      <c r="D401" s="2" t="s">
        <v>4112</v>
      </c>
      <c r="E401" s="2" t="s">
        <v>4089</v>
      </c>
    </row>
    <row r="402">
      <c r="A402" s="1" t="s">
        <v>1697</v>
      </c>
      <c r="B402" s="1" t="s">
        <v>4113</v>
      </c>
      <c r="C402" s="1" t="s">
        <v>4114</v>
      </c>
      <c r="D402" s="2" t="s">
        <v>3851</v>
      </c>
      <c r="E402" s="2" t="s">
        <v>3896</v>
      </c>
    </row>
    <row r="403">
      <c r="A403" s="1" t="s">
        <v>1699</v>
      </c>
      <c r="B403" s="1" t="s">
        <v>4115</v>
      </c>
      <c r="D403" s="2" t="s">
        <v>3844</v>
      </c>
    </row>
    <row r="404">
      <c r="A404" s="1" t="s">
        <v>1703</v>
      </c>
      <c r="B404" s="1" t="s">
        <v>4116</v>
      </c>
      <c r="C404" s="1" t="s">
        <v>4117</v>
      </c>
      <c r="D404" s="2" t="s">
        <v>3430</v>
      </c>
      <c r="E404" s="2" t="s">
        <v>2456</v>
      </c>
    </row>
    <row r="405">
      <c r="A405" s="1" t="s">
        <v>1706</v>
      </c>
      <c r="B405" s="1" t="s">
        <v>4118</v>
      </c>
      <c r="C405" s="1" t="s">
        <v>4119</v>
      </c>
      <c r="D405" s="2" t="s">
        <v>4120</v>
      </c>
      <c r="E405" s="2" t="s">
        <v>2949</v>
      </c>
    </row>
    <row r="406">
      <c r="A406" s="1" t="s">
        <v>1709</v>
      </c>
      <c r="B406" s="2" t="s">
        <v>4121</v>
      </c>
      <c r="C406" s="1" t="s">
        <v>4122</v>
      </c>
      <c r="D406" s="2" t="s">
        <v>3205</v>
      </c>
    </row>
    <row r="407">
      <c r="A407" s="1" t="s">
        <v>1712</v>
      </c>
      <c r="B407" s="1" t="s">
        <v>4123</v>
      </c>
      <c r="C407" s="1" t="s">
        <v>4124</v>
      </c>
      <c r="D407" s="2" t="s">
        <v>4125</v>
      </c>
    </row>
    <row r="408">
      <c r="A408" s="1" t="s">
        <v>1715</v>
      </c>
      <c r="B408" s="1" t="s">
        <v>4126</v>
      </c>
      <c r="C408" s="1" t="s">
        <v>4127</v>
      </c>
      <c r="D408" s="2" t="s">
        <v>3143</v>
      </c>
    </row>
    <row r="409">
      <c r="A409" s="1" t="s">
        <v>1718</v>
      </c>
      <c r="B409" s="2" t="s">
        <v>4128</v>
      </c>
      <c r="C409" s="1" t="s">
        <v>4129</v>
      </c>
      <c r="D409" s="2" t="s">
        <v>4130</v>
      </c>
    </row>
    <row r="410">
      <c r="A410" s="1" t="s">
        <v>1721</v>
      </c>
      <c r="B410" s="1" t="s">
        <v>4131</v>
      </c>
      <c r="C410" s="1" t="s">
        <v>4132</v>
      </c>
      <c r="D410" s="2" t="s">
        <v>3478</v>
      </c>
      <c r="E410" s="2" t="s">
        <v>3037</v>
      </c>
    </row>
    <row r="411">
      <c r="A411" s="1" t="s">
        <v>1723</v>
      </c>
      <c r="B411" s="1" t="s">
        <v>4133</v>
      </c>
      <c r="C411" s="1" t="s">
        <v>4134</v>
      </c>
      <c r="D411" s="2" t="s">
        <v>1172</v>
      </c>
    </row>
    <row r="412">
      <c r="A412" s="1" t="s">
        <v>1726</v>
      </c>
      <c r="B412" s="1" t="s">
        <v>4135</v>
      </c>
      <c r="C412" s="1" t="s">
        <v>4136</v>
      </c>
      <c r="D412" s="2" t="s">
        <v>259</v>
      </c>
      <c r="E412" s="2" t="s">
        <v>191</v>
      </c>
    </row>
    <row r="413">
      <c r="A413" s="1" t="s">
        <v>1730</v>
      </c>
      <c r="B413" s="1" t="s">
        <v>4137</v>
      </c>
      <c r="C413" s="1" t="s">
        <v>4138</v>
      </c>
      <c r="D413" s="2" t="s">
        <v>4139</v>
      </c>
    </row>
    <row r="414">
      <c r="A414" s="1" t="s">
        <v>1732</v>
      </c>
      <c r="B414" s="2" t="s">
        <v>4140</v>
      </c>
      <c r="C414" s="1" t="s">
        <v>4141</v>
      </c>
      <c r="D414" s="2" t="s">
        <v>1705</v>
      </c>
    </row>
    <row r="415">
      <c r="A415" s="1" t="s">
        <v>1735</v>
      </c>
      <c r="B415" s="2" t="s">
        <v>4142</v>
      </c>
      <c r="C415" s="1" t="s">
        <v>4143</v>
      </c>
      <c r="D415" s="2" t="s">
        <v>3193</v>
      </c>
      <c r="E415" s="2" t="s">
        <v>4144</v>
      </c>
    </row>
    <row r="416">
      <c r="A416" s="1" t="s">
        <v>1738</v>
      </c>
      <c r="B416" s="2" t="s">
        <v>4145</v>
      </c>
      <c r="C416" s="1" t="s">
        <v>4146</v>
      </c>
      <c r="D416" s="2" t="s">
        <v>4147</v>
      </c>
      <c r="E416" s="2" t="s">
        <v>3138</v>
      </c>
    </row>
    <row r="417">
      <c r="A417" s="1" t="s">
        <v>1741</v>
      </c>
      <c r="B417" s="2" t="s">
        <v>4148</v>
      </c>
      <c r="C417" s="1" t="s">
        <v>4149</v>
      </c>
    </row>
    <row r="418">
      <c r="A418" s="1" t="s">
        <v>1743</v>
      </c>
      <c r="B418" s="2" t="s">
        <v>4150</v>
      </c>
      <c r="C418" s="1" t="s">
        <v>4151</v>
      </c>
      <c r="D418" s="2" t="s">
        <v>4152</v>
      </c>
      <c r="E418" s="2" t="s">
        <v>3408</v>
      </c>
    </row>
    <row r="419">
      <c r="A419" s="1" t="s">
        <v>1746</v>
      </c>
      <c r="B419" s="1" t="s">
        <v>4153</v>
      </c>
      <c r="C419" s="1" t="s">
        <v>4154</v>
      </c>
      <c r="D419" s="2" t="s">
        <v>3440</v>
      </c>
      <c r="E419" s="2" t="s">
        <v>3365</v>
      </c>
    </row>
    <row r="420">
      <c r="A420" s="1" t="s">
        <v>1750</v>
      </c>
      <c r="B420" s="2" t="s">
        <v>4155</v>
      </c>
      <c r="C420" s="1" t="s">
        <v>4156</v>
      </c>
      <c r="D420" s="2" t="s">
        <v>4157</v>
      </c>
    </row>
    <row r="421">
      <c r="A421" s="1" t="s">
        <v>1752</v>
      </c>
      <c r="B421" s="2" t="s">
        <v>4158</v>
      </c>
      <c r="C421" s="1" t="s">
        <v>4159</v>
      </c>
      <c r="D421" s="2" t="s">
        <v>1604</v>
      </c>
    </row>
    <row r="422">
      <c r="A422" s="1" t="s">
        <v>1755</v>
      </c>
      <c r="B422" s="1" t="s">
        <v>4160</v>
      </c>
      <c r="C422" s="1" t="s">
        <v>4161</v>
      </c>
      <c r="D422" s="2" t="s">
        <v>3910</v>
      </c>
      <c r="E422" s="2" t="s">
        <v>3710</v>
      </c>
    </row>
    <row r="423">
      <c r="A423" s="1" t="s">
        <v>1757</v>
      </c>
      <c r="B423" s="1" t="s">
        <v>4162</v>
      </c>
      <c r="C423" s="1" t="s">
        <v>4163</v>
      </c>
      <c r="D423" s="2" t="s">
        <v>2562</v>
      </c>
    </row>
    <row r="424">
      <c r="A424" s="1" t="s">
        <v>1759</v>
      </c>
      <c r="B424" s="1" t="s">
        <v>4164</v>
      </c>
      <c r="C424" s="1" t="s">
        <v>4165</v>
      </c>
      <c r="D424" s="2" t="s">
        <v>3486</v>
      </c>
      <c r="E424" s="2" t="s">
        <v>4166</v>
      </c>
    </row>
    <row r="425">
      <c r="A425" s="1" t="s">
        <v>1761</v>
      </c>
      <c r="B425" s="2" t="s">
        <v>4167</v>
      </c>
      <c r="C425" s="1" t="s">
        <v>4168</v>
      </c>
      <c r="D425" s="2" t="s">
        <v>3607</v>
      </c>
    </row>
    <row r="426">
      <c r="A426" s="1" t="s">
        <v>1765</v>
      </c>
      <c r="B426" s="1" t="s">
        <v>4169</v>
      </c>
      <c r="C426" s="1" t="s">
        <v>4170</v>
      </c>
      <c r="D426" s="2" t="s">
        <v>1640</v>
      </c>
    </row>
    <row r="427">
      <c r="A427" s="1" t="s">
        <v>1767</v>
      </c>
      <c r="B427" s="2" t="s">
        <v>4171</v>
      </c>
      <c r="C427" s="1" t="s">
        <v>4172</v>
      </c>
      <c r="D427" s="2" t="s">
        <v>3062</v>
      </c>
      <c r="E427" s="2" t="s">
        <v>3498</v>
      </c>
    </row>
    <row r="428">
      <c r="A428" s="1" t="s">
        <v>1770</v>
      </c>
      <c r="B428" s="1" t="s">
        <v>4173</v>
      </c>
      <c r="C428" s="1" t="s">
        <v>4174</v>
      </c>
      <c r="D428" s="2" t="s">
        <v>3643</v>
      </c>
      <c r="E428" s="2" t="s">
        <v>3743</v>
      </c>
    </row>
    <row r="429">
      <c r="A429" s="1" t="s">
        <v>1772</v>
      </c>
      <c r="B429" s="2" t="s">
        <v>4175</v>
      </c>
      <c r="C429" s="1" t="s">
        <v>4176</v>
      </c>
      <c r="D429" s="2" t="s">
        <v>2974</v>
      </c>
      <c r="E429" s="2" t="s">
        <v>3383</v>
      </c>
    </row>
    <row r="430">
      <c r="A430" s="1" t="s">
        <v>1774</v>
      </c>
      <c r="B430" s="2" t="s">
        <v>4177</v>
      </c>
      <c r="D430" s="2" t="s">
        <v>3173</v>
      </c>
    </row>
    <row r="431">
      <c r="A431" s="1" t="s">
        <v>1777</v>
      </c>
      <c r="B431" s="2" t="s">
        <v>4178</v>
      </c>
      <c r="C431" s="1" t="s">
        <v>4179</v>
      </c>
      <c r="D431" s="2" t="s">
        <v>3265</v>
      </c>
      <c r="E431" s="2" t="s">
        <v>4180</v>
      </c>
    </row>
    <row r="432">
      <c r="A432" s="1" t="s">
        <v>1780</v>
      </c>
      <c r="B432" s="1" t="s">
        <v>4181</v>
      </c>
      <c r="C432" s="1" t="s">
        <v>4182</v>
      </c>
      <c r="D432" s="2" t="s">
        <v>3434</v>
      </c>
      <c r="E432" s="2" t="s">
        <v>3514</v>
      </c>
    </row>
    <row r="433">
      <c r="A433" s="1" t="s">
        <v>1781</v>
      </c>
      <c r="C433" s="1" t="s">
        <v>4183</v>
      </c>
    </row>
    <row r="434">
      <c r="A434" s="1" t="s">
        <v>1785</v>
      </c>
      <c r="B434" s="1" t="s">
        <v>4184</v>
      </c>
      <c r="C434" s="1" t="s">
        <v>4185</v>
      </c>
      <c r="D434" s="2" t="s">
        <v>4186</v>
      </c>
      <c r="E434" s="2" t="s">
        <v>3887</v>
      </c>
    </row>
    <row r="435">
      <c r="A435" s="1" t="s">
        <v>1787</v>
      </c>
      <c r="C435" s="1" t="s">
        <v>4187</v>
      </c>
      <c r="D435" s="2" t="s">
        <v>206</v>
      </c>
    </row>
    <row r="436">
      <c r="A436" s="1" t="s">
        <v>1791</v>
      </c>
      <c r="B436" s="1" t="s">
        <v>4188</v>
      </c>
      <c r="D436" s="2" t="s">
        <v>2307</v>
      </c>
    </row>
    <row r="437">
      <c r="A437" s="1" t="s">
        <v>1794</v>
      </c>
      <c r="C437" s="1" t="s">
        <v>4189</v>
      </c>
      <c r="D437" s="2" t="s">
        <v>3550</v>
      </c>
      <c r="E437" s="2" t="s">
        <v>3978</v>
      </c>
    </row>
    <row r="438">
      <c r="A438" s="1" t="s">
        <v>1796</v>
      </c>
      <c r="B438" s="2" t="s">
        <v>4190</v>
      </c>
      <c r="C438" s="1" t="s">
        <v>4191</v>
      </c>
      <c r="D438" s="2" t="s">
        <v>4192</v>
      </c>
    </row>
    <row r="439">
      <c r="A439" s="1" t="s">
        <v>1799</v>
      </c>
      <c r="B439" s="2" t="s">
        <v>4193</v>
      </c>
      <c r="C439" s="1" t="s">
        <v>4194</v>
      </c>
      <c r="D439" s="2" t="s">
        <v>3341</v>
      </c>
      <c r="E439" s="2" t="s">
        <v>3182</v>
      </c>
    </row>
    <row r="440">
      <c r="A440" s="1" t="s">
        <v>1801</v>
      </c>
      <c r="B440" s="1" t="s">
        <v>4195</v>
      </c>
      <c r="C440" s="1" t="s">
        <v>4196</v>
      </c>
      <c r="D440" s="2" t="s">
        <v>3049</v>
      </c>
      <c r="E440" s="2" t="s">
        <v>4197</v>
      </c>
    </row>
    <row r="441">
      <c r="A441" s="1" t="s">
        <v>1803</v>
      </c>
      <c r="B441" s="1" t="s">
        <v>4198</v>
      </c>
      <c r="C441" s="1" t="s">
        <v>4199</v>
      </c>
      <c r="D441" s="2" t="s">
        <v>4026</v>
      </c>
      <c r="E441" s="2" t="s">
        <v>3148</v>
      </c>
    </row>
    <row r="442">
      <c r="A442" s="1" t="s">
        <v>1805</v>
      </c>
      <c r="B442" s="1" t="s">
        <v>4200</v>
      </c>
      <c r="C442" s="1" t="s">
        <v>4201</v>
      </c>
    </row>
    <row r="443">
      <c r="A443" s="1" t="s">
        <v>1808</v>
      </c>
      <c r="B443" s="2" t="s">
        <v>4202</v>
      </c>
      <c r="C443" s="1" t="s">
        <v>4203</v>
      </c>
      <c r="D443" s="2" t="s">
        <v>3574</v>
      </c>
      <c r="E443" s="2" t="s">
        <v>3378</v>
      </c>
    </row>
    <row r="444">
      <c r="A444" s="1" t="s">
        <v>1812</v>
      </c>
      <c r="C444" s="1" t="s">
        <v>4204</v>
      </c>
      <c r="D444" s="2" t="s">
        <v>3727</v>
      </c>
      <c r="E444" s="2" t="s">
        <v>3727</v>
      </c>
    </row>
    <row r="445">
      <c r="A445" s="1" t="s">
        <v>1814</v>
      </c>
      <c r="B445" s="1" t="s">
        <v>4205</v>
      </c>
      <c r="C445" s="1" t="s">
        <v>4206</v>
      </c>
      <c r="D445" s="2" t="s">
        <v>3560</v>
      </c>
    </row>
    <row r="446">
      <c r="A446" s="1" t="s">
        <v>1817</v>
      </c>
      <c r="B446" s="1" t="s">
        <v>4207</v>
      </c>
      <c r="C446" s="1" t="s">
        <v>4208</v>
      </c>
      <c r="D446" s="2" t="s">
        <v>3130</v>
      </c>
    </row>
    <row r="447">
      <c r="A447" s="1" t="s">
        <v>1819</v>
      </c>
      <c r="B447" s="1" t="s">
        <v>4209</v>
      </c>
      <c r="C447" s="1" t="s">
        <v>4210</v>
      </c>
    </row>
    <row r="448">
      <c r="A448" s="1" t="s">
        <v>1822</v>
      </c>
      <c r="B448" s="1" t="s">
        <v>4211</v>
      </c>
      <c r="C448" s="1" t="s">
        <v>4212</v>
      </c>
      <c r="D448" s="2" t="s">
        <v>3035</v>
      </c>
      <c r="E448" s="2" t="s">
        <v>4197</v>
      </c>
    </row>
    <row r="449">
      <c r="A449" s="1" t="s">
        <v>1825</v>
      </c>
      <c r="B449" s="2" t="s">
        <v>4213</v>
      </c>
      <c r="C449" s="1" t="s">
        <v>4214</v>
      </c>
      <c r="D449" s="2" t="s">
        <v>3030</v>
      </c>
      <c r="E449" s="2" t="s">
        <v>4086</v>
      </c>
    </row>
    <row r="450">
      <c r="A450" s="1" t="s">
        <v>1828</v>
      </c>
      <c r="B450" s="1" t="s">
        <v>4215</v>
      </c>
      <c r="C450" s="1" t="s">
        <v>4216</v>
      </c>
      <c r="D450" s="2" t="s">
        <v>4217</v>
      </c>
      <c r="E450" s="2" t="s">
        <v>79</v>
      </c>
    </row>
    <row r="451">
      <c r="A451" s="1" t="s">
        <v>1831</v>
      </c>
      <c r="C451" s="1" t="s">
        <v>4218</v>
      </c>
      <c r="D451" s="2" t="s">
        <v>1475</v>
      </c>
      <c r="E451" s="2" t="s">
        <v>4219</v>
      </c>
    </row>
    <row r="452">
      <c r="A452" s="1" t="s">
        <v>1833</v>
      </c>
      <c r="B452" s="2" t="s">
        <v>4220</v>
      </c>
      <c r="C452" s="1" t="s">
        <v>4221</v>
      </c>
      <c r="D452" s="2" t="s">
        <v>3614</v>
      </c>
    </row>
    <row r="453">
      <c r="A453" s="1" t="s">
        <v>1834</v>
      </c>
      <c r="B453" s="2" t="s">
        <v>4222</v>
      </c>
      <c r="C453" s="1" t="s">
        <v>4223</v>
      </c>
      <c r="D453" s="2" t="s">
        <v>3388</v>
      </c>
      <c r="E453" s="2" t="s">
        <v>322</v>
      </c>
    </row>
    <row r="454">
      <c r="A454" s="1" t="s">
        <v>1838</v>
      </c>
      <c r="B454" s="2" t="s">
        <v>4224</v>
      </c>
      <c r="D454" s="2" t="s">
        <v>3294</v>
      </c>
      <c r="E454" s="2" t="s">
        <v>4225</v>
      </c>
    </row>
    <row r="455">
      <c r="A455" s="1" t="s">
        <v>1840</v>
      </c>
      <c r="B455" s="1" t="s">
        <v>4226</v>
      </c>
      <c r="C455" s="1" t="s">
        <v>4227</v>
      </c>
      <c r="D455" s="2" t="s">
        <v>3693</v>
      </c>
      <c r="E455" s="2" t="s">
        <v>2062</v>
      </c>
    </row>
    <row r="456">
      <c r="A456" s="1" t="s">
        <v>1843</v>
      </c>
      <c r="B456" s="1" t="s">
        <v>4228</v>
      </c>
      <c r="C456" s="1" t="s">
        <v>4229</v>
      </c>
      <c r="D456" s="2" t="s">
        <v>2227</v>
      </c>
      <c r="E456" s="2" t="s">
        <v>4230</v>
      </c>
    </row>
    <row r="457">
      <c r="A457" s="1" t="s">
        <v>1846</v>
      </c>
      <c r="C457" s="1" t="s">
        <v>4231</v>
      </c>
      <c r="D457" s="2" t="s">
        <v>4232</v>
      </c>
      <c r="E457" s="2" t="s">
        <v>4233</v>
      </c>
    </row>
    <row r="458">
      <c r="A458" s="1" t="s">
        <v>1848</v>
      </c>
      <c r="B458" s="1" t="s">
        <v>4234</v>
      </c>
      <c r="C458" s="1" t="s">
        <v>4235</v>
      </c>
      <c r="D458" s="2" t="s">
        <v>4236</v>
      </c>
    </row>
    <row r="459">
      <c r="A459" s="1" t="s">
        <v>1851</v>
      </c>
      <c r="B459" s="2" t="s">
        <v>4237</v>
      </c>
      <c r="C459" s="1" t="s">
        <v>4238</v>
      </c>
    </row>
    <row r="460">
      <c r="A460" s="1" t="s">
        <v>1852</v>
      </c>
      <c r="B460" s="1" t="s">
        <v>4239</v>
      </c>
      <c r="C460" s="1" t="s">
        <v>4240</v>
      </c>
      <c r="D460" s="2" t="s">
        <v>1390</v>
      </c>
    </row>
    <row r="461">
      <c r="A461" s="1" t="s">
        <v>1855</v>
      </c>
      <c r="B461" s="2" t="s">
        <v>4241</v>
      </c>
      <c r="C461" s="1" t="s">
        <v>4242</v>
      </c>
      <c r="D461" s="2" t="s">
        <v>3468</v>
      </c>
      <c r="E461" s="2" t="s">
        <v>3291</v>
      </c>
    </row>
    <row r="462">
      <c r="A462" s="1" t="s">
        <v>1858</v>
      </c>
      <c r="B462" s="1" t="s">
        <v>4243</v>
      </c>
      <c r="C462" s="1" t="s">
        <v>4244</v>
      </c>
      <c r="D462" s="2" t="s">
        <v>440</v>
      </c>
    </row>
    <row r="463">
      <c r="A463" s="1" t="s">
        <v>1861</v>
      </c>
      <c r="B463" s="1" t="s">
        <v>4245</v>
      </c>
      <c r="C463" s="1" t="s">
        <v>4246</v>
      </c>
      <c r="D463" s="2" t="s">
        <v>3153</v>
      </c>
    </row>
    <row r="464">
      <c r="A464" s="1" t="s">
        <v>1864</v>
      </c>
      <c r="C464" s="1" t="s">
        <v>4247</v>
      </c>
      <c r="D464" s="2" t="s">
        <v>4248</v>
      </c>
      <c r="E464" s="2" t="s">
        <v>3099</v>
      </c>
    </row>
    <row r="465">
      <c r="A465" s="1" t="s">
        <v>1866</v>
      </c>
      <c r="B465" s="2" t="s">
        <v>4249</v>
      </c>
      <c r="C465" s="1" t="s">
        <v>4250</v>
      </c>
      <c r="D465" s="2" t="s">
        <v>3279</v>
      </c>
      <c r="E465" s="2" t="s">
        <v>2213</v>
      </c>
    </row>
    <row r="466">
      <c r="A466" s="1" t="s">
        <v>1869</v>
      </c>
      <c r="B466" s="1" t="s">
        <v>4251</v>
      </c>
      <c r="C466" s="1" t="s">
        <v>3229</v>
      </c>
      <c r="D466" s="2" t="s">
        <v>587</v>
      </c>
    </row>
    <row r="467">
      <c r="A467" s="1" t="s">
        <v>1870</v>
      </c>
      <c r="B467" s="1" t="s">
        <v>4252</v>
      </c>
      <c r="C467" s="1" t="s">
        <v>4253</v>
      </c>
      <c r="D467" s="2" t="s">
        <v>3003</v>
      </c>
      <c r="E467" s="2" t="s">
        <v>3424</v>
      </c>
    </row>
    <row r="468">
      <c r="A468" s="1" t="s">
        <v>1874</v>
      </c>
      <c r="B468" s="2" t="s">
        <v>4254</v>
      </c>
      <c r="C468" s="1" t="s">
        <v>4255</v>
      </c>
      <c r="D468" s="2" t="s">
        <v>3416</v>
      </c>
      <c r="E468" s="2" t="s">
        <v>2657</v>
      </c>
    </row>
    <row r="469">
      <c r="A469" s="1" t="s">
        <v>1878</v>
      </c>
      <c r="B469" s="2" t="s">
        <v>4256</v>
      </c>
      <c r="C469" s="1" t="s">
        <v>4257</v>
      </c>
      <c r="D469" s="2" t="s">
        <v>4258</v>
      </c>
      <c r="E469" s="2" t="s">
        <v>3306</v>
      </c>
    </row>
    <row r="470">
      <c r="A470" s="1" t="s">
        <v>1880</v>
      </c>
      <c r="B470" s="1" t="s">
        <v>4259</v>
      </c>
      <c r="C470" s="1" t="s">
        <v>4260</v>
      </c>
    </row>
    <row r="471">
      <c r="A471" s="1" t="s">
        <v>1882</v>
      </c>
      <c r="B471" s="2" t="s">
        <v>4261</v>
      </c>
      <c r="C471" s="1" t="s">
        <v>4262</v>
      </c>
      <c r="D471" s="2" t="s">
        <v>4263</v>
      </c>
    </row>
    <row r="472">
      <c r="A472" s="1" t="s">
        <v>1884</v>
      </c>
      <c r="B472" s="1" t="s">
        <v>4264</v>
      </c>
      <c r="C472" s="1" t="s">
        <v>4265</v>
      </c>
      <c r="D472" s="2" t="s">
        <v>3563</v>
      </c>
      <c r="E472" s="2" t="s">
        <v>3577</v>
      </c>
    </row>
    <row r="473">
      <c r="A473" s="1" t="s">
        <v>1887</v>
      </c>
      <c r="B473" s="1" t="s">
        <v>4266</v>
      </c>
      <c r="C473" s="1" t="s">
        <v>4267</v>
      </c>
      <c r="D473" s="2" t="s">
        <v>2913</v>
      </c>
      <c r="E473" s="2" t="s">
        <v>4268</v>
      </c>
    </row>
    <row r="474">
      <c r="A474" s="1" t="s">
        <v>1889</v>
      </c>
      <c r="B474" s="2" t="s">
        <v>4269</v>
      </c>
      <c r="C474" s="1" t="s">
        <v>4270</v>
      </c>
      <c r="D474" s="2" t="s">
        <v>4271</v>
      </c>
      <c r="E474" s="2" t="s">
        <v>3887</v>
      </c>
    </row>
    <row r="475">
      <c r="A475" s="1" t="s">
        <v>1892</v>
      </c>
      <c r="B475" s="1" t="s">
        <v>4272</v>
      </c>
      <c r="C475" s="1" t="s">
        <v>4273</v>
      </c>
      <c r="D475" s="2" t="s">
        <v>4248</v>
      </c>
    </row>
    <row r="476">
      <c r="A476" s="1" t="s">
        <v>1895</v>
      </c>
      <c r="B476" s="2" t="s">
        <v>4274</v>
      </c>
      <c r="C476" s="1" t="s">
        <v>4275</v>
      </c>
      <c r="D476" s="2" t="s">
        <v>1526</v>
      </c>
    </row>
    <row r="477">
      <c r="A477" s="1" t="s">
        <v>1897</v>
      </c>
      <c r="B477" s="2" t="s">
        <v>4276</v>
      </c>
      <c r="C477" s="1" t="s">
        <v>4277</v>
      </c>
      <c r="D477" s="2" t="s">
        <v>4278</v>
      </c>
      <c r="E477" s="2" t="s">
        <v>3212</v>
      </c>
    </row>
    <row r="478">
      <c r="A478" s="1" t="s">
        <v>1900</v>
      </c>
      <c r="B478" s="1" t="s">
        <v>4279</v>
      </c>
      <c r="C478" s="1" t="s">
        <v>4280</v>
      </c>
    </row>
    <row r="479">
      <c r="A479" s="1" t="s">
        <v>1902</v>
      </c>
      <c r="B479" s="1" t="s">
        <v>4281</v>
      </c>
      <c r="C479" s="1" t="s">
        <v>4282</v>
      </c>
      <c r="D479" s="2" t="s">
        <v>4197</v>
      </c>
      <c r="E479" s="2" t="s">
        <v>1057</v>
      </c>
    </row>
    <row r="480">
      <c r="A480" s="1" t="s">
        <v>1905</v>
      </c>
      <c r="B480" s="1" t="s">
        <v>4283</v>
      </c>
      <c r="C480" s="1" t="s">
        <v>4284</v>
      </c>
      <c r="D480" s="2" t="s">
        <v>3279</v>
      </c>
    </row>
    <row r="481">
      <c r="A481" s="1" t="s">
        <v>1906</v>
      </c>
      <c r="C481" s="1" t="s">
        <v>4285</v>
      </c>
      <c r="D481" s="2" t="s">
        <v>3906</v>
      </c>
      <c r="E481" s="2" t="s">
        <v>4062</v>
      </c>
    </row>
    <row r="482">
      <c r="A482" s="1" t="s">
        <v>1908</v>
      </c>
      <c r="B482" s="1" t="s">
        <v>4286</v>
      </c>
      <c r="C482" s="1" t="s">
        <v>4287</v>
      </c>
      <c r="D482" s="2" t="s">
        <v>3623</v>
      </c>
    </row>
    <row r="483">
      <c r="A483" s="1" t="s">
        <v>1911</v>
      </c>
      <c r="B483" s="2" t="s">
        <v>4288</v>
      </c>
      <c r="C483" s="1" t="s">
        <v>4289</v>
      </c>
      <c r="D483" s="2" t="s">
        <v>2913</v>
      </c>
      <c r="E483" s="2" t="s">
        <v>4268</v>
      </c>
    </row>
    <row r="484">
      <c r="A484" s="1" t="s">
        <v>1913</v>
      </c>
      <c r="B484" s="2" t="s">
        <v>4290</v>
      </c>
      <c r="C484" s="1" t="s">
        <v>4291</v>
      </c>
      <c r="D484" s="2" t="s">
        <v>3710</v>
      </c>
    </row>
    <row r="485">
      <c r="A485" s="1" t="s">
        <v>1915</v>
      </c>
      <c r="B485" s="1" t="s">
        <v>4292</v>
      </c>
      <c r="C485" s="1" t="s">
        <v>4293</v>
      </c>
      <c r="D485" s="2" t="s">
        <v>1420</v>
      </c>
    </row>
    <row r="486">
      <c r="A486" s="1" t="s">
        <v>1919</v>
      </c>
      <c r="B486" s="1" t="s">
        <v>4294</v>
      </c>
      <c r="C486" s="1" t="s">
        <v>4295</v>
      </c>
      <c r="D486" s="2" t="s">
        <v>3560</v>
      </c>
      <c r="E486" s="2" t="s">
        <v>3707</v>
      </c>
    </row>
    <row r="487">
      <c r="A487" s="1" t="s">
        <v>1921</v>
      </c>
      <c r="B487" s="1" t="s">
        <v>4296</v>
      </c>
      <c r="C487" s="1" t="s">
        <v>4297</v>
      </c>
      <c r="D487" s="2" t="s">
        <v>4089</v>
      </c>
      <c r="E487" s="2" t="s">
        <v>39</v>
      </c>
    </row>
    <row r="488">
      <c r="A488" s="1" t="s">
        <v>1924</v>
      </c>
      <c r="B488" s="2" t="s">
        <v>4298</v>
      </c>
      <c r="C488" s="1" t="s">
        <v>4299</v>
      </c>
      <c r="D488" s="2" t="s">
        <v>4217</v>
      </c>
      <c r="E488" s="2" t="s">
        <v>1580</v>
      </c>
    </row>
    <row r="489">
      <c r="A489" s="1" t="s">
        <v>1925</v>
      </c>
      <c r="B489" s="1" t="s">
        <v>4300</v>
      </c>
      <c r="C489" s="1" t="s">
        <v>4301</v>
      </c>
      <c r="D489" s="2" t="s">
        <v>2007</v>
      </c>
    </row>
    <row r="490">
      <c r="A490" s="1" t="s">
        <v>1928</v>
      </c>
      <c r="B490" s="1" t="s">
        <v>4302</v>
      </c>
      <c r="C490" s="1" t="s">
        <v>4303</v>
      </c>
      <c r="D490" s="2" t="s">
        <v>2169</v>
      </c>
      <c r="E490" s="2" t="s">
        <v>3206</v>
      </c>
    </row>
    <row r="491">
      <c r="A491" s="1" t="s">
        <v>1931</v>
      </c>
      <c r="B491" s="1" t="s">
        <v>4304</v>
      </c>
      <c r="C491" s="1" t="s">
        <v>4305</v>
      </c>
      <c r="D491" s="2" t="s">
        <v>3028</v>
      </c>
    </row>
    <row r="492">
      <c r="A492" s="1" t="s">
        <v>1933</v>
      </c>
      <c r="B492" s="2" t="s">
        <v>4306</v>
      </c>
      <c r="D492" s="2" t="s">
        <v>2975</v>
      </c>
      <c r="E492" s="2" t="s">
        <v>3224</v>
      </c>
    </row>
    <row r="493">
      <c r="A493" s="1" t="s">
        <v>1935</v>
      </c>
      <c r="B493" s="1" t="s">
        <v>4307</v>
      </c>
      <c r="C493" s="1" t="s">
        <v>4308</v>
      </c>
      <c r="D493" s="2" t="s">
        <v>2493</v>
      </c>
      <c r="E493" s="2" t="s">
        <v>3665</v>
      </c>
    </row>
    <row r="494">
      <c r="A494" s="1" t="s">
        <v>1938</v>
      </c>
      <c r="B494" s="1" t="s">
        <v>4309</v>
      </c>
      <c r="C494" s="1" t="s">
        <v>4310</v>
      </c>
      <c r="D494" s="2" t="s">
        <v>3701</v>
      </c>
      <c r="E494" s="2" t="s">
        <v>3446</v>
      </c>
    </row>
    <row r="495">
      <c r="A495" s="1" t="s">
        <v>1942</v>
      </c>
      <c r="B495" s="1" t="s">
        <v>4311</v>
      </c>
      <c r="C495" s="1" t="s">
        <v>4312</v>
      </c>
      <c r="D495" s="2" t="s">
        <v>3753</v>
      </c>
    </row>
    <row r="496">
      <c r="A496" s="1" t="s">
        <v>1943</v>
      </c>
      <c r="B496" s="1" t="s">
        <v>4313</v>
      </c>
      <c r="C496" s="1" t="s">
        <v>4314</v>
      </c>
      <c r="D496" s="2" t="s">
        <v>4315</v>
      </c>
      <c r="E496" s="2" t="s">
        <v>4316</v>
      </c>
    </row>
    <row r="497">
      <c r="A497" s="1" t="s">
        <v>1947</v>
      </c>
      <c r="B497" s="1" t="s">
        <v>4317</v>
      </c>
      <c r="C497" s="1" t="s">
        <v>4318</v>
      </c>
      <c r="D497" s="2" t="s">
        <v>3341</v>
      </c>
    </row>
    <row r="498">
      <c r="A498" s="1" t="s">
        <v>1950</v>
      </c>
      <c r="B498" s="1" t="s">
        <v>4319</v>
      </c>
      <c r="C498" s="1" t="s">
        <v>4320</v>
      </c>
      <c r="D498" s="2" t="s">
        <v>3119</v>
      </c>
    </row>
    <row r="499">
      <c r="A499" s="1" t="s">
        <v>1954</v>
      </c>
      <c r="B499" s="1" t="s">
        <v>4321</v>
      </c>
      <c r="C499" s="1" t="s">
        <v>4322</v>
      </c>
      <c r="D499" s="2" t="s">
        <v>4023</v>
      </c>
    </row>
    <row r="500">
      <c r="A500" s="1" t="s">
        <v>1957</v>
      </c>
      <c r="B500" s="1" t="s">
        <v>4323</v>
      </c>
      <c r="C500" s="1" t="s">
        <v>4324</v>
      </c>
      <c r="D500" s="2" t="s">
        <v>180</v>
      </c>
      <c r="E500" s="2" t="s">
        <v>4325</v>
      </c>
    </row>
    <row r="501">
      <c r="A501" s="1" t="s">
        <v>1959</v>
      </c>
      <c r="B501" s="1" t="s">
        <v>4326</v>
      </c>
      <c r="C501" s="1" t="s">
        <v>4327</v>
      </c>
      <c r="D501" s="2" t="s">
        <v>3238</v>
      </c>
      <c r="E501" s="2" t="s">
        <v>3727</v>
      </c>
    </row>
    <row r="502">
      <c r="A502" s="1" t="s">
        <v>1962</v>
      </c>
      <c r="B502" s="1" t="s">
        <v>4328</v>
      </c>
      <c r="C502" s="1" t="s">
        <v>4329</v>
      </c>
      <c r="D502" s="2" t="s">
        <v>4330</v>
      </c>
      <c r="E502" s="2" t="s">
        <v>2863</v>
      </c>
    </row>
    <row r="503">
      <c r="A503" s="1" t="s">
        <v>1964</v>
      </c>
      <c r="B503" s="2" t="s">
        <v>4331</v>
      </c>
      <c r="D503" s="2" t="s">
        <v>3143</v>
      </c>
    </row>
    <row r="504">
      <c r="A504" s="1" t="s">
        <v>1966</v>
      </c>
      <c r="B504" s="1" t="s">
        <v>4332</v>
      </c>
      <c r="C504" s="1" t="s">
        <v>4333</v>
      </c>
      <c r="D504" s="2" t="s">
        <v>322</v>
      </c>
      <c r="E504" s="2" t="s">
        <v>3385</v>
      </c>
    </row>
    <row r="505">
      <c r="A505" s="1" t="s">
        <v>1968</v>
      </c>
      <c r="B505" s="2" t="s">
        <v>4334</v>
      </c>
      <c r="C505" s="1" t="s">
        <v>4318</v>
      </c>
      <c r="D505" s="2" t="s">
        <v>485</v>
      </c>
      <c r="E505" s="2" t="s">
        <v>2922</v>
      </c>
    </row>
    <row r="506">
      <c r="A506" s="1" t="s">
        <v>1971</v>
      </c>
      <c r="B506" s="1" t="s">
        <v>4335</v>
      </c>
      <c r="C506" s="1" t="s">
        <v>4336</v>
      </c>
      <c r="D506" s="2" t="s">
        <v>3160</v>
      </c>
      <c r="E506" s="2" t="s">
        <v>2894</v>
      </c>
    </row>
    <row r="507">
      <c r="A507" s="1" t="s">
        <v>1973</v>
      </c>
      <c r="B507" s="1" t="s">
        <v>4337</v>
      </c>
      <c r="D507" s="2" t="s">
        <v>4338</v>
      </c>
    </row>
    <row r="508">
      <c r="A508" s="1" t="s">
        <v>1977</v>
      </c>
      <c r="B508" s="1" t="s">
        <v>4339</v>
      </c>
      <c r="C508" s="1" t="s">
        <v>4340</v>
      </c>
      <c r="D508" s="2" t="s">
        <v>3762</v>
      </c>
      <c r="E508" s="2" t="s">
        <v>3841</v>
      </c>
    </row>
    <row r="509">
      <c r="A509" s="1" t="s">
        <v>1979</v>
      </c>
      <c r="B509" s="1" t="s">
        <v>4341</v>
      </c>
      <c r="C509" s="1" t="s">
        <v>4342</v>
      </c>
      <c r="D509" s="2" t="s">
        <v>3052</v>
      </c>
      <c r="E509" s="2" t="s">
        <v>354</v>
      </c>
    </row>
    <row r="510">
      <c r="A510" s="1" t="s">
        <v>1982</v>
      </c>
      <c r="B510" s="2" t="s">
        <v>4343</v>
      </c>
      <c r="C510" s="1" t="s">
        <v>4344</v>
      </c>
      <c r="D510" s="2" t="s">
        <v>3062</v>
      </c>
      <c r="E510" s="2" t="s">
        <v>2845</v>
      </c>
    </row>
    <row r="511">
      <c r="A511" s="1" t="s">
        <v>1984</v>
      </c>
      <c r="B511" s="1" t="s">
        <v>4345</v>
      </c>
      <c r="C511" s="1" t="s">
        <v>4346</v>
      </c>
      <c r="D511" s="2" t="s">
        <v>3665</v>
      </c>
      <c r="E511" s="2" t="s">
        <v>3189</v>
      </c>
    </row>
    <row r="512">
      <c r="A512" s="1" t="s">
        <v>1987</v>
      </c>
      <c r="B512" s="1" t="s">
        <v>4347</v>
      </c>
      <c r="D512" s="2" t="s">
        <v>3262</v>
      </c>
    </row>
    <row r="513">
      <c r="A513" s="1" t="s">
        <v>1990</v>
      </c>
      <c r="B513" s="1" t="s">
        <v>4348</v>
      </c>
      <c r="C513" s="1" t="s">
        <v>4349</v>
      </c>
      <c r="D513" s="2" t="s">
        <v>1926</v>
      </c>
    </row>
    <row r="514">
      <c r="A514" s="1" t="s">
        <v>1994</v>
      </c>
      <c r="B514" s="1" t="s">
        <v>4350</v>
      </c>
      <c r="C514" s="1" t="s">
        <v>4351</v>
      </c>
      <c r="D514" s="2" t="s">
        <v>3622</v>
      </c>
    </row>
    <row r="515">
      <c r="A515" s="1" t="s">
        <v>1997</v>
      </c>
      <c r="B515" s="2" t="s">
        <v>4352</v>
      </c>
      <c r="C515" s="1" t="s">
        <v>4353</v>
      </c>
      <c r="D515" s="2" t="s">
        <v>2559</v>
      </c>
    </row>
    <row r="516">
      <c r="A516" s="1" t="s">
        <v>1999</v>
      </c>
      <c r="B516" s="1" t="s">
        <v>4354</v>
      </c>
      <c r="C516" s="1" t="s">
        <v>4355</v>
      </c>
    </row>
    <row r="517">
      <c r="A517" s="1" t="s">
        <v>2001</v>
      </c>
      <c r="B517" s="2" t="s">
        <v>4356</v>
      </c>
      <c r="C517" s="1" t="s">
        <v>4357</v>
      </c>
      <c r="D517" s="2" t="s">
        <v>4157</v>
      </c>
    </row>
    <row r="518">
      <c r="A518" s="1" t="s">
        <v>2003</v>
      </c>
      <c r="B518" s="1" t="s">
        <v>4358</v>
      </c>
      <c r="C518" s="1" t="s">
        <v>4359</v>
      </c>
      <c r="D518" s="2" t="s">
        <v>3761</v>
      </c>
      <c r="E518" s="2" t="s">
        <v>322</v>
      </c>
    </row>
    <row r="519">
      <c r="A519" s="1" t="s">
        <v>2006</v>
      </c>
      <c r="B519" s="1" t="s">
        <v>4360</v>
      </c>
      <c r="C519" s="1" t="s">
        <v>4117</v>
      </c>
      <c r="D519" s="2" t="s">
        <v>3622</v>
      </c>
    </row>
    <row r="520">
      <c r="A520" s="1" t="s">
        <v>2010</v>
      </c>
      <c r="B520" s="1" t="s">
        <v>4361</v>
      </c>
      <c r="C520" s="1" t="s">
        <v>4362</v>
      </c>
      <c r="D520" s="2" t="s">
        <v>3978</v>
      </c>
      <c r="E520" s="2" t="s">
        <v>3587</v>
      </c>
    </row>
    <row r="521">
      <c r="A521" s="1" t="s">
        <v>2012</v>
      </c>
      <c r="B521" s="2" t="s">
        <v>4363</v>
      </c>
      <c r="C521" s="1" t="s">
        <v>4364</v>
      </c>
      <c r="D521" s="2" t="s">
        <v>4130</v>
      </c>
    </row>
    <row r="522">
      <c r="A522" s="1" t="s">
        <v>2016</v>
      </c>
      <c r="B522" s="1" t="s">
        <v>4365</v>
      </c>
      <c r="C522" s="1" t="s">
        <v>4366</v>
      </c>
      <c r="D522" s="2" t="s">
        <v>2922</v>
      </c>
      <c r="E522" s="2" t="s">
        <v>3176</v>
      </c>
    </row>
    <row r="523">
      <c r="A523" s="1" t="s">
        <v>2018</v>
      </c>
      <c r="B523" s="1" t="s">
        <v>4367</v>
      </c>
      <c r="C523" s="1" t="s">
        <v>4368</v>
      </c>
      <c r="D523" s="2" t="s">
        <v>3495</v>
      </c>
      <c r="E523" s="2" t="s">
        <v>3185</v>
      </c>
    </row>
    <row r="524">
      <c r="A524" s="1" t="s">
        <v>2021</v>
      </c>
      <c r="B524" s="1" t="s">
        <v>4369</v>
      </c>
      <c r="C524" s="1" t="s">
        <v>4370</v>
      </c>
      <c r="D524" s="2" t="s">
        <v>4371</v>
      </c>
    </row>
    <row r="525">
      <c r="A525" s="1" t="s">
        <v>2023</v>
      </c>
      <c r="B525" s="1" t="s">
        <v>4372</v>
      </c>
      <c r="C525" s="1" t="s">
        <v>4373</v>
      </c>
      <c r="D525" s="2" t="s">
        <v>4374</v>
      </c>
      <c r="E525" s="2" t="s">
        <v>2861</v>
      </c>
    </row>
    <row r="526">
      <c r="A526" s="1" t="s">
        <v>2025</v>
      </c>
      <c r="B526" s="1" t="s">
        <v>4375</v>
      </c>
      <c r="C526" s="1" t="s">
        <v>4376</v>
      </c>
      <c r="D526" s="2" t="s">
        <v>4377</v>
      </c>
      <c r="E526" s="2" t="s">
        <v>3182</v>
      </c>
    </row>
    <row r="527">
      <c r="A527" s="1" t="s">
        <v>2028</v>
      </c>
      <c r="B527" s="1" t="s">
        <v>4378</v>
      </c>
      <c r="C527" s="1" t="s">
        <v>4379</v>
      </c>
      <c r="D527" s="2" t="s">
        <v>3626</v>
      </c>
      <c r="E527" s="2" t="s">
        <v>3727</v>
      </c>
    </row>
    <row r="528">
      <c r="A528" s="1" t="s">
        <v>2029</v>
      </c>
      <c r="B528" s="1" t="s">
        <v>4380</v>
      </c>
      <c r="C528" s="1" t="s">
        <v>4381</v>
      </c>
      <c r="D528" s="2" t="s">
        <v>1125</v>
      </c>
      <c r="E528" s="2" t="s">
        <v>1125</v>
      </c>
    </row>
    <row r="529">
      <c r="A529" s="1" t="s">
        <v>2030</v>
      </c>
      <c r="B529" s="2" t="s">
        <v>4382</v>
      </c>
      <c r="C529" s="1" t="s">
        <v>4383</v>
      </c>
      <c r="D529" s="2" t="s">
        <v>3674</v>
      </c>
      <c r="E529" s="2" t="s">
        <v>4032</v>
      </c>
    </row>
    <row r="530">
      <c r="A530" s="1" t="s">
        <v>2033</v>
      </c>
      <c r="B530" s="1" t="s">
        <v>4384</v>
      </c>
      <c r="C530" s="1" t="s">
        <v>4385</v>
      </c>
      <c r="D530" s="2" t="s">
        <v>2790</v>
      </c>
    </row>
    <row r="531">
      <c r="A531" s="1" t="s">
        <v>2036</v>
      </c>
      <c r="B531" s="1" t="s">
        <v>4386</v>
      </c>
      <c r="C531" s="1" t="s">
        <v>4387</v>
      </c>
      <c r="D531" s="2" t="s">
        <v>2986</v>
      </c>
      <c r="E531" s="2" t="s">
        <v>4388</v>
      </c>
    </row>
    <row r="532">
      <c r="A532" s="1" t="s">
        <v>2038</v>
      </c>
      <c r="B532" s="1" t="s">
        <v>4389</v>
      </c>
      <c r="C532" s="1" t="s">
        <v>4390</v>
      </c>
      <c r="D532" s="2" t="s">
        <v>485</v>
      </c>
      <c r="E532" s="2" t="s">
        <v>3362</v>
      </c>
    </row>
    <row r="533">
      <c r="A533" s="1" t="s">
        <v>2041</v>
      </c>
      <c r="B533" s="1" t="s">
        <v>4391</v>
      </c>
      <c r="C533" s="1" t="s">
        <v>4392</v>
      </c>
      <c r="D533" s="2" t="s">
        <v>3227</v>
      </c>
    </row>
    <row r="534">
      <c r="A534" s="1" t="s">
        <v>2044</v>
      </c>
      <c r="B534" s="1" t="s">
        <v>4393</v>
      </c>
      <c r="C534" s="1" t="s">
        <v>4394</v>
      </c>
      <c r="D534" s="2" t="s">
        <v>697</v>
      </c>
      <c r="E534" s="2" t="s">
        <v>4166</v>
      </c>
    </row>
    <row r="535">
      <c r="A535" s="1" t="s">
        <v>2046</v>
      </c>
      <c r="B535" s="1" t="s">
        <v>4395</v>
      </c>
      <c r="C535" s="1" t="s">
        <v>4396</v>
      </c>
      <c r="D535" s="2" t="s">
        <v>3901</v>
      </c>
    </row>
    <row r="536">
      <c r="A536" s="1" t="s">
        <v>2048</v>
      </c>
      <c r="B536" s="1" t="s">
        <v>4397</v>
      </c>
      <c r="C536" s="1" t="s">
        <v>4398</v>
      </c>
      <c r="D536" s="2" t="s">
        <v>3407</v>
      </c>
      <c r="E536" s="2" t="s">
        <v>3600</v>
      </c>
    </row>
    <row r="537">
      <c r="A537" s="1" t="s">
        <v>2052</v>
      </c>
      <c r="B537" s="2" t="s">
        <v>4399</v>
      </c>
      <c r="C537" s="1" t="s">
        <v>4400</v>
      </c>
      <c r="D537" s="2" t="s">
        <v>2949</v>
      </c>
    </row>
    <row r="538">
      <c r="A538" s="1" t="s">
        <v>2055</v>
      </c>
      <c r="C538" s="1" t="s">
        <v>4401</v>
      </c>
      <c r="D538" s="2" t="s">
        <v>2986</v>
      </c>
    </row>
    <row r="539">
      <c r="A539" s="1" t="s">
        <v>2057</v>
      </c>
      <c r="B539" s="2" t="s">
        <v>4402</v>
      </c>
      <c r="C539" s="1" t="s">
        <v>4403</v>
      </c>
      <c r="D539" s="2" t="s">
        <v>3193</v>
      </c>
    </row>
    <row r="540">
      <c r="A540" s="1" t="s">
        <v>2060</v>
      </c>
      <c r="C540" s="1" t="s">
        <v>4404</v>
      </c>
      <c r="D540" s="2" t="s">
        <v>1547</v>
      </c>
    </row>
    <row r="541">
      <c r="A541" s="1" t="s">
        <v>2063</v>
      </c>
      <c r="B541" s="1" t="s">
        <v>4405</v>
      </c>
      <c r="C541" s="1" t="s">
        <v>4406</v>
      </c>
      <c r="D541" s="2" t="s">
        <v>3199</v>
      </c>
      <c r="E541" s="2" t="s">
        <v>2347</v>
      </c>
    </row>
    <row r="542">
      <c r="A542" s="1" t="s">
        <v>2071</v>
      </c>
      <c r="B542" s="1" t="s">
        <v>4407</v>
      </c>
      <c r="C542" s="1" t="s">
        <v>4408</v>
      </c>
      <c r="D542" s="2" t="s">
        <v>3391</v>
      </c>
    </row>
    <row r="543">
      <c r="A543" s="1" t="s">
        <v>2076</v>
      </c>
      <c r="B543" s="2" t="s">
        <v>4409</v>
      </c>
      <c r="C543" s="1" t="s">
        <v>4410</v>
      </c>
      <c r="D543" s="2" t="s">
        <v>4411</v>
      </c>
      <c r="E543" s="2" t="s">
        <v>3253</v>
      </c>
    </row>
    <row r="544">
      <c r="A544" s="1" t="s">
        <v>2081</v>
      </c>
      <c r="B544" s="2" t="s">
        <v>4412</v>
      </c>
      <c r="C544" s="1" t="s">
        <v>4413</v>
      </c>
      <c r="D544" s="2" t="s">
        <v>3215</v>
      </c>
    </row>
    <row r="545">
      <c r="A545" s="1" t="s">
        <v>2085</v>
      </c>
      <c r="B545" s="1" t="s">
        <v>4414</v>
      </c>
      <c r="D545" s="2" t="s">
        <v>3724</v>
      </c>
      <c r="E545" s="2" t="s">
        <v>4415</v>
      </c>
    </row>
    <row r="546">
      <c r="A546" s="1" t="s">
        <v>2089</v>
      </c>
      <c r="B546" s="2" t="s">
        <v>4416</v>
      </c>
      <c r="C546" s="1" t="s">
        <v>4417</v>
      </c>
      <c r="D546" s="2" t="s">
        <v>4418</v>
      </c>
    </row>
    <row r="547">
      <c r="A547" s="1" t="s">
        <v>2093</v>
      </c>
      <c r="B547" s="2" t="s">
        <v>4419</v>
      </c>
      <c r="C547" s="1" t="s">
        <v>4420</v>
      </c>
      <c r="D547" s="2" t="s">
        <v>3320</v>
      </c>
      <c r="E547" s="2" t="s">
        <v>4421</v>
      </c>
    </row>
    <row r="548">
      <c r="A548" s="1" t="s">
        <v>2098</v>
      </c>
      <c r="B548" s="1" t="s">
        <v>4422</v>
      </c>
      <c r="C548" s="1" t="s">
        <v>4423</v>
      </c>
      <c r="D548" s="2" t="s">
        <v>3223</v>
      </c>
      <c r="E548" s="2" t="s">
        <v>2894</v>
      </c>
    </row>
    <row r="549">
      <c r="A549" s="1" t="s">
        <v>2102</v>
      </c>
      <c r="B549" s="1" t="s">
        <v>4424</v>
      </c>
      <c r="C549" s="1" t="s">
        <v>4425</v>
      </c>
      <c r="D549" s="2" t="s">
        <v>4426</v>
      </c>
    </row>
    <row r="550">
      <c r="A550" s="1" t="s">
        <v>2107</v>
      </c>
      <c r="B550" s="1" t="s">
        <v>4427</v>
      </c>
      <c r="C550" s="1" t="s">
        <v>4428</v>
      </c>
      <c r="D550" s="2" t="s">
        <v>3298</v>
      </c>
      <c r="E550" s="2" t="s">
        <v>3193</v>
      </c>
    </row>
    <row r="551">
      <c r="A551" s="1" t="s">
        <v>2111</v>
      </c>
      <c r="B551" s="1" t="s">
        <v>4429</v>
      </c>
      <c r="C551" s="1" t="s">
        <v>4430</v>
      </c>
      <c r="D551" s="2" t="s">
        <v>3938</v>
      </c>
    </row>
    <row r="552">
      <c r="A552" s="1" t="s">
        <v>2116</v>
      </c>
      <c r="B552" s="2" t="s">
        <v>4431</v>
      </c>
      <c r="C552" s="1" t="s">
        <v>4432</v>
      </c>
      <c r="D552" s="2" t="s">
        <v>2207</v>
      </c>
      <c r="E552" s="2" t="s">
        <v>4433</v>
      </c>
    </row>
    <row r="553">
      <c r="A553" s="1" t="s">
        <v>2118</v>
      </c>
      <c r="B553" s="1" t="s">
        <v>4434</v>
      </c>
      <c r="C553" s="1" t="s">
        <v>4435</v>
      </c>
      <c r="D553" s="2" t="s">
        <v>4436</v>
      </c>
      <c r="E553" s="2" t="s">
        <v>4248</v>
      </c>
    </row>
    <row r="554">
      <c r="A554" s="1" t="s">
        <v>2122</v>
      </c>
      <c r="B554" s="1" t="s">
        <v>4437</v>
      </c>
      <c r="C554" s="1" t="s">
        <v>4438</v>
      </c>
      <c r="D554" s="2" t="s">
        <v>3320</v>
      </c>
    </row>
    <row r="555">
      <c r="A555" s="1" t="s">
        <v>2125</v>
      </c>
      <c r="B555" s="1" t="s">
        <v>4439</v>
      </c>
      <c r="C555" s="1" t="s">
        <v>4440</v>
      </c>
      <c r="D555" s="2" t="s">
        <v>3622</v>
      </c>
    </row>
    <row r="556">
      <c r="A556" s="1" t="s">
        <v>2128</v>
      </c>
      <c r="B556" s="1" t="s">
        <v>4441</v>
      </c>
      <c r="C556" s="1" t="s">
        <v>4442</v>
      </c>
      <c r="D556" s="2" t="s">
        <v>3353</v>
      </c>
      <c r="E556" s="2" t="s">
        <v>3901</v>
      </c>
    </row>
    <row r="557">
      <c r="A557" s="1" t="s">
        <v>2132</v>
      </c>
      <c r="B557" s="1" t="s">
        <v>4443</v>
      </c>
      <c r="C557" s="1" t="s">
        <v>4444</v>
      </c>
      <c r="D557" s="2" t="s">
        <v>3644</v>
      </c>
    </row>
    <row r="558">
      <c r="A558" s="1" t="s">
        <v>2138</v>
      </c>
      <c r="B558" s="1" t="s">
        <v>4445</v>
      </c>
      <c r="C558" s="1" t="s">
        <v>4446</v>
      </c>
      <c r="D558" s="2" t="s">
        <v>4447</v>
      </c>
      <c r="E558" s="2" t="s">
        <v>3424</v>
      </c>
    </row>
    <row r="559">
      <c r="A559" s="1" t="s">
        <v>2141</v>
      </c>
      <c r="B559" s="1" t="s">
        <v>4448</v>
      </c>
      <c r="C559" s="1" t="s">
        <v>4449</v>
      </c>
      <c r="D559" s="2" t="s">
        <v>3385</v>
      </c>
      <c r="E559" s="2" t="s">
        <v>4450</v>
      </c>
    </row>
    <row r="560">
      <c r="A560" s="1" t="s">
        <v>2143</v>
      </c>
      <c r="B560" s="2" t="s">
        <v>4451</v>
      </c>
      <c r="D560" s="2" t="s">
        <v>1797</v>
      </c>
      <c r="E560" s="2" t="s">
        <v>4248</v>
      </c>
    </row>
    <row r="561">
      <c r="A561" s="1" t="s">
        <v>2147</v>
      </c>
      <c r="B561" s="1" t="s">
        <v>4452</v>
      </c>
      <c r="C561" s="1" t="s">
        <v>4453</v>
      </c>
      <c r="D561" s="2" t="s">
        <v>1926</v>
      </c>
      <c r="E561" s="2" t="s">
        <v>3407</v>
      </c>
    </row>
    <row r="562">
      <c r="A562" s="1" t="s">
        <v>2152</v>
      </c>
      <c r="B562" s="2" t="s">
        <v>4454</v>
      </c>
      <c r="C562" s="1" t="s">
        <v>4455</v>
      </c>
      <c r="D562" s="2" t="s">
        <v>4089</v>
      </c>
    </row>
    <row r="563">
      <c r="A563" s="1" t="s">
        <v>2157</v>
      </c>
      <c r="B563" s="1" t="s">
        <v>4456</v>
      </c>
      <c r="C563" s="1" t="s">
        <v>4457</v>
      </c>
      <c r="D563" s="2" t="s">
        <v>3938</v>
      </c>
      <c r="E563" s="2" t="s">
        <v>4120</v>
      </c>
    </row>
    <row r="564">
      <c r="A564" s="1" t="s">
        <v>2158</v>
      </c>
      <c r="B564" s="2" t="s">
        <v>4458</v>
      </c>
      <c r="C564" s="1" t="s">
        <v>4459</v>
      </c>
      <c r="D564" s="2" t="s">
        <v>761</v>
      </c>
      <c r="E564" s="2" t="s">
        <v>1253</v>
      </c>
    </row>
    <row r="565">
      <c r="A565" s="1" t="s">
        <v>2161</v>
      </c>
      <c r="B565" s="1" t="s">
        <v>4460</v>
      </c>
      <c r="C565" s="1" t="s">
        <v>4461</v>
      </c>
      <c r="D565" s="2" t="s">
        <v>4462</v>
      </c>
      <c r="E565" s="2" t="s">
        <v>4152</v>
      </c>
    </row>
    <row r="566">
      <c r="A566" s="1" t="s">
        <v>2165</v>
      </c>
      <c r="C566" s="1" t="s">
        <v>4463</v>
      </c>
    </row>
    <row r="567">
      <c r="A567" s="1" t="s">
        <v>2170</v>
      </c>
      <c r="B567" s="1" t="s">
        <v>4464</v>
      </c>
      <c r="C567" s="1" t="s">
        <v>4465</v>
      </c>
      <c r="D567" s="2" t="s">
        <v>4236</v>
      </c>
    </row>
    <row r="568">
      <c r="A568" s="1" t="s">
        <v>2172</v>
      </c>
      <c r="B568" s="1" t="s">
        <v>4466</v>
      </c>
      <c r="C568" s="1" t="s">
        <v>4467</v>
      </c>
      <c r="D568" s="2" t="s">
        <v>4263</v>
      </c>
      <c r="E568" s="2" t="s">
        <v>3546</v>
      </c>
    </row>
    <row r="569">
      <c r="A569" s="1" t="s">
        <v>2174</v>
      </c>
      <c r="B569" s="2" t="s">
        <v>4468</v>
      </c>
      <c r="C569" s="1" t="s">
        <v>4469</v>
      </c>
      <c r="D569" s="2" t="s">
        <v>2701</v>
      </c>
    </row>
    <row r="570">
      <c r="A570" s="1" t="s">
        <v>2177</v>
      </c>
      <c r="B570" s="1" t="s">
        <v>4470</v>
      </c>
      <c r="C570" s="1" t="s">
        <v>4471</v>
      </c>
      <c r="D570" s="2" t="s">
        <v>2207</v>
      </c>
    </row>
    <row r="571">
      <c r="A571" s="1" t="s">
        <v>2181</v>
      </c>
      <c r="B571" s="1" t="s">
        <v>4472</v>
      </c>
      <c r="C571" s="1" t="s">
        <v>4473</v>
      </c>
      <c r="D571" s="2" t="s">
        <v>4474</v>
      </c>
      <c r="E571" s="2" t="s">
        <v>465</v>
      </c>
    </row>
    <row r="572">
      <c r="A572" s="1" t="s">
        <v>2185</v>
      </c>
      <c r="B572" s="1" t="s">
        <v>4475</v>
      </c>
      <c r="C572" s="1" t="s">
        <v>4476</v>
      </c>
      <c r="D572" s="2" t="s">
        <v>2472</v>
      </c>
      <c r="E572" s="2" t="s">
        <v>3946</v>
      </c>
    </row>
    <row r="573">
      <c r="A573" s="1" t="s">
        <v>2190</v>
      </c>
      <c r="B573" s="2" t="s">
        <v>4477</v>
      </c>
      <c r="C573" s="1" t="s">
        <v>4478</v>
      </c>
      <c r="D573" s="2" t="s">
        <v>3614</v>
      </c>
      <c r="E573" s="2" t="s">
        <v>4046</v>
      </c>
    </row>
    <row r="574">
      <c r="A574" s="1" t="s">
        <v>2192</v>
      </c>
      <c r="B574" s="1" t="s">
        <v>4479</v>
      </c>
      <c r="C574" s="1" t="s">
        <v>4480</v>
      </c>
      <c r="D574" s="2" t="s">
        <v>3198</v>
      </c>
    </row>
    <row r="575">
      <c r="A575" s="1" t="s">
        <v>2196</v>
      </c>
      <c r="B575" s="2" t="s">
        <v>4481</v>
      </c>
      <c r="D575" s="2" t="s">
        <v>4316</v>
      </c>
      <c r="E575" s="2" t="s">
        <v>407</v>
      </c>
    </row>
    <row r="576">
      <c r="A576" s="1" t="s">
        <v>2201</v>
      </c>
      <c r="B576" s="1" t="s">
        <v>4482</v>
      </c>
      <c r="C576" s="1" t="s">
        <v>4483</v>
      </c>
      <c r="D576" s="2" t="s">
        <v>2894</v>
      </c>
    </row>
    <row r="577">
      <c r="A577" s="1" t="s">
        <v>2205</v>
      </c>
      <c r="B577" s="1" t="s">
        <v>4484</v>
      </c>
      <c r="C577" s="1" t="s">
        <v>4485</v>
      </c>
      <c r="D577" s="2" t="s">
        <v>4486</v>
      </c>
      <c r="E577" s="2" t="s">
        <v>3279</v>
      </c>
    </row>
    <row r="578">
      <c r="A578" s="1" t="s">
        <v>2209</v>
      </c>
      <c r="B578" s="2" t="s">
        <v>4487</v>
      </c>
      <c r="C578" s="1" t="s">
        <v>4488</v>
      </c>
      <c r="D578" s="2" t="s">
        <v>3715</v>
      </c>
      <c r="E578" s="2" t="s">
        <v>2873</v>
      </c>
    </row>
    <row r="579">
      <c r="A579" s="1" t="s">
        <v>2212</v>
      </c>
      <c r="B579" s="1" t="s">
        <v>4489</v>
      </c>
      <c r="C579" s="1" t="s">
        <v>4490</v>
      </c>
      <c r="D579" s="2" t="s">
        <v>4109</v>
      </c>
      <c r="E579" s="2" t="s">
        <v>4491</v>
      </c>
    </row>
    <row r="580">
      <c r="A580" s="1" t="s">
        <v>2216</v>
      </c>
      <c r="C580" s="1" t="s">
        <v>4492</v>
      </c>
      <c r="D580" s="2" t="s">
        <v>4278</v>
      </c>
      <c r="E580" s="2" t="s">
        <v>1621</v>
      </c>
    </row>
    <row r="581">
      <c r="A581" s="1" t="s">
        <v>2220</v>
      </c>
      <c r="B581" s="1" t="s">
        <v>4493</v>
      </c>
      <c r="C581" s="1" t="s">
        <v>4494</v>
      </c>
      <c r="D581" s="2" t="s">
        <v>4046</v>
      </c>
      <c r="E581" s="2" t="s">
        <v>1475</v>
      </c>
    </row>
    <row r="582">
      <c r="A582" s="1" t="s">
        <v>2224</v>
      </c>
      <c r="B582" s="1" t="s">
        <v>4495</v>
      </c>
      <c r="C582" s="1" t="s">
        <v>4496</v>
      </c>
      <c r="D582" s="2" t="s">
        <v>1462</v>
      </c>
    </row>
    <row r="583">
      <c r="A583" s="1" t="s">
        <v>2229</v>
      </c>
      <c r="B583" s="1" t="s">
        <v>4497</v>
      </c>
      <c r="C583" s="1" t="s">
        <v>4498</v>
      </c>
      <c r="D583" s="2" t="s">
        <v>4499</v>
      </c>
    </row>
    <row r="584">
      <c r="A584" s="1" t="s">
        <v>2233</v>
      </c>
      <c r="B584" s="2" t="s">
        <v>4500</v>
      </c>
      <c r="C584" s="1" t="s">
        <v>4501</v>
      </c>
      <c r="D584" s="2" t="s">
        <v>4059</v>
      </c>
    </row>
    <row r="585">
      <c r="A585" s="1" t="s">
        <v>2236</v>
      </c>
      <c r="B585" s="1" t="s">
        <v>4502</v>
      </c>
      <c r="C585" s="1" t="s">
        <v>4503</v>
      </c>
      <c r="D585" s="2" t="s">
        <v>3590</v>
      </c>
      <c r="E585" s="2" t="s">
        <v>3603</v>
      </c>
    </row>
    <row r="586">
      <c r="A586" s="1" t="s">
        <v>2239</v>
      </c>
      <c r="B586" s="1" t="s">
        <v>4504</v>
      </c>
      <c r="C586" s="1" t="s">
        <v>4505</v>
      </c>
      <c r="D586" s="2" t="s">
        <v>1249</v>
      </c>
      <c r="E586" s="2" t="s">
        <v>4180</v>
      </c>
    </row>
    <row r="587">
      <c r="A587" s="1" t="s">
        <v>2243</v>
      </c>
      <c r="B587" s="1" t="s">
        <v>4506</v>
      </c>
      <c r="C587" s="1" t="s">
        <v>4507</v>
      </c>
      <c r="D587" s="2" t="s">
        <v>3593</v>
      </c>
      <c r="E587" s="2" t="s">
        <v>773</v>
      </c>
    </row>
    <row r="588">
      <c r="A588" s="1" t="s">
        <v>2245</v>
      </c>
      <c r="B588" s="2" t="s">
        <v>4508</v>
      </c>
      <c r="C588" s="1" t="s">
        <v>4509</v>
      </c>
      <c r="D588" s="2" t="s">
        <v>676</v>
      </c>
      <c r="E588" s="2" t="s">
        <v>3510</v>
      </c>
    </row>
    <row r="589">
      <c r="A589" s="1" t="s">
        <v>2249</v>
      </c>
      <c r="B589" s="1" t="s">
        <v>4510</v>
      </c>
      <c r="C589" s="1" t="s">
        <v>4511</v>
      </c>
      <c r="D589" s="2" t="s">
        <v>3486</v>
      </c>
      <c r="E589" s="2" t="s">
        <v>1645</v>
      </c>
    </row>
    <row r="590">
      <c r="A590" s="1" t="s">
        <v>2253</v>
      </c>
      <c r="B590" s="1" t="s">
        <v>4512</v>
      </c>
      <c r="C590" s="1" t="s">
        <v>4513</v>
      </c>
      <c r="D590" s="2" t="s">
        <v>4031</v>
      </c>
      <c r="E590" s="2" t="s">
        <v>761</v>
      </c>
    </row>
    <row r="591">
      <c r="A591" s="1" t="s">
        <v>2255</v>
      </c>
      <c r="B591" s="1" t="s">
        <v>4514</v>
      </c>
      <c r="C591" s="1" t="s">
        <v>4515</v>
      </c>
      <c r="D591" s="2" t="s">
        <v>3100</v>
      </c>
      <c r="E591" s="2" t="s">
        <v>3607</v>
      </c>
    </row>
    <row r="592">
      <c r="A592" s="1" t="s">
        <v>2257</v>
      </c>
      <c r="B592" s="1" t="s">
        <v>4516</v>
      </c>
      <c r="C592" s="1" t="s">
        <v>4517</v>
      </c>
      <c r="D592" s="2" t="s">
        <v>3851</v>
      </c>
      <c r="E592" s="2" t="s">
        <v>2974</v>
      </c>
    </row>
    <row r="593">
      <c r="A593" s="1" t="s">
        <v>2261</v>
      </c>
      <c r="B593" s="2" t="s">
        <v>4518</v>
      </c>
      <c r="C593" s="1" t="s">
        <v>4519</v>
      </c>
      <c r="D593" s="2" t="s">
        <v>4520</v>
      </c>
    </row>
    <row r="594">
      <c r="A594" s="1" t="s">
        <v>2265</v>
      </c>
      <c r="B594" s="1" t="s">
        <v>4521</v>
      </c>
      <c r="C594" s="1" t="s">
        <v>4522</v>
      </c>
      <c r="D594" s="2" t="s">
        <v>3866</v>
      </c>
      <c r="E594" s="2" t="s">
        <v>3385</v>
      </c>
    </row>
    <row r="595">
      <c r="A595" s="1" t="s">
        <v>2268</v>
      </c>
      <c r="B595" s="1" t="s">
        <v>4523</v>
      </c>
      <c r="C595" s="1" t="s">
        <v>4524</v>
      </c>
      <c r="D595" s="2" t="s">
        <v>4525</v>
      </c>
    </row>
    <row r="596">
      <c r="A596" s="1" t="s">
        <v>2272</v>
      </c>
      <c r="B596" s="1" t="s">
        <v>4526</v>
      </c>
      <c r="C596" s="1" t="s">
        <v>4527</v>
      </c>
      <c r="D596" s="2" t="s">
        <v>3441</v>
      </c>
    </row>
    <row r="597">
      <c r="A597" s="1" t="s">
        <v>2274</v>
      </c>
      <c r="B597" s="2" t="s">
        <v>4528</v>
      </c>
      <c r="C597" s="1" t="s">
        <v>4529</v>
      </c>
      <c r="D597" s="2" t="s">
        <v>4008</v>
      </c>
      <c r="E597" s="2" t="s">
        <v>3153</v>
      </c>
    </row>
    <row r="598">
      <c r="A598" s="1" t="s">
        <v>2276</v>
      </c>
      <c r="B598" s="2" t="s">
        <v>4530</v>
      </c>
      <c r="C598" s="1" t="s">
        <v>4531</v>
      </c>
      <c r="D598" s="2" t="s">
        <v>3394</v>
      </c>
    </row>
    <row r="599">
      <c r="A599" s="1" t="s">
        <v>2280</v>
      </c>
      <c r="B599" s="1" t="s">
        <v>4532</v>
      </c>
      <c r="C599" s="1" t="s">
        <v>4533</v>
      </c>
      <c r="D599" s="2" t="s">
        <v>3693</v>
      </c>
      <c r="E599" s="2" t="s">
        <v>2007</v>
      </c>
    </row>
    <row r="600">
      <c r="A600" s="1" t="s">
        <v>2284</v>
      </c>
      <c r="B600" s="1" t="s">
        <v>4534</v>
      </c>
      <c r="C600" s="1" t="s">
        <v>4535</v>
      </c>
      <c r="D600" s="2" t="s">
        <v>3373</v>
      </c>
      <c r="E600" s="2" t="s">
        <v>4268</v>
      </c>
    </row>
    <row r="601">
      <c r="A601" s="1" t="s">
        <v>2288</v>
      </c>
      <c r="B601" s="1" t="s">
        <v>4536</v>
      </c>
      <c r="C601" s="1" t="s">
        <v>3680</v>
      </c>
      <c r="D601" s="2" t="s">
        <v>4537</v>
      </c>
      <c r="E601" s="2" t="s">
        <v>532</v>
      </c>
    </row>
    <row r="602">
      <c r="A602" s="1" t="s">
        <v>2290</v>
      </c>
      <c r="B602" s="2" t="s">
        <v>4538</v>
      </c>
      <c r="C602" s="1" t="s">
        <v>4539</v>
      </c>
      <c r="D602" s="2" t="s">
        <v>2832</v>
      </c>
      <c r="E602" s="2" t="s">
        <v>1926</v>
      </c>
    </row>
    <row r="603">
      <c r="A603" s="1" t="s">
        <v>2295</v>
      </c>
      <c r="B603" s="1" t="s">
        <v>4540</v>
      </c>
      <c r="C603" s="1" t="s">
        <v>4541</v>
      </c>
      <c r="D603" s="2" t="s">
        <v>3491</v>
      </c>
      <c r="E603" s="2" t="s">
        <v>697</v>
      </c>
    </row>
    <row r="604">
      <c r="A604" s="1" t="s">
        <v>2298</v>
      </c>
      <c r="B604" s="1" t="s">
        <v>4542</v>
      </c>
      <c r="C604" s="1" t="s">
        <v>4543</v>
      </c>
      <c r="D604" s="2" t="s">
        <v>498</v>
      </c>
    </row>
    <row r="605">
      <c r="A605" s="1" t="s">
        <v>2301</v>
      </c>
      <c r="B605" s="1" t="s">
        <v>4544</v>
      </c>
      <c r="C605" s="1" t="s">
        <v>4545</v>
      </c>
      <c r="D605" s="2" t="s">
        <v>2983</v>
      </c>
      <c r="E605" s="2" t="s">
        <v>2983</v>
      </c>
    </row>
    <row r="606">
      <c r="A606" s="1" t="s">
        <v>2305</v>
      </c>
      <c r="B606" s="1" t="s">
        <v>4546</v>
      </c>
      <c r="C606" s="1" t="s">
        <v>4547</v>
      </c>
      <c r="D606" s="2" t="s">
        <v>1334</v>
      </c>
      <c r="E606" s="2" t="s">
        <v>3666</v>
      </c>
    </row>
    <row r="607">
      <c r="A607" s="1" t="s">
        <v>2309</v>
      </c>
      <c r="B607" s="1" t="s">
        <v>4548</v>
      </c>
      <c r="C607" s="1" t="s">
        <v>4549</v>
      </c>
      <c r="D607" s="2" t="s">
        <v>3794</v>
      </c>
      <c r="E607" s="2" t="s">
        <v>4062</v>
      </c>
    </row>
    <row r="608">
      <c r="A608" s="1" t="s">
        <v>2311</v>
      </c>
      <c r="B608" s="1" t="s">
        <v>4550</v>
      </c>
      <c r="C608" s="1" t="s">
        <v>4551</v>
      </c>
      <c r="D608" s="2" t="s">
        <v>3343</v>
      </c>
      <c r="E608" s="2" t="s">
        <v>2652</v>
      </c>
    </row>
    <row r="609">
      <c r="A609" s="1" t="s">
        <v>2315</v>
      </c>
      <c r="B609" s="1" t="s">
        <v>4552</v>
      </c>
      <c r="C609" s="1" t="s">
        <v>4553</v>
      </c>
      <c r="D609" s="2" t="s">
        <v>4433</v>
      </c>
      <c r="E609" s="2" t="s">
        <v>3030</v>
      </c>
    </row>
    <row r="610">
      <c r="A610" s="1" t="s">
        <v>2319</v>
      </c>
      <c r="B610" s="1" t="s">
        <v>4554</v>
      </c>
      <c r="C610" s="1" t="s">
        <v>4555</v>
      </c>
      <c r="D610" s="2" t="s">
        <v>3715</v>
      </c>
      <c r="E610" s="2" t="s">
        <v>3956</v>
      </c>
    </row>
    <row r="611">
      <c r="A611" s="1" t="s">
        <v>2321</v>
      </c>
      <c r="B611" s="1" t="s">
        <v>4556</v>
      </c>
      <c r="C611" s="1" t="s">
        <v>4557</v>
      </c>
      <c r="D611" s="2" t="s">
        <v>3378</v>
      </c>
      <c r="E611" s="2" t="s">
        <v>3896</v>
      </c>
    </row>
    <row r="612">
      <c r="A612" s="1" t="s">
        <v>2323</v>
      </c>
      <c r="B612" s="1" t="s">
        <v>4558</v>
      </c>
      <c r="C612" s="1" t="s">
        <v>4559</v>
      </c>
      <c r="D612" s="2" t="s">
        <v>3913</v>
      </c>
      <c r="E612" s="2" t="s">
        <v>4560</v>
      </c>
    </row>
    <row r="613">
      <c r="A613" s="1" t="s">
        <v>2325</v>
      </c>
      <c r="B613" s="1" t="s">
        <v>4561</v>
      </c>
      <c r="C613" s="1" t="s">
        <v>4562</v>
      </c>
      <c r="D613" s="2" t="s">
        <v>2983</v>
      </c>
      <c r="E613" s="2" t="s">
        <v>2580</v>
      </c>
    </row>
    <row r="614">
      <c r="A614" s="1" t="s">
        <v>2327</v>
      </c>
      <c r="B614" s="1" t="s">
        <v>4563</v>
      </c>
      <c r="C614" s="1" t="s">
        <v>4564</v>
      </c>
      <c r="D614" s="2" t="s">
        <v>4232</v>
      </c>
    </row>
    <row r="615">
      <c r="A615" s="1" t="s">
        <v>2329</v>
      </c>
      <c r="C615" s="1" t="s">
        <v>4565</v>
      </c>
      <c r="D615" s="2" t="s">
        <v>4008</v>
      </c>
      <c r="E615" s="2" t="s">
        <v>2790</v>
      </c>
    </row>
    <row r="616">
      <c r="A616" s="1" t="s">
        <v>2331</v>
      </c>
      <c r="B616" s="2" t="s">
        <v>4566</v>
      </c>
      <c r="C616" s="1" t="s">
        <v>4567</v>
      </c>
      <c r="D616" s="2" t="s">
        <v>3901</v>
      </c>
    </row>
    <row r="617">
      <c r="A617" s="1" t="s">
        <v>2335</v>
      </c>
      <c r="B617" s="1" t="s">
        <v>4568</v>
      </c>
      <c r="C617" s="1" t="s">
        <v>4569</v>
      </c>
      <c r="D617" s="2" t="s">
        <v>4570</v>
      </c>
    </row>
    <row r="618">
      <c r="A618" s="1" t="s">
        <v>2337</v>
      </c>
      <c r="B618" s="1" t="s">
        <v>4571</v>
      </c>
      <c r="C618" s="1" t="s">
        <v>4572</v>
      </c>
    </row>
    <row r="619">
      <c r="A619" s="1" t="s">
        <v>2340</v>
      </c>
      <c r="B619" s="1" t="s">
        <v>4573</v>
      </c>
      <c r="C619" s="1" t="s">
        <v>4574</v>
      </c>
      <c r="D619" s="2" t="s">
        <v>3538</v>
      </c>
      <c r="E619" s="2" t="s">
        <v>4575</v>
      </c>
    </row>
    <row r="620">
      <c r="A620" s="1" t="s">
        <v>2344</v>
      </c>
      <c r="C620" s="1" t="s">
        <v>4576</v>
      </c>
      <c r="D620" s="2" t="s">
        <v>2514</v>
      </c>
    </row>
    <row r="621">
      <c r="A621" s="1" t="s">
        <v>2346</v>
      </c>
      <c r="B621" s="1" t="s">
        <v>4577</v>
      </c>
      <c r="C621" s="1" t="s">
        <v>4578</v>
      </c>
      <c r="D621" s="2" t="s">
        <v>465</v>
      </c>
    </row>
    <row r="622">
      <c r="A622" s="1" t="s">
        <v>2349</v>
      </c>
      <c r="B622" s="1" t="s">
        <v>4579</v>
      </c>
      <c r="C622" s="1" t="s">
        <v>4580</v>
      </c>
      <c r="D622" s="2" t="s">
        <v>4120</v>
      </c>
      <c r="E622" s="2" t="s">
        <v>4581</v>
      </c>
    </row>
    <row r="623">
      <c r="A623" s="1" t="s">
        <v>2353</v>
      </c>
      <c r="B623" s="1" t="s">
        <v>4582</v>
      </c>
      <c r="C623" s="1" t="s">
        <v>4583</v>
      </c>
      <c r="D623" s="2" t="s">
        <v>2832</v>
      </c>
    </row>
    <row r="624">
      <c r="A624" s="1" t="s">
        <v>2356</v>
      </c>
      <c r="B624" s="1" t="s">
        <v>4584</v>
      </c>
      <c r="C624" s="1" t="s">
        <v>4585</v>
      </c>
      <c r="D624" s="2" t="s">
        <v>3052</v>
      </c>
      <c r="E624" s="2" t="s">
        <v>3690</v>
      </c>
    </row>
    <row r="625">
      <c r="A625" s="1" t="s">
        <v>2360</v>
      </c>
      <c r="B625" s="2" t="s">
        <v>4586</v>
      </c>
      <c r="D625" s="2" t="s">
        <v>2278</v>
      </c>
      <c r="E625" s="2" t="s">
        <v>2227</v>
      </c>
    </row>
    <row r="626">
      <c r="A626" s="1" t="s">
        <v>2362</v>
      </c>
      <c r="B626" s="1" t="s">
        <v>4587</v>
      </c>
      <c r="C626" s="1" t="s">
        <v>4588</v>
      </c>
      <c r="D626" s="2" t="s">
        <v>3014</v>
      </c>
    </row>
    <row r="627">
      <c r="A627" s="1" t="s">
        <v>2366</v>
      </c>
      <c r="B627" s="1" t="s">
        <v>4589</v>
      </c>
      <c r="C627" s="1" t="s">
        <v>4590</v>
      </c>
      <c r="D627" s="2" t="s">
        <v>3866</v>
      </c>
      <c r="E627" s="2" t="s">
        <v>3385</v>
      </c>
    </row>
    <row r="628">
      <c r="A628" s="1" t="s">
        <v>2370</v>
      </c>
      <c r="B628" s="1" t="s">
        <v>4591</v>
      </c>
      <c r="C628" s="1" t="s">
        <v>4592</v>
      </c>
    </row>
    <row r="629">
      <c r="A629" s="1" t="s">
        <v>2373</v>
      </c>
      <c r="B629" s="1" t="s">
        <v>4593</v>
      </c>
      <c r="C629" s="1" t="s">
        <v>4594</v>
      </c>
      <c r="D629" s="2" t="s">
        <v>1057</v>
      </c>
      <c r="E629" s="2" t="s">
        <v>1705</v>
      </c>
    </row>
    <row r="630">
      <c r="A630" s="1" t="s">
        <v>2376</v>
      </c>
      <c r="B630" s="1" t="s">
        <v>4595</v>
      </c>
      <c r="C630" s="1" t="s">
        <v>4596</v>
      </c>
      <c r="D630" s="2" t="s">
        <v>3099</v>
      </c>
    </row>
    <row r="631">
      <c r="A631" s="1" t="s">
        <v>2379</v>
      </c>
      <c r="B631" s="1" t="s">
        <v>4597</v>
      </c>
      <c r="C631" s="1" t="s">
        <v>4598</v>
      </c>
      <c r="D631" s="2" t="s">
        <v>3143</v>
      </c>
    </row>
    <row r="632">
      <c r="A632" s="1" t="s">
        <v>2381</v>
      </c>
      <c r="B632" s="1" t="s">
        <v>4599</v>
      </c>
      <c r="C632" s="1" t="s">
        <v>4600</v>
      </c>
      <c r="D632" s="2" t="s">
        <v>3715</v>
      </c>
    </row>
    <row r="633">
      <c r="A633" s="1" t="s">
        <v>2383</v>
      </c>
      <c r="B633" s="2" t="s">
        <v>4601</v>
      </c>
      <c r="C633" s="1" t="s">
        <v>4602</v>
      </c>
      <c r="D633" s="2" t="s">
        <v>3199</v>
      </c>
      <c r="E633" s="2" t="s">
        <v>3243</v>
      </c>
    </row>
    <row r="634">
      <c r="A634" s="1" t="s">
        <v>2385</v>
      </c>
      <c r="B634" s="1" t="s">
        <v>4603</v>
      </c>
      <c r="C634" s="1" t="s">
        <v>4604</v>
      </c>
      <c r="D634" s="2" t="s">
        <v>3901</v>
      </c>
    </row>
    <row r="635">
      <c r="A635" s="1" t="s">
        <v>2388</v>
      </c>
      <c r="B635" s="2" t="s">
        <v>4605</v>
      </c>
      <c r="C635" s="1" t="s">
        <v>4606</v>
      </c>
      <c r="D635" s="2" t="s">
        <v>4607</v>
      </c>
    </row>
    <row r="636">
      <c r="A636" s="1" t="s">
        <v>2389</v>
      </c>
      <c r="B636" s="2" t="s">
        <v>4608</v>
      </c>
      <c r="C636" s="1" t="s">
        <v>4609</v>
      </c>
      <c r="D636" s="2" t="s">
        <v>3309</v>
      </c>
    </row>
    <row r="637">
      <c r="A637" s="1" t="s">
        <v>2392</v>
      </c>
      <c r="B637" s="1" t="s">
        <v>4610</v>
      </c>
      <c r="C637" s="1" t="s">
        <v>4611</v>
      </c>
      <c r="D637" s="2" t="s">
        <v>3550</v>
      </c>
    </row>
    <row r="638">
      <c r="A638" s="1" t="s">
        <v>2396</v>
      </c>
      <c r="B638" s="2" t="s">
        <v>4612</v>
      </c>
      <c r="C638" s="1" t="s">
        <v>4613</v>
      </c>
      <c r="D638" s="2" t="s">
        <v>3002</v>
      </c>
      <c r="E638" s="2" t="s">
        <v>3008</v>
      </c>
    </row>
    <row r="639">
      <c r="A639" s="1" t="s">
        <v>2399</v>
      </c>
      <c r="B639" s="2" t="s">
        <v>4614</v>
      </c>
      <c r="C639" s="1" t="s">
        <v>4615</v>
      </c>
      <c r="D639" s="2" t="s">
        <v>773</v>
      </c>
      <c r="E639" s="2" t="s">
        <v>3681</v>
      </c>
    </row>
    <row r="640">
      <c r="A640" s="1" t="s">
        <v>2402</v>
      </c>
      <c r="B640" s="1" t="s">
        <v>4616</v>
      </c>
      <c r="C640" s="1" t="s">
        <v>4617</v>
      </c>
      <c r="D640" s="2" t="s">
        <v>3139</v>
      </c>
      <c r="E640" s="2" t="s">
        <v>3710</v>
      </c>
    </row>
    <row r="641">
      <c r="A641" s="1" t="s">
        <v>2404</v>
      </c>
      <c r="B641" s="1" t="s">
        <v>4618</v>
      </c>
      <c r="C641" s="1" t="s">
        <v>4619</v>
      </c>
      <c r="D641" s="2" t="s">
        <v>4620</v>
      </c>
      <c r="E641" s="2" t="s">
        <v>4621</v>
      </c>
    </row>
    <row r="642">
      <c r="A642" s="1" t="s">
        <v>2406</v>
      </c>
      <c r="B642" s="2" t="s">
        <v>4622</v>
      </c>
      <c r="C642" s="1" t="s">
        <v>4623</v>
      </c>
      <c r="D642" s="2" t="s">
        <v>3478</v>
      </c>
    </row>
    <row r="643">
      <c r="A643" s="1" t="s">
        <v>2409</v>
      </c>
      <c r="B643" s="1" t="s">
        <v>4624</v>
      </c>
      <c r="C643" s="1" t="s">
        <v>4625</v>
      </c>
      <c r="D643" s="2" t="s">
        <v>4186</v>
      </c>
      <c r="E643" s="2" t="s">
        <v>3519</v>
      </c>
    </row>
    <row r="644">
      <c r="A644" s="1" t="s">
        <v>2412</v>
      </c>
      <c r="D644" s="2" t="s">
        <v>3721</v>
      </c>
      <c r="E644" s="2" t="s">
        <v>1955</v>
      </c>
    </row>
    <row r="645">
      <c r="A645" s="1" t="s">
        <v>2414</v>
      </c>
      <c r="B645" s="1" t="s">
        <v>4626</v>
      </c>
      <c r="C645" s="1" t="s">
        <v>4627</v>
      </c>
      <c r="D645" s="2" t="s">
        <v>3035</v>
      </c>
      <c r="E645" s="2" t="s">
        <v>2621</v>
      </c>
    </row>
    <row r="646">
      <c r="A646" s="1" t="s">
        <v>2418</v>
      </c>
      <c r="B646" s="1" t="s">
        <v>4628</v>
      </c>
      <c r="C646" s="1" t="s">
        <v>4629</v>
      </c>
      <c r="D646" s="2" t="s">
        <v>4338</v>
      </c>
      <c r="E646" s="2" t="s">
        <v>3530</v>
      </c>
    </row>
    <row r="647">
      <c r="A647" s="1" t="s">
        <v>2421</v>
      </c>
      <c r="B647" s="1" t="s">
        <v>4630</v>
      </c>
      <c r="C647" s="1" t="s">
        <v>4631</v>
      </c>
      <c r="D647" s="2" t="s">
        <v>2227</v>
      </c>
      <c r="E647" s="2" t="s">
        <v>3844</v>
      </c>
    </row>
    <row r="648">
      <c r="A648" s="1" t="s">
        <v>2423</v>
      </c>
      <c r="B648" s="1" t="s">
        <v>4632</v>
      </c>
      <c r="C648" s="1" t="s">
        <v>4633</v>
      </c>
    </row>
    <row r="649">
      <c r="A649" s="1" t="s">
        <v>2427</v>
      </c>
      <c r="B649" s="1" t="s">
        <v>4634</v>
      </c>
      <c r="D649" s="2" t="s">
        <v>3227</v>
      </c>
      <c r="E649" s="2" t="s">
        <v>3345</v>
      </c>
    </row>
    <row r="650">
      <c r="A650" s="1" t="s">
        <v>2431</v>
      </c>
      <c r="B650" s="2" t="s">
        <v>4635</v>
      </c>
      <c r="C650" s="1" t="s">
        <v>4636</v>
      </c>
      <c r="D650" s="2" t="s">
        <v>3593</v>
      </c>
      <c r="E650" s="2" t="s">
        <v>3434</v>
      </c>
    </row>
    <row r="651">
      <c r="A651" s="1" t="s">
        <v>2434</v>
      </c>
      <c r="B651" s="1" t="s">
        <v>4637</v>
      </c>
      <c r="C651" s="1" t="s">
        <v>4638</v>
      </c>
      <c r="D651" s="2" t="s">
        <v>2035</v>
      </c>
      <c r="E651" s="2" t="s">
        <v>3820</v>
      </c>
    </row>
    <row r="652">
      <c r="A652" s="1" t="s">
        <v>2438</v>
      </c>
      <c r="B652" s="1" t="s">
        <v>4639</v>
      </c>
      <c r="C652" s="1" t="s">
        <v>4640</v>
      </c>
      <c r="D652" s="2" t="s">
        <v>3185</v>
      </c>
      <c r="E652" s="2" t="s">
        <v>4641</v>
      </c>
    </row>
    <row r="653">
      <c r="A653" s="1" t="s">
        <v>2441</v>
      </c>
      <c r="B653" s="1" t="s">
        <v>4642</v>
      </c>
      <c r="C653" s="1" t="s">
        <v>4643</v>
      </c>
      <c r="D653" s="2" t="s">
        <v>2580</v>
      </c>
      <c r="E653" s="2" t="s">
        <v>206</v>
      </c>
    </row>
    <row r="654">
      <c r="A654" s="1" t="s">
        <v>2444</v>
      </c>
      <c r="B654" s="2" t="s">
        <v>4644</v>
      </c>
      <c r="C654" s="1" t="s">
        <v>4645</v>
      </c>
      <c r="D654" s="2" t="s">
        <v>4157</v>
      </c>
      <c r="E654" s="2" t="s">
        <v>2953</v>
      </c>
    </row>
    <row r="655">
      <c r="A655" s="1" t="s">
        <v>2446</v>
      </c>
      <c r="B655" s="2" t="s">
        <v>4646</v>
      </c>
      <c r="C655" s="1" t="s">
        <v>4647</v>
      </c>
      <c r="D655" s="2" t="s">
        <v>1823</v>
      </c>
    </row>
    <row r="656">
      <c r="A656" s="1" t="s">
        <v>2449</v>
      </c>
      <c r="B656" s="2" t="s">
        <v>4648</v>
      </c>
      <c r="C656" s="1" t="s">
        <v>4649</v>
      </c>
      <c r="D656" s="2" t="s">
        <v>3394</v>
      </c>
    </row>
    <row r="657">
      <c r="A657" s="1" t="s">
        <v>2452</v>
      </c>
      <c r="B657" s="1" t="s">
        <v>4650</v>
      </c>
      <c r="C657" s="1" t="s">
        <v>4651</v>
      </c>
    </row>
    <row r="658">
      <c r="A658" s="1" t="s">
        <v>2454</v>
      </c>
      <c r="B658" s="1" t="s">
        <v>4652</v>
      </c>
      <c r="C658" s="1" t="s">
        <v>4653</v>
      </c>
      <c r="D658" s="2" t="s">
        <v>498</v>
      </c>
    </row>
    <row r="659">
      <c r="A659" s="1" t="s">
        <v>2458</v>
      </c>
      <c r="B659" s="1" t="s">
        <v>4654</v>
      </c>
      <c r="D659" s="2" t="s">
        <v>3388</v>
      </c>
      <c r="E659" s="2" t="s">
        <v>3287</v>
      </c>
    </row>
    <row r="660">
      <c r="A660" s="1" t="s">
        <v>2460</v>
      </c>
      <c r="B660" s="1" t="s">
        <v>4655</v>
      </c>
      <c r="D660" s="2" t="s">
        <v>2004</v>
      </c>
      <c r="E660" s="2" t="s">
        <v>3037</v>
      </c>
    </row>
    <row r="661">
      <c r="A661" s="1" t="s">
        <v>2463</v>
      </c>
      <c r="C661" s="1" t="s">
        <v>4656</v>
      </c>
      <c r="D661" s="2" t="s">
        <v>1526</v>
      </c>
    </row>
    <row r="662">
      <c r="A662" s="1" t="s">
        <v>2467</v>
      </c>
      <c r="B662" s="2" t="s">
        <v>4657</v>
      </c>
      <c r="C662" s="1" t="s">
        <v>4658</v>
      </c>
      <c r="D662" s="2" t="s">
        <v>2343</v>
      </c>
    </row>
    <row r="663">
      <c r="A663" s="1" t="s">
        <v>2470</v>
      </c>
      <c r="B663" s="1" t="s">
        <v>4659</v>
      </c>
      <c r="C663" s="1" t="s">
        <v>4660</v>
      </c>
      <c r="D663" s="2" t="s">
        <v>3223</v>
      </c>
      <c r="E663" s="2" t="s">
        <v>4661</v>
      </c>
    </row>
    <row r="664">
      <c r="A664" s="1" t="s">
        <v>2474</v>
      </c>
      <c r="B664" s="1" t="s">
        <v>4662</v>
      </c>
      <c r="C664" s="1" t="s">
        <v>4663</v>
      </c>
      <c r="D664" s="2" t="s">
        <v>4225</v>
      </c>
      <c r="E664" s="2" t="s">
        <v>4664</v>
      </c>
    </row>
    <row r="665">
      <c r="A665" s="1" t="s">
        <v>2477</v>
      </c>
      <c r="B665" s="2" t="s">
        <v>4665</v>
      </c>
      <c r="C665" s="1" t="s">
        <v>4666</v>
      </c>
      <c r="D665" s="2" t="s">
        <v>3309</v>
      </c>
      <c r="E665" s="2" t="s">
        <v>3820</v>
      </c>
    </row>
    <row r="666">
      <c r="A666" s="1" t="s">
        <v>2481</v>
      </c>
      <c r="B666" s="1" t="s">
        <v>4667</v>
      </c>
      <c r="C666" s="1" t="s">
        <v>4668</v>
      </c>
      <c r="D666" s="2" t="s">
        <v>3287</v>
      </c>
      <c r="E666" s="2" t="s">
        <v>3762</v>
      </c>
    </row>
    <row r="667">
      <c r="A667" s="1" t="s">
        <v>2483</v>
      </c>
      <c r="B667" s="1" t="s">
        <v>4669</v>
      </c>
      <c r="C667" s="1" t="s">
        <v>4670</v>
      </c>
      <c r="D667" s="2" t="s">
        <v>465</v>
      </c>
      <c r="E667" s="2" t="s">
        <v>3538</v>
      </c>
    </row>
    <row r="668">
      <c r="A668" s="1" t="s">
        <v>2485</v>
      </c>
      <c r="B668" s="1" t="s">
        <v>4671</v>
      </c>
      <c r="C668" s="1" t="s">
        <v>4672</v>
      </c>
      <c r="D668" s="2" t="s">
        <v>4673</v>
      </c>
    </row>
    <row r="669">
      <c r="A669" s="1" t="s">
        <v>2489</v>
      </c>
      <c r="B669" s="1" t="s">
        <v>4674</v>
      </c>
      <c r="C669" s="1" t="s">
        <v>4675</v>
      </c>
      <c r="D669" s="2" t="s">
        <v>3654</v>
      </c>
    </row>
    <row r="670">
      <c r="A670" s="1" t="s">
        <v>2491</v>
      </c>
      <c r="B670" s="1" t="s">
        <v>4676</v>
      </c>
      <c r="C670" s="1" t="s">
        <v>4677</v>
      </c>
      <c r="D670" s="2" t="s">
        <v>4678</v>
      </c>
      <c r="E670" s="2" t="s">
        <v>3607</v>
      </c>
    </row>
    <row r="671">
      <c r="A671" s="1" t="s">
        <v>2495</v>
      </c>
      <c r="B671" s="2" t="s">
        <v>4679</v>
      </c>
      <c r="C671" s="1" t="s">
        <v>4680</v>
      </c>
      <c r="D671" s="2" t="s">
        <v>2907</v>
      </c>
      <c r="E671" s="2" t="s">
        <v>4681</v>
      </c>
    </row>
    <row r="672">
      <c r="A672" s="1" t="s">
        <v>2497</v>
      </c>
      <c r="B672" s="1" t="s">
        <v>4682</v>
      </c>
      <c r="C672" s="1" t="s">
        <v>4683</v>
      </c>
      <c r="D672" s="2" t="s">
        <v>3199</v>
      </c>
    </row>
    <row r="673">
      <c r="A673" s="1" t="s">
        <v>2500</v>
      </c>
      <c r="C673" s="1" t="s">
        <v>4684</v>
      </c>
      <c r="D673" s="2" t="s">
        <v>2790</v>
      </c>
    </row>
    <row r="674">
      <c r="A674" s="1" t="s">
        <v>2502</v>
      </c>
      <c r="B674" s="1" t="s">
        <v>4685</v>
      </c>
      <c r="C674" s="1" t="s">
        <v>4686</v>
      </c>
      <c r="D674" s="2" t="s">
        <v>724</v>
      </c>
    </row>
    <row r="675">
      <c r="A675" s="1" t="s">
        <v>2505</v>
      </c>
      <c r="B675" s="1" t="s">
        <v>4687</v>
      </c>
      <c r="C675" s="1" t="s">
        <v>4688</v>
      </c>
      <c r="D675" s="2" t="s">
        <v>4248</v>
      </c>
      <c r="E675" s="2" t="s">
        <v>2938</v>
      </c>
    </row>
    <row r="676">
      <c r="A676" s="1" t="s">
        <v>2506</v>
      </c>
      <c r="B676" s="1" t="s">
        <v>4689</v>
      </c>
      <c r="C676" s="1" t="s">
        <v>4690</v>
      </c>
      <c r="D676" s="2" t="s">
        <v>2961</v>
      </c>
      <c r="E676" s="2" t="s">
        <v>4330</v>
      </c>
    </row>
    <row r="677">
      <c r="A677" s="1" t="s">
        <v>2511</v>
      </c>
      <c r="B677" s="1" t="s">
        <v>4691</v>
      </c>
      <c r="C677" s="1" t="s">
        <v>4692</v>
      </c>
      <c r="D677" s="2" t="s">
        <v>3253</v>
      </c>
    </row>
    <row r="678">
      <c r="A678" s="1" t="s">
        <v>2513</v>
      </c>
      <c r="B678" s="2" t="s">
        <v>4693</v>
      </c>
      <c r="C678" s="1" t="s">
        <v>4694</v>
      </c>
      <c r="D678" s="2" t="s">
        <v>1547</v>
      </c>
      <c r="E678" s="2" t="s">
        <v>3721</v>
      </c>
    </row>
    <row r="679">
      <c r="A679" s="1" t="s">
        <v>2516</v>
      </c>
      <c r="B679" s="1" t="s">
        <v>4695</v>
      </c>
      <c r="C679" s="1" t="s">
        <v>4696</v>
      </c>
      <c r="D679" s="2" t="s">
        <v>2915</v>
      </c>
      <c r="E679" s="2" t="s">
        <v>3404</v>
      </c>
    </row>
    <row r="680">
      <c r="A680" s="1" t="s">
        <v>2521</v>
      </c>
      <c r="B680" s="1" t="s">
        <v>4697</v>
      </c>
      <c r="D680" s="2" t="s">
        <v>3126</v>
      </c>
      <c r="E680" s="2" t="s">
        <v>3701</v>
      </c>
    </row>
    <row r="681">
      <c r="A681" s="1" t="s">
        <v>2523</v>
      </c>
      <c r="B681" s="1" t="s">
        <v>4698</v>
      </c>
      <c r="C681" s="1" t="s">
        <v>4699</v>
      </c>
      <c r="D681" s="2" t="s">
        <v>4020</v>
      </c>
    </row>
    <row r="682">
      <c r="A682" s="1" t="s">
        <v>2526</v>
      </c>
      <c r="B682" s="1" t="s">
        <v>4700</v>
      </c>
      <c r="C682" s="1" t="s">
        <v>4701</v>
      </c>
      <c r="D682" s="2" t="s">
        <v>3271</v>
      </c>
      <c r="E682" s="2" t="s">
        <v>3491</v>
      </c>
    </row>
    <row r="683">
      <c r="A683" s="1" t="s">
        <v>2527</v>
      </c>
      <c r="B683" s="2" t="s">
        <v>4702</v>
      </c>
      <c r="C683" s="1" t="s">
        <v>4703</v>
      </c>
      <c r="D683" s="2" t="s">
        <v>3841</v>
      </c>
      <c r="E683" s="2" t="s">
        <v>773</v>
      </c>
    </row>
    <row r="684">
      <c r="A684" s="1" t="s">
        <v>2531</v>
      </c>
      <c r="B684" s="1" t="s">
        <v>4704</v>
      </c>
      <c r="C684" s="1" t="s">
        <v>4705</v>
      </c>
      <c r="D684" s="2" t="s">
        <v>3189</v>
      </c>
    </row>
    <row r="685">
      <c r="A685" s="1" t="s">
        <v>2534</v>
      </c>
      <c r="B685" s="1" t="s">
        <v>4706</v>
      </c>
      <c r="C685" s="1" t="s">
        <v>4707</v>
      </c>
      <c r="D685" s="2" t="s">
        <v>3677</v>
      </c>
      <c r="E685" s="2" t="s">
        <v>3343</v>
      </c>
    </row>
    <row r="686">
      <c r="A686" s="1" t="s">
        <v>2536</v>
      </c>
      <c r="B686" s="1" t="s">
        <v>4708</v>
      </c>
      <c r="C686" s="1" t="s">
        <v>4709</v>
      </c>
    </row>
    <row r="687">
      <c r="A687" s="1" t="s">
        <v>2538</v>
      </c>
      <c r="B687" s="1" t="s">
        <v>4710</v>
      </c>
      <c r="C687" s="1" t="s">
        <v>4711</v>
      </c>
      <c r="D687" s="2" t="s">
        <v>4065</v>
      </c>
      <c r="E687" s="2" t="s">
        <v>4712</v>
      </c>
    </row>
    <row r="688">
      <c r="A688" s="1" t="s">
        <v>2541</v>
      </c>
      <c r="B688" s="1" t="s">
        <v>4713</v>
      </c>
      <c r="C688" s="1" t="s">
        <v>4714</v>
      </c>
      <c r="D688" s="2" t="s">
        <v>3820</v>
      </c>
      <c r="E688" s="2" t="s">
        <v>3370</v>
      </c>
    </row>
    <row r="689">
      <c r="A689" s="1" t="s">
        <v>2543</v>
      </c>
      <c r="B689" s="1" t="s">
        <v>4715</v>
      </c>
      <c r="C689" s="1" t="s">
        <v>4716</v>
      </c>
      <c r="D689" s="2" t="s">
        <v>3021</v>
      </c>
    </row>
    <row r="690">
      <c r="A690" s="1" t="s">
        <v>2547</v>
      </c>
      <c r="B690" s="1" t="s">
        <v>4717</v>
      </c>
      <c r="C690" s="1" t="s">
        <v>4718</v>
      </c>
      <c r="D690" s="2" t="s">
        <v>4719</v>
      </c>
    </row>
    <row r="691">
      <c r="A691" s="1" t="s">
        <v>2549</v>
      </c>
      <c r="B691" s="2" t="s">
        <v>4720</v>
      </c>
      <c r="C691" s="1" t="s">
        <v>4721</v>
      </c>
    </row>
    <row r="692">
      <c r="A692" s="1" t="s">
        <v>2551</v>
      </c>
      <c r="B692" s="1" t="s">
        <v>4722</v>
      </c>
      <c r="C692" s="1" t="s">
        <v>4723</v>
      </c>
      <c r="D692" s="2" t="s">
        <v>3555</v>
      </c>
      <c r="E692" s="2" t="s">
        <v>4139</v>
      </c>
    </row>
    <row r="693">
      <c r="A693" s="1" t="s">
        <v>2554</v>
      </c>
      <c r="B693" s="1" t="s">
        <v>4724</v>
      </c>
      <c r="C693" s="1" t="s">
        <v>4725</v>
      </c>
      <c r="D693" s="2" t="s">
        <v>3290</v>
      </c>
      <c r="E693" s="2" t="s">
        <v>2873</v>
      </c>
    </row>
    <row r="694">
      <c r="A694" s="1" t="s">
        <v>2558</v>
      </c>
      <c r="B694" s="1" t="s">
        <v>4726</v>
      </c>
      <c r="C694" s="1" t="s">
        <v>4727</v>
      </c>
      <c r="D694" s="2" t="s">
        <v>1983</v>
      </c>
      <c r="E694" s="2" t="s">
        <v>191</v>
      </c>
    </row>
    <row r="695">
      <c r="A695" s="1" t="s">
        <v>2560</v>
      </c>
      <c r="B695" s="1" t="s">
        <v>4728</v>
      </c>
      <c r="C695" s="1" t="s">
        <v>4729</v>
      </c>
      <c r="D695" s="2" t="s">
        <v>3706</v>
      </c>
      <c r="E695" s="2" t="s">
        <v>3866</v>
      </c>
    </row>
    <row r="696">
      <c r="A696" s="1" t="s">
        <v>2563</v>
      </c>
      <c r="B696" s="1" t="s">
        <v>4730</v>
      </c>
      <c r="C696" s="1" t="s">
        <v>4731</v>
      </c>
      <c r="D696" s="2" t="s">
        <v>3003</v>
      </c>
      <c r="E696" s="2" t="s">
        <v>4732</v>
      </c>
    </row>
    <row r="697">
      <c r="A697" s="1" t="s">
        <v>2567</v>
      </c>
      <c r="B697" s="1" t="s">
        <v>4733</v>
      </c>
      <c r="C697" s="1" t="s">
        <v>4734</v>
      </c>
      <c r="D697" s="2" t="s">
        <v>2478</v>
      </c>
      <c r="E697" s="2" t="s">
        <v>3082</v>
      </c>
    </row>
    <row r="698">
      <c r="A698" s="1" t="s">
        <v>2569</v>
      </c>
      <c r="B698" s="1" t="s">
        <v>4735</v>
      </c>
      <c r="C698" s="1" t="s">
        <v>4736</v>
      </c>
      <c r="D698" s="2" t="s">
        <v>3100</v>
      </c>
      <c r="E698" s="2" t="s">
        <v>354</v>
      </c>
    </row>
    <row r="699">
      <c r="A699" s="1" t="s">
        <v>2571</v>
      </c>
      <c r="B699" s="1" t="s">
        <v>4737</v>
      </c>
      <c r="C699" s="1" t="s">
        <v>4738</v>
      </c>
      <c r="D699" s="2" t="s">
        <v>4008</v>
      </c>
      <c r="E699" s="2" t="s">
        <v>3869</v>
      </c>
    </row>
    <row r="700">
      <c r="A700" s="1" t="s">
        <v>2575</v>
      </c>
      <c r="B700" s="1" t="s">
        <v>4739</v>
      </c>
      <c r="C700" s="1" t="s">
        <v>4740</v>
      </c>
      <c r="D700" s="2" t="s">
        <v>3794</v>
      </c>
      <c r="E700" s="2" t="s">
        <v>3262</v>
      </c>
    </row>
    <row r="701">
      <c r="A701" s="1" t="s">
        <v>2578</v>
      </c>
      <c r="B701" s="2" t="s">
        <v>4741</v>
      </c>
      <c r="C701" s="1" t="s">
        <v>4742</v>
      </c>
      <c r="D701" s="2" t="s">
        <v>3657</v>
      </c>
      <c r="E701" s="2" t="s">
        <v>4743</v>
      </c>
    </row>
    <row r="702">
      <c r="A702" s="1" t="s">
        <v>2579</v>
      </c>
      <c r="B702" s="1" t="s">
        <v>4744</v>
      </c>
      <c r="C702" s="1" t="s">
        <v>4745</v>
      </c>
      <c r="D702" s="2" t="s">
        <v>2562</v>
      </c>
      <c r="E702" s="2" t="s">
        <v>3061</v>
      </c>
    </row>
    <row r="703">
      <c r="A703" s="1" t="s">
        <v>2582</v>
      </c>
      <c r="B703" s="1" t="s">
        <v>4746</v>
      </c>
      <c r="C703" s="1" t="s">
        <v>4747</v>
      </c>
      <c r="D703" s="2" t="s">
        <v>4748</v>
      </c>
      <c r="E703" s="2" t="s">
        <v>4712</v>
      </c>
    </row>
    <row r="704">
      <c r="A704" s="1" t="s">
        <v>2584</v>
      </c>
      <c r="B704" s="1" t="s">
        <v>4749</v>
      </c>
      <c r="C704" s="1" t="s">
        <v>4750</v>
      </c>
      <c r="D704" s="2" t="s">
        <v>4112</v>
      </c>
    </row>
    <row r="705">
      <c r="A705" s="1" t="s">
        <v>2588</v>
      </c>
      <c r="B705" s="2" t="s">
        <v>4751</v>
      </c>
      <c r="C705" s="1" t="s">
        <v>4752</v>
      </c>
      <c r="D705" s="2" t="s">
        <v>3378</v>
      </c>
      <c r="E705" s="2" t="s">
        <v>3511</v>
      </c>
    </row>
    <row r="706">
      <c r="A706" s="1" t="s">
        <v>2592</v>
      </c>
      <c r="B706" s="2" t="s">
        <v>4753</v>
      </c>
      <c r="C706" s="1" t="s">
        <v>4754</v>
      </c>
      <c r="D706" s="2" t="s">
        <v>4415</v>
      </c>
    </row>
    <row r="707">
      <c r="A707" s="1" t="s">
        <v>2594</v>
      </c>
      <c r="B707" s="1" t="s">
        <v>4755</v>
      </c>
      <c r="C707" s="1" t="s">
        <v>4756</v>
      </c>
      <c r="D707" s="2" t="s">
        <v>4433</v>
      </c>
      <c r="E707" s="2" t="s">
        <v>3607</v>
      </c>
    </row>
    <row r="708">
      <c r="A708" s="1" t="s">
        <v>2598</v>
      </c>
      <c r="B708" s="2" t="s">
        <v>4757</v>
      </c>
      <c r="D708" s="2" t="s">
        <v>4758</v>
      </c>
      <c r="E708" s="2" t="s">
        <v>2292</v>
      </c>
    </row>
    <row r="709">
      <c r="A709" s="1" t="s">
        <v>2601</v>
      </c>
      <c r="B709" s="1" t="s">
        <v>4759</v>
      </c>
      <c r="C709" s="1" t="s">
        <v>4760</v>
      </c>
      <c r="D709" s="2" t="s">
        <v>3829</v>
      </c>
      <c r="E709" s="2" t="s">
        <v>3887</v>
      </c>
    </row>
    <row r="710">
      <c r="A710" s="1" t="s">
        <v>2602</v>
      </c>
      <c r="B710" s="2" t="s">
        <v>4761</v>
      </c>
      <c r="C710" s="1" t="s">
        <v>4762</v>
      </c>
      <c r="D710" s="2" t="s">
        <v>3491</v>
      </c>
      <c r="E710" s="2" t="s">
        <v>3913</v>
      </c>
    </row>
    <row r="711">
      <c r="A711" s="1" t="s">
        <v>2603</v>
      </c>
      <c r="B711" s="1" t="s">
        <v>4763</v>
      </c>
      <c r="C711" s="1" t="s">
        <v>4764</v>
      </c>
    </row>
    <row r="712">
      <c r="A712" s="1" t="s">
        <v>2605</v>
      </c>
      <c r="B712" s="1" t="s">
        <v>4765</v>
      </c>
      <c r="C712" s="1" t="s">
        <v>4766</v>
      </c>
      <c r="D712" s="2" t="s">
        <v>4767</v>
      </c>
    </row>
    <row r="713">
      <c r="A713" s="1" t="s">
        <v>2607</v>
      </c>
      <c r="B713" s="1" t="s">
        <v>4768</v>
      </c>
      <c r="D713" s="2" t="s">
        <v>1955</v>
      </c>
      <c r="E713" s="2" t="s">
        <v>3524</v>
      </c>
    </row>
    <row r="714">
      <c r="A714" s="1" t="s">
        <v>2611</v>
      </c>
      <c r="B714" s="1" t="s">
        <v>4769</v>
      </c>
      <c r="C714" s="1" t="s">
        <v>4770</v>
      </c>
      <c r="D714" s="2" t="s">
        <v>4232</v>
      </c>
      <c r="E714" s="2" t="s">
        <v>3287</v>
      </c>
    </row>
    <row r="715">
      <c r="A715" s="1" t="s">
        <v>2613</v>
      </c>
      <c r="C715" s="1" t="s">
        <v>4729</v>
      </c>
      <c r="D715" s="2" t="s">
        <v>1863</v>
      </c>
      <c r="E715" s="2" t="s">
        <v>3978</v>
      </c>
    </row>
    <row r="716">
      <c r="A716" s="1" t="s">
        <v>2616</v>
      </c>
      <c r="B716" s="1" t="s">
        <v>4771</v>
      </c>
      <c r="C716" s="1" t="s">
        <v>4772</v>
      </c>
      <c r="D716" s="2" t="s">
        <v>3550</v>
      </c>
      <c r="E716" s="2" t="s">
        <v>1390</v>
      </c>
    </row>
    <row r="717">
      <c r="A717" s="1" t="s">
        <v>2617</v>
      </c>
      <c r="B717" s="1" t="s">
        <v>4773</v>
      </c>
      <c r="C717" s="1" t="s">
        <v>4774</v>
      </c>
      <c r="D717" s="2" t="s">
        <v>3590</v>
      </c>
      <c r="E717" s="2" t="s">
        <v>3765</v>
      </c>
    </row>
    <row r="718">
      <c r="A718" s="1" t="s">
        <v>2620</v>
      </c>
      <c r="B718" s="1" t="s">
        <v>4775</v>
      </c>
      <c r="C718" s="1" t="s">
        <v>4776</v>
      </c>
      <c r="D718" s="2" t="s">
        <v>3186</v>
      </c>
    </row>
    <row r="719">
      <c r="A719" s="1" t="s">
        <v>2623</v>
      </c>
      <c r="B719" s="1" t="s">
        <v>4777</v>
      </c>
      <c r="C719" s="1" t="s">
        <v>4778</v>
      </c>
      <c r="D719" s="2" t="s">
        <v>972</v>
      </c>
    </row>
    <row r="720">
      <c r="A720" s="1" t="s">
        <v>2626</v>
      </c>
      <c r="B720" s="1" t="s">
        <v>4779</v>
      </c>
      <c r="C720" s="1" t="s">
        <v>4780</v>
      </c>
      <c r="D720" s="2" t="s">
        <v>3290</v>
      </c>
      <c r="E720" s="2" t="s">
        <v>3290</v>
      </c>
    </row>
    <row r="721">
      <c r="A721" s="1" t="s">
        <v>2630</v>
      </c>
      <c r="B721" s="1" t="s">
        <v>4781</v>
      </c>
      <c r="C721" s="1" t="s">
        <v>4782</v>
      </c>
      <c r="D721" s="2" t="s">
        <v>4230</v>
      </c>
      <c r="E721" s="2" t="s">
        <v>3391</v>
      </c>
    </row>
    <row r="722">
      <c r="A722" s="1" t="s">
        <v>2632</v>
      </c>
      <c r="B722" s="1" t="s">
        <v>4783</v>
      </c>
      <c r="C722" s="1" t="s">
        <v>4784</v>
      </c>
    </row>
    <row r="723">
      <c r="A723" s="1" t="s">
        <v>2634</v>
      </c>
      <c r="B723" s="2" t="s">
        <v>4785</v>
      </c>
      <c r="C723" s="1" t="s">
        <v>4786</v>
      </c>
      <c r="D723" s="2" t="s">
        <v>3216</v>
      </c>
    </row>
    <row r="724">
      <c r="A724" s="1" t="s">
        <v>2637</v>
      </c>
      <c r="B724" s="1" t="s">
        <v>4787</v>
      </c>
      <c r="C724" s="1" t="s">
        <v>4788</v>
      </c>
      <c r="D724" s="2" t="s">
        <v>3775</v>
      </c>
      <c r="E724" s="2" t="s">
        <v>2347</v>
      </c>
    </row>
    <row r="725">
      <c r="A725" s="1" t="s">
        <v>2639</v>
      </c>
      <c r="B725" s="1" t="s">
        <v>4789</v>
      </c>
      <c r="C725" s="1" t="s">
        <v>4790</v>
      </c>
      <c r="D725" s="2" t="s">
        <v>724</v>
      </c>
      <c r="E725" s="2" t="s">
        <v>4620</v>
      </c>
    </row>
    <row r="726">
      <c r="A726" s="1" t="s">
        <v>2643</v>
      </c>
      <c r="B726" s="1" t="s">
        <v>4791</v>
      </c>
      <c r="C726" s="1" t="s">
        <v>4792</v>
      </c>
      <c r="D726" s="2" t="s">
        <v>1222</v>
      </c>
      <c r="E726" s="2" t="s">
        <v>2472</v>
      </c>
    </row>
    <row r="727">
      <c r="A727" s="1" t="s">
        <v>2646</v>
      </c>
      <c r="B727" s="1" t="s">
        <v>4793</v>
      </c>
      <c r="C727" s="1" t="s">
        <v>4794</v>
      </c>
      <c r="D727" s="2" t="s">
        <v>4152</v>
      </c>
    </row>
    <row r="728">
      <c r="A728" s="1" t="s">
        <v>2649</v>
      </c>
      <c r="B728" s="2" t="s">
        <v>4795</v>
      </c>
      <c r="C728" s="1" t="s">
        <v>4796</v>
      </c>
      <c r="D728" s="2" t="s">
        <v>697</v>
      </c>
    </row>
    <row r="729">
      <c r="A729" s="1" t="s">
        <v>2651</v>
      </c>
      <c r="B729" s="1" t="s">
        <v>4797</v>
      </c>
      <c r="C729" s="1" t="s">
        <v>4798</v>
      </c>
      <c r="D729" s="2" t="s">
        <v>3011</v>
      </c>
    </row>
    <row r="730">
      <c r="A730" s="1" t="s">
        <v>2654</v>
      </c>
      <c r="B730" s="1" t="s">
        <v>4799</v>
      </c>
      <c r="C730" s="1" t="s">
        <v>4800</v>
      </c>
      <c r="D730" s="2" t="s">
        <v>3462</v>
      </c>
      <c r="E730" s="2" t="s">
        <v>3956</v>
      </c>
    </row>
    <row r="731">
      <c r="A731" s="1" t="s">
        <v>2659</v>
      </c>
      <c r="B731" s="1" t="s">
        <v>4801</v>
      </c>
      <c r="C731" s="1" t="s">
        <v>4802</v>
      </c>
      <c r="D731" s="2" t="s">
        <v>3859</v>
      </c>
      <c r="E731" s="2" t="s">
        <v>2580</v>
      </c>
    </row>
    <row r="732">
      <c r="A732" s="1" t="s">
        <v>2661</v>
      </c>
      <c r="B732" s="1" t="s">
        <v>4803</v>
      </c>
      <c r="C732" s="1" t="s">
        <v>4804</v>
      </c>
      <c r="D732" s="2" t="s">
        <v>4607</v>
      </c>
      <c r="E732" s="2" t="s">
        <v>4805</v>
      </c>
    </row>
    <row r="733">
      <c r="A733" s="1" t="s">
        <v>2664</v>
      </c>
      <c r="B733" s="1" t="s">
        <v>4806</v>
      </c>
      <c r="C733" s="1" t="s">
        <v>4807</v>
      </c>
      <c r="D733" s="2" t="s">
        <v>4065</v>
      </c>
      <c r="E733" s="2" t="s">
        <v>4219</v>
      </c>
    </row>
    <row r="734">
      <c r="A734" s="1" t="s">
        <v>2666</v>
      </c>
      <c r="B734" s="1" t="s">
        <v>4808</v>
      </c>
      <c r="C734" s="1" t="s">
        <v>4809</v>
      </c>
      <c r="D734" s="2" t="s">
        <v>3139</v>
      </c>
    </row>
    <row r="735">
      <c r="A735" s="1" t="s">
        <v>2669</v>
      </c>
      <c r="B735" s="2" t="s">
        <v>4810</v>
      </c>
      <c r="C735" s="1" t="s">
        <v>4811</v>
      </c>
      <c r="D735" s="2" t="s">
        <v>3126</v>
      </c>
    </row>
    <row r="736">
      <c r="A736" s="1" t="s">
        <v>2672</v>
      </c>
      <c r="B736" s="1" t="s">
        <v>4812</v>
      </c>
      <c r="C736" s="1" t="s">
        <v>4813</v>
      </c>
      <c r="D736" s="2" t="s">
        <v>3268</v>
      </c>
      <c r="E736" s="2" t="s">
        <v>3268</v>
      </c>
    </row>
    <row r="737">
      <c r="A737" s="1" t="s">
        <v>2675</v>
      </c>
      <c r="B737" s="1" t="s">
        <v>4814</v>
      </c>
      <c r="C737" s="1" t="s">
        <v>4815</v>
      </c>
      <c r="D737" s="2" t="s">
        <v>3437</v>
      </c>
      <c r="E737" s="2" t="s">
        <v>4062</v>
      </c>
    </row>
    <row r="738">
      <c r="A738" s="1" t="s">
        <v>2677</v>
      </c>
      <c r="B738" s="1" t="s">
        <v>4816</v>
      </c>
      <c r="C738" s="1" t="s">
        <v>4817</v>
      </c>
      <c r="D738" s="2" t="s">
        <v>4486</v>
      </c>
    </row>
    <row r="739">
      <c r="A739" s="1" t="s">
        <v>2680</v>
      </c>
      <c r="B739" s="1" t="s">
        <v>4818</v>
      </c>
      <c r="C739" s="1" t="s">
        <v>4819</v>
      </c>
      <c r="D739" s="2" t="s">
        <v>2863</v>
      </c>
      <c r="E739" s="2" t="s">
        <v>4447</v>
      </c>
    </row>
    <row r="740">
      <c r="A740" s="1" t="s">
        <v>2683</v>
      </c>
      <c r="B740" s="2" t="s">
        <v>4820</v>
      </c>
      <c r="C740" s="1" t="s">
        <v>4821</v>
      </c>
      <c r="D740" s="2" t="s">
        <v>4664</v>
      </c>
    </row>
    <row r="741">
      <c r="A741" s="1" t="s">
        <v>2687</v>
      </c>
      <c r="B741" s="2" t="s">
        <v>4822</v>
      </c>
      <c r="C741" s="1" t="s">
        <v>4823</v>
      </c>
      <c r="D741" s="2" t="s">
        <v>3346</v>
      </c>
      <c r="E741" s="2" t="s">
        <v>710</v>
      </c>
    </row>
    <row r="742">
      <c r="A742" s="1" t="s">
        <v>2689</v>
      </c>
      <c r="B742" s="1" t="s">
        <v>4824</v>
      </c>
      <c r="C742" s="1" t="s">
        <v>4825</v>
      </c>
      <c r="D742" s="2" t="s">
        <v>3189</v>
      </c>
      <c r="E742" s="2" t="s">
        <v>3102</v>
      </c>
    </row>
    <row r="743">
      <c r="A743" s="1" t="s">
        <v>2692</v>
      </c>
      <c r="C743" s="1" t="s">
        <v>4826</v>
      </c>
    </row>
    <row r="744">
      <c r="A744" s="1" t="s">
        <v>2694</v>
      </c>
      <c r="B744" s="1" t="s">
        <v>4827</v>
      </c>
      <c r="C744" s="1" t="s">
        <v>4828</v>
      </c>
    </row>
    <row r="745">
      <c r="A745" s="1" t="s">
        <v>2695</v>
      </c>
      <c r="B745" s="1" t="s">
        <v>4829</v>
      </c>
      <c r="C745" s="1" t="s">
        <v>4830</v>
      </c>
      <c r="D745" s="2" t="s">
        <v>3820</v>
      </c>
      <c r="E745" s="2" t="s">
        <v>3706</v>
      </c>
    </row>
    <row r="746">
      <c r="A746" s="1" t="s">
        <v>2697</v>
      </c>
      <c r="B746" s="2" t="s">
        <v>4831</v>
      </c>
      <c r="C746" s="1" t="s">
        <v>4832</v>
      </c>
      <c r="D746" s="2" t="s">
        <v>676</v>
      </c>
      <c r="E746" s="2" t="s">
        <v>2657</v>
      </c>
    </row>
    <row r="747">
      <c r="A747" s="1" t="s">
        <v>2698</v>
      </c>
      <c r="B747" s="2" t="s">
        <v>4833</v>
      </c>
      <c r="C747" s="1" t="s">
        <v>4834</v>
      </c>
      <c r="D747" s="2" t="s">
        <v>2873</v>
      </c>
      <c r="E747" s="2" t="s">
        <v>4835</v>
      </c>
    </row>
    <row r="748">
      <c r="A748" s="1" t="s">
        <v>2700</v>
      </c>
      <c r="B748" s="2" t="s">
        <v>4836</v>
      </c>
      <c r="C748" s="1" t="s">
        <v>4837</v>
      </c>
      <c r="D748" s="2" t="s">
        <v>3039</v>
      </c>
      <c r="E748" s="2" t="s">
        <v>3143</v>
      </c>
    </row>
    <row r="749">
      <c r="A749" s="1" t="s">
        <v>2703</v>
      </c>
      <c r="B749" s="1" t="s">
        <v>4838</v>
      </c>
      <c r="C749" s="1" t="s">
        <v>4839</v>
      </c>
      <c r="D749" s="2" t="s">
        <v>60</v>
      </c>
      <c r="E749" s="2" t="s">
        <v>3252</v>
      </c>
    </row>
    <row r="750">
      <c r="A750" s="1" t="s">
        <v>2705</v>
      </c>
      <c r="B750" s="1" t="s">
        <v>4840</v>
      </c>
      <c r="C750" s="1" t="s">
        <v>4841</v>
      </c>
      <c r="D750" s="2" t="s">
        <v>3167</v>
      </c>
    </row>
    <row r="751">
      <c r="A751" s="1" t="s">
        <v>2707</v>
      </c>
      <c r="B751" s="1" t="s">
        <v>4842</v>
      </c>
      <c r="C751" s="1" t="s">
        <v>4843</v>
      </c>
      <c r="D751" s="2" t="s">
        <v>2914</v>
      </c>
      <c r="E751" s="2" t="s">
        <v>3677</v>
      </c>
    </row>
    <row r="752">
      <c r="A752" s="1" t="s">
        <v>2708</v>
      </c>
      <c r="B752" s="1" t="s">
        <v>4844</v>
      </c>
      <c r="C752" s="1" t="s">
        <v>4845</v>
      </c>
      <c r="D752" s="2" t="s">
        <v>4418</v>
      </c>
      <c r="E752" s="2" t="s">
        <v>3243</v>
      </c>
    </row>
    <row r="753">
      <c r="A753" s="1" t="s">
        <v>2710</v>
      </c>
      <c r="B753" s="1" t="s">
        <v>4846</v>
      </c>
      <c r="C753" s="1" t="s">
        <v>4847</v>
      </c>
      <c r="D753" s="2" t="s">
        <v>4641</v>
      </c>
      <c r="E753" s="2" t="s">
        <v>2169</v>
      </c>
    </row>
    <row r="754">
      <c r="A754" s="1" t="s">
        <v>2712</v>
      </c>
      <c r="B754" s="2" t="s">
        <v>4848</v>
      </c>
      <c r="C754" s="1" t="s">
        <v>4849</v>
      </c>
      <c r="D754" s="2" t="s">
        <v>4433</v>
      </c>
      <c r="E754" s="2" t="s">
        <v>3607</v>
      </c>
    </row>
    <row r="755">
      <c r="A755" s="1" t="s">
        <v>2715</v>
      </c>
      <c r="B755" s="1" t="s">
        <v>4850</v>
      </c>
      <c r="C755" s="1" t="s">
        <v>4851</v>
      </c>
      <c r="D755" s="2" t="s">
        <v>1319</v>
      </c>
      <c r="E755" s="2" t="s">
        <v>3153</v>
      </c>
    </row>
    <row r="756">
      <c r="A756" s="1" t="s">
        <v>2717</v>
      </c>
      <c r="B756" s="2" t="s">
        <v>4852</v>
      </c>
      <c r="C756" s="1" t="s">
        <v>4853</v>
      </c>
      <c r="D756" s="2" t="s">
        <v>3666</v>
      </c>
      <c r="E756" s="2" t="s">
        <v>3580</v>
      </c>
    </row>
    <row r="757">
      <c r="A757" s="1" t="s">
        <v>2720</v>
      </c>
      <c r="B757" s="1" t="s">
        <v>4854</v>
      </c>
      <c r="C757" s="1" t="s">
        <v>4855</v>
      </c>
      <c r="D757" s="2" t="s">
        <v>4086</v>
      </c>
    </row>
    <row r="758">
      <c r="A758" s="1" t="s">
        <v>2724</v>
      </c>
      <c r="B758" s="1" t="s">
        <v>4856</v>
      </c>
      <c r="C758" s="1" t="s">
        <v>4857</v>
      </c>
      <c r="D758" s="2" t="s">
        <v>3343</v>
      </c>
    </row>
    <row r="759">
      <c r="A759" s="1" t="s">
        <v>2726</v>
      </c>
      <c r="B759" s="2" t="s">
        <v>4858</v>
      </c>
      <c r="C759" s="1" t="s">
        <v>4859</v>
      </c>
      <c r="D759" s="2" t="s">
        <v>697</v>
      </c>
      <c r="E759" s="2" t="s">
        <v>3498</v>
      </c>
    </row>
    <row r="760">
      <c r="A760" s="1" t="s">
        <v>2729</v>
      </c>
      <c r="B760" s="2" t="s">
        <v>4860</v>
      </c>
      <c r="C760" s="1" t="s">
        <v>4861</v>
      </c>
      <c r="D760" s="2" t="s">
        <v>3555</v>
      </c>
      <c r="E760" s="2" t="s">
        <v>2846</v>
      </c>
    </row>
    <row r="761">
      <c r="A761" s="1" t="s">
        <v>2731</v>
      </c>
      <c r="C761" s="1" t="s">
        <v>4862</v>
      </c>
      <c r="D761" s="2" t="s">
        <v>4520</v>
      </c>
      <c r="E761" s="2" t="s">
        <v>4863</v>
      </c>
    </row>
    <row r="762">
      <c r="A762" s="1" t="s">
        <v>2734</v>
      </c>
      <c r="B762" s="1" t="s">
        <v>4864</v>
      </c>
      <c r="C762" s="1" t="s">
        <v>4865</v>
      </c>
      <c r="D762" s="2" t="s">
        <v>2343</v>
      </c>
      <c r="E762" s="2" t="s">
        <v>3177</v>
      </c>
    </row>
    <row r="763">
      <c r="A763" s="1" t="s">
        <v>2736</v>
      </c>
      <c r="B763" s="1" t="s">
        <v>4866</v>
      </c>
      <c r="C763" s="1" t="s">
        <v>4867</v>
      </c>
      <c r="D763" s="2" t="s">
        <v>1378</v>
      </c>
      <c r="E763" s="2" t="s">
        <v>3404</v>
      </c>
    </row>
    <row r="764">
      <c r="A764" s="1" t="s">
        <v>2739</v>
      </c>
      <c r="D764" s="2" t="s">
        <v>3468</v>
      </c>
      <c r="E764" s="2" t="s">
        <v>1366</v>
      </c>
    </row>
    <row r="765">
      <c r="A765" s="1" t="s">
        <v>2743</v>
      </c>
      <c r="B765" s="1" t="s">
        <v>4868</v>
      </c>
      <c r="C765" s="1" t="s">
        <v>4869</v>
      </c>
      <c r="D765" s="2" t="s">
        <v>4426</v>
      </c>
      <c r="E765" s="2" t="s">
        <v>4863</v>
      </c>
    </row>
    <row r="766">
      <c r="A766" s="1" t="s">
        <v>2746</v>
      </c>
      <c r="B766" s="1" t="s">
        <v>4870</v>
      </c>
      <c r="C766" s="1" t="s">
        <v>4871</v>
      </c>
      <c r="D766" s="2" t="s">
        <v>4230</v>
      </c>
      <c r="E766" s="2" t="s">
        <v>3413</v>
      </c>
    </row>
    <row r="767">
      <c r="A767" s="1" t="s">
        <v>2747</v>
      </c>
      <c r="B767" s="2" t="s">
        <v>4872</v>
      </c>
      <c r="C767" s="1" t="s">
        <v>4873</v>
      </c>
      <c r="D767" s="2" t="s">
        <v>4125</v>
      </c>
      <c r="E767" s="2" t="s">
        <v>842</v>
      </c>
    </row>
    <row r="768">
      <c r="A768" s="1" t="s">
        <v>2750</v>
      </c>
      <c r="B768" s="1" t="s">
        <v>4874</v>
      </c>
      <c r="C768" s="1" t="s">
        <v>4875</v>
      </c>
      <c r="D768" s="2" t="s">
        <v>1485</v>
      </c>
    </row>
    <row r="769">
      <c r="A769" s="1" t="s">
        <v>2752</v>
      </c>
      <c r="B769" s="1" t="s">
        <v>4876</v>
      </c>
      <c r="C769" s="1" t="s">
        <v>4877</v>
      </c>
      <c r="D769" s="2" t="s">
        <v>1319</v>
      </c>
      <c r="E769" s="2" t="s">
        <v>1167</v>
      </c>
    </row>
    <row r="770">
      <c r="A770" s="1" t="s">
        <v>2755</v>
      </c>
      <c r="B770" s="1" t="s">
        <v>4878</v>
      </c>
      <c r="C770" s="1" t="s">
        <v>4879</v>
      </c>
      <c r="D770" s="2" t="s">
        <v>3590</v>
      </c>
    </row>
    <row r="771">
      <c r="A771" s="1" t="s">
        <v>2757</v>
      </c>
      <c r="B771" s="2" t="s">
        <v>4880</v>
      </c>
      <c r="C771" s="1" t="s">
        <v>4881</v>
      </c>
      <c r="D771" s="2" t="s">
        <v>3028</v>
      </c>
      <c r="E771" s="2" t="s">
        <v>4882</v>
      </c>
    </row>
    <row r="772">
      <c r="A772" s="1" t="s">
        <v>2760</v>
      </c>
      <c r="B772" s="1" t="s">
        <v>4883</v>
      </c>
      <c r="C772" s="1" t="s">
        <v>4884</v>
      </c>
      <c r="D772" s="2" t="s">
        <v>60</v>
      </c>
      <c r="E772" s="2" t="s">
        <v>4885</v>
      </c>
    </row>
    <row r="773">
      <c r="A773" s="1" t="s">
        <v>2763</v>
      </c>
      <c r="B773" s="2" t="s">
        <v>4886</v>
      </c>
      <c r="C773" s="1" t="s">
        <v>4887</v>
      </c>
      <c r="D773" s="2" t="s">
        <v>4230</v>
      </c>
      <c r="E773" s="2" t="s">
        <v>1097</v>
      </c>
    </row>
    <row r="774">
      <c r="A774" s="1" t="s">
        <v>2766</v>
      </c>
      <c r="B774" s="2" t="s">
        <v>4888</v>
      </c>
      <c r="C774" s="1" t="s">
        <v>4889</v>
      </c>
      <c r="D774" s="2" t="s">
        <v>4835</v>
      </c>
      <c r="E774" s="2" t="s">
        <v>3346</v>
      </c>
    </row>
    <row r="775">
      <c r="A775" s="1" t="s">
        <v>2769</v>
      </c>
      <c r="B775" s="2" t="s">
        <v>4890</v>
      </c>
      <c r="C775" s="1" t="s">
        <v>4891</v>
      </c>
      <c r="D775" s="2" t="s">
        <v>2498</v>
      </c>
      <c r="E775" s="2" t="s">
        <v>1162</v>
      </c>
    </row>
    <row r="776">
      <c r="A776" s="1" t="s">
        <v>2771</v>
      </c>
      <c r="B776" s="1" t="s">
        <v>4892</v>
      </c>
      <c r="C776" s="1" t="s">
        <v>4893</v>
      </c>
    </row>
    <row r="777">
      <c r="A777" s="1" t="s">
        <v>2774</v>
      </c>
      <c r="B777" s="1" t="s">
        <v>4894</v>
      </c>
      <c r="C777" s="1" t="s">
        <v>4895</v>
      </c>
      <c r="D777" s="2" t="s">
        <v>3541</v>
      </c>
    </row>
    <row r="778">
      <c r="A778" s="1" t="s">
        <v>2776</v>
      </c>
      <c r="B778" s="1" t="s">
        <v>4896</v>
      </c>
      <c r="C778" s="1" t="s">
        <v>4897</v>
      </c>
      <c r="D778" s="2" t="s">
        <v>2924</v>
      </c>
      <c r="E778" s="2" t="s">
        <v>3030</v>
      </c>
    </row>
    <row r="779">
      <c r="A779" s="1" t="s">
        <v>2777</v>
      </c>
      <c r="B779" s="1" t="s">
        <v>4898</v>
      </c>
      <c r="C779" s="1" t="s">
        <v>4899</v>
      </c>
      <c r="D779" s="2" t="s">
        <v>3681</v>
      </c>
    </row>
    <row r="780">
      <c r="A780" s="1" t="s">
        <v>2779</v>
      </c>
      <c r="C780" s="1" t="s">
        <v>4900</v>
      </c>
      <c r="D780" s="2" t="s">
        <v>3153</v>
      </c>
      <c r="E780" s="2" t="s">
        <v>4901</v>
      </c>
    </row>
    <row r="781">
      <c r="A781" s="1" t="s">
        <v>2783</v>
      </c>
      <c r="B781" s="2" t="s">
        <v>4902</v>
      </c>
      <c r="C781" s="1" t="s">
        <v>4903</v>
      </c>
      <c r="D781" s="2" t="s">
        <v>3949</v>
      </c>
      <c r="E781" s="2" t="s">
        <v>3603</v>
      </c>
    </row>
    <row r="782">
      <c r="A782" s="1" t="s">
        <v>2785</v>
      </c>
      <c r="B782" s="1" t="s">
        <v>4904</v>
      </c>
      <c r="C782" s="1" t="s">
        <v>4905</v>
      </c>
      <c r="D782" s="2" t="s">
        <v>2292</v>
      </c>
      <c r="E782" s="2" t="s">
        <v>3538</v>
      </c>
    </row>
    <row r="783">
      <c r="A783" s="1" t="s">
        <v>2787</v>
      </c>
      <c r="B783" s="2" t="s">
        <v>4906</v>
      </c>
      <c r="C783" s="1" t="s">
        <v>4907</v>
      </c>
      <c r="D783" s="2" t="s">
        <v>3167</v>
      </c>
      <c r="E783" s="2" t="s">
        <v>3437</v>
      </c>
    </row>
    <row r="784">
      <c r="A784" s="1" t="s">
        <v>2789</v>
      </c>
      <c r="B784" s="1" t="s">
        <v>4908</v>
      </c>
      <c r="D784" s="2" t="s">
        <v>3148</v>
      </c>
      <c r="E784" s="2" t="s">
        <v>3183</v>
      </c>
    </row>
    <row r="785">
      <c r="A785" s="1" t="s">
        <v>2792</v>
      </c>
      <c r="B785" s="2" t="s">
        <v>4909</v>
      </c>
      <c r="C785" s="1" t="s">
        <v>4910</v>
      </c>
      <c r="D785" s="2" t="s">
        <v>3978</v>
      </c>
    </row>
    <row r="786">
      <c r="A786" s="1" t="s">
        <v>2795</v>
      </c>
      <c r="B786" s="1" t="s">
        <v>4911</v>
      </c>
      <c r="C786" s="1" t="s">
        <v>4912</v>
      </c>
      <c r="D786" s="2" t="s">
        <v>3167</v>
      </c>
    </row>
    <row r="787">
      <c r="A787" s="1" t="s">
        <v>2797</v>
      </c>
      <c r="B787" s="1" t="s">
        <v>4913</v>
      </c>
      <c r="C787" s="1" t="s">
        <v>4914</v>
      </c>
      <c r="D787" s="2" t="s">
        <v>3715</v>
      </c>
    </row>
    <row r="788">
      <c r="A788" s="1" t="s">
        <v>2800</v>
      </c>
      <c r="B788" s="1" t="s">
        <v>4915</v>
      </c>
      <c r="C788" s="1" t="s">
        <v>4916</v>
      </c>
      <c r="D788" s="2" t="s">
        <v>3116</v>
      </c>
    </row>
    <row r="789">
      <c r="A789" s="1" t="s">
        <v>2801</v>
      </c>
      <c r="B789" s="1" t="s">
        <v>4917</v>
      </c>
      <c r="C789" s="1" t="s">
        <v>4918</v>
      </c>
      <c r="D789" s="2" t="s">
        <v>1479</v>
      </c>
    </row>
    <row r="790">
      <c r="A790" s="1" t="s">
        <v>2803</v>
      </c>
      <c r="B790" s="1" t="s">
        <v>4919</v>
      </c>
      <c r="C790" s="1" t="s">
        <v>4920</v>
      </c>
      <c r="D790" s="2" t="s">
        <v>4835</v>
      </c>
    </row>
    <row r="791">
      <c r="A791" s="1" t="s">
        <v>2806</v>
      </c>
      <c r="B791" s="1" t="s">
        <v>4921</v>
      </c>
      <c r="C791" s="1" t="s">
        <v>4922</v>
      </c>
      <c r="D791" s="2" t="s">
        <v>4923</v>
      </c>
      <c r="E791" s="2" t="s">
        <v>4863</v>
      </c>
    </row>
    <row r="792">
      <c r="A792" s="1" t="s">
        <v>2809</v>
      </c>
      <c r="B792" s="1" t="s">
        <v>4924</v>
      </c>
      <c r="C792" s="1" t="s">
        <v>4925</v>
      </c>
      <c r="D792" s="2" t="s">
        <v>3338</v>
      </c>
      <c r="E792" s="2" t="s">
        <v>4248</v>
      </c>
    </row>
    <row r="793">
      <c r="A793" s="1" t="s">
        <v>2811</v>
      </c>
      <c r="B793" s="1" t="s">
        <v>4926</v>
      </c>
      <c r="C793" s="1" t="s">
        <v>4927</v>
      </c>
      <c r="D793" s="2" t="s">
        <v>3772</v>
      </c>
    </row>
    <row r="794">
      <c r="A794" s="1" t="s">
        <v>2814</v>
      </c>
      <c r="C794" s="1" t="s">
        <v>4928</v>
      </c>
      <c r="D794" s="2" t="s">
        <v>1671</v>
      </c>
      <c r="E794" s="2" t="s">
        <v>4732</v>
      </c>
    </row>
    <row r="795">
      <c r="A795" s="1" t="s">
        <v>2817</v>
      </c>
      <c r="B795" s="2" t="s">
        <v>4929</v>
      </c>
      <c r="C795" s="1" t="s">
        <v>4930</v>
      </c>
      <c r="D795" s="2" t="s">
        <v>2841</v>
      </c>
      <c r="E795" s="2" t="s">
        <v>4125</v>
      </c>
    </row>
    <row r="796">
      <c r="A796" s="1" t="s">
        <v>2819</v>
      </c>
      <c r="B796" s="1" t="s">
        <v>4931</v>
      </c>
      <c r="C796" s="1" t="s">
        <v>4932</v>
      </c>
    </row>
    <row r="797">
      <c r="A797" s="1" t="s">
        <v>2822</v>
      </c>
      <c r="B797" s="1" t="s">
        <v>4933</v>
      </c>
      <c r="C797" s="1" t="s">
        <v>4934</v>
      </c>
      <c r="D797" s="2" t="s">
        <v>1378</v>
      </c>
    </row>
    <row r="798">
      <c r="A798" s="1" t="s">
        <v>2823</v>
      </c>
      <c r="B798" s="1" t="s">
        <v>4935</v>
      </c>
      <c r="C798" s="1" t="s">
        <v>4936</v>
      </c>
      <c r="D798" s="2" t="s">
        <v>2961</v>
      </c>
      <c r="E798" s="2" t="s">
        <v>4937</v>
      </c>
    </row>
    <row r="799">
      <c r="A799" s="1" t="s">
        <v>2826</v>
      </c>
      <c r="B799" s="2" t="s">
        <v>4938</v>
      </c>
      <c r="C799" s="1" t="s">
        <v>4939</v>
      </c>
      <c r="D799" s="2" t="s">
        <v>2955</v>
      </c>
      <c r="E799" s="2" t="s">
        <v>4805</v>
      </c>
    </row>
    <row r="800">
      <c r="A800" s="1" t="s">
        <v>2829</v>
      </c>
      <c r="B800" s="1" t="s">
        <v>4940</v>
      </c>
      <c r="C800" s="1" t="s">
        <v>4941</v>
      </c>
      <c r="D800" s="2" t="s">
        <v>3546</v>
      </c>
    </row>
    <row r="801">
      <c r="A801" s="1" t="s">
        <v>2831</v>
      </c>
      <c r="B801" s="1" t="s">
        <v>4942</v>
      </c>
      <c r="C801" s="1" t="s">
        <v>4943</v>
      </c>
      <c r="D801" s="2" t="s">
        <v>3775</v>
      </c>
    </row>
    <row r="802">
      <c r="A802" s="1" t="s">
        <v>2833</v>
      </c>
      <c r="B802" s="1" t="s">
        <v>4944</v>
      </c>
      <c r="C802" s="1" t="s">
        <v>4945</v>
      </c>
      <c r="D802" s="2" t="s">
        <v>4681</v>
      </c>
    </row>
    <row r="803">
      <c r="A803" s="1" t="s">
        <v>2835</v>
      </c>
      <c r="B803" s="1" t="s">
        <v>4946</v>
      </c>
      <c r="C803" s="1" t="s">
        <v>4947</v>
      </c>
      <c r="D803" s="2" t="s">
        <v>3956</v>
      </c>
    </row>
    <row r="804">
      <c r="A804" s="1" t="s">
        <v>2837</v>
      </c>
      <c r="B804" s="1" t="s">
        <v>4948</v>
      </c>
      <c r="C804" s="1" t="s">
        <v>4949</v>
      </c>
      <c r="D804" s="2" t="s">
        <v>3727</v>
      </c>
      <c r="E804" s="2" t="s">
        <v>4673</v>
      </c>
    </row>
    <row r="805">
      <c r="A805" s="1" t="s">
        <v>2838</v>
      </c>
      <c r="B805" s="1" t="s">
        <v>4950</v>
      </c>
      <c r="C805" s="1" t="s">
        <v>4951</v>
      </c>
      <c r="D805" s="2" t="s">
        <v>3494</v>
      </c>
      <c r="E805" s="2" t="s">
        <v>2657</v>
      </c>
    </row>
    <row r="806">
      <c r="A806" s="1" t="s">
        <v>2840</v>
      </c>
      <c r="B806" s="1" t="s">
        <v>4952</v>
      </c>
      <c r="C806" s="1" t="s">
        <v>4953</v>
      </c>
      <c r="D806" s="2" t="s">
        <v>191</v>
      </c>
      <c r="E806" s="2" t="s">
        <v>4620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6.5"/>
    <col customWidth="1" min="3" max="3" width="19.88"/>
    <col customWidth="1" min="4" max="4" width="25.38"/>
    <col customWidth="1" min="5" max="7" width="28.88"/>
    <col customWidth="1" min="8" max="8" width="29.63"/>
    <col customWidth="1" min="9" max="9" width="30.25"/>
  </cols>
  <sheetData>
    <row r="1" ht="22.5" customHeight="1">
      <c r="A1" s="3" t="s">
        <v>0</v>
      </c>
      <c r="B1" s="3" t="s">
        <v>4954</v>
      </c>
      <c r="C1" s="4" t="s">
        <v>4955</v>
      </c>
      <c r="D1" s="4" t="s">
        <v>4956</v>
      </c>
      <c r="E1" s="3" t="s">
        <v>4957</v>
      </c>
      <c r="F1" s="4" t="s">
        <v>4958</v>
      </c>
      <c r="G1" s="4" t="s">
        <v>4959</v>
      </c>
      <c r="H1" s="3" t="s">
        <v>4960</v>
      </c>
      <c r="I1" s="3" t="s">
        <v>4961</v>
      </c>
    </row>
    <row r="2" ht="22.5" customHeight="1">
      <c r="A2" s="5" t="s">
        <v>21</v>
      </c>
      <c r="B2" s="5" t="s">
        <v>3114</v>
      </c>
      <c r="C2" s="5" t="str">
        <f>IFERROR(__xludf.DUMMYFUNCTION("REGEXREPLACE(B2,""\D"","""")"),"7377026699")</f>
        <v>7377026699</v>
      </c>
      <c r="D2" s="12">
        <v>7.377026699E9</v>
      </c>
      <c r="E2" s="5" t="s">
        <v>3115</v>
      </c>
      <c r="F2" s="5" t="str">
        <f t="shared" ref="F2:F806" si="1">LOWER(TRIM(E2))</f>
        <v>charlotte.garcia@yahoo.com</v>
      </c>
      <c r="G2" s="5" t="s">
        <v>4962</v>
      </c>
      <c r="H2" s="9">
        <v>45887.0</v>
      </c>
      <c r="I2" s="9">
        <v>45895.0</v>
      </c>
    </row>
    <row r="3" ht="22.5" customHeight="1">
      <c r="A3" s="5" t="s">
        <v>40</v>
      </c>
      <c r="B3" s="5" t="s">
        <v>3117</v>
      </c>
      <c r="C3" s="5" t="str">
        <f>IFERROR(__xludf.DUMMYFUNCTION("REGEXREPLACE(B3,""\D"","""")"),"2686327015")</f>
        <v>2686327015</v>
      </c>
      <c r="D3" s="12">
        <v>2.686327015E9</v>
      </c>
      <c r="E3" s="5" t="s">
        <v>3118</v>
      </c>
      <c r="F3" s="5" t="str">
        <f t="shared" si="1"/>
        <v>rebecca.lopez@outlook.com</v>
      </c>
      <c r="G3" s="5" t="s">
        <v>4963</v>
      </c>
      <c r="H3" s="9">
        <v>45928.0</v>
      </c>
      <c r="I3" s="9">
        <v>45951.0</v>
      </c>
    </row>
    <row r="4" ht="22.5" customHeight="1">
      <c r="A4" s="5" t="s">
        <v>57</v>
      </c>
      <c r="C4" s="10" t="str">
        <f>IFERROR(__xludf.DUMMYFUNCTION("REGEXREPLACE(B4,""\D"","""")"),"")</f>
        <v/>
      </c>
      <c r="D4" s="13" t="s">
        <v>4964</v>
      </c>
      <c r="E4" s="5" t="s">
        <v>3120</v>
      </c>
      <c r="F4" s="5" t="str">
        <f t="shared" si="1"/>
        <v>mary.lee@gmail.com</v>
      </c>
      <c r="G4" s="5" t="s">
        <v>4965</v>
      </c>
      <c r="H4" s="9">
        <v>46034.0</v>
      </c>
      <c r="I4" s="11"/>
    </row>
    <row r="5" ht="22.5" customHeight="1">
      <c r="A5" s="5" t="s">
        <v>72</v>
      </c>
      <c r="B5" s="5" t="s">
        <v>3122</v>
      </c>
      <c r="C5" s="5" t="str">
        <f>IFERROR(__xludf.DUMMYFUNCTION("REGEXREPLACE(B5,""\D"","""")"),"9872336406")</f>
        <v>9872336406</v>
      </c>
      <c r="D5" s="12">
        <v>9.872336406E9</v>
      </c>
      <c r="E5" s="5" t="s">
        <v>3123</v>
      </c>
      <c r="F5" s="5" t="str">
        <f t="shared" si="1"/>
        <v>harry.brown@yahoo.com</v>
      </c>
      <c r="G5" s="5" t="s">
        <v>4966</v>
      </c>
      <c r="H5" s="9">
        <v>45851.0</v>
      </c>
      <c r="I5" s="9">
        <v>45854.0</v>
      </c>
    </row>
    <row r="6" ht="22.5" customHeight="1">
      <c r="A6" s="5" t="s">
        <v>87</v>
      </c>
      <c r="B6" s="5" t="s">
        <v>3124</v>
      </c>
      <c r="C6" s="5" t="str">
        <f>IFERROR(__xludf.DUMMYFUNCTION("REGEXREPLACE(B6,""\D"","""")"),"2479847668")</f>
        <v>2479847668</v>
      </c>
      <c r="D6" s="12">
        <v>2.479847668E9</v>
      </c>
      <c r="E6" s="5" t="s">
        <v>3125</v>
      </c>
      <c r="F6" s="5" t="str">
        <f t="shared" si="1"/>
        <v>wendy.davis@aol.com</v>
      </c>
      <c r="G6" s="5" t="s">
        <v>4967</v>
      </c>
      <c r="H6" s="9">
        <v>45977.0</v>
      </c>
      <c r="I6" s="9">
        <v>45992.0</v>
      </c>
    </row>
    <row r="7" ht="22.5" customHeight="1">
      <c r="A7" s="5" t="s">
        <v>99</v>
      </c>
      <c r="B7" s="5" t="s">
        <v>3128</v>
      </c>
      <c r="C7" s="5" t="str">
        <f>IFERROR(__xludf.DUMMYFUNCTION("REGEXREPLACE(B7,""\D"","""")"),"4606566594")</f>
        <v>4606566594</v>
      </c>
      <c r="D7" s="12">
        <v>4.606566594E9</v>
      </c>
      <c r="E7" s="5" t="s">
        <v>3129</v>
      </c>
      <c r="F7" s="5" t="str">
        <f t="shared" si="1"/>
        <v>nancy.ferguson@outlook.com</v>
      </c>
      <c r="G7" s="5" t="s">
        <v>4968</v>
      </c>
      <c r="H7" s="9">
        <v>45793.0</v>
      </c>
      <c r="I7" s="11"/>
    </row>
    <row r="8" ht="22.5" customHeight="1">
      <c r="A8" s="5" t="s">
        <v>119</v>
      </c>
      <c r="B8" s="5" t="s">
        <v>3131</v>
      </c>
      <c r="C8" s="5" t="str">
        <f>IFERROR(__xludf.DUMMYFUNCTION("REGEXREPLACE(B8,""\D"","""")"),"8785733758")</f>
        <v>8785733758</v>
      </c>
      <c r="D8" s="12">
        <v>8.785733758E9</v>
      </c>
      <c r="E8" s="5" t="s">
        <v>3132</v>
      </c>
      <c r="F8" s="5" t="str">
        <f t="shared" si="1"/>
        <v>claire.chan@yahoo.com</v>
      </c>
      <c r="G8" s="5" t="s">
        <v>3132</v>
      </c>
      <c r="H8" s="9">
        <v>46073.0</v>
      </c>
      <c r="I8" s="9">
        <v>46102.0</v>
      </c>
    </row>
    <row r="9" ht="22.5" customHeight="1">
      <c r="A9" s="5" t="s">
        <v>126</v>
      </c>
      <c r="B9" s="5" t="s">
        <v>3133</v>
      </c>
      <c r="C9" s="5" t="str">
        <f>IFERROR(__xludf.DUMMYFUNCTION("REGEXREPLACE(B9,""\D"","""")"),"9643901726")</f>
        <v>9643901726</v>
      </c>
      <c r="D9" s="12">
        <v>9.643901726E9</v>
      </c>
      <c r="E9" s="5" t="s">
        <v>3134</v>
      </c>
      <c r="F9" s="5" t="str">
        <f t="shared" si="1"/>
        <v>john.rodriguez@outlook.com</v>
      </c>
      <c r="G9" s="5" t="s">
        <v>4969</v>
      </c>
      <c r="H9" s="9">
        <v>45756.0</v>
      </c>
      <c r="I9" s="9">
        <v>45766.0</v>
      </c>
    </row>
    <row r="10" ht="22.5" customHeight="1">
      <c r="A10" s="5" t="s">
        <v>134</v>
      </c>
      <c r="B10" s="5" t="s">
        <v>3136</v>
      </c>
      <c r="C10" s="5" t="str">
        <f>IFERROR(__xludf.DUMMYFUNCTION("REGEXREPLACE(B10,""\D"","""")"),"2496386452")</f>
        <v>2496386452</v>
      </c>
      <c r="D10" s="12">
        <v>2.496386452E9</v>
      </c>
      <c r="E10" s="5" t="s">
        <v>3137</v>
      </c>
      <c r="F10" s="5" t="str">
        <f t="shared" si="1"/>
        <v>alice.ng@yahoo.com</v>
      </c>
      <c r="G10" s="5" t="s">
        <v>4970</v>
      </c>
      <c r="H10" s="9">
        <v>46092.0</v>
      </c>
      <c r="I10" s="9">
        <v>46112.0</v>
      </c>
    </row>
    <row r="11" ht="22.5" customHeight="1">
      <c r="A11" s="5" t="s">
        <v>145</v>
      </c>
      <c r="B11" s="5" t="s">
        <v>3140</v>
      </c>
      <c r="C11" s="5" t="str">
        <f>IFERROR(__xludf.DUMMYFUNCTION("REGEXREPLACE(B11,""\D"","""")"),"2452423912")</f>
        <v>2452423912</v>
      </c>
      <c r="D11" s="12">
        <v>2.452423912E9</v>
      </c>
      <c r="F11" s="10" t="str">
        <f t="shared" si="1"/>
        <v/>
      </c>
      <c r="G11" s="10" t="s">
        <v>4964</v>
      </c>
      <c r="H11" s="9">
        <v>45988.0</v>
      </c>
      <c r="I11" s="9">
        <v>46009.0</v>
      </c>
    </row>
    <row r="12" ht="22.5" customHeight="1">
      <c r="A12" s="5" t="s">
        <v>156</v>
      </c>
      <c r="B12" s="14" t="s">
        <v>3141</v>
      </c>
      <c r="C12" s="5" t="str">
        <f>IFERROR(__xludf.DUMMYFUNCTION("REGEXREPLACE(B12,""\D"","""")"),"4874082006")</f>
        <v>4874082006</v>
      </c>
      <c r="D12" s="12">
        <v>4.874082006E9</v>
      </c>
      <c r="E12" s="5" t="s">
        <v>3142</v>
      </c>
      <c r="F12" s="5" t="str">
        <f t="shared" si="1"/>
        <v>eva.young@outlook.com</v>
      </c>
      <c r="G12" s="5" t="s">
        <v>4971</v>
      </c>
      <c r="H12" s="9">
        <v>46184.0</v>
      </c>
      <c r="I12" s="9">
        <v>46213.0</v>
      </c>
    </row>
    <row r="13" ht="22.5" customHeight="1">
      <c r="A13" s="5" t="s">
        <v>169</v>
      </c>
      <c r="B13" s="5" t="s">
        <v>3144</v>
      </c>
      <c r="C13" s="5" t="str">
        <f>IFERROR(__xludf.DUMMYFUNCTION("REGEXREPLACE(B13,""\D"","""")"),"5666903484")</f>
        <v>5666903484</v>
      </c>
      <c r="D13" s="12">
        <v>5.666903484E9</v>
      </c>
      <c r="E13" s="5" t="s">
        <v>3145</v>
      </c>
      <c r="F13" s="5" t="str">
        <f t="shared" si="1"/>
        <v>frank.little@outlook.com</v>
      </c>
      <c r="G13" s="5" t="s">
        <v>3145</v>
      </c>
      <c r="H13" s="9">
        <v>45792.0</v>
      </c>
      <c r="I13" s="11"/>
    </row>
    <row r="14" ht="22.5" customHeight="1">
      <c r="A14" s="5" t="s">
        <v>182</v>
      </c>
      <c r="B14" s="14" t="s">
        <v>3146</v>
      </c>
      <c r="C14" s="5" t="str">
        <f>IFERROR(__xludf.DUMMYFUNCTION("REGEXREPLACE(B14,""\D"","""")"),"2677618658")</f>
        <v>2677618658</v>
      </c>
      <c r="D14" s="12">
        <v>2.677618658E9</v>
      </c>
      <c r="E14" s="5" t="s">
        <v>3147</v>
      </c>
      <c r="F14" s="5" t="str">
        <f t="shared" si="1"/>
        <v>victor.perez@aol.com</v>
      </c>
      <c r="G14" s="5" t="s">
        <v>3147</v>
      </c>
      <c r="H14" s="9">
        <v>46175.0</v>
      </c>
      <c r="I14" s="9">
        <v>46187.0</v>
      </c>
    </row>
    <row r="15" ht="22.5" customHeight="1">
      <c r="A15" s="5" t="s">
        <v>192</v>
      </c>
      <c r="B15" s="5" t="s">
        <v>3149</v>
      </c>
      <c r="C15" s="5" t="str">
        <f>IFERROR(__xludf.DUMMYFUNCTION("REGEXREPLACE(B15,""\D"","""")"),"8346104937")</f>
        <v>8346104937</v>
      </c>
      <c r="D15" s="12">
        <v>8.346104937E9</v>
      </c>
      <c r="E15" s="5" t="s">
        <v>3150</v>
      </c>
      <c r="F15" s="5" t="str">
        <f t="shared" si="1"/>
        <v>fiona.chen@gmail.com</v>
      </c>
      <c r="G15" s="5" t="s">
        <v>4972</v>
      </c>
      <c r="H15" s="9">
        <v>46209.0</v>
      </c>
      <c r="I15" s="11"/>
    </row>
    <row r="16" ht="22.5" customHeight="1">
      <c r="A16" s="5" t="s">
        <v>202</v>
      </c>
      <c r="B16" s="5" t="s">
        <v>3151</v>
      </c>
      <c r="C16" s="5" t="str">
        <f>IFERROR(__xludf.DUMMYFUNCTION("REGEXREPLACE(B16,""\D"","""")"),"4743848574")</f>
        <v>4743848574</v>
      </c>
      <c r="D16" s="12">
        <v>4.743848574E9</v>
      </c>
      <c r="E16" s="5" t="s">
        <v>3152</v>
      </c>
      <c r="F16" s="5" t="str">
        <f t="shared" si="1"/>
        <v>tina.zu@gmail.com</v>
      </c>
      <c r="G16" s="5" t="s">
        <v>4973</v>
      </c>
      <c r="H16" s="9">
        <v>46015.0</v>
      </c>
      <c r="I16" s="9">
        <v>46017.0</v>
      </c>
    </row>
    <row r="17" ht="22.5" customHeight="1">
      <c r="A17" s="5" t="s">
        <v>214</v>
      </c>
      <c r="B17" s="5" t="s">
        <v>3154</v>
      </c>
      <c r="C17" s="5" t="str">
        <f>IFERROR(__xludf.DUMMYFUNCTION("REGEXREPLACE(B17,""\D"","""")"),"2882914088")</f>
        <v>2882914088</v>
      </c>
      <c r="D17" s="12">
        <v>2.882914088E9</v>
      </c>
      <c r="E17" s="5" t="s">
        <v>3155</v>
      </c>
      <c r="F17" s="5" t="str">
        <f t="shared" si="1"/>
        <v>john.williams@yahoo.com</v>
      </c>
      <c r="G17" s="5" t="s">
        <v>4974</v>
      </c>
      <c r="H17" s="11"/>
      <c r="I17" s="11"/>
    </row>
    <row r="18" ht="22.5" customHeight="1">
      <c r="A18" s="5" t="s">
        <v>225</v>
      </c>
      <c r="B18" s="5" t="s">
        <v>3156</v>
      </c>
      <c r="C18" s="5" t="str">
        <f>IFERROR(__xludf.DUMMYFUNCTION("REGEXREPLACE(B18,""\D"","""")"),"5867495438")</f>
        <v>5867495438</v>
      </c>
      <c r="D18" s="12">
        <v>5.867495438E9</v>
      </c>
      <c r="E18" s="5" t="s">
        <v>3157</v>
      </c>
      <c r="F18" s="5" t="str">
        <f t="shared" si="1"/>
        <v>frnk.rodriguez@aol.com</v>
      </c>
      <c r="G18" s="5" t="s">
        <v>3157</v>
      </c>
      <c r="H18" s="9">
        <v>45785.0</v>
      </c>
      <c r="I18" s="11"/>
    </row>
    <row r="19" ht="22.5" customHeight="1">
      <c r="A19" s="5" t="s">
        <v>233</v>
      </c>
      <c r="B19" s="5" t="s">
        <v>3158</v>
      </c>
      <c r="C19" s="5" t="str">
        <f>IFERROR(__xludf.DUMMYFUNCTION("REGEXREPLACE(B19,""\D"","""")"),"4675034211")</f>
        <v>4675034211</v>
      </c>
      <c r="D19" s="12">
        <v>4.675034211E9</v>
      </c>
      <c r="E19" s="5" t="s">
        <v>3159</v>
      </c>
      <c r="F19" s="5" t="str">
        <f t="shared" si="1"/>
        <v>kylie.ng@hotmail.com</v>
      </c>
      <c r="G19" s="5" t="s">
        <v>4975</v>
      </c>
      <c r="H19" s="9">
        <v>46026.0</v>
      </c>
      <c r="I19" s="9">
        <v>46027.0</v>
      </c>
    </row>
    <row r="20" ht="22.5" customHeight="1">
      <c r="A20" s="5" t="s">
        <v>242</v>
      </c>
      <c r="B20" s="14" t="s">
        <v>3161</v>
      </c>
      <c r="C20" s="5" t="str">
        <f>IFERROR(__xludf.DUMMYFUNCTION("REGEXREPLACE(B20,""\D"","""")"),"9199863491")</f>
        <v>9199863491</v>
      </c>
      <c r="D20" s="12">
        <v>9.199863491E9</v>
      </c>
      <c r="E20" s="5" t="s">
        <v>3162</v>
      </c>
      <c r="F20" s="5" t="str">
        <f t="shared" si="1"/>
        <v>keiith.jackson@gmail.com</v>
      </c>
      <c r="G20" s="5" t="s">
        <v>3162</v>
      </c>
      <c r="H20" s="9">
        <v>46027.0</v>
      </c>
      <c r="I20" s="9">
        <v>46027.0</v>
      </c>
    </row>
    <row r="21" ht="22.5" customHeight="1">
      <c r="A21" s="5" t="s">
        <v>253</v>
      </c>
      <c r="B21" s="5" t="s">
        <v>3163</v>
      </c>
      <c r="C21" s="5" t="str">
        <f>IFERROR(__xludf.DUMMYFUNCTION("REGEXREPLACE(B21,""\D"","""")"),"9153291496")</f>
        <v>9153291496</v>
      </c>
      <c r="D21" s="12">
        <v>9.153291496E9</v>
      </c>
      <c r="E21" s="5" t="s">
        <v>3164</v>
      </c>
      <c r="F21" s="5" t="str">
        <f t="shared" si="1"/>
        <v>frank.doe@outlook.com</v>
      </c>
      <c r="G21" s="5" t="s">
        <v>3164</v>
      </c>
      <c r="H21" s="11"/>
      <c r="I21" s="11"/>
    </row>
    <row r="22" ht="22.5" customHeight="1">
      <c r="A22" s="5" t="s">
        <v>262</v>
      </c>
      <c r="B22" s="5" t="s">
        <v>3165</v>
      </c>
      <c r="C22" s="5" t="str">
        <f>IFERROR(__xludf.DUMMYFUNCTION("REGEXREPLACE(B22,""\D"","""")"),"2845139446")</f>
        <v>2845139446</v>
      </c>
      <c r="D22" s="12">
        <v>2.845139446E9</v>
      </c>
      <c r="E22" s="5" t="s">
        <v>3166</v>
      </c>
      <c r="F22" s="5" t="str">
        <f t="shared" si="1"/>
        <v>natalie.wu@aol.com</v>
      </c>
      <c r="G22" s="5" t="s">
        <v>3166</v>
      </c>
      <c r="H22" s="9">
        <v>46174.0</v>
      </c>
      <c r="I22" s="9">
        <v>46180.0</v>
      </c>
    </row>
    <row r="23" ht="22.5" customHeight="1">
      <c r="A23" s="5" t="s">
        <v>274</v>
      </c>
      <c r="B23" s="14" t="s">
        <v>3168</v>
      </c>
      <c r="C23" s="5" t="str">
        <f>IFERROR(__xludf.DUMMYFUNCTION("REGEXREPLACE(B23,""\D"","""")"),"2414921424")</f>
        <v>2414921424</v>
      </c>
      <c r="D23" s="12">
        <v>2.414921424E9</v>
      </c>
      <c r="E23" s="5" t="s">
        <v>3169</v>
      </c>
      <c r="F23" s="5" t="str">
        <f t="shared" si="1"/>
        <v>charli.rodriguez@hotmail.com</v>
      </c>
      <c r="G23" s="5" t="s">
        <v>4976</v>
      </c>
      <c r="H23" s="9">
        <v>46167.0</v>
      </c>
      <c r="I23" s="9">
        <v>46171.0</v>
      </c>
    </row>
    <row r="24" ht="22.5" customHeight="1">
      <c r="A24" s="5" t="s">
        <v>281</v>
      </c>
      <c r="B24" s="14" t="s">
        <v>3171</v>
      </c>
      <c r="C24" s="5" t="str">
        <f>IFERROR(__xludf.DUMMYFUNCTION("REGEXREPLACE(B24,""\D"","""")"),"5644939535")</f>
        <v>5644939535</v>
      </c>
      <c r="D24" s="12">
        <v>5.644939535E9</v>
      </c>
      <c r="E24" s="5" t="s">
        <v>3172</v>
      </c>
      <c r="F24" s="5" t="str">
        <f t="shared" si="1"/>
        <v>victor.lim@outlook.com</v>
      </c>
      <c r="G24" s="5" t="s">
        <v>4977</v>
      </c>
      <c r="H24" s="9">
        <v>46058.0</v>
      </c>
      <c r="I24" s="11"/>
    </row>
    <row r="25" ht="22.5" customHeight="1">
      <c r="A25" s="5" t="s">
        <v>291</v>
      </c>
      <c r="B25" s="14" t="s">
        <v>3174</v>
      </c>
      <c r="C25" s="5" t="str">
        <f>IFERROR(__xludf.DUMMYFUNCTION("REGEXREPLACE(B25,""\D"","""")"),"8244587951")</f>
        <v>8244587951</v>
      </c>
      <c r="D25" s="12">
        <v>8.244587951E9</v>
      </c>
      <c r="E25" s="5" t="s">
        <v>3175</v>
      </c>
      <c r="F25" s="5" t="str">
        <f t="shared" si="1"/>
        <v>ava.miler@aol.com</v>
      </c>
      <c r="G25" s="5" t="s">
        <v>3175</v>
      </c>
      <c r="H25" s="9">
        <v>45721.0</v>
      </c>
      <c r="I25" s="9">
        <v>45746.0</v>
      </c>
    </row>
    <row r="26" ht="22.5" customHeight="1">
      <c r="A26" s="5" t="s">
        <v>298</v>
      </c>
      <c r="B26" s="5" t="s">
        <v>3178</v>
      </c>
      <c r="C26" s="5" t="str">
        <f>IFERROR(__xludf.DUMMYFUNCTION("REGEXREPLACE(B26,""\D"","""")"),"7615687814")</f>
        <v>7615687814</v>
      </c>
      <c r="D26" s="12">
        <v>7.615687814E9</v>
      </c>
      <c r="E26" s="5" t="s">
        <v>3179</v>
      </c>
      <c r="F26" s="5" t="str">
        <f t="shared" si="1"/>
        <v>evan.lee@aol.com</v>
      </c>
      <c r="G26" s="5" t="s">
        <v>3179</v>
      </c>
      <c r="H26" s="9">
        <v>46027.0</v>
      </c>
      <c r="I26" s="9">
        <v>46049.0</v>
      </c>
    </row>
    <row r="27" ht="22.5" customHeight="1">
      <c r="A27" s="5" t="s">
        <v>306</v>
      </c>
      <c r="B27" s="5" t="s">
        <v>3180</v>
      </c>
      <c r="C27" s="5" t="str">
        <f>IFERROR(__xludf.DUMMYFUNCTION("REGEXREPLACE(B27,""\D"","""")"),"3736443262")</f>
        <v>3736443262</v>
      </c>
      <c r="D27" s="12">
        <v>3.736443262E9</v>
      </c>
      <c r="E27" s="5" t="s">
        <v>3181</v>
      </c>
      <c r="F27" s="5" t="str">
        <f t="shared" si="1"/>
        <v>hannah.garcia@gmail.com</v>
      </c>
      <c r="G27" s="5" t="s">
        <v>4978</v>
      </c>
      <c r="H27" s="9">
        <v>46164.0</v>
      </c>
      <c r="I27" s="9">
        <v>46185.0</v>
      </c>
    </row>
    <row r="28" ht="22.5" customHeight="1">
      <c r="A28" s="5" t="s">
        <v>314</v>
      </c>
      <c r="C28" s="10" t="str">
        <f>IFERROR(__xludf.DUMMYFUNCTION("REGEXREPLACE(B28,""\D"","""")"),"")</f>
        <v/>
      </c>
      <c r="D28" s="13" t="s">
        <v>4964</v>
      </c>
      <c r="E28" s="5" t="s">
        <v>3184</v>
      </c>
      <c r="F28" s="5" t="str">
        <f t="shared" si="1"/>
        <v>silvia.baker@yahoo.com</v>
      </c>
      <c r="G28" s="5" t="s">
        <v>3184</v>
      </c>
      <c r="H28" s="9">
        <v>46221.0</v>
      </c>
      <c r="I28" s="9">
        <v>46223.0</v>
      </c>
    </row>
    <row r="29" ht="22.5" customHeight="1">
      <c r="A29" s="5" t="s">
        <v>321</v>
      </c>
      <c r="B29" s="5" t="s">
        <v>3187</v>
      </c>
      <c r="C29" s="5" t="str">
        <f>IFERROR(__xludf.DUMMYFUNCTION("REGEXREPLACE(B29,""\D"","""")"),"8757502988")</f>
        <v>8757502988</v>
      </c>
      <c r="D29" s="12">
        <v>8.757502988E9</v>
      </c>
      <c r="E29" s="5" t="s">
        <v>3188</v>
      </c>
      <c r="F29" s="5" t="str">
        <f t="shared" si="1"/>
        <v>betty.cooper@yahoo.com</v>
      </c>
      <c r="G29" s="5" t="s">
        <v>3188</v>
      </c>
      <c r="H29" s="9">
        <v>45966.0</v>
      </c>
      <c r="I29" s="9">
        <v>45994.0</v>
      </c>
    </row>
    <row r="30" ht="22.5" customHeight="1">
      <c r="A30" s="5" t="s">
        <v>329</v>
      </c>
      <c r="B30" s="5" t="s">
        <v>3190</v>
      </c>
      <c r="C30" s="5" t="str">
        <f>IFERROR(__xludf.DUMMYFUNCTION("REGEXREPLACE(B30,""\D"","""")"),"8159869727")</f>
        <v>8159869727</v>
      </c>
      <c r="D30" s="12">
        <v>8.159869727E9</v>
      </c>
      <c r="E30" s="5" t="s">
        <v>3191</v>
      </c>
      <c r="F30" s="5" t="str">
        <f t="shared" si="1"/>
        <v>gale.little@yahoo.com</v>
      </c>
      <c r="G30" s="5" t="s">
        <v>3191</v>
      </c>
      <c r="H30" s="9">
        <v>46206.0</v>
      </c>
      <c r="I30" s="9">
        <v>46207.0</v>
      </c>
    </row>
    <row r="31" ht="22.5" customHeight="1">
      <c r="A31" s="5" t="s">
        <v>335</v>
      </c>
      <c r="B31" s="5" t="s">
        <v>3194</v>
      </c>
      <c r="C31" s="5" t="str">
        <f>IFERROR(__xludf.DUMMYFUNCTION("REGEXREPLACE(B31,""\D"","""")"),"5438868707")</f>
        <v>5438868707</v>
      </c>
      <c r="D31" s="12">
        <v>5.438868707E9</v>
      </c>
      <c r="E31" s="5" t="s">
        <v>3195</v>
      </c>
      <c r="F31" s="5" t="str">
        <f t="shared" si="1"/>
        <v>john.johnson@yahoo.com</v>
      </c>
      <c r="G31" s="5" t="s">
        <v>3195</v>
      </c>
      <c r="H31" s="9">
        <v>45711.0</v>
      </c>
      <c r="I31" s="11"/>
    </row>
    <row r="32" ht="22.5" customHeight="1">
      <c r="A32" s="5" t="s">
        <v>341</v>
      </c>
      <c r="B32" s="14" t="s">
        <v>3196</v>
      </c>
      <c r="C32" s="5" t="str">
        <f>IFERROR(__xludf.DUMMYFUNCTION("REGEXREPLACE(B32,""\D"","""")"),"9614489635")</f>
        <v>9614489635</v>
      </c>
      <c r="D32" s="12">
        <v>9.614489635E9</v>
      </c>
      <c r="E32" s="5" t="s">
        <v>3197</v>
      </c>
      <c r="F32" s="5" t="str">
        <f t="shared" si="1"/>
        <v>bob.rodriguez@outlook.com</v>
      </c>
      <c r="G32" s="5" t="s">
        <v>4979</v>
      </c>
      <c r="H32" s="9">
        <v>46198.0</v>
      </c>
      <c r="I32" s="9">
        <v>46217.0</v>
      </c>
    </row>
    <row r="33" ht="22.5" customHeight="1">
      <c r="A33" s="5" t="s">
        <v>349</v>
      </c>
      <c r="B33" s="5" t="s">
        <v>3200</v>
      </c>
      <c r="C33" s="5" t="str">
        <f>IFERROR(__xludf.DUMMYFUNCTION("REGEXREPLACE(B33,""\D"","""")"),"9298611236")</f>
        <v>9298611236</v>
      </c>
      <c r="D33" s="12">
        <v>9.298611236E9</v>
      </c>
      <c r="E33" s="5" t="s">
        <v>3201</v>
      </c>
      <c r="F33" s="5" t="str">
        <f t="shared" si="1"/>
        <v>lisa.kim@aol.com</v>
      </c>
      <c r="G33" s="5" t="s">
        <v>4980</v>
      </c>
      <c r="H33" s="9">
        <v>46134.0</v>
      </c>
      <c r="I33" s="9">
        <v>46145.0</v>
      </c>
    </row>
    <row r="34" ht="22.5" customHeight="1">
      <c r="A34" s="5" t="s">
        <v>356</v>
      </c>
      <c r="B34" s="14" t="s">
        <v>3203</v>
      </c>
      <c r="C34" s="5" t="str">
        <f>IFERROR(__xludf.DUMMYFUNCTION("REGEXREPLACE(B34,""\D"","""")"),"3368311323")</f>
        <v>3368311323</v>
      </c>
      <c r="D34" s="12">
        <v>3.368311323E9</v>
      </c>
      <c r="E34" s="5" t="s">
        <v>3204</v>
      </c>
      <c r="F34" s="5" t="str">
        <f t="shared" si="1"/>
        <v>john.brown@gmail.com</v>
      </c>
      <c r="G34" s="5" t="s">
        <v>4981</v>
      </c>
      <c r="H34" s="9">
        <v>46251.0</v>
      </c>
      <c r="I34" s="9">
        <v>46253.0</v>
      </c>
    </row>
    <row r="35" ht="22.5" customHeight="1">
      <c r="A35" s="5" t="s">
        <v>362</v>
      </c>
      <c r="B35" s="5" t="s">
        <v>3207</v>
      </c>
      <c r="C35" s="5" t="str">
        <f>IFERROR(__xludf.DUMMYFUNCTION("REGEXREPLACE(B35,""\D"","""")"),"5333914264")</f>
        <v>5333914264</v>
      </c>
      <c r="D35" s="12">
        <v>5.333914264E9</v>
      </c>
      <c r="E35" s="5" t="s">
        <v>3208</v>
      </c>
      <c r="F35" s="5" t="str">
        <f t="shared" si="1"/>
        <v>greg.smith@outlook.com</v>
      </c>
      <c r="G35" s="5" t="s">
        <v>4982</v>
      </c>
      <c r="H35" s="9">
        <v>45834.0</v>
      </c>
      <c r="I35" s="9">
        <v>45838.0</v>
      </c>
    </row>
    <row r="36" ht="22.5" customHeight="1">
      <c r="A36" s="5" t="s">
        <v>367</v>
      </c>
      <c r="B36" s="5" t="s">
        <v>3209</v>
      </c>
      <c r="C36" s="5" t="str">
        <f>IFERROR(__xludf.DUMMYFUNCTION("REGEXREPLACE(B36,""\D"","""")"),"2657327402")</f>
        <v>2657327402</v>
      </c>
      <c r="D36" s="12">
        <v>2.657327402E9</v>
      </c>
      <c r="E36" s="5" t="s">
        <v>3210</v>
      </c>
      <c r="F36" s="5" t="str">
        <f t="shared" si="1"/>
        <v>grace.rodriguez@hotmail.com</v>
      </c>
      <c r="G36" s="5" t="s">
        <v>3518</v>
      </c>
      <c r="H36" s="9">
        <v>45836.0</v>
      </c>
      <c r="I36" s="9">
        <v>45847.0</v>
      </c>
    </row>
    <row r="37" ht="22.5" customHeight="1">
      <c r="A37" s="5" t="s">
        <v>373</v>
      </c>
      <c r="B37" s="5" t="s">
        <v>3213</v>
      </c>
      <c r="C37" s="5" t="str">
        <f>IFERROR(__xludf.DUMMYFUNCTION("REGEXREPLACE(B37,""\D"","""")"),"4659337990")</f>
        <v>4659337990</v>
      </c>
      <c r="D37" s="12">
        <v>4.65933799E9</v>
      </c>
      <c r="E37" s="5" t="s">
        <v>3214</v>
      </c>
      <c r="F37" s="5" t="str">
        <f t="shared" si="1"/>
        <v>bob.miller@yahoo.com</v>
      </c>
      <c r="G37" s="5" t="s">
        <v>3214</v>
      </c>
      <c r="H37" s="9">
        <v>46172.0</v>
      </c>
      <c r="I37" s="9">
        <v>46199.0</v>
      </c>
    </row>
    <row r="38" ht="22.5" customHeight="1">
      <c r="A38" s="5" t="s">
        <v>380</v>
      </c>
      <c r="B38" s="5" t="s">
        <v>3217</v>
      </c>
      <c r="C38" s="5" t="str">
        <f>IFERROR(__xludf.DUMMYFUNCTION("REGEXREPLACE(B38,""\D"","""")"),"2503428288")</f>
        <v>2503428288</v>
      </c>
      <c r="D38" s="12">
        <v>2.503428288E9</v>
      </c>
      <c r="E38" s="5" t="s">
        <v>3218</v>
      </c>
      <c r="F38" s="5" t="str">
        <f t="shared" si="1"/>
        <v>zachary.jonez@yahoo.com</v>
      </c>
      <c r="G38" s="5" t="s">
        <v>4983</v>
      </c>
      <c r="H38" s="9">
        <v>45709.0</v>
      </c>
      <c r="I38" s="9">
        <v>45723.0</v>
      </c>
    </row>
    <row r="39" ht="22.5" customHeight="1">
      <c r="A39" s="5" t="s">
        <v>389</v>
      </c>
      <c r="B39" s="14" t="s">
        <v>3221</v>
      </c>
      <c r="C39" s="5" t="str">
        <f>IFERROR(__xludf.DUMMYFUNCTION("REGEXREPLACE(B39,""\D"","""")"),"2397395531")</f>
        <v>2397395531</v>
      </c>
      <c r="D39" s="12">
        <v>2.397395531E9</v>
      </c>
      <c r="E39" s="5" t="s">
        <v>3222</v>
      </c>
      <c r="F39" s="5" t="str">
        <f t="shared" si="1"/>
        <v>joshua.rodriguez@yahoo.com</v>
      </c>
      <c r="G39" s="5" t="s">
        <v>3222</v>
      </c>
      <c r="H39" s="9">
        <v>46011.0</v>
      </c>
      <c r="I39" s="9">
        <v>46020.0</v>
      </c>
    </row>
    <row r="40" ht="22.5" customHeight="1">
      <c r="A40" s="5" t="s">
        <v>398</v>
      </c>
      <c r="B40" s="5" t="s">
        <v>3225</v>
      </c>
      <c r="C40" s="5" t="str">
        <f>IFERROR(__xludf.DUMMYFUNCTION("REGEXREPLACE(B40,""\D"","""")"),"5018122950")</f>
        <v>5018122950</v>
      </c>
      <c r="D40" s="12">
        <v>5.01812295E9</v>
      </c>
      <c r="E40" s="5" t="s">
        <v>3226</v>
      </c>
      <c r="F40" s="5" t="str">
        <f t="shared" si="1"/>
        <v>paul.jackson@yahoo.com</v>
      </c>
      <c r="G40" s="5" t="s">
        <v>3226</v>
      </c>
      <c r="H40" s="9">
        <v>45794.0</v>
      </c>
      <c r="I40" s="9">
        <v>45795.0</v>
      </c>
    </row>
    <row r="41" ht="22.5" customHeight="1">
      <c r="A41" s="5" t="s">
        <v>404</v>
      </c>
      <c r="B41" s="14" t="s">
        <v>3228</v>
      </c>
      <c r="C41" s="5" t="str">
        <f>IFERROR(__xludf.DUMMYFUNCTION("REGEXREPLACE(B41,""\D"","""")"),"8006224193")</f>
        <v>8006224193</v>
      </c>
      <c r="D41" s="12">
        <v>8.006224193E9</v>
      </c>
      <c r="E41" s="5" t="s">
        <v>3229</v>
      </c>
      <c r="F41" s="5" t="str">
        <f t="shared" si="1"/>
        <v>alice.rodriguez@yahoo.com</v>
      </c>
      <c r="G41" s="5" t="s">
        <v>3229</v>
      </c>
      <c r="H41" s="9">
        <v>45893.0</v>
      </c>
      <c r="I41" s="9">
        <v>45900.0</v>
      </c>
    </row>
    <row r="42" ht="22.5" customHeight="1">
      <c r="A42" s="5" t="s">
        <v>410</v>
      </c>
      <c r="B42" s="5" t="s">
        <v>3230</v>
      </c>
      <c r="C42" s="5" t="str">
        <f>IFERROR(__xludf.DUMMYFUNCTION("REGEXREPLACE(B42,""\D"","""")"),"7278853809")</f>
        <v>7278853809</v>
      </c>
      <c r="D42" s="12">
        <v>7.278853809E9</v>
      </c>
      <c r="E42" s="5" t="s">
        <v>3231</v>
      </c>
      <c r="F42" s="5" t="str">
        <f t="shared" si="1"/>
        <v>jane.johnson@gmail.com</v>
      </c>
      <c r="G42" s="5" t="s">
        <v>3231</v>
      </c>
      <c r="H42" s="9">
        <v>45896.0</v>
      </c>
      <c r="I42" s="9">
        <v>45922.0</v>
      </c>
    </row>
    <row r="43" ht="22.5" customHeight="1">
      <c r="A43" s="5" t="s">
        <v>415</v>
      </c>
      <c r="B43" s="5" t="s">
        <v>3234</v>
      </c>
      <c r="C43" s="5" t="str">
        <f>IFERROR(__xludf.DUMMYFUNCTION("REGEXREPLACE(B43,""\D"","""")"),"3779507528")</f>
        <v>3779507528</v>
      </c>
      <c r="D43" s="12">
        <v>3.779507528E9</v>
      </c>
      <c r="E43" s="5" t="s">
        <v>3235</v>
      </c>
      <c r="F43" s="5" t="str">
        <f t="shared" si="1"/>
        <v>katherine.lee@gmail.com</v>
      </c>
      <c r="G43" s="5" t="s">
        <v>3235</v>
      </c>
      <c r="H43" s="11"/>
      <c r="I43" s="11"/>
    </row>
    <row r="44" ht="22.5" customHeight="1">
      <c r="A44" s="5" t="s">
        <v>421</v>
      </c>
      <c r="B44" s="5" t="s">
        <v>3236</v>
      </c>
      <c r="C44" s="5" t="str">
        <f>IFERROR(__xludf.DUMMYFUNCTION("REGEXREPLACE(B44,""\D"","""")"),"6043923875")</f>
        <v>6043923875</v>
      </c>
      <c r="D44" s="12">
        <v>6.043923875E9</v>
      </c>
      <c r="E44" s="5" t="s">
        <v>3237</v>
      </c>
      <c r="F44" s="5" t="str">
        <f t="shared" si="1"/>
        <v>pauline.miller@outlook.com</v>
      </c>
      <c r="G44" s="5" t="s">
        <v>3237</v>
      </c>
      <c r="H44" s="9">
        <v>46007.0</v>
      </c>
      <c r="I44" s="11"/>
    </row>
    <row r="45" ht="22.5" customHeight="1">
      <c r="A45" s="5" t="s">
        <v>426</v>
      </c>
      <c r="B45" s="5" t="s">
        <v>3239</v>
      </c>
      <c r="C45" s="5" t="str">
        <f>IFERROR(__xludf.DUMMYFUNCTION("REGEXREPLACE(B45,""\D"","""")"),"5033484729")</f>
        <v>5033484729</v>
      </c>
      <c r="D45" s="12">
        <v>5.033484729E9</v>
      </c>
      <c r="E45" s="5" t="s">
        <v>3240</v>
      </c>
      <c r="F45" s="5" t="str">
        <f t="shared" si="1"/>
        <v>alice.bush@gmail.com</v>
      </c>
      <c r="G45" s="5" t="s">
        <v>3240</v>
      </c>
      <c r="H45" s="11"/>
      <c r="I45" s="11"/>
    </row>
    <row r="46" ht="22.5" customHeight="1">
      <c r="A46" s="5" t="s">
        <v>431</v>
      </c>
      <c r="B46" s="5" t="s">
        <v>3241</v>
      </c>
      <c r="C46" s="5" t="str">
        <f>IFERROR(__xludf.DUMMYFUNCTION("REGEXREPLACE(B46,""\D"","""")"),"5686487549")</f>
        <v>5686487549</v>
      </c>
      <c r="D46" s="12">
        <v>5.686487549E9</v>
      </c>
      <c r="E46" s="5" t="s">
        <v>3242</v>
      </c>
      <c r="F46" s="5" t="str">
        <f t="shared" si="1"/>
        <v>keith.volkov@gmail.com</v>
      </c>
      <c r="G46" s="5" t="s">
        <v>3242</v>
      </c>
      <c r="H46" s="9">
        <v>46237.0</v>
      </c>
      <c r="I46" s="9">
        <v>46247.0</v>
      </c>
    </row>
    <row r="47" ht="22.5" customHeight="1">
      <c r="A47" s="5" t="s">
        <v>438</v>
      </c>
      <c r="B47" s="5" t="s">
        <v>3245</v>
      </c>
      <c r="C47" s="5" t="str">
        <f>IFERROR(__xludf.DUMMYFUNCTION("REGEXREPLACE(B47,""\D"","""")"),"2352196600")</f>
        <v>2352196600</v>
      </c>
      <c r="D47" s="12">
        <v>2.3521966E9</v>
      </c>
      <c r="E47" s="5" t="s">
        <v>3246</v>
      </c>
      <c r="F47" s="5" t="str">
        <f t="shared" si="1"/>
        <v>frank.brown@gmail.com</v>
      </c>
      <c r="G47" s="5" t="s">
        <v>3246</v>
      </c>
      <c r="H47" s="9">
        <v>45814.0</v>
      </c>
      <c r="I47" s="11"/>
    </row>
    <row r="48" ht="22.5" customHeight="1">
      <c r="A48" s="5" t="s">
        <v>443</v>
      </c>
      <c r="B48" s="14" t="s">
        <v>3248</v>
      </c>
      <c r="C48" s="5" t="str">
        <f>IFERROR(__xludf.DUMMYFUNCTION("REGEXREPLACE(B48,""\D"","""")"),"8892066386")</f>
        <v>8892066386</v>
      </c>
      <c r="D48" s="12">
        <v>8.892066386E9</v>
      </c>
      <c r="E48" s="5" t="s">
        <v>3249</v>
      </c>
      <c r="F48" s="5" t="str">
        <f t="shared" si="1"/>
        <v>william.davis@outlook.com</v>
      </c>
      <c r="G48" s="5" t="s">
        <v>3249</v>
      </c>
      <c r="H48" s="9">
        <v>46036.0</v>
      </c>
      <c r="I48" s="11"/>
    </row>
    <row r="49" ht="22.5" customHeight="1">
      <c r="A49" s="5" t="s">
        <v>450</v>
      </c>
      <c r="B49" s="14" t="s">
        <v>3250</v>
      </c>
      <c r="C49" s="5" t="str">
        <f>IFERROR(__xludf.DUMMYFUNCTION("REGEXREPLACE(B49,""\D"","""")"),"7907698139")</f>
        <v>7907698139</v>
      </c>
      <c r="D49" s="12">
        <v>7.907698139E9</v>
      </c>
      <c r="E49" s="5" t="s">
        <v>3251</v>
      </c>
      <c r="F49" s="5" t="str">
        <f t="shared" si="1"/>
        <v>eva.smith@outlook.com</v>
      </c>
      <c r="G49" s="5" t="s">
        <v>4984</v>
      </c>
      <c r="H49" s="9">
        <v>46028.0</v>
      </c>
      <c r="I49" s="9">
        <v>46042.0</v>
      </c>
    </row>
    <row r="50" ht="22.5" customHeight="1">
      <c r="A50" s="5" t="s">
        <v>455</v>
      </c>
      <c r="B50" s="5" t="s">
        <v>3254</v>
      </c>
      <c r="C50" s="5" t="str">
        <f>IFERROR(__xludf.DUMMYFUNCTION("REGEXREPLACE(B50,""\D"","""")"),"8462868607")</f>
        <v>8462868607</v>
      </c>
      <c r="D50" s="12">
        <v>8.462868607E9</v>
      </c>
      <c r="E50" s="5" t="s">
        <v>3255</v>
      </c>
      <c r="F50" s="5" t="str">
        <f t="shared" si="1"/>
        <v>tina.smirnov@hotmail.com</v>
      </c>
      <c r="G50" s="5" t="s">
        <v>3255</v>
      </c>
      <c r="H50" s="9">
        <v>46217.0</v>
      </c>
      <c r="I50" s="9">
        <v>46225.0</v>
      </c>
    </row>
    <row r="51" ht="22.5" customHeight="1">
      <c r="A51" s="5" t="s">
        <v>467</v>
      </c>
      <c r="B51" s="5" t="s">
        <v>3257</v>
      </c>
      <c r="C51" s="5" t="str">
        <f>IFERROR(__xludf.DUMMYFUNCTION("REGEXREPLACE(B51,""\D"","""")"),"7085354994")</f>
        <v>7085354994</v>
      </c>
      <c r="D51" s="12">
        <v>7.085354994E9</v>
      </c>
      <c r="E51" s="5" t="s">
        <v>3258</v>
      </c>
      <c r="F51" s="5" t="str">
        <f t="shared" si="1"/>
        <v>dale.perez@outlook.com</v>
      </c>
      <c r="G51" s="5" t="s">
        <v>4985</v>
      </c>
      <c r="H51" s="9">
        <v>46228.0</v>
      </c>
      <c r="I51" s="11"/>
    </row>
    <row r="52" ht="22.5" customHeight="1">
      <c r="A52" s="5" t="s">
        <v>472</v>
      </c>
      <c r="B52" s="5" t="s">
        <v>3259</v>
      </c>
      <c r="C52" s="5" t="str">
        <f>IFERROR(__xludf.DUMMYFUNCTION("REGEXREPLACE(B52,""\D"","""")"),"5917365694")</f>
        <v>5917365694</v>
      </c>
      <c r="D52" s="12">
        <v>5.917365694E9</v>
      </c>
      <c r="E52" s="5" t="s">
        <v>3260</v>
      </c>
      <c r="F52" s="5" t="str">
        <f t="shared" si="1"/>
        <v>ailce.wiliams@aol.com</v>
      </c>
      <c r="G52" s="5" t="s">
        <v>3260</v>
      </c>
      <c r="H52" s="9">
        <v>45982.0</v>
      </c>
      <c r="I52" s="11"/>
    </row>
    <row r="53" ht="22.5" customHeight="1">
      <c r="A53" s="5" t="s">
        <v>479</v>
      </c>
      <c r="C53" s="10" t="str">
        <f>IFERROR(__xludf.DUMMYFUNCTION("REGEXREPLACE(B53,""\D"","""")"),"")</f>
        <v/>
      </c>
      <c r="D53" s="13" t="s">
        <v>4964</v>
      </c>
      <c r="E53" s="5" t="s">
        <v>3261</v>
      </c>
      <c r="F53" s="5" t="str">
        <f t="shared" si="1"/>
        <v>john.davis@aol.com</v>
      </c>
      <c r="G53" s="5" t="s">
        <v>3261</v>
      </c>
      <c r="H53" s="9">
        <v>46204.0</v>
      </c>
      <c r="I53" s="9">
        <v>46224.0</v>
      </c>
    </row>
    <row r="54" ht="22.5" customHeight="1">
      <c r="A54" s="5" t="s">
        <v>484</v>
      </c>
      <c r="C54" s="10" t="str">
        <f>IFERROR(__xludf.DUMMYFUNCTION("REGEXREPLACE(B54,""\D"","""")"),"")</f>
        <v/>
      </c>
      <c r="D54" s="13" t="s">
        <v>4964</v>
      </c>
      <c r="E54" s="5" t="s">
        <v>3264</v>
      </c>
      <c r="F54" s="5" t="str">
        <f t="shared" si="1"/>
        <v>michelle.johnson@gmail.com</v>
      </c>
      <c r="G54" s="5" t="s">
        <v>3264</v>
      </c>
      <c r="H54" s="9">
        <v>45845.0</v>
      </c>
      <c r="I54" s="11"/>
    </row>
    <row r="55" ht="22.5" customHeight="1">
      <c r="A55" s="5" t="s">
        <v>493</v>
      </c>
      <c r="B55" s="5" t="s">
        <v>3266</v>
      </c>
      <c r="C55" s="5" t="str">
        <f>IFERROR(__xludf.DUMMYFUNCTION("REGEXREPLACE(B55,""\D"","""")"),"5062384646")</f>
        <v>5062384646</v>
      </c>
      <c r="D55" s="12">
        <v>5.062384646E9</v>
      </c>
      <c r="E55" s="5" t="s">
        <v>3267</v>
      </c>
      <c r="F55" s="5" t="str">
        <f t="shared" si="1"/>
        <v>frank.sharp@gmail.com</v>
      </c>
      <c r="G55" s="5" t="s">
        <v>4986</v>
      </c>
      <c r="H55" s="9">
        <v>46159.0</v>
      </c>
      <c r="I55" s="9">
        <v>46175.0</v>
      </c>
    </row>
    <row r="56" ht="22.5" customHeight="1">
      <c r="A56" s="5" t="s">
        <v>502</v>
      </c>
      <c r="B56" s="14" t="s">
        <v>3269</v>
      </c>
      <c r="C56" s="5" t="str">
        <f>IFERROR(__xludf.DUMMYFUNCTION("REGEXREPLACE(B56,""\D"","""")"),"2749761168")</f>
        <v>2749761168</v>
      </c>
      <c r="D56" s="12">
        <v>2.749761168E9</v>
      </c>
      <c r="E56" s="5" t="s">
        <v>3270</v>
      </c>
      <c r="F56" s="5" t="str">
        <f t="shared" si="1"/>
        <v>melanie.johnson@gmail.com</v>
      </c>
      <c r="G56" s="5" t="s">
        <v>4987</v>
      </c>
      <c r="H56" s="9">
        <v>46022.0</v>
      </c>
      <c r="I56" s="9">
        <v>46027.0</v>
      </c>
    </row>
    <row r="57" ht="22.5" customHeight="1">
      <c r="A57" s="5" t="s">
        <v>507</v>
      </c>
      <c r="B57" s="5" t="s">
        <v>3272</v>
      </c>
      <c r="C57" s="5" t="str">
        <f>IFERROR(__xludf.DUMMYFUNCTION("REGEXREPLACE(B57,""\D"","""")"),"3767649925")</f>
        <v>3767649925</v>
      </c>
      <c r="D57" s="12">
        <v>3.767649925E9</v>
      </c>
      <c r="E57" s="5" t="s">
        <v>3273</v>
      </c>
      <c r="F57" s="5" t="str">
        <f t="shared" si="1"/>
        <v>katherine.kim@hotmail.com</v>
      </c>
      <c r="G57" s="5" t="s">
        <v>4988</v>
      </c>
      <c r="H57" s="9">
        <v>45718.0</v>
      </c>
      <c r="I57" s="9">
        <v>45727.0</v>
      </c>
    </row>
    <row r="58" ht="22.5" customHeight="1">
      <c r="A58" s="5" t="s">
        <v>513</v>
      </c>
      <c r="B58" s="5" t="s">
        <v>3275</v>
      </c>
      <c r="C58" s="5" t="str">
        <f>IFERROR(__xludf.DUMMYFUNCTION("REGEXREPLACE(B58,""\D"","""")"),"2937389649")</f>
        <v>2937389649</v>
      </c>
      <c r="D58" s="12">
        <v>2.937389649E9</v>
      </c>
      <c r="E58" s="5" t="s">
        <v>3276</v>
      </c>
      <c r="F58" s="5" t="str">
        <f t="shared" si="1"/>
        <v>pauline.ng@hotmail.com</v>
      </c>
      <c r="G58" s="5" t="s">
        <v>3276</v>
      </c>
      <c r="H58" s="9">
        <v>46174.0</v>
      </c>
      <c r="I58" s="9">
        <v>46184.0</v>
      </c>
    </row>
    <row r="59" ht="22.5" customHeight="1">
      <c r="A59" s="5" t="s">
        <v>519</v>
      </c>
      <c r="B59" s="5" t="s">
        <v>3277</v>
      </c>
      <c r="C59" s="5" t="str">
        <f>IFERROR(__xludf.DUMMYFUNCTION("REGEXREPLACE(B59,""\D"","""")"),"5999836515")</f>
        <v>5999836515</v>
      </c>
      <c r="D59" s="12">
        <v>5.999836515E9</v>
      </c>
      <c r="E59" s="5" t="s">
        <v>3278</v>
      </c>
      <c r="F59" s="5" t="str">
        <f t="shared" si="1"/>
        <v>john.jones@gmail.com</v>
      </c>
      <c r="G59" s="5" t="s">
        <v>4989</v>
      </c>
      <c r="H59" s="9">
        <v>46058.0</v>
      </c>
      <c r="I59" s="9">
        <v>46081.0</v>
      </c>
    </row>
    <row r="60" ht="22.5" customHeight="1">
      <c r="A60" s="5" t="s">
        <v>524</v>
      </c>
      <c r="B60" s="14" t="s">
        <v>3280</v>
      </c>
      <c r="C60" s="5" t="str">
        <f>IFERROR(__xludf.DUMMYFUNCTION("REGEXREPLACE(B60,""\D"","""")"),"4219817448")</f>
        <v>4219817448</v>
      </c>
      <c r="D60" s="12">
        <v>4.219817448E9</v>
      </c>
      <c r="E60" s="5" t="s">
        <v>3281</v>
      </c>
      <c r="F60" s="5" t="str">
        <f t="shared" si="1"/>
        <v>bob.davidson@yahoo.com</v>
      </c>
      <c r="G60" s="5" t="s">
        <v>4990</v>
      </c>
      <c r="H60" s="9">
        <v>46170.0</v>
      </c>
      <c r="I60" s="9">
        <v>46175.0</v>
      </c>
    </row>
    <row r="61" ht="22.5" customHeight="1">
      <c r="A61" s="5" t="s">
        <v>530</v>
      </c>
      <c r="B61" s="5" t="s">
        <v>3282</v>
      </c>
      <c r="C61" s="5" t="str">
        <f>IFERROR(__xludf.DUMMYFUNCTION("REGEXREPLACE(B61,""\D"","""")"),"2407574855")</f>
        <v>2407574855</v>
      </c>
      <c r="D61" s="12">
        <v>2.407574855E9</v>
      </c>
      <c r="E61" s="5" t="s">
        <v>3283</v>
      </c>
      <c r="F61" s="5" t="str">
        <f t="shared" si="1"/>
        <v>vanessa.brown@yahoo.com</v>
      </c>
      <c r="G61" s="5" t="s">
        <v>3283</v>
      </c>
      <c r="H61" s="9">
        <v>45777.0</v>
      </c>
      <c r="I61" s="11"/>
    </row>
    <row r="62" ht="22.5" customHeight="1">
      <c r="A62" s="5" t="s">
        <v>535</v>
      </c>
      <c r="B62" s="5" t="s">
        <v>3284</v>
      </c>
      <c r="C62" s="5" t="str">
        <f>IFERROR(__xludf.DUMMYFUNCTION("REGEXREPLACE(B62,""\D"","""")"),"9325688125")</f>
        <v>9325688125</v>
      </c>
      <c r="D62" s="12">
        <v>9.325688125E9</v>
      </c>
      <c r="E62" s="5" t="s">
        <v>3285</v>
      </c>
      <c r="F62" s="5" t="str">
        <f t="shared" si="1"/>
        <v>christopher.jackson@aol.com</v>
      </c>
      <c r="G62" s="5" t="s">
        <v>4991</v>
      </c>
      <c r="H62" s="9">
        <v>45948.0</v>
      </c>
      <c r="I62" s="9">
        <v>45949.0</v>
      </c>
    </row>
    <row r="63" ht="22.5" customHeight="1">
      <c r="A63" s="5" t="s">
        <v>541</v>
      </c>
      <c r="B63" s="5" t="s">
        <v>3288</v>
      </c>
      <c r="C63" s="5" t="str">
        <f>IFERROR(__xludf.DUMMYFUNCTION("REGEXREPLACE(B63,""\D"","""")"),"6722614584")</f>
        <v>6722614584</v>
      </c>
      <c r="D63" s="12">
        <v>6.722614584E9</v>
      </c>
      <c r="E63" s="5" t="s">
        <v>3289</v>
      </c>
      <c r="F63" s="5" t="str">
        <f t="shared" si="1"/>
        <v>david.garcia@aol.com</v>
      </c>
      <c r="G63" s="5" t="s">
        <v>3289</v>
      </c>
      <c r="H63" s="9">
        <v>45735.0</v>
      </c>
      <c r="I63" s="9">
        <v>45755.0</v>
      </c>
    </row>
    <row r="64" ht="22.5" customHeight="1">
      <c r="A64" s="5" t="s">
        <v>548</v>
      </c>
      <c r="B64" s="5" t="s">
        <v>3292</v>
      </c>
      <c r="C64" s="5" t="str">
        <f>IFERROR(__xludf.DUMMYFUNCTION("REGEXREPLACE(B64,""\D"","""")"),"2062522867")</f>
        <v>2062522867</v>
      </c>
      <c r="D64" s="12">
        <v>2.062522867E9</v>
      </c>
      <c r="E64" s="5" t="s">
        <v>3293</v>
      </c>
      <c r="F64" s="5" t="str">
        <f t="shared" si="1"/>
        <v>grace#.smith@outlook.com</v>
      </c>
      <c r="G64" s="5" t="s">
        <v>4992</v>
      </c>
      <c r="H64" s="9">
        <v>46008.0</v>
      </c>
      <c r="I64" s="11"/>
    </row>
    <row r="65" ht="22.5" customHeight="1">
      <c r="A65" s="5" t="s">
        <v>554</v>
      </c>
      <c r="B65" s="14" t="s">
        <v>3295</v>
      </c>
      <c r="C65" s="5" t="str">
        <f>IFERROR(__xludf.DUMMYFUNCTION("REGEXREPLACE(B65,""\D"","""")"),"3574832967")</f>
        <v>3574832967</v>
      </c>
      <c r="D65" s="12">
        <v>3.574832967E9</v>
      </c>
      <c r="E65" s="5" t="s">
        <v>3296</v>
      </c>
      <c r="F65" s="5" t="str">
        <f t="shared" si="1"/>
        <v>grace.jones@hotmail.com</v>
      </c>
      <c r="G65" s="5" t="s">
        <v>3296</v>
      </c>
      <c r="H65" s="9">
        <v>46173.0</v>
      </c>
      <c r="I65" s="9">
        <v>46189.0</v>
      </c>
    </row>
    <row r="66" ht="22.5" customHeight="1">
      <c r="A66" s="5" t="s">
        <v>563</v>
      </c>
      <c r="B66" s="5" t="s">
        <v>3299</v>
      </c>
      <c r="C66" s="5" t="str">
        <f>IFERROR(__xludf.DUMMYFUNCTION("REGEXREPLACE(B66,""\D"","""")"),"4402775346")</f>
        <v>4402775346</v>
      </c>
      <c r="D66" s="12">
        <v>4.402775346E9</v>
      </c>
      <c r="E66" s="5" t="s">
        <v>3300</v>
      </c>
      <c r="F66" s="5" t="str">
        <f t="shared" si="1"/>
        <v>jane.rodriguez@yahoo.com</v>
      </c>
      <c r="G66" s="5" t="s">
        <v>3300</v>
      </c>
      <c r="H66" s="9">
        <v>45775.0</v>
      </c>
      <c r="I66" s="9">
        <v>45777.0</v>
      </c>
    </row>
    <row r="67" ht="22.5" customHeight="1">
      <c r="A67" s="5" t="s">
        <v>568</v>
      </c>
      <c r="B67" s="5" t="s">
        <v>3301</v>
      </c>
      <c r="C67" s="5" t="str">
        <f>IFERROR(__xludf.DUMMYFUNCTION("REGEXREPLACE(B67,""\D"","""")"),"9063528934")</f>
        <v>9063528934</v>
      </c>
      <c r="D67" s="12">
        <v>9.063528934E9</v>
      </c>
      <c r="E67" s="5" t="s">
        <v>3302</v>
      </c>
      <c r="F67" s="5" t="str">
        <f t="shared" si="1"/>
        <v>daniella.brown@aol.com</v>
      </c>
      <c r="G67" s="5" t="s">
        <v>3302</v>
      </c>
      <c r="H67" s="9">
        <v>45846.0</v>
      </c>
      <c r="I67" s="9">
        <v>45848.0</v>
      </c>
    </row>
    <row r="68" ht="22.5" customHeight="1">
      <c r="A68" s="5" t="s">
        <v>574</v>
      </c>
      <c r="B68" s="14" t="s">
        <v>3304</v>
      </c>
      <c r="C68" s="5" t="str">
        <f>IFERROR(__xludf.DUMMYFUNCTION("REGEXREPLACE(B68,""\D"","""")"),"9253812672")</f>
        <v>9253812672</v>
      </c>
      <c r="D68" s="12">
        <v>9.253812672E9</v>
      </c>
      <c r="E68" s="5" t="s">
        <v>3305</v>
      </c>
      <c r="F68" s="5" t="str">
        <f t="shared" si="1"/>
        <v>john.davis@gmail.com</v>
      </c>
      <c r="G68" s="5" t="s">
        <v>4993</v>
      </c>
      <c r="H68" s="9">
        <v>46185.0</v>
      </c>
      <c r="I68" s="9">
        <v>46201.0</v>
      </c>
    </row>
    <row r="69" ht="22.5" customHeight="1">
      <c r="A69" s="5" t="s">
        <v>580</v>
      </c>
      <c r="B69" s="5" t="s">
        <v>3307</v>
      </c>
      <c r="C69" s="5" t="str">
        <f>IFERROR(__xludf.DUMMYFUNCTION("REGEXREPLACE(B69,""\D"","""")"),"2328059906")</f>
        <v>2328059906</v>
      </c>
      <c r="D69" s="12">
        <v>2.328059906E9</v>
      </c>
      <c r="E69" s="5" t="s">
        <v>3308</v>
      </c>
      <c r="F69" s="5" t="str">
        <f t="shared" si="1"/>
        <v>ruby.jackson@hotmail.com</v>
      </c>
      <c r="G69" s="5" t="s">
        <v>4994</v>
      </c>
      <c r="H69" s="9">
        <v>45916.0</v>
      </c>
      <c r="I69" s="9">
        <v>45922.0</v>
      </c>
    </row>
    <row r="70" ht="22.5" customHeight="1">
      <c r="A70" s="5" t="s">
        <v>586</v>
      </c>
      <c r="C70" s="10" t="str">
        <f>IFERROR(__xludf.DUMMYFUNCTION("REGEXREPLACE(B70,""\D"","""")"),"")</f>
        <v/>
      </c>
      <c r="D70" s="13" t="s">
        <v>4964</v>
      </c>
      <c r="E70" s="5" t="s">
        <v>3310</v>
      </c>
      <c r="F70" s="5" t="str">
        <f t="shared" si="1"/>
        <v>david.doe@outlook.com</v>
      </c>
      <c r="G70" s="5" t="s">
        <v>3310</v>
      </c>
      <c r="H70" s="9">
        <v>46092.0</v>
      </c>
      <c r="I70" s="11"/>
    </row>
    <row r="71" ht="22.5" customHeight="1">
      <c r="A71" s="5" t="s">
        <v>589</v>
      </c>
      <c r="B71" s="5" t="s">
        <v>3311</v>
      </c>
      <c r="C71" s="5" t="str">
        <f>IFERROR(__xludf.DUMMYFUNCTION("REGEXREPLACE(B71,""\D"","""")"),"4584829453")</f>
        <v>4584829453</v>
      </c>
      <c r="D71" s="12">
        <v>4.584829453E9</v>
      </c>
      <c r="E71" s="5" t="s">
        <v>3312</v>
      </c>
      <c r="F71" s="5" t="str">
        <f t="shared" si="1"/>
        <v>roger.williams@yahoo.com</v>
      </c>
      <c r="G71" s="5" t="s">
        <v>3312</v>
      </c>
      <c r="H71" s="9">
        <v>46077.0</v>
      </c>
      <c r="I71" s="9">
        <v>46084.0</v>
      </c>
    </row>
    <row r="72" ht="22.5" customHeight="1">
      <c r="A72" s="5" t="s">
        <v>595</v>
      </c>
      <c r="B72" s="5" t="s">
        <v>3314</v>
      </c>
      <c r="C72" s="5" t="str">
        <f>IFERROR(__xludf.DUMMYFUNCTION("REGEXREPLACE(B72,""\D"","""")"),"8216913812")</f>
        <v>8216913812</v>
      </c>
      <c r="D72" s="12">
        <v>8.216913812E9</v>
      </c>
      <c r="E72" s="5" t="s">
        <v>3315</v>
      </c>
      <c r="F72" s="5" t="str">
        <f t="shared" si="1"/>
        <v>daneil.smih@gmail.com</v>
      </c>
      <c r="G72" s="5" t="s">
        <v>4995</v>
      </c>
      <c r="H72" s="9">
        <v>46076.0</v>
      </c>
      <c r="I72" s="11"/>
    </row>
    <row r="73" ht="22.5" customHeight="1">
      <c r="A73" s="5" t="s">
        <v>600</v>
      </c>
      <c r="B73" s="5" t="s">
        <v>3316</v>
      </c>
      <c r="C73" s="5" t="str">
        <f>IFERROR(__xludf.DUMMYFUNCTION("REGEXREPLACE(B73,""\D"","""")"),"9979549116")</f>
        <v>9979549116</v>
      </c>
      <c r="D73" s="12">
        <v>9.979549116E9</v>
      </c>
      <c r="E73" s="5" t="s">
        <v>3317</v>
      </c>
      <c r="F73" s="5" t="str">
        <f t="shared" si="1"/>
        <v>grace.garcia@yahoo.com</v>
      </c>
      <c r="G73" s="5" t="s">
        <v>4996</v>
      </c>
      <c r="H73" s="9">
        <v>45717.0</v>
      </c>
      <c r="I73" s="11"/>
    </row>
    <row r="74" ht="22.5" customHeight="1">
      <c r="A74" s="5" t="s">
        <v>603</v>
      </c>
      <c r="B74" s="5" t="s">
        <v>3318</v>
      </c>
      <c r="C74" s="5" t="str">
        <f>IFERROR(__xludf.DUMMYFUNCTION("REGEXREPLACE(B74,""\D"","""")"),"7315521963")</f>
        <v>7315521963</v>
      </c>
      <c r="D74" s="12">
        <v>7.315521963E9</v>
      </c>
      <c r="E74" s="5" t="s">
        <v>3319</v>
      </c>
      <c r="F74" s="5" t="str">
        <f t="shared" si="1"/>
        <v>jane.lim@yahoo.com</v>
      </c>
      <c r="G74" s="5" t="s">
        <v>4997</v>
      </c>
      <c r="H74" s="9">
        <v>46230.0</v>
      </c>
      <c r="I74" s="9">
        <v>46244.0</v>
      </c>
    </row>
    <row r="75" ht="22.5" customHeight="1">
      <c r="A75" s="5" t="s">
        <v>606</v>
      </c>
      <c r="B75" s="14" t="s">
        <v>3321</v>
      </c>
      <c r="C75" s="5" t="str">
        <f>IFERROR(__xludf.DUMMYFUNCTION("REGEXREPLACE(B75,""\D"","""")"),"2599221923")</f>
        <v>2599221923</v>
      </c>
      <c r="D75" s="12">
        <v>2.599221923E9</v>
      </c>
      <c r="E75" s="5" t="s">
        <v>3322</v>
      </c>
      <c r="F75" s="5" t="str">
        <f t="shared" si="1"/>
        <v>fiona.smith@hotmail.com</v>
      </c>
      <c r="G75" s="5" t="s">
        <v>4998</v>
      </c>
      <c r="H75" s="9">
        <v>45816.0</v>
      </c>
      <c r="I75" s="11"/>
    </row>
    <row r="76" ht="22.5" customHeight="1">
      <c r="A76" s="5" t="s">
        <v>610</v>
      </c>
      <c r="B76" s="5" t="s">
        <v>3324</v>
      </c>
      <c r="C76" s="5" t="str">
        <f>IFERROR(__xludf.DUMMYFUNCTION("REGEXREPLACE(B76,""\D"","""")"),"7387711302")</f>
        <v>7387711302</v>
      </c>
      <c r="D76" s="12">
        <v>7.387711302E9</v>
      </c>
      <c r="E76" s="5" t="s">
        <v>3325</v>
      </c>
      <c r="F76" s="5" t="str">
        <f t="shared" si="1"/>
        <v>nancy.jackson@yahoo.com</v>
      </c>
      <c r="G76" s="5" t="s">
        <v>4999</v>
      </c>
      <c r="H76" s="9">
        <v>46027.0</v>
      </c>
      <c r="I76" s="11"/>
    </row>
    <row r="77" ht="22.5" customHeight="1">
      <c r="A77" s="5" t="s">
        <v>615</v>
      </c>
      <c r="B77" s="5" t="s">
        <v>3326</v>
      </c>
      <c r="C77" s="5" t="str">
        <f>IFERROR(__xludf.DUMMYFUNCTION("REGEXREPLACE(B77,""\D"","""")"),"7858326386")</f>
        <v>7858326386</v>
      </c>
      <c r="D77" s="12">
        <v>7.858326386E9</v>
      </c>
      <c r="E77" s="5" t="s">
        <v>3327</v>
      </c>
      <c r="F77" s="5" t="str">
        <f t="shared" si="1"/>
        <v>wendy.ng@hotmail.com</v>
      </c>
      <c r="G77" s="5" t="s">
        <v>5000</v>
      </c>
      <c r="H77" s="9">
        <v>46203.0</v>
      </c>
      <c r="I77" s="11"/>
    </row>
    <row r="78" ht="22.5" customHeight="1">
      <c r="A78" s="5" t="s">
        <v>619</v>
      </c>
      <c r="B78" s="5" t="s">
        <v>3328</v>
      </c>
      <c r="C78" s="5" t="str">
        <f>IFERROR(__xludf.DUMMYFUNCTION("REGEXREPLACE(B78,""\D"","""")"),"2273897064")</f>
        <v>2273897064</v>
      </c>
      <c r="D78" s="12">
        <v>2.273897064E9</v>
      </c>
      <c r="E78" s="5" t="s">
        <v>3329</v>
      </c>
      <c r="F78" s="5" t="str">
        <f t="shared" si="1"/>
        <v>michelle.kim@gmail.com</v>
      </c>
      <c r="G78" s="5" t="s">
        <v>3329</v>
      </c>
      <c r="H78" s="11"/>
      <c r="I78" s="11"/>
    </row>
    <row r="79" ht="22.5" customHeight="1">
      <c r="A79" s="5" t="s">
        <v>623</v>
      </c>
      <c r="B79" s="5" t="s">
        <v>3330</v>
      </c>
      <c r="C79" s="5" t="str">
        <f>IFERROR(__xludf.DUMMYFUNCTION("REGEXREPLACE(B79,""\D"","""")"),"5024946850")</f>
        <v>5024946850</v>
      </c>
      <c r="D79" s="12">
        <v>5.02494685E9</v>
      </c>
      <c r="E79" s="5" t="s">
        <v>3331</v>
      </c>
      <c r="F79" s="5" t="str">
        <f t="shared" si="1"/>
        <v>jasmine.lee@yahoo.com</v>
      </c>
      <c r="G79" s="5" t="s">
        <v>5001</v>
      </c>
      <c r="H79" s="9">
        <v>45755.0</v>
      </c>
      <c r="I79" s="11"/>
    </row>
    <row r="80" ht="22.5" customHeight="1">
      <c r="A80" s="5" t="s">
        <v>628</v>
      </c>
      <c r="B80" s="5" t="s">
        <v>3332</v>
      </c>
      <c r="C80" s="5" t="str">
        <f>IFERROR(__xludf.DUMMYFUNCTION("REGEXREPLACE(B80,""\D"","""")"),"4884439356")</f>
        <v>4884439356</v>
      </c>
      <c r="D80" s="12">
        <v>4.884439356E9</v>
      </c>
      <c r="E80" s="5" t="s">
        <v>3333</v>
      </c>
      <c r="F80" s="5" t="str">
        <f t="shared" si="1"/>
        <v>david.richardson@aol.com</v>
      </c>
      <c r="G80" s="5" t="s">
        <v>5002</v>
      </c>
      <c r="H80" s="9">
        <v>45748.0</v>
      </c>
      <c r="I80" s="9">
        <v>45774.0</v>
      </c>
    </row>
    <row r="81" ht="22.5" customHeight="1">
      <c r="A81" s="5" t="s">
        <v>633</v>
      </c>
      <c r="B81" s="5" t="s">
        <v>3336</v>
      </c>
      <c r="C81" s="5" t="str">
        <f>IFERROR(__xludf.DUMMYFUNCTION("REGEXREPLACE(B81,""\D"","""")"),"5487656631")</f>
        <v>5487656631</v>
      </c>
      <c r="D81" s="12">
        <v>5.487656631E9</v>
      </c>
      <c r="E81" s="5" t="s">
        <v>3337</v>
      </c>
      <c r="F81" s="5" t="str">
        <f t="shared" si="1"/>
        <v>ailce.rodriguez@yahoo.com</v>
      </c>
      <c r="G81" s="5" t="s">
        <v>3337</v>
      </c>
      <c r="H81" s="9">
        <v>46165.0</v>
      </c>
      <c r="I81" s="11"/>
    </row>
    <row r="82" ht="22.5" customHeight="1">
      <c r="A82" s="5" t="s">
        <v>636</v>
      </c>
      <c r="B82" s="5" t="s">
        <v>3339</v>
      </c>
      <c r="C82" s="5" t="str">
        <f>IFERROR(__xludf.DUMMYFUNCTION("REGEXREPLACE(B82,""\D"","""")"),"6486668538")</f>
        <v>6486668538</v>
      </c>
      <c r="D82" s="12">
        <v>6.486668538E9</v>
      </c>
      <c r="E82" s="5" t="s">
        <v>3340</v>
      </c>
      <c r="F82" s="5" t="str">
        <f t="shared" si="1"/>
        <v>bob.davis@gmail.com</v>
      </c>
      <c r="G82" s="5" t="s">
        <v>3340</v>
      </c>
      <c r="H82" s="9">
        <v>46141.0</v>
      </c>
      <c r="I82" s="9">
        <v>46153.0</v>
      </c>
    </row>
    <row r="83" ht="22.5" customHeight="1">
      <c r="A83" s="5" t="s">
        <v>640</v>
      </c>
      <c r="B83" s="5" t="s">
        <v>3342</v>
      </c>
      <c r="C83" s="5" t="str">
        <f>IFERROR(__xludf.DUMMYFUNCTION("REGEXREPLACE(B83,""\D"","""")"),"7757014069")</f>
        <v>7757014069</v>
      </c>
      <c r="D83" s="12">
        <v>7.757014069E9</v>
      </c>
      <c r="F83" s="10" t="str">
        <f t="shared" si="1"/>
        <v/>
      </c>
      <c r="G83" s="10" t="s">
        <v>4964</v>
      </c>
      <c r="H83" s="9">
        <v>46066.0</v>
      </c>
      <c r="I83" s="11"/>
    </row>
    <row r="84" ht="22.5" customHeight="1">
      <c r="A84" s="5" t="s">
        <v>644</v>
      </c>
      <c r="C84" s="10" t="str">
        <f>IFERROR(__xludf.DUMMYFUNCTION("REGEXREPLACE(B84,""\D"","""")"),"")</f>
        <v/>
      </c>
      <c r="D84" s="13" t="s">
        <v>4964</v>
      </c>
      <c r="E84" s="5" t="s">
        <v>3344</v>
      </c>
      <c r="F84" s="5" t="str">
        <f t="shared" si="1"/>
        <v>josephine.smith@hotmail.com</v>
      </c>
      <c r="G84" s="5" t="s">
        <v>3344</v>
      </c>
      <c r="H84" s="9">
        <v>45798.0</v>
      </c>
      <c r="I84" s="9">
        <v>45800.0</v>
      </c>
    </row>
    <row r="85" ht="22.5" customHeight="1">
      <c r="A85" s="5" t="s">
        <v>649</v>
      </c>
      <c r="B85" s="14" t="s">
        <v>3347</v>
      </c>
      <c r="C85" s="5" t="str">
        <f>IFERROR(__xludf.DUMMYFUNCTION("REGEXREPLACE(B85,""\D"","""")"),"4488992566")</f>
        <v>4488992566</v>
      </c>
      <c r="D85" s="12">
        <v>4.488992566E9</v>
      </c>
      <c r="E85" s="5" t="s">
        <v>3348</v>
      </c>
      <c r="F85" s="5" t="str">
        <f t="shared" si="1"/>
        <v>ava.garcia@outlook.com</v>
      </c>
      <c r="G85" s="5" t="s">
        <v>5003</v>
      </c>
      <c r="H85" s="9">
        <v>45872.0</v>
      </c>
      <c r="I85" s="9">
        <v>45885.0</v>
      </c>
    </row>
    <row r="86" ht="22.5" customHeight="1">
      <c r="A86" s="5" t="s">
        <v>653</v>
      </c>
      <c r="B86" s="5" t="s">
        <v>3349</v>
      </c>
      <c r="C86" s="5" t="str">
        <f>IFERROR(__xludf.DUMMYFUNCTION("REGEXREPLACE(B86,""\D"","""")"),"4244904887")</f>
        <v>4244904887</v>
      </c>
      <c r="D86" s="12">
        <v>4.244904887E9</v>
      </c>
      <c r="E86" s="5" t="s">
        <v>3350</v>
      </c>
      <c r="F86" s="5" t="str">
        <f t="shared" si="1"/>
        <v>keith.lee@hotmail.com</v>
      </c>
      <c r="G86" s="5" t="s">
        <v>3350</v>
      </c>
      <c r="H86" s="9">
        <v>46197.0</v>
      </c>
      <c r="I86" s="9">
        <v>46222.0</v>
      </c>
    </row>
    <row r="87" ht="22.5" customHeight="1">
      <c r="A87" s="5" t="s">
        <v>657</v>
      </c>
      <c r="B87" s="5" t="s">
        <v>3351</v>
      </c>
      <c r="C87" s="5" t="str">
        <f>IFERROR(__xludf.DUMMYFUNCTION("REGEXREPLACE(B87,""\D"","""")"),"8045378322")</f>
        <v>8045378322</v>
      </c>
      <c r="D87" s="12">
        <v>8.045378322E9</v>
      </c>
      <c r="E87" s="5" t="s">
        <v>3352</v>
      </c>
      <c r="F87" s="5" t="str">
        <f t="shared" si="1"/>
        <v>timothy.davidson@outlook.com</v>
      </c>
      <c r="G87" s="5" t="s">
        <v>3352</v>
      </c>
      <c r="H87" s="9">
        <v>46125.0</v>
      </c>
      <c r="I87" s="9">
        <v>46141.0</v>
      </c>
    </row>
    <row r="88" ht="22.5" customHeight="1">
      <c r="A88" s="5" t="s">
        <v>661</v>
      </c>
      <c r="B88" s="5" t="s">
        <v>3354</v>
      </c>
      <c r="C88" s="5" t="str">
        <f>IFERROR(__xludf.DUMMYFUNCTION("REGEXREPLACE(B88,""\D"","""")"),"7743342273")</f>
        <v>7743342273</v>
      </c>
      <c r="D88" s="12">
        <v>7.743342273E9</v>
      </c>
      <c r="E88" s="5" t="s">
        <v>3355</v>
      </c>
      <c r="F88" s="5" t="str">
        <f t="shared" si="1"/>
        <v>peter.jones@outlook.com</v>
      </c>
      <c r="G88" s="5" t="s">
        <v>5004</v>
      </c>
      <c r="H88" s="9">
        <v>45922.0</v>
      </c>
      <c r="I88" s="11"/>
    </row>
    <row r="89" ht="22.5" customHeight="1">
      <c r="A89" s="5" t="s">
        <v>665</v>
      </c>
      <c r="B89" s="14" t="s">
        <v>3356</v>
      </c>
      <c r="C89" s="5" t="str">
        <f>IFERROR(__xludf.DUMMYFUNCTION("REGEXREPLACE(B89,""\D"","""")"),"2222176958")</f>
        <v>2222176958</v>
      </c>
      <c r="D89" s="12">
        <v>2.222176958E9</v>
      </c>
      <c r="E89" s="5" t="s">
        <v>3357</v>
      </c>
      <c r="F89" s="5" t="str">
        <f t="shared" si="1"/>
        <v>roger.williams@aol.com</v>
      </c>
      <c r="G89" s="5" t="s">
        <v>5005</v>
      </c>
      <c r="H89" s="9">
        <v>46051.0</v>
      </c>
      <c r="I89" s="9">
        <v>46068.0</v>
      </c>
    </row>
    <row r="90" ht="22.5" customHeight="1">
      <c r="A90" s="5" t="s">
        <v>671</v>
      </c>
      <c r="B90" s="5" t="s">
        <v>3358</v>
      </c>
      <c r="C90" s="5" t="str">
        <f>IFERROR(__xludf.DUMMYFUNCTION("REGEXREPLACE(B90,""\D"","""")"),"4875135020")</f>
        <v>4875135020</v>
      </c>
      <c r="D90" s="12">
        <v>4.87513502E9</v>
      </c>
      <c r="E90" s="5" t="s">
        <v>3359</v>
      </c>
      <c r="F90" s="5" t="str">
        <f t="shared" si="1"/>
        <v>frank.doe@yahoo.com</v>
      </c>
      <c r="G90" s="5" t="s">
        <v>5006</v>
      </c>
      <c r="H90" s="9">
        <v>46144.0</v>
      </c>
      <c r="I90" s="11"/>
    </row>
    <row r="91" ht="22.5" customHeight="1">
      <c r="A91" s="5" t="s">
        <v>674</v>
      </c>
      <c r="B91" s="14" t="s">
        <v>3360</v>
      </c>
      <c r="C91" s="5" t="str">
        <f>IFERROR(__xludf.DUMMYFUNCTION("REGEXREPLACE(B91,""\D"","""")"),"6357574482")</f>
        <v>6357574482</v>
      </c>
      <c r="D91" s="12">
        <v>6.357574482E9</v>
      </c>
      <c r="E91" s="5" t="s">
        <v>3361</v>
      </c>
      <c r="F91" s="5" t="str">
        <f t="shared" si="1"/>
        <v>david.doe@hotmail.com</v>
      </c>
      <c r="G91" s="5" t="s">
        <v>5007</v>
      </c>
      <c r="H91" s="9">
        <v>45711.0</v>
      </c>
      <c r="I91" s="9">
        <v>45715.0</v>
      </c>
    </row>
    <row r="92" ht="22.5" customHeight="1">
      <c r="A92" s="5" t="s">
        <v>679</v>
      </c>
      <c r="B92" s="5" t="s">
        <v>3363</v>
      </c>
      <c r="C92" s="5" t="str">
        <f>IFERROR(__xludf.DUMMYFUNCTION("REGEXREPLACE(B92,""\D"","""")"),"8416789414")</f>
        <v>8416789414</v>
      </c>
      <c r="D92" s="12">
        <v>8.416789414E9</v>
      </c>
      <c r="E92" s="5" t="s">
        <v>3364</v>
      </c>
      <c r="F92" s="5" t="str">
        <f t="shared" si="1"/>
        <v>frank.white@yahoo.com</v>
      </c>
      <c r="G92" s="5" t="s">
        <v>5008</v>
      </c>
      <c r="H92" s="9">
        <v>46087.0</v>
      </c>
      <c r="I92" s="11"/>
    </row>
    <row r="93" ht="22.5" customHeight="1">
      <c r="A93" s="5" t="s">
        <v>683</v>
      </c>
      <c r="B93" s="5" t="s">
        <v>3366</v>
      </c>
      <c r="C93" s="5" t="str">
        <f>IFERROR(__xludf.DUMMYFUNCTION("REGEXREPLACE(B93,""\D"","""")"),"6357332247")</f>
        <v>6357332247</v>
      </c>
      <c r="D93" s="12">
        <v>6.357332247E9</v>
      </c>
      <c r="E93" s="5" t="s">
        <v>3367</v>
      </c>
      <c r="F93" s="5" t="str">
        <f t="shared" si="1"/>
        <v>grace.young@hotmail.com</v>
      </c>
      <c r="G93" s="5" t="s">
        <v>3367</v>
      </c>
      <c r="H93" s="9">
        <v>45813.0</v>
      </c>
      <c r="I93" s="9">
        <v>45842.0</v>
      </c>
    </row>
    <row r="94" ht="22.5" customHeight="1">
      <c r="A94" s="5" t="s">
        <v>687</v>
      </c>
      <c r="B94" s="5" t="s">
        <v>3368</v>
      </c>
      <c r="C94" s="5" t="str">
        <f>IFERROR(__xludf.DUMMYFUNCTION("REGEXREPLACE(B94,""\D"","""")"),"5432234497")</f>
        <v>5432234497</v>
      </c>
      <c r="D94" s="12">
        <v>5.432234497E9</v>
      </c>
      <c r="E94" s="5" t="s">
        <v>3369</v>
      </c>
      <c r="F94" s="5" t="str">
        <f t="shared" si="1"/>
        <v>robert.little@gmail.com</v>
      </c>
      <c r="G94" s="5" t="s">
        <v>5009</v>
      </c>
      <c r="H94" s="9">
        <v>45936.0</v>
      </c>
      <c r="I94" s="9">
        <v>45948.0</v>
      </c>
    </row>
    <row r="95" ht="22.5" customHeight="1">
      <c r="A95" s="5" t="s">
        <v>693</v>
      </c>
      <c r="B95" s="5" t="s">
        <v>3371</v>
      </c>
      <c r="C95" s="5" t="str">
        <f>IFERROR(__xludf.DUMMYFUNCTION("REGEXREPLACE(B95,""\D"","""")"),"4643364494")</f>
        <v>4643364494</v>
      </c>
      <c r="D95" s="12">
        <v>4.643364494E9</v>
      </c>
      <c r="E95" s="5" t="s">
        <v>3372</v>
      </c>
      <c r="F95" s="5" t="str">
        <f t="shared" si="1"/>
        <v>william.miller@gmail.com</v>
      </c>
      <c r="G95" s="5" t="s">
        <v>3372</v>
      </c>
      <c r="H95" s="9">
        <v>46107.0</v>
      </c>
      <c r="I95" s="9">
        <v>46117.0</v>
      </c>
    </row>
    <row r="96" ht="22.5" customHeight="1">
      <c r="A96" s="5" t="s">
        <v>695</v>
      </c>
      <c r="B96" s="5" t="s">
        <v>3374</v>
      </c>
      <c r="C96" s="5" t="str">
        <f>IFERROR(__xludf.DUMMYFUNCTION("REGEXREPLACE(B96,""\D"","""")"),"8635266008")</f>
        <v>8635266008</v>
      </c>
      <c r="D96" s="12">
        <v>8.635266008E9</v>
      </c>
      <c r="E96" s="5" t="s">
        <v>3375</v>
      </c>
      <c r="F96" s="5" t="str">
        <f t="shared" si="1"/>
        <v>charlie.brown@outlook.com</v>
      </c>
      <c r="G96" s="5" t="s">
        <v>5010</v>
      </c>
      <c r="H96" s="9">
        <v>45992.0</v>
      </c>
      <c r="I96" s="9">
        <v>45996.0</v>
      </c>
    </row>
    <row r="97" ht="22.5" customHeight="1">
      <c r="A97" s="5" t="s">
        <v>701</v>
      </c>
      <c r="B97" s="5" t="s">
        <v>3376</v>
      </c>
      <c r="C97" s="5" t="str">
        <f>IFERROR(__xludf.DUMMYFUNCTION("REGEXREPLACE(B97,""\D"","""")"),"6176935788")</f>
        <v>6176935788</v>
      </c>
      <c r="D97" s="12">
        <v>6.176935788E9</v>
      </c>
      <c r="E97" s="5" t="s">
        <v>3377</v>
      </c>
      <c r="F97" s="5" t="str">
        <f t="shared" si="1"/>
        <v>bob.lee@gmail.com</v>
      </c>
      <c r="G97" s="5" t="s">
        <v>5011</v>
      </c>
      <c r="H97" s="9">
        <v>46189.0</v>
      </c>
      <c r="I97" s="9">
        <v>46210.0</v>
      </c>
    </row>
    <row r="98" ht="22.5" customHeight="1">
      <c r="A98" s="5" t="s">
        <v>704</v>
      </c>
      <c r="C98" s="10" t="str">
        <f>IFERROR(__xludf.DUMMYFUNCTION("REGEXREPLACE(B98,""\D"","""")"),"")</f>
        <v/>
      </c>
      <c r="D98" s="13" t="s">
        <v>4964</v>
      </c>
      <c r="E98" s="5" t="s">
        <v>3379</v>
      </c>
      <c r="F98" s="5" t="str">
        <f t="shared" si="1"/>
        <v>grace.garcia@yahoo.com</v>
      </c>
      <c r="G98" s="5" t="s">
        <v>4996</v>
      </c>
      <c r="H98" s="9">
        <v>46022.0</v>
      </c>
      <c r="I98" s="11"/>
    </row>
    <row r="99" ht="22.5" customHeight="1">
      <c r="A99" s="5" t="s">
        <v>707</v>
      </c>
      <c r="B99" s="14" t="s">
        <v>3380</v>
      </c>
      <c r="C99" s="5" t="str">
        <f>IFERROR(__xludf.DUMMYFUNCTION("REGEXREPLACE(B99,""\D"","""")"),"6527014246")</f>
        <v>6527014246</v>
      </c>
      <c r="D99" s="12">
        <v>6.527014246E9</v>
      </c>
      <c r="E99" s="5" t="s">
        <v>3381</v>
      </c>
      <c r="F99" s="5" t="str">
        <f t="shared" si="1"/>
        <v>paul.smith@gmail.com</v>
      </c>
      <c r="G99" s="5" t="s">
        <v>3381</v>
      </c>
      <c r="H99" s="9">
        <v>46243.0</v>
      </c>
      <c r="I99" s="9">
        <v>46248.0</v>
      </c>
    </row>
    <row r="100" ht="22.5" customHeight="1">
      <c r="A100" s="5" t="s">
        <v>712</v>
      </c>
      <c r="C100" s="10" t="str">
        <f>IFERROR(__xludf.DUMMYFUNCTION("REGEXREPLACE(B100,""\D"","""")"),"")</f>
        <v/>
      </c>
      <c r="D100" s="13" t="s">
        <v>4964</v>
      </c>
      <c r="E100" s="5" t="s">
        <v>3384</v>
      </c>
      <c r="F100" s="5" t="str">
        <f t="shared" si="1"/>
        <v>john.white@hotmail.com</v>
      </c>
      <c r="G100" s="5" t="s">
        <v>3384</v>
      </c>
      <c r="H100" s="9">
        <v>45972.0</v>
      </c>
      <c r="I100" s="11"/>
    </row>
    <row r="101" ht="22.5" customHeight="1">
      <c r="A101" s="5" t="s">
        <v>717</v>
      </c>
      <c r="B101" s="14" t="s">
        <v>3386</v>
      </c>
      <c r="C101" s="5" t="str">
        <f>IFERROR(__xludf.DUMMYFUNCTION("REGEXREPLACE(B101,""\D"","""")"),"3499941957")</f>
        <v>3499941957</v>
      </c>
      <c r="D101" s="12">
        <v>3.499941957E9</v>
      </c>
      <c r="E101" s="5" t="s">
        <v>3387</v>
      </c>
      <c r="F101" s="5" t="str">
        <f t="shared" si="1"/>
        <v>thalia.ferguson@gmail.com</v>
      </c>
      <c r="G101" s="5" t="s">
        <v>5012</v>
      </c>
      <c r="H101" s="9">
        <v>45947.0</v>
      </c>
      <c r="I101" s="9">
        <v>45962.0</v>
      </c>
    </row>
    <row r="102" ht="22.5" customHeight="1">
      <c r="A102" s="5" t="s">
        <v>722</v>
      </c>
      <c r="B102" s="14" t="s">
        <v>3389</v>
      </c>
      <c r="C102" s="5" t="str">
        <f>IFERROR(__xludf.DUMMYFUNCTION("REGEXREPLACE(B102,""\D"","""")"),"8277215226")</f>
        <v>8277215226</v>
      </c>
      <c r="D102" s="12">
        <v>8.277215226E9</v>
      </c>
      <c r="E102" s="5" t="s">
        <v>3390</v>
      </c>
      <c r="F102" s="5" t="str">
        <f t="shared" si="1"/>
        <v>jasmine.cooper@outlook.com</v>
      </c>
      <c r="G102" s="5" t="s">
        <v>3390</v>
      </c>
      <c r="H102" s="9">
        <v>45804.0</v>
      </c>
      <c r="I102" s="9">
        <v>45816.0</v>
      </c>
    </row>
    <row r="103" ht="22.5" customHeight="1">
      <c r="A103" s="5" t="s">
        <v>727</v>
      </c>
      <c r="B103" s="14" t="s">
        <v>3392</v>
      </c>
      <c r="C103" s="5" t="str">
        <f>IFERROR(__xludf.DUMMYFUNCTION("REGEXREPLACE(B103,""\D"","""")"),"3079267785")</f>
        <v>3079267785</v>
      </c>
      <c r="D103" s="12">
        <v>3.079267785E9</v>
      </c>
      <c r="E103" s="5" t="s">
        <v>3393</v>
      </c>
      <c r="F103" s="5" t="str">
        <f t="shared" si="1"/>
        <v>frank.johnson@yahoo.com</v>
      </c>
      <c r="G103" s="5" t="s">
        <v>5013</v>
      </c>
      <c r="H103" s="9">
        <v>45967.0</v>
      </c>
      <c r="I103" s="9">
        <v>45980.0</v>
      </c>
    </row>
    <row r="104" ht="22.5" customHeight="1">
      <c r="A104" s="5" t="s">
        <v>730</v>
      </c>
      <c r="B104" s="5" t="s">
        <v>3395</v>
      </c>
      <c r="C104" s="5" t="str">
        <f>IFERROR(__xludf.DUMMYFUNCTION("REGEXREPLACE(B104,""\D"","""")"),"4296878357")</f>
        <v>4296878357</v>
      </c>
      <c r="D104" s="12">
        <v>4.296878357E9</v>
      </c>
      <c r="E104" s="5" t="s">
        <v>3396</v>
      </c>
      <c r="F104" s="5" t="str">
        <f t="shared" si="1"/>
        <v>eva.smith@aol.com</v>
      </c>
      <c r="G104" s="5" t="s">
        <v>3396</v>
      </c>
      <c r="H104" s="9">
        <v>45873.0</v>
      </c>
      <c r="I104" s="9">
        <v>45893.0</v>
      </c>
    </row>
    <row r="105" ht="22.5" customHeight="1">
      <c r="A105" s="5" t="s">
        <v>737</v>
      </c>
      <c r="B105" s="5" t="s">
        <v>3397</v>
      </c>
      <c r="C105" s="5" t="str">
        <f>IFERROR(__xludf.DUMMYFUNCTION("REGEXREPLACE(B105,""\D"","""")"),"6392565861")</f>
        <v>6392565861</v>
      </c>
      <c r="D105" s="12">
        <v>6.392565861E9</v>
      </c>
      <c r="E105" s="5" t="s">
        <v>3398</v>
      </c>
      <c r="F105" s="5" t="str">
        <f t="shared" si="1"/>
        <v>john.rodriguez@outlook.com</v>
      </c>
      <c r="G105" s="5" t="s">
        <v>4969</v>
      </c>
      <c r="H105" s="9">
        <v>46179.0</v>
      </c>
      <c r="I105" s="11"/>
    </row>
    <row r="106" ht="22.5" customHeight="1">
      <c r="A106" s="5" t="s">
        <v>741</v>
      </c>
      <c r="B106" s="5" t="s">
        <v>3399</v>
      </c>
      <c r="C106" s="5" t="str">
        <f>IFERROR(__xludf.DUMMYFUNCTION("REGEXREPLACE(B106,""\D"","""")"),"7346686097")</f>
        <v>7346686097</v>
      </c>
      <c r="D106" s="12">
        <v>7.346686097E9</v>
      </c>
      <c r="E106" s="5" t="s">
        <v>3400</v>
      </c>
      <c r="F106" s="5" t="str">
        <f t="shared" si="1"/>
        <v>pauline.smith@yahoo.com</v>
      </c>
      <c r="G106" s="5" t="s">
        <v>5014</v>
      </c>
      <c r="H106" s="9">
        <v>45953.0</v>
      </c>
      <c r="I106" s="9">
        <v>45961.0</v>
      </c>
    </row>
    <row r="107" ht="22.5" customHeight="1">
      <c r="A107" s="5" t="s">
        <v>744</v>
      </c>
      <c r="B107" s="5" t="s">
        <v>3402</v>
      </c>
      <c r="C107" s="5" t="str">
        <f>IFERROR(__xludf.DUMMYFUNCTION("REGEXREPLACE(B107,""\D"","""")"),"3343494095")</f>
        <v>3343494095</v>
      </c>
      <c r="D107" s="12">
        <v>3.343494095E9</v>
      </c>
      <c r="E107" s="5" t="s">
        <v>3403</v>
      </c>
      <c r="F107" s="5" t="str">
        <f t="shared" si="1"/>
        <v>evan.rodriguez@outlook.com</v>
      </c>
      <c r="G107" s="5" t="s">
        <v>5015</v>
      </c>
      <c r="H107" s="9">
        <v>45842.0</v>
      </c>
      <c r="I107" s="9">
        <v>45850.0</v>
      </c>
    </row>
    <row r="108" ht="22.5" customHeight="1">
      <c r="A108" s="5" t="s">
        <v>749</v>
      </c>
      <c r="B108" s="5" t="s">
        <v>3405</v>
      </c>
      <c r="C108" s="5" t="str">
        <f>IFERROR(__xludf.DUMMYFUNCTION("REGEXREPLACE(B108,""\D"","""")"),"7948859195")</f>
        <v>7948859195</v>
      </c>
      <c r="D108" s="12">
        <v>7.948859195E9</v>
      </c>
      <c r="E108" s="5" t="s">
        <v>3406</v>
      </c>
      <c r="F108" s="5" t="str">
        <f t="shared" si="1"/>
        <v>hannah.davis@yahoo.com</v>
      </c>
      <c r="G108" s="5" t="s">
        <v>5016</v>
      </c>
      <c r="H108" s="9">
        <v>45926.0</v>
      </c>
      <c r="I108" s="9">
        <v>45952.0</v>
      </c>
    </row>
    <row r="109" ht="22.5" customHeight="1">
      <c r="A109" s="5" t="s">
        <v>751</v>
      </c>
      <c r="B109" s="14" t="s">
        <v>3409</v>
      </c>
      <c r="C109" s="5" t="str">
        <f>IFERROR(__xludf.DUMMYFUNCTION("REGEXREPLACE(B109,""\D"","""")"),"6918144510")</f>
        <v>6918144510</v>
      </c>
      <c r="D109" s="12">
        <v>6.91814451E9</v>
      </c>
      <c r="E109" s="5" t="s">
        <v>3410</v>
      </c>
      <c r="F109" s="5" t="str">
        <f t="shared" si="1"/>
        <v>ryan.kim@outlook.com</v>
      </c>
      <c r="G109" s="5" t="s">
        <v>5017</v>
      </c>
      <c r="H109" s="9">
        <v>46244.0</v>
      </c>
      <c r="I109" s="9">
        <v>46253.0</v>
      </c>
    </row>
    <row r="110" ht="22.5" customHeight="1">
      <c r="A110" s="5" t="s">
        <v>756</v>
      </c>
      <c r="B110" s="5" t="s">
        <v>3411</v>
      </c>
      <c r="C110" s="5" t="str">
        <f>IFERROR(__xludf.DUMMYFUNCTION("REGEXREPLACE(B110,""\D"","""")"),"4077917541")</f>
        <v>4077917541</v>
      </c>
      <c r="D110" s="12">
        <v>4.077917541E9</v>
      </c>
      <c r="E110" s="5" t="s">
        <v>3412</v>
      </c>
      <c r="F110" s="5" t="str">
        <f t="shared" si="1"/>
        <v>christine.baker@yahoo.com</v>
      </c>
      <c r="G110" s="5" t="s">
        <v>5018</v>
      </c>
      <c r="H110" s="9">
        <v>45829.0</v>
      </c>
      <c r="I110" s="11"/>
    </row>
    <row r="111" ht="22.5" customHeight="1">
      <c r="A111" s="5" t="s">
        <v>762</v>
      </c>
      <c r="B111" s="5" t="s">
        <v>3414</v>
      </c>
      <c r="C111" s="5" t="str">
        <f>IFERROR(__xludf.DUMMYFUNCTION("REGEXREPLACE(B111,""\D"","""")"),"3145157391")</f>
        <v>3145157391</v>
      </c>
      <c r="D111" s="12">
        <v>3.145157391E9</v>
      </c>
      <c r="F111" s="10" t="str">
        <f t="shared" si="1"/>
        <v/>
      </c>
      <c r="G111" s="10" t="s">
        <v>4964</v>
      </c>
      <c r="H111" s="9">
        <v>46162.0</v>
      </c>
      <c r="I111" s="9">
        <v>46182.0</v>
      </c>
    </row>
    <row r="112" ht="22.5" customHeight="1">
      <c r="A112" s="5" t="s">
        <v>766</v>
      </c>
      <c r="B112" s="14" t="s">
        <v>3417</v>
      </c>
      <c r="C112" s="5" t="str">
        <f>IFERROR(__xludf.DUMMYFUNCTION("REGEXREPLACE(B112,""\D"","""")"),"2047018270")</f>
        <v>2047018270</v>
      </c>
      <c r="D112" s="12">
        <v>2.04701827E9</v>
      </c>
      <c r="E112" s="5" t="s">
        <v>3418</v>
      </c>
      <c r="F112" s="5" t="str">
        <f t="shared" si="1"/>
        <v>harry.lopez@outlook.com</v>
      </c>
      <c r="G112" s="5" t="s">
        <v>5019</v>
      </c>
      <c r="H112" s="9">
        <v>45776.0</v>
      </c>
      <c r="I112" s="11"/>
    </row>
    <row r="113" ht="22.5" customHeight="1">
      <c r="A113" s="5" t="s">
        <v>768</v>
      </c>
      <c r="B113" s="14" t="s">
        <v>3419</v>
      </c>
      <c r="C113" s="5" t="str">
        <f>IFERROR(__xludf.DUMMYFUNCTION("REGEXREPLACE(B113,""\D"","""")"),"2822094794")</f>
        <v>2822094794</v>
      </c>
      <c r="D113" s="12">
        <v>2.822094794E9</v>
      </c>
      <c r="E113" s="5" t="s">
        <v>3420</v>
      </c>
      <c r="F113" s="5" t="str">
        <f t="shared" si="1"/>
        <v>david.perez@yahoo.com</v>
      </c>
      <c r="G113" s="5" t="s">
        <v>3420</v>
      </c>
      <c r="H113" s="9">
        <v>45806.0</v>
      </c>
      <c r="I113" s="11"/>
    </row>
    <row r="114" ht="22.5" customHeight="1">
      <c r="A114" s="5" t="s">
        <v>771</v>
      </c>
      <c r="B114" s="5" t="s">
        <v>3422</v>
      </c>
      <c r="C114" s="5" t="str">
        <f>IFERROR(__xludf.DUMMYFUNCTION("REGEXREPLACE(B114,""\D"","""")"),"3975817308")</f>
        <v>3975817308</v>
      </c>
      <c r="D114" s="12">
        <v>3.975817308E9</v>
      </c>
      <c r="E114" s="5" t="s">
        <v>3423</v>
      </c>
      <c r="F114" s="5" t="str">
        <f t="shared" si="1"/>
        <v>ian.jones@yahoo.com</v>
      </c>
      <c r="G114" s="5" t="s">
        <v>5020</v>
      </c>
      <c r="H114" s="9">
        <v>45886.0</v>
      </c>
      <c r="I114" s="11"/>
    </row>
    <row r="115" ht="22.5" customHeight="1">
      <c r="A115" s="5" t="s">
        <v>775</v>
      </c>
      <c r="B115" s="5" t="s">
        <v>3425</v>
      </c>
      <c r="C115" s="5" t="str">
        <f>IFERROR(__xludf.DUMMYFUNCTION("REGEXREPLACE(B115,""\D"","""")"),"7796694206")</f>
        <v>7796694206</v>
      </c>
      <c r="D115" s="12">
        <v>7.796694206E9</v>
      </c>
      <c r="E115" s="5" t="s">
        <v>3426</v>
      </c>
      <c r="F115" s="5" t="str">
        <f t="shared" si="1"/>
        <v>michelle.lee@gmail.com</v>
      </c>
      <c r="G115" s="5" t="s">
        <v>3426</v>
      </c>
      <c r="H115" s="9">
        <v>45786.0</v>
      </c>
      <c r="I115" s="11"/>
    </row>
    <row r="116" ht="22.5" customHeight="1">
      <c r="A116" s="5" t="s">
        <v>780</v>
      </c>
      <c r="B116" s="5" t="s">
        <v>3428</v>
      </c>
      <c r="C116" s="5" t="str">
        <f>IFERROR(__xludf.DUMMYFUNCTION("REGEXREPLACE(B116,""\D"","""")"),"5214751029")</f>
        <v>5214751029</v>
      </c>
      <c r="D116" s="12">
        <v>5.214751029E9</v>
      </c>
      <c r="E116" s="5" t="s">
        <v>3429</v>
      </c>
      <c r="F116" s="5" t="str">
        <f t="shared" si="1"/>
        <v>wendy.doe@gmail.com</v>
      </c>
      <c r="G116" s="5" t="s">
        <v>3429</v>
      </c>
      <c r="H116" s="9">
        <v>45796.0</v>
      </c>
      <c r="I116" s="9">
        <v>45817.0</v>
      </c>
    </row>
    <row r="117" ht="22.5" customHeight="1">
      <c r="A117" s="5" t="s">
        <v>783</v>
      </c>
      <c r="B117" s="5" t="s">
        <v>3431</v>
      </c>
      <c r="C117" s="5" t="str">
        <f>IFERROR(__xludf.DUMMYFUNCTION("REGEXREPLACE(B117,""\D"","""")"),"4662544761")</f>
        <v>4662544761</v>
      </c>
      <c r="D117" s="12">
        <v>4.662544761E9</v>
      </c>
      <c r="E117" s="5" t="s">
        <v>3432</v>
      </c>
      <c r="F117" s="5" t="str">
        <f t="shared" si="1"/>
        <v>louis.lim@outlook.com</v>
      </c>
      <c r="G117" s="5" t="s">
        <v>3432</v>
      </c>
      <c r="H117" s="9">
        <v>46016.0</v>
      </c>
      <c r="I117" s="9">
        <v>46043.0</v>
      </c>
    </row>
    <row r="118" ht="22.5" customHeight="1">
      <c r="A118" s="5" t="s">
        <v>786</v>
      </c>
      <c r="B118" s="5" t="s">
        <v>3435</v>
      </c>
      <c r="C118" s="5" t="str">
        <f>IFERROR(__xludf.DUMMYFUNCTION("REGEXREPLACE(B118,""\D"","""")"),"6179872821")</f>
        <v>6179872821</v>
      </c>
      <c r="D118" s="12">
        <v>6.179872821E9</v>
      </c>
      <c r="E118" s="5" t="s">
        <v>3436</v>
      </c>
      <c r="F118" s="5" t="str">
        <f t="shared" si="1"/>
        <v>alice.davidson@aol.com</v>
      </c>
      <c r="G118" s="5" t="s">
        <v>5021</v>
      </c>
      <c r="H118" s="9">
        <v>46188.0</v>
      </c>
      <c r="I118" s="9">
        <v>46206.0</v>
      </c>
    </row>
    <row r="119" ht="22.5" customHeight="1">
      <c r="A119" s="5" t="s">
        <v>791</v>
      </c>
      <c r="B119" s="5" t="s">
        <v>3438</v>
      </c>
      <c r="C119" s="5" t="str">
        <f>IFERROR(__xludf.DUMMYFUNCTION("REGEXREPLACE(B119,""\D"","""")"),"7532443096")</f>
        <v>7532443096</v>
      </c>
      <c r="D119" s="12">
        <v>7.532443096E9</v>
      </c>
      <c r="E119" s="5" t="s">
        <v>3439</v>
      </c>
      <c r="F119" s="5" t="str">
        <f t="shared" si="1"/>
        <v>bob.young@aol.com</v>
      </c>
      <c r="G119" s="5" t="s">
        <v>3439</v>
      </c>
      <c r="H119" s="9">
        <v>46071.0</v>
      </c>
      <c r="I119" s="9">
        <v>46098.0</v>
      </c>
    </row>
    <row r="120" ht="22.5" customHeight="1">
      <c r="A120" s="5" t="s">
        <v>795</v>
      </c>
      <c r="C120" s="10" t="str">
        <f>IFERROR(__xludf.DUMMYFUNCTION("REGEXREPLACE(B120,""\D"","""")"),"")</f>
        <v/>
      </c>
      <c r="D120" s="13" t="s">
        <v>4964</v>
      </c>
      <c r="E120" s="5" t="s">
        <v>3442</v>
      </c>
      <c r="F120" s="5" t="str">
        <f t="shared" si="1"/>
        <v>evan.johnson@gmail.com</v>
      </c>
      <c r="G120" s="5" t="s">
        <v>5022</v>
      </c>
      <c r="H120" s="9">
        <v>45778.0</v>
      </c>
      <c r="I120" s="9">
        <v>45807.0</v>
      </c>
    </row>
    <row r="121" ht="22.5" customHeight="1">
      <c r="A121" s="5" t="s">
        <v>798</v>
      </c>
      <c r="B121" s="5" t="s">
        <v>3443</v>
      </c>
      <c r="C121" s="5" t="str">
        <f>IFERROR(__xludf.DUMMYFUNCTION("REGEXREPLACE(B121,""\D"","""")"),"6216716590")</f>
        <v>6216716590</v>
      </c>
      <c r="D121" s="12">
        <v>6.21671659E9</v>
      </c>
      <c r="E121" s="5" t="s">
        <v>3444</v>
      </c>
      <c r="F121" s="5" t="str">
        <f t="shared" si="1"/>
        <v>ian.rodriguez@hotmail.com</v>
      </c>
      <c r="G121" s="5" t="s">
        <v>3444</v>
      </c>
      <c r="H121" s="9">
        <v>46003.0</v>
      </c>
      <c r="I121" s="9">
        <v>46010.0</v>
      </c>
    </row>
    <row r="122" ht="22.5" customHeight="1">
      <c r="A122" s="5" t="s">
        <v>801</v>
      </c>
      <c r="B122" s="14" t="s">
        <v>3447</v>
      </c>
      <c r="C122" s="5" t="str">
        <f>IFERROR(__xludf.DUMMYFUNCTION("REGEXREPLACE(B122,""\D"","""")"),"2193392650")</f>
        <v>2193392650</v>
      </c>
      <c r="D122" s="12">
        <v>2.19339265E9</v>
      </c>
      <c r="E122" s="5" t="s">
        <v>3448</v>
      </c>
      <c r="F122" s="5" t="str">
        <f t="shared" si="1"/>
        <v>craig.volkov@hotmail.com</v>
      </c>
      <c r="G122" s="5" t="s">
        <v>5023</v>
      </c>
      <c r="H122" s="9">
        <v>45735.0</v>
      </c>
      <c r="I122" s="9">
        <v>45752.0</v>
      </c>
    </row>
    <row r="123" ht="22.5" customHeight="1">
      <c r="A123" s="5" t="s">
        <v>805</v>
      </c>
      <c r="B123" s="5" t="s">
        <v>3449</v>
      </c>
      <c r="C123" s="5" t="str">
        <f>IFERROR(__xludf.DUMMYFUNCTION("REGEXREPLACE(B123,""\D"","""")"),"9687915618")</f>
        <v>9687915618</v>
      </c>
      <c r="D123" s="12">
        <v>9.687915618E9</v>
      </c>
      <c r="E123" s="5" t="s">
        <v>3450</v>
      </c>
      <c r="F123" s="5" t="str">
        <f t="shared" si="1"/>
        <v>timothy.garcia@outlook.com</v>
      </c>
      <c r="G123" s="5" t="s">
        <v>3819</v>
      </c>
      <c r="H123" s="9">
        <v>46085.0</v>
      </c>
      <c r="I123" s="11"/>
    </row>
    <row r="124" ht="22.5" customHeight="1">
      <c r="A124" s="5" t="s">
        <v>811</v>
      </c>
      <c r="B124" s="14" t="s">
        <v>3451</v>
      </c>
      <c r="C124" s="5" t="str">
        <f>IFERROR(__xludf.DUMMYFUNCTION("REGEXREPLACE(B124,""\D"","""")"),"9492206152")</f>
        <v>9492206152</v>
      </c>
      <c r="D124" s="12">
        <v>9.492206152E9</v>
      </c>
      <c r="E124" s="5" t="s">
        <v>3452</v>
      </c>
      <c r="F124" s="5" t="str">
        <f t="shared" si="1"/>
        <v>keith#.williams@gmail.com</v>
      </c>
      <c r="G124" s="5" t="s">
        <v>5024</v>
      </c>
      <c r="H124" s="9">
        <v>46101.0</v>
      </c>
      <c r="I124" s="11"/>
    </row>
    <row r="125" ht="22.5" customHeight="1">
      <c r="A125" s="5" t="s">
        <v>815</v>
      </c>
      <c r="B125" s="5" t="s">
        <v>3453</v>
      </c>
      <c r="C125" s="5" t="str">
        <f>IFERROR(__xludf.DUMMYFUNCTION("REGEXREPLACE(B125,""\D"","""")"),"5378055041")</f>
        <v>5378055041</v>
      </c>
      <c r="D125" s="12">
        <v>5.378055041E9</v>
      </c>
      <c r="E125" s="5" t="s">
        <v>3454</v>
      </c>
      <c r="F125" s="5" t="str">
        <f t="shared" si="1"/>
        <v>fiona.smith@yahoo.com</v>
      </c>
      <c r="G125" s="5" t="s">
        <v>5025</v>
      </c>
      <c r="H125" s="9">
        <v>46053.0</v>
      </c>
      <c r="I125" s="9">
        <v>46064.0</v>
      </c>
    </row>
    <row r="126" ht="22.5" customHeight="1">
      <c r="A126" s="5" t="s">
        <v>819</v>
      </c>
      <c r="B126" s="5" t="s">
        <v>3457</v>
      </c>
      <c r="C126" s="5" t="str">
        <f>IFERROR(__xludf.DUMMYFUNCTION("REGEXREPLACE(B126,""\D"","""")"),"2102278571")</f>
        <v>2102278571</v>
      </c>
      <c r="D126" s="12">
        <v>2.102278571E9</v>
      </c>
      <c r="E126" s="5" t="s">
        <v>3458</v>
      </c>
      <c r="F126" s="5" t="str">
        <f t="shared" si="1"/>
        <v>olivia.brown@aol.com</v>
      </c>
      <c r="G126" s="5" t="s">
        <v>3458</v>
      </c>
      <c r="H126" s="11"/>
      <c r="I126" s="11"/>
    </row>
    <row r="127" ht="22.5" customHeight="1">
      <c r="A127" s="5" t="s">
        <v>822</v>
      </c>
      <c r="C127" s="10" t="str">
        <f>IFERROR(__xludf.DUMMYFUNCTION("REGEXREPLACE(B127,""\D"","""")"),"")</f>
        <v/>
      </c>
      <c r="D127" s="13" t="s">
        <v>4964</v>
      </c>
      <c r="E127" s="5" t="s">
        <v>3459</v>
      </c>
      <c r="F127" s="5" t="str">
        <f t="shared" si="1"/>
        <v>david.wu@gmail.com</v>
      </c>
      <c r="G127" s="5" t="s">
        <v>3459</v>
      </c>
      <c r="H127" s="9">
        <v>46145.0</v>
      </c>
      <c r="I127" s="9">
        <v>46174.0</v>
      </c>
    </row>
    <row r="128" ht="22.5" customHeight="1">
      <c r="A128" s="5" t="s">
        <v>826</v>
      </c>
      <c r="B128" s="5" t="s">
        <v>3460</v>
      </c>
      <c r="C128" s="5" t="str">
        <f>IFERROR(__xludf.DUMMYFUNCTION("REGEXREPLACE(B128,""\D"","""")"),"8356056666")</f>
        <v>8356056666</v>
      </c>
      <c r="D128" s="12">
        <v>8.356056666E9</v>
      </c>
      <c r="E128" s="5" t="s">
        <v>3461</v>
      </c>
      <c r="F128" s="5" t="str">
        <f t="shared" si="1"/>
        <v>ryan.chang@aol.com</v>
      </c>
      <c r="G128" s="5" t="s">
        <v>5026</v>
      </c>
      <c r="H128" s="9">
        <v>45725.0</v>
      </c>
      <c r="I128" s="11"/>
    </row>
    <row r="129" ht="22.5" customHeight="1">
      <c r="A129" s="5" t="s">
        <v>830</v>
      </c>
      <c r="B129" s="14" t="s">
        <v>3463</v>
      </c>
      <c r="C129" s="5" t="str">
        <f>IFERROR(__xludf.DUMMYFUNCTION("REGEXREPLACE(B129,""\D"","""")"),"6114151501")</f>
        <v>6114151501</v>
      </c>
      <c r="D129" s="12">
        <v>6.114151501E9</v>
      </c>
      <c r="E129" s="5" t="s">
        <v>3464</v>
      </c>
      <c r="F129" s="5" t="str">
        <f t="shared" si="1"/>
        <v>sally.doe@aol.com</v>
      </c>
      <c r="G129" s="5" t="s">
        <v>3464</v>
      </c>
      <c r="H129" s="9">
        <v>45961.0</v>
      </c>
      <c r="I129" s="9">
        <v>45986.0</v>
      </c>
    </row>
    <row r="130" ht="22.5" customHeight="1">
      <c r="A130" s="5" t="s">
        <v>834</v>
      </c>
      <c r="B130" s="5" t="s">
        <v>3466</v>
      </c>
      <c r="C130" s="5" t="str">
        <f>IFERROR(__xludf.DUMMYFUNCTION("REGEXREPLACE(B130,""\D"","""")"),"2945959453")</f>
        <v>2945959453</v>
      </c>
      <c r="D130" s="12">
        <v>2.945959453E9</v>
      </c>
      <c r="E130" s="5" t="s">
        <v>3467</v>
      </c>
      <c r="F130" s="5" t="str">
        <f t="shared" si="1"/>
        <v>david.white@outlook.com</v>
      </c>
      <c r="G130" s="5" t="s">
        <v>3467</v>
      </c>
      <c r="H130" s="9">
        <v>45734.0</v>
      </c>
      <c r="I130" s="11"/>
    </row>
    <row r="131" ht="22.5" customHeight="1">
      <c r="A131" s="5" t="s">
        <v>837</v>
      </c>
      <c r="B131" s="5" t="s">
        <v>3469</v>
      </c>
      <c r="C131" s="5" t="str">
        <f>IFERROR(__xludf.DUMMYFUNCTION("REGEXREPLACE(B131,""\D"","""")"),"3604666995")</f>
        <v>3604666995</v>
      </c>
      <c r="D131" s="12">
        <v>3.604666995E9</v>
      </c>
      <c r="E131" s="5" t="s">
        <v>3470</v>
      </c>
      <c r="F131" s="5" t="str">
        <f t="shared" si="1"/>
        <v>jack.brown@gmail.com</v>
      </c>
      <c r="G131" s="5" t="s">
        <v>5027</v>
      </c>
      <c r="H131" s="11"/>
      <c r="I131" s="11"/>
    </row>
    <row r="132" ht="22.5" customHeight="1">
      <c r="A132" s="5" t="s">
        <v>841</v>
      </c>
      <c r="B132" s="5" t="s">
        <v>3471</v>
      </c>
      <c r="C132" s="5" t="str">
        <f>IFERROR(__xludf.DUMMYFUNCTION("REGEXREPLACE(B132,""\D"","""")"),"5515802541")</f>
        <v>5515802541</v>
      </c>
      <c r="D132" s="12">
        <v>5.515802541E9</v>
      </c>
      <c r="E132" s="5" t="s">
        <v>3472</v>
      </c>
      <c r="F132" s="5" t="str">
        <f t="shared" si="1"/>
        <v>frank.baker@yahoo.com</v>
      </c>
      <c r="G132" s="5" t="s">
        <v>5028</v>
      </c>
      <c r="H132" s="9">
        <v>45886.0</v>
      </c>
      <c r="I132" s="9">
        <v>45893.0</v>
      </c>
    </row>
    <row r="133" ht="22.5" customHeight="1">
      <c r="A133" s="5" t="s">
        <v>845</v>
      </c>
      <c r="B133" s="5" t="s">
        <v>3473</v>
      </c>
      <c r="C133" s="5" t="str">
        <f>IFERROR(__xludf.DUMMYFUNCTION("REGEXREPLACE(B133,""\D"","""")"),"5099659361")</f>
        <v>5099659361</v>
      </c>
      <c r="D133" s="12">
        <v>5.099659361E9</v>
      </c>
      <c r="F133" s="10" t="str">
        <f t="shared" si="1"/>
        <v/>
      </c>
      <c r="G133" s="10" t="s">
        <v>4964</v>
      </c>
      <c r="H133" s="9">
        <v>46247.0</v>
      </c>
      <c r="I133" s="9">
        <v>46250.0</v>
      </c>
    </row>
    <row r="134" ht="22.5" customHeight="1">
      <c r="A134" s="5" t="s">
        <v>849</v>
      </c>
      <c r="C134" s="10" t="str">
        <f>IFERROR(__xludf.DUMMYFUNCTION("REGEXREPLACE(B134,""\D"","""")"),"")</f>
        <v/>
      </c>
      <c r="D134" s="13" t="s">
        <v>4964</v>
      </c>
      <c r="E134" s="5" t="s">
        <v>3474</v>
      </c>
      <c r="F134" s="5" t="str">
        <f t="shared" si="1"/>
        <v>alice.rodriguez@outlook.com</v>
      </c>
      <c r="G134" s="5" t="s">
        <v>5029</v>
      </c>
      <c r="H134" s="9">
        <v>46060.0</v>
      </c>
      <c r="I134" s="11"/>
    </row>
    <row r="135" ht="22.5" customHeight="1">
      <c r="A135" s="5" t="s">
        <v>854</v>
      </c>
      <c r="B135" s="5" t="s">
        <v>3476</v>
      </c>
      <c r="C135" s="5" t="str">
        <f>IFERROR(__xludf.DUMMYFUNCTION("REGEXREPLACE(B135,""\D"","""")"),"3302148560")</f>
        <v>3302148560</v>
      </c>
      <c r="D135" s="12">
        <v>3.30214856E9</v>
      </c>
      <c r="E135" s="5" t="s">
        <v>3477</v>
      </c>
      <c r="F135" s="5" t="str">
        <f t="shared" si="1"/>
        <v>nancy.miller@hotmail.com</v>
      </c>
      <c r="G135" s="5" t="s">
        <v>5030</v>
      </c>
      <c r="H135" s="9">
        <v>45801.0</v>
      </c>
      <c r="I135" s="9">
        <v>45807.0</v>
      </c>
    </row>
    <row r="136" ht="22.5" customHeight="1">
      <c r="A136" s="5" t="s">
        <v>857</v>
      </c>
      <c r="B136" s="14" t="s">
        <v>3479</v>
      </c>
      <c r="C136" s="5" t="str">
        <f>IFERROR(__xludf.DUMMYFUNCTION("REGEXREPLACE(B136,""\D"","""")"),"4174925612")</f>
        <v>4174925612</v>
      </c>
      <c r="D136" s="12">
        <v>4.174925612E9</v>
      </c>
      <c r="E136" s="5" t="s">
        <v>3480</v>
      </c>
      <c r="F136" s="5" t="str">
        <f t="shared" si="1"/>
        <v>will.kim@aol.com</v>
      </c>
      <c r="G136" s="5" t="s">
        <v>5031</v>
      </c>
      <c r="H136" s="11"/>
      <c r="I136" s="11"/>
    </row>
    <row r="137" ht="22.5" customHeight="1">
      <c r="A137" s="5" t="s">
        <v>861</v>
      </c>
      <c r="B137" s="5" t="s">
        <v>3481</v>
      </c>
      <c r="C137" s="5" t="str">
        <f>IFERROR(__xludf.DUMMYFUNCTION("REGEXREPLACE(B137,""\D"","""")"),"6896532068")</f>
        <v>6896532068</v>
      </c>
      <c r="D137" s="12">
        <v>6.896532068E9</v>
      </c>
      <c r="E137" s="5" t="s">
        <v>3482</v>
      </c>
      <c r="F137" s="5" t="str">
        <f t="shared" si="1"/>
        <v>jane.cooper@gmail.com</v>
      </c>
      <c r="G137" s="5" t="s">
        <v>5032</v>
      </c>
      <c r="H137" s="9">
        <v>46007.0</v>
      </c>
      <c r="I137" s="9">
        <v>46033.0</v>
      </c>
    </row>
    <row r="138" ht="22.5" customHeight="1">
      <c r="A138" s="5" t="s">
        <v>864</v>
      </c>
      <c r="B138" s="5" t="s">
        <v>3484</v>
      </c>
      <c r="C138" s="5" t="str">
        <f>IFERROR(__xludf.DUMMYFUNCTION("REGEXREPLACE(B138,""\D"","""")"),"2494887741")</f>
        <v>2494887741</v>
      </c>
      <c r="D138" s="12">
        <v>2.494887741E9</v>
      </c>
      <c r="E138" s="5" t="s">
        <v>3485</v>
      </c>
      <c r="F138" s="5" t="str">
        <f t="shared" si="1"/>
        <v>ava.jackson@outlook.com</v>
      </c>
      <c r="G138" s="5" t="s">
        <v>3485</v>
      </c>
      <c r="H138" s="9">
        <v>46046.0</v>
      </c>
      <c r="I138" s="9">
        <v>46067.0</v>
      </c>
    </row>
    <row r="139" ht="22.5" customHeight="1">
      <c r="A139" s="5" t="s">
        <v>871</v>
      </c>
      <c r="B139" s="14" t="s">
        <v>3487</v>
      </c>
      <c r="C139" s="5" t="str">
        <f>IFERROR(__xludf.DUMMYFUNCTION("REGEXREPLACE(B139,""\D"","""")"),"9654721879")</f>
        <v>9654721879</v>
      </c>
      <c r="D139" s="12">
        <v>9.654721879E9</v>
      </c>
      <c r="E139" s="5" t="s">
        <v>3488</v>
      </c>
      <c r="F139" s="5" t="str">
        <f t="shared" si="1"/>
        <v>paul.lopez@gmail.com</v>
      </c>
      <c r="G139" s="5" t="s">
        <v>3488</v>
      </c>
      <c r="H139" s="9">
        <v>45781.0</v>
      </c>
      <c r="I139" s="9">
        <v>45794.0</v>
      </c>
    </row>
    <row r="140" ht="22.5" customHeight="1">
      <c r="A140" s="5" t="s">
        <v>876</v>
      </c>
      <c r="B140" s="5" t="s">
        <v>3489</v>
      </c>
      <c r="C140" s="5" t="str">
        <f>IFERROR(__xludf.DUMMYFUNCTION("REGEXREPLACE(B140,""\D"","""")"),"7508557523")</f>
        <v>7508557523</v>
      </c>
      <c r="D140" s="12">
        <v>7.508557523E9</v>
      </c>
      <c r="E140" s="5" t="s">
        <v>3490</v>
      </c>
      <c r="F140" s="5" t="str">
        <f t="shared" si="1"/>
        <v>ian.baker@aol.com</v>
      </c>
      <c r="G140" s="5" t="s">
        <v>5033</v>
      </c>
      <c r="H140" s="9">
        <v>46041.0</v>
      </c>
      <c r="I140" s="9">
        <v>46048.0</v>
      </c>
    </row>
    <row r="141" ht="22.5" customHeight="1">
      <c r="A141" s="5" t="s">
        <v>881</v>
      </c>
      <c r="B141" s="5" t="s">
        <v>3492</v>
      </c>
      <c r="C141" s="5" t="str">
        <f>IFERROR(__xludf.DUMMYFUNCTION("REGEXREPLACE(B141,""\D"","""")"),"2439528378")</f>
        <v>2439528378</v>
      </c>
      <c r="D141" s="12">
        <v>2.439528378E9</v>
      </c>
      <c r="E141" s="5" t="s">
        <v>3493</v>
      </c>
      <c r="F141" s="5" t="str">
        <f t="shared" si="1"/>
        <v>jane.davis@aol.com</v>
      </c>
      <c r="G141" s="5" t="s">
        <v>3493</v>
      </c>
      <c r="H141" s="9">
        <v>46190.0</v>
      </c>
      <c r="I141" s="9">
        <v>46219.0</v>
      </c>
    </row>
    <row r="142" ht="22.5" customHeight="1">
      <c r="A142" s="5" t="s">
        <v>884</v>
      </c>
      <c r="B142" s="14" t="s">
        <v>3496</v>
      </c>
      <c r="C142" s="5" t="str">
        <f>IFERROR(__xludf.DUMMYFUNCTION("REGEXREPLACE(B142,""\D"","""")"),"7762514882")</f>
        <v>7762514882</v>
      </c>
      <c r="D142" s="12">
        <v>7.762514882E9</v>
      </c>
      <c r="E142" s="5" t="s">
        <v>3497</v>
      </c>
      <c r="F142" s="5" t="str">
        <f t="shared" si="1"/>
        <v>alice.davis@gmail.com</v>
      </c>
      <c r="G142" s="5" t="s">
        <v>5034</v>
      </c>
      <c r="H142" s="9">
        <v>46062.0</v>
      </c>
      <c r="I142" s="9">
        <v>46083.0</v>
      </c>
    </row>
    <row r="143" ht="22.5" customHeight="1">
      <c r="A143" s="5" t="s">
        <v>889</v>
      </c>
      <c r="B143" s="5" t="s">
        <v>3500</v>
      </c>
      <c r="C143" s="5" t="str">
        <f>IFERROR(__xludf.DUMMYFUNCTION("REGEXREPLACE(B143,""\D"","""")"),"8228833795")</f>
        <v>8228833795</v>
      </c>
      <c r="D143" s="12">
        <v>8.228833795E9</v>
      </c>
      <c r="E143" s="5" t="s">
        <v>3501</v>
      </c>
      <c r="F143" s="5" t="str">
        <f t="shared" si="1"/>
        <v>nancy.baker@yahoo.com</v>
      </c>
      <c r="G143" s="5" t="s">
        <v>3501</v>
      </c>
      <c r="H143" s="9">
        <v>45725.0</v>
      </c>
      <c r="I143" s="9">
        <v>45747.0</v>
      </c>
    </row>
    <row r="144" ht="22.5" customHeight="1">
      <c r="A144" s="5" t="s">
        <v>892</v>
      </c>
      <c r="B144" s="5" t="s">
        <v>3502</v>
      </c>
      <c r="C144" s="5" t="str">
        <f>IFERROR(__xludf.DUMMYFUNCTION("REGEXREPLACE(B144,""\D"","""")"),"2532465391")</f>
        <v>2532465391</v>
      </c>
      <c r="D144" s="12">
        <v>2.532465391E9</v>
      </c>
      <c r="E144" s="5" t="s">
        <v>3503</v>
      </c>
      <c r="F144" s="5" t="str">
        <f t="shared" si="1"/>
        <v>christopher.garcia@yahoo.com</v>
      </c>
      <c r="G144" s="5" t="s">
        <v>3503</v>
      </c>
      <c r="H144" s="9">
        <v>46228.0</v>
      </c>
      <c r="I144" s="9">
        <v>46241.0</v>
      </c>
    </row>
    <row r="145" ht="22.5" customHeight="1">
      <c r="A145" s="5" t="s">
        <v>897</v>
      </c>
      <c r="B145" s="5" t="s">
        <v>3504</v>
      </c>
      <c r="C145" s="5" t="str">
        <f>IFERROR(__xludf.DUMMYFUNCTION("REGEXREPLACE(B145,""\D"","""")"),"2469626405")</f>
        <v>2469626405</v>
      </c>
      <c r="D145" s="12">
        <v>2.469626405E9</v>
      </c>
      <c r="E145" s="5" t="s">
        <v>3505</v>
      </c>
      <c r="F145" s="5" t="str">
        <f t="shared" si="1"/>
        <v>tina.rodriguez@outlook.com</v>
      </c>
      <c r="G145" s="5" t="s">
        <v>5035</v>
      </c>
      <c r="H145" s="9">
        <v>46034.0</v>
      </c>
      <c r="I145" s="11"/>
    </row>
    <row r="146" ht="22.5" customHeight="1">
      <c r="A146" s="5" t="s">
        <v>901</v>
      </c>
      <c r="B146" s="5" t="s">
        <v>3506</v>
      </c>
      <c r="C146" s="5" t="str">
        <f>IFERROR(__xludf.DUMMYFUNCTION("REGEXREPLACE(B146,""\D"","""")"),"4095443041")</f>
        <v>4095443041</v>
      </c>
      <c r="D146" s="12">
        <v>4.095443041E9</v>
      </c>
      <c r="E146" s="5" t="s">
        <v>3507</v>
      </c>
      <c r="F146" s="5" t="str">
        <f t="shared" si="1"/>
        <v>chris.jones@outlook.com</v>
      </c>
      <c r="G146" s="5" t="s">
        <v>3507</v>
      </c>
      <c r="H146" s="9">
        <v>45825.0</v>
      </c>
      <c r="I146" s="9">
        <v>45842.0</v>
      </c>
    </row>
    <row r="147" ht="22.5" customHeight="1">
      <c r="A147" s="5" t="s">
        <v>906</v>
      </c>
      <c r="B147" s="5" t="s">
        <v>3508</v>
      </c>
      <c r="C147" s="5" t="str">
        <f>IFERROR(__xludf.DUMMYFUNCTION("REGEXREPLACE(B147,""\D"","""")"),"9739551579")</f>
        <v>9739551579</v>
      </c>
      <c r="D147" s="12">
        <v>9.739551579E9</v>
      </c>
      <c r="E147" s="5" t="s">
        <v>3509</v>
      </c>
      <c r="F147" s="5" t="str">
        <f t="shared" si="1"/>
        <v>louis.rodriguez@hotmail.com</v>
      </c>
      <c r="G147" s="5" t="s">
        <v>5036</v>
      </c>
      <c r="H147" s="9">
        <v>46193.0</v>
      </c>
      <c r="I147" s="9">
        <v>46211.0</v>
      </c>
    </row>
    <row r="148" ht="22.5" customHeight="1">
      <c r="A148" s="5" t="s">
        <v>910</v>
      </c>
      <c r="B148" s="5" t="s">
        <v>3512</v>
      </c>
      <c r="C148" s="5" t="str">
        <f>IFERROR(__xludf.DUMMYFUNCTION("REGEXREPLACE(B148,""\D"","""")"),"5203495349")</f>
        <v>5203495349</v>
      </c>
      <c r="D148" s="12">
        <v>5.203495349E9</v>
      </c>
      <c r="E148" s="5" t="s">
        <v>3513</v>
      </c>
      <c r="F148" s="5" t="str">
        <f t="shared" si="1"/>
        <v>fiona.williams@outlook.com</v>
      </c>
      <c r="G148" s="5" t="s">
        <v>5037</v>
      </c>
      <c r="H148" s="9">
        <v>46054.0</v>
      </c>
      <c r="I148" s="9">
        <v>46058.0</v>
      </c>
    </row>
    <row r="149" ht="22.5" customHeight="1">
      <c r="A149" s="5" t="s">
        <v>915</v>
      </c>
      <c r="B149" s="5" t="s">
        <v>3515</v>
      </c>
      <c r="C149" s="5" t="str">
        <f>IFERROR(__xludf.DUMMYFUNCTION("REGEXREPLACE(B149,""\D"","""")"),"9535535672")</f>
        <v>9535535672</v>
      </c>
      <c r="D149" s="12">
        <v>9.535535672E9</v>
      </c>
      <c r="E149" s="5" t="s">
        <v>3516</v>
      </c>
      <c r="F149" s="5" t="str">
        <f t="shared" si="1"/>
        <v>charlie.doe@yahoo.com</v>
      </c>
      <c r="G149" s="5" t="s">
        <v>5038</v>
      </c>
      <c r="H149" s="9">
        <v>46182.0</v>
      </c>
      <c r="I149" s="9">
        <v>46182.0</v>
      </c>
    </row>
    <row r="150" ht="22.5" customHeight="1">
      <c r="A150" s="5" t="s">
        <v>919</v>
      </c>
      <c r="B150" s="5" t="s">
        <v>3517</v>
      </c>
      <c r="C150" s="5" t="str">
        <f>IFERROR(__xludf.DUMMYFUNCTION("REGEXREPLACE(B150,""\D"","""")"),"9275949377")</f>
        <v>9275949377</v>
      </c>
      <c r="D150" s="12">
        <v>9.275949377E9</v>
      </c>
      <c r="E150" s="5" t="s">
        <v>3518</v>
      </c>
      <c r="F150" s="5" t="str">
        <f t="shared" si="1"/>
        <v>grace.rodriguez@hotmail.com</v>
      </c>
      <c r="G150" s="5" t="s">
        <v>3518</v>
      </c>
      <c r="H150" s="9">
        <v>45912.0</v>
      </c>
      <c r="I150" s="9">
        <v>45916.0</v>
      </c>
    </row>
    <row r="151" ht="22.5" customHeight="1">
      <c r="A151" s="5" t="s">
        <v>922</v>
      </c>
      <c r="B151" s="5" t="s">
        <v>3520</v>
      </c>
      <c r="C151" s="5" t="str">
        <f>IFERROR(__xludf.DUMMYFUNCTION("REGEXREPLACE(B151,""\D"","""")"),"2652104761")</f>
        <v>2652104761</v>
      </c>
      <c r="D151" s="12">
        <v>2.652104761E9</v>
      </c>
      <c r="E151" s="5" t="s">
        <v>3521</v>
      </c>
      <c r="F151" s="5" t="str">
        <f t="shared" si="1"/>
        <v>david.chen@hotmail.com</v>
      </c>
      <c r="G151" s="5" t="s">
        <v>5039</v>
      </c>
      <c r="H151" s="9">
        <v>46052.0</v>
      </c>
      <c r="I151" s="9">
        <v>46054.0</v>
      </c>
    </row>
    <row r="152" ht="22.5" customHeight="1">
      <c r="A152" s="5" t="s">
        <v>924</v>
      </c>
      <c r="B152" s="5" t="s">
        <v>3522</v>
      </c>
      <c r="C152" s="5" t="str">
        <f>IFERROR(__xludf.DUMMYFUNCTION("REGEXREPLACE(B152,""\D"","""")"),"8819171166")</f>
        <v>8819171166</v>
      </c>
      <c r="D152" s="12">
        <v>8.819171166E9</v>
      </c>
      <c r="E152" s="5" t="s">
        <v>3523</v>
      </c>
      <c r="F152" s="5" t="str">
        <f t="shared" si="1"/>
        <v>james.lee@aol.com</v>
      </c>
      <c r="G152" s="5" t="s">
        <v>3523</v>
      </c>
      <c r="H152" s="9">
        <v>45875.0</v>
      </c>
      <c r="I152" s="9">
        <v>45903.0</v>
      </c>
    </row>
    <row r="153" ht="22.5" customHeight="1">
      <c r="A153" s="5" t="s">
        <v>928</v>
      </c>
      <c r="C153" s="10" t="str">
        <f>IFERROR(__xludf.DUMMYFUNCTION("REGEXREPLACE(B153,""\D"","""")"),"")</f>
        <v/>
      </c>
      <c r="D153" s="13" t="s">
        <v>4964</v>
      </c>
      <c r="E153" s="5" t="s">
        <v>3525</v>
      </c>
      <c r="F153" s="5" t="str">
        <f t="shared" si="1"/>
        <v>olivia.miller@yahoo.com</v>
      </c>
      <c r="G153" s="5" t="s">
        <v>5040</v>
      </c>
      <c r="H153" s="9">
        <v>46251.0</v>
      </c>
      <c r="I153" s="9">
        <v>46253.0</v>
      </c>
    </row>
    <row r="154" ht="22.5" customHeight="1">
      <c r="A154" s="5" t="s">
        <v>931</v>
      </c>
      <c r="B154" s="14" t="s">
        <v>3526</v>
      </c>
      <c r="C154" s="5" t="str">
        <f>IFERROR(__xludf.DUMMYFUNCTION("REGEXREPLACE(B154,""\D"","""")"),"5823756699")</f>
        <v>5823756699</v>
      </c>
      <c r="D154" s="12">
        <v>5.823756699E9</v>
      </c>
      <c r="E154" s="5" t="s">
        <v>3527</v>
      </c>
      <c r="F154" s="5" t="str">
        <f t="shared" si="1"/>
        <v>pauline.richardson@gmail.com</v>
      </c>
      <c r="G154" s="5" t="s">
        <v>3527</v>
      </c>
      <c r="H154" s="9">
        <v>45802.0</v>
      </c>
      <c r="I154" s="9">
        <v>45814.0</v>
      </c>
    </row>
    <row r="155" ht="22.5" customHeight="1">
      <c r="A155" s="5" t="s">
        <v>934</v>
      </c>
      <c r="B155" s="5" t="s">
        <v>3528</v>
      </c>
      <c r="C155" s="5" t="str">
        <f>IFERROR(__xludf.DUMMYFUNCTION("REGEXREPLACE(B155,""\D"","""")"),"8889492653")</f>
        <v>8889492653</v>
      </c>
      <c r="D155" s="12">
        <v>8.889492653E9</v>
      </c>
      <c r="E155" s="5" t="s">
        <v>3529</v>
      </c>
      <c r="F155" s="5" t="str">
        <f t="shared" si="1"/>
        <v>grace.rodriguez@gmail.com</v>
      </c>
      <c r="G155" s="5" t="s">
        <v>3529</v>
      </c>
      <c r="H155" s="9">
        <v>45810.0</v>
      </c>
      <c r="I155" s="11"/>
    </row>
    <row r="156" ht="22.5" customHeight="1">
      <c r="A156" s="5" t="s">
        <v>936</v>
      </c>
      <c r="B156" s="5" t="s">
        <v>3531</v>
      </c>
      <c r="C156" s="5" t="str">
        <f>IFERROR(__xludf.DUMMYFUNCTION("REGEXREPLACE(B156,""\D"","""")"),"6424936082")</f>
        <v>6424936082</v>
      </c>
      <c r="D156" s="12">
        <v>6.424936082E9</v>
      </c>
      <c r="E156" s="5" t="s">
        <v>3532</v>
      </c>
      <c r="F156" s="5" t="str">
        <f t="shared" si="1"/>
        <v>sally.white@gmail.com</v>
      </c>
      <c r="G156" s="5" t="s">
        <v>3532</v>
      </c>
      <c r="H156" s="9">
        <v>45717.0</v>
      </c>
      <c r="I156" s="9">
        <v>45738.0</v>
      </c>
    </row>
    <row r="157" ht="22.5" customHeight="1">
      <c r="A157" s="5" t="s">
        <v>940</v>
      </c>
      <c r="B157" s="5" t="s">
        <v>3533</v>
      </c>
      <c r="C157" s="5" t="str">
        <f>IFERROR(__xludf.DUMMYFUNCTION("REGEXREPLACE(B157,""\D"","""")"),"9215493807")</f>
        <v>9215493807</v>
      </c>
      <c r="D157" s="12">
        <v>9.215493807E9</v>
      </c>
      <c r="E157" s="5" t="s">
        <v>3534</v>
      </c>
      <c r="F157" s="5" t="str">
        <f t="shared" si="1"/>
        <v>beatrice.smirnov@outlook.com</v>
      </c>
      <c r="G157" s="5" t="s">
        <v>3534</v>
      </c>
      <c r="H157" s="9">
        <v>46238.0</v>
      </c>
      <c r="I157" s="11"/>
    </row>
    <row r="158" ht="22.5" customHeight="1">
      <c r="A158" s="5" t="s">
        <v>943</v>
      </c>
      <c r="B158" s="5" t="s">
        <v>3536</v>
      </c>
      <c r="C158" s="5" t="str">
        <f>IFERROR(__xludf.DUMMYFUNCTION("REGEXREPLACE(B158,""\D"","""")"),"3187604461")</f>
        <v>3187604461</v>
      </c>
      <c r="D158" s="12">
        <v>3.187604461E9</v>
      </c>
      <c r="E158" s="5" t="s">
        <v>3537</v>
      </c>
      <c r="F158" s="5" t="str">
        <f t="shared" si="1"/>
        <v>hannah.baker@outlook.com</v>
      </c>
      <c r="G158" s="5" t="s">
        <v>3537</v>
      </c>
      <c r="H158" s="9">
        <v>46234.0</v>
      </c>
      <c r="I158" s="11"/>
    </row>
    <row r="159" ht="22.5" customHeight="1">
      <c r="A159" s="5" t="s">
        <v>947</v>
      </c>
      <c r="B159" s="14" t="s">
        <v>3539</v>
      </c>
      <c r="C159" s="5" t="str">
        <f>IFERROR(__xludf.DUMMYFUNCTION("REGEXREPLACE(B159,""\D"","""")"),"3464559682")</f>
        <v>3464559682</v>
      </c>
      <c r="D159" s="12">
        <v>3.464559682E9</v>
      </c>
      <c r="E159" s="5" t="s">
        <v>3540</v>
      </c>
      <c r="F159" s="5" t="str">
        <f t="shared" si="1"/>
        <v>michelle.williams@hotmail.com</v>
      </c>
      <c r="G159" s="5" t="s">
        <v>5041</v>
      </c>
      <c r="H159" s="9">
        <v>46246.0</v>
      </c>
      <c r="I159" s="9">
        <v>46252.0</v>
      </c>
    </row>
    <row r="160" ht="22.5" customHeight="1">
      <c r="A160" s="5" t="s">
        <v>950</v>
      </c>
      <c r="B160" s="14" t="s">
        <v>3542</v>
      </c>
      <c r="C160" s="5" t="str">
        <f>IFERROR(__xludf.DUMMYFUNCTION("REGEXREPLACE(B160,""\D"","""")"),"2493523603")</f>
        <v>2493523603</v>
      </c>
      <c r="D160" s="12">
        <v>2.493523603E9</v>
      </c>
      <c r="E160" s="5" t="s">
        <v>3543</v>
      </c>
      <c r="F160" s="5" t="str">
        <f t="shared" si="1"/>
        <v>john.smith@hotmail.com</v>
      </c>
      <c r="G160" s="5" t="s">
        <v>5042</v>
      </c>
      <c r="H160" s="9">
        <v>46046.0</v>
      </c>
      <c r="I160" s="11"/>
    </row>
    <row r="161" ht="22.5" customHeight="1">
      <c r="A161" s="5" t="s">
        <v>954</v>
      </c>
      <c r="B161" s="5" t="s">
        <v>3544</v>
      </c>
      <c r="C161" s="5" t="str">
        <f>IFERROR(__xludf.DUMMYFUNCTION("REGEXREPLACE(B161,""\D"","""")"),"2582715065")</f>
        <v>2582715065</v>
      </c>
      <c r="D161" s="12">
        <v>2.582715065E9</v>
      </c>
      <c r="E161" s="5" t="s">
        <v>3545</v>
      </c>
      <c r="F161" s="5" t="str">
        <f t="shared" si="1"/>
        <v>charlie.davidson@aol.com</v>
      </c>
      <c r="G161" s="5" t="s">
        <v>3545</v>
      </c>
      <c r="H161" s="9">
        <v>46001.0</v>
      </c>
      <c r="I161" s="9">
        <v>46006.0</v>
      </c>
    </row>
    <row r="162" ht="22.5" customHeight="1">
      <c r="A162" s="5" t="s">
        <v>957</v>
      </c>
      <c r="B162" s="5" t="s">
        <v>3547</v>
      </c>
      <c r="C162" s="5" t="str">
        <f>IFERROR(__xludf.DUMMYFUNCTION("REGEXREPLACE(B162,""\D"","""")"),"2669301523")</f>
        <v>2669301523</v>
      </c>
      <c r="D162" s="12">
        <v>2.669301523E9</v>
      </c>
      <c r="E162" s="5" t="s">
        <v>3548</v>
      </c>
      <c r="F162" s="5" t="str">
        <f t="shared" si="1"/>
        <v>greg.glover@yahoo.com</v>
      </c>
      <c r="G162" s="5" t="s">
        <v>3548</v>
      </c>
      <c r="H162" s="9">
        <v>45777.0</v>
      </c>
      <c r="I162" s="11"/>
    </row>
    <row r="163" ht="22.5" customHeight="1">
      <c r="A163" s="5" t="s">
        <v>962</v>
      </c>
      <c r="B163" s="5" t="s">
        <v>3549</v>
      </c>
      <c r="C163" s="5" t="str">
        <f>IFERROR(__xludf.DUMMYFUNCTION("REGEXREPLACE(B163,""\D"","""")"),"8285862655")</f>
        <v>8285862655</v>
      </c>
      <c r="D163" s="12">
        <v>8.285862655E9</v>
      </c>
      <c r="F163" s="10" t="str">
        <f t="shared" si="1"/>
        <v/>
      </c>
      <c r="G163" s="10" t="s">
        <v>4964</v>
      </c>
      <c r="H163" s="9">
        <v>46106.0</v>
      </c>
      <c r="I163" s="9">
        <v>46109.0</v>
      </c>
    </row>
    <row r="164" ht="22.5" customHeight="1">
      <c r="A164" s="5" t="s">
        <v>965</v>
      </c>
      <c r="B164" s="5" t="s">
        <v>3551</v>
      </c>
      <c r="C164" s="5" t="str">
        <f>IFERROR(__xludf.DUMMYFUNCTION("REGEXREPLACE(B164,""\D"","""")"),"8566893874")</f>
        <v>8566893874</v>
      </c>
      <c r="D164" s="12">
        <v>8.566893874E9</v>
      </c>
      <c r="E164" s="5" t="s">
        <v>3552</v>
      </c>
      <c r="F164" s="5" t="str">
        <f t="shared" si="1"/>
        <v>frank.johnson@hotmail.com</v>
      </c>
      <c r="G164" s="5" t="s">
        <v>3552</v>
      </c>
      <c r="H164" s="9">
        <v>46043.0</v>
      </c>
      <c r="I164" s="9">
        <v>46071.0</v>
      </c>
    </row>
    <row r="165" ht="22.5" customHeight="1">
      <c r="A165" s="5" t="s">
        <v>969</v>
      </c>
      <c r="C165" s="10" t="str">
        <f>IFERROR(__xludf.DUMMYFUNCTION("REGEXREPLACE(B165,""\D"","""")"),"")</f>
        <v/>
      </c>
      <c r="D165" s="13" t="s">
        <v>4964</v>
      </c>
      <c r="F165" s="10" t="str">
        <f t="shared" si="1"/>
        <v/>
      </c>
      <c r="G165" s="10" t="s">
        <v>4964</v>
      </c>
      <c r="H165" s="9">
        <v>46006.0</v>
      </c>
      <c r="I165" s="11"/>
    </row>
    <row r="166" ht="22.5" customHeight="1">
      <c r="A166" s="5" t="s">
        <v>975</v>
      </c>
      <c r="B166" s="5" t="s">
        <v>3553</v>
      </c>
      <c r="C166" s="5" t="str">
        <f>IFERROR(__xludf.DUMMYFUNCTION("REGEXREPLACE(B166,""\D"","""")"),"4267372131")</f>
        <v>4267372131</v>
      </c>
      <c r="D166" s="12">
        <v>4.267372131E9</v>
      </c>
      <c r="E166" s="5" t="s">
        <v>3554</v>
      </c>
      <c r="F166" s="5" t="str">
        <f t="shared" si="1"/>
        <v>jane.garcia@aol.com</v>
      </c>
      <c r="G166" s="5" t="s">
        <v>3554</v>
      </c>
      <c r="H166" s="9">
        <v>45810.0</v>
      </c>
      <c r="I166" s="9">
        <v>45832.0</v>
      </c>
    </row>
    <row r="167" ht="22.5" customHeight="1">
      <c r="A167" s="5" t="s">
        <v>979</v>
      </c>
      <c r="B167" s="5" t="s">
        <v>3556</v>
      </c>
      <c r="C167" s="5" t="str">
        <f>IFERROR(__xludf.DUMMYFUNCTION("REGEXREPLACE(B167,""\D"","""")"),"3547247783")</f>
        <v>3547247783</v>
      </c>
      <c r="D167" s="12">
        <v>3.547247783E9</v>
      </c>
      <c r="E167" s="5" t="s">
        <v>3557</v>
      </c>
      <c r="F167" s="5" t="str">
        <f t="shared" si="1"/>
        <v>hannah.williams@outlook.com</v>
      </c>
      <c r="G167" s="5" t="s">
        <v>5043</v>
      </c>
      <c r="H167" s="9">
        <v>46153.0</v>
      </c>
      <c r="I167" s="11"/>
    </row>
    <row r="168" ht="22.5" customHeight="1">
      <c r="A168" s="5" t="s">
        <v>982</v>
      </c>
      <c r="B168" s="5" t="s">
        <v>3558</v>
      </c>
      <c r="C168" s="5" t="str">
        <f>IFERROR(__xludf.DUMMYFUNCTION("REGEXREPLACE(B168,""\D"","""")"),"7196855443")</f>
        <v>7196855443</v>
      </c>
      <c r="D168" s="12">
        <v>7.196855443E9</v>
      </c>
      <c r="E168" s="5" t="s">
        <v>3559</v>
      </c>
      <c r="F168" s="5" t="str">
        <f t="shared" si="1"/>
        <v>thomas.wu@outlook.com</v>
      </c>
      <c r="G168" s="5" t="s">
        <v>5044</v>
      </c>
      <c r="H168" s="9">
        <v>45930.0</v>
      </c>
      <c r="I168" s="9">
        <v>45930.0</v>
      </c>
    </row>
    <row r="169" ht="22.5" customHeight="1">
      <c r="A169" s="5" t="s">
        <v>986</v>
      </c>
      <c r="B169" s="5" t="s">
        <v>3561</v>
      </c>
      <c r="C169" s="5" t="str">
        <f>IFERROR(__xludf.DUMMYFUNCTION("REGEXREPLACE(B169,""\D"","""")"),"4402031114")</f>
        <v>4402031114</v>
      </c>
      <c r="D169" s="12">
        <v>4.402031114E9</v>
      </c>
      <c r="E169" s="5" t="s">
        <v>3562</v>
      </c>
      <c r="F169" s="5" t="str">
        <f t="shared" si="1"/>
        <v>jane.rodriguez@outlook.com</v>
      </c>
      <c r="G169" s="5" t="s">
        <v>5045</v>
      </c>
      <c r="H169" s="9">
        <v>45970.0</v>
      </c>
      <c r="I169" s="11"/>
    </row>
    <row r="170" ht="22.5" customHeight="1">
      <c r="A170" s="5" t="s">
        <v>989</v>
      </c>
      <c r="B170" s="14" t="s">
        <v>3564</v>
      </c>
      <c r="C170" s="5" t="str">
        <f>IFERROR(__xludf.DUMMYFUNCTION("REGEXREPLACE(B170,""\D"","""")"),"5145543835")</f>
        <v>5145543835</v>
      </c>
      <c r="D170" s="12">
        <v>5.145543835E9</v>
      </c>
      <c r="E170" s="5" t="s">
        <v>3565</v>
      </c>
      <c r="F170" s="5" t="str">
        <f t="shared" si="1"/>
        <v>john.jones@hotmail.com</v>
      </c>
      <c r="G170" s="5" t="s">
        <v>3565</v>
      </c>
      <c r="H170" s="9">
        <v>45850.0</v>
      </c>
      <c r="I170" s="9">
        <v>45857.0</v>
      </c>
    </row>
    <row r="171" ht="22.5" customHeight="1">
      <c r="A171" s="5" t="s">
        <v>992</v>
      </c>
      <c r="B171" s="14" t="s">
        <v>3567</v>
      </c>
      <c r="C171" s="5" t="str">
        <f>IFERROR(__xludf.DUMMYFUNCTION("REGEXREPLACE(B171,""\D"","""")"),"9105034050")</f>
        <v>9105034050</v>
      </c>
      <c r="D171" s="12">
        <v>9.10503405E9</v>
      </c>
      <c r="E171" s="5" t="s">
        <v>3568</v>
      </c>
      <c r="F171" s="5" t="str">
        <f t="shared" si="1"/>
        <v>alice.kim@gmail.com</v>
      </c>
      <c r="G171" s="5" t="s">
        <v>3568</v>
      </c>
      <c r="H171" s="9">
        <v>45730.0</v>
      </c>
      <c r="I171" s="11"/>
    </row>
    <row r="172" ht="22.5" customHeight="1">
      <c r="A172" s="5" t="s">
        <v>995</v>
      </c>
      <c r="B172" s="5" t="s">
        <v>3570</v>
      </c>
      <c r="C172" s="5" t="str">
        <f>IFERROR(__xludf.DUMMYFUNCTION("REGEXREPLACE(B172,""\D"","""")"),"7632926134")</f>
        <v>7632926134</v>
      </c>
      <c r="D172" s="12">
        <v>7.632926134E9</v>
      </c>
      <c r="E172" s="5" t="s">
        <v>3571</v>
      </c>
      <c r="F172" s="5" t="str">
        <f t="shared" si="1"/>
        <v>ryan.bush@outlook.com</v>
      </c>
      <c r="G172" s="5" t="s">
        <v>5046</v>
      </c>
      <c r="H172" s="9">
        <v>45723.0</v>
      </c>
      <c r="I172" s="11"/>
    </row>
    <row r="173" ht="22.5" customHeight="1">
      <c r="A173" s="5" t="s">
        <v>998</v>
      </c>
      <c r="B173" s="5" t="s">
        <v>3572</v>
      </c>
      <c r="C173" s="5" t="str">
        <f>IFERROR(__xludf.DUMMYFUNCTION("REGEXREPLACE(B173,""\D"","""")"),"7446508605")</f>
        <v>7446508605</v>
      </c>
      <c r="D173" s="12">
        <v>7.446508605E9</v>
      </c>
      <c r="E173" s="5" t="s">
        <v>3573</v>
      </c>
      <c r="F173" s="5" t="str">
        <f t="shared" si="1"/>
        <v>donald.glover@hotmail.com</v>
      </c>
      <c r="G173" s="5" t="s">
        <v>5047</v>
      </c>
      <c r="H173" s="9">
        <v>46196.0</v>
      </c>
      <c r="I173" s="11"/>
    </row>
    <row r="174" ht="22.5" customHeight="1">
      <c r="A174" s="5" t="s">
        <v>1002</v>
      </c>
      <c r="B174" s="14" t="s">
        <v>3575</v>
      </c>
      <c r="C174" s="5" t="str">
        <f>IFERROR(__xludf.DUMMYFUNCTION("REGEXREPLACE(B174,""\D"","""")"),"2216042304")</f>
        <v>2216042304</v>
      </c>
      <c r="D174" s="12">
        <v>2.216042304E9</v>
      </c>
      <c r="E174" s="5" t="s">
        <v>3576</v>
      </c>
      <c r="F174" s="5" t="str">
        <f t="shared" si="1"/>
        <v>eva.davis@outlook.com</v>
      </c>
      <c r="G174" s="5" t="s">
        <v>5048</v>
      </c>
      <c r="H174" s="9">
        <v>45975.0</v>
      </c>
      <c r="I174" s="11"/>
    </row>
    <row r="175" ht="22.5" customHeight="1">
      <c r="A175" s="5" t="s">
        <v>1003</v>
      </c>
      <c r="B175" s="5" t="s">
        <v>3578</v>
      </c>
      <c r="C175" s="5" t="str">
        <f>IFERROR(__xludf.DUMMYFUNCTION("REGEXREPLACE(B175,""\D"","""")"),"6513495330")</f>
        <v>6513495330</v>
      </c>
      <c r="D175" s="12">
        <v>6.51349533E9</v>
      </c>
      <c r="E175" s="5" t="s">
        <v>3579</v>
      </c>
      <c r="F175" s="5" t="str">
        <f t="shared" si="1"/>
        <v>tom.cooper@outlook.com</v>
      </c>
      <c r="G175" s="5" t="s">
        <v>5049</v>
      </c>
      <c r="H175" s="9">
        <v>45997.0</v>
      </c>
      <c r="I175" s="11"/>
    </row>
    <row r="176" ht="22.5" customHeight="1">
      <c r="A176" s="5" t="s">
        <v>1006</v>
      </c>
      <c r="B176" s="5" t="s">
        <v>3581</v>
      </c>
      <c r="C176" s="5" t="str">
        <f>IFERROR(__xludf.DUMMYFUNCTION("REGEXREPLACE(B176,""\D"","""")"),"6808439444")</f>
        <v>6808439444</v>
      </c>
      <c r="D176" s="12">
        <v>6.808439444E9</v>
      </c>
      <c r="E176" s="5" t="s">
        <v>3582</v>
      </c>
      <c r="F176" s="5" t="str">
        <f t="shared" si="1"/>
        <v>charlie.little@yahoo.com</v>
      </c>
      <c r="G176" s="5" t="s">
        <v>5050</v>
      </c>
      <c r="H176" s="9">
        <v>46060.0</v>
      </c>
      <c r="I176" s="9">
        <v>46072.0</v>
      </c>
    </row>
    <row r="177" ht="22.5" customHeight="1">
      <c r="A177" s="5" t="s">
        <v>1010</v>
      </c>
      <c r="B177" s="5" t="s">
        <v>3583</v>
      </c>
      <c r="C177" s="5" t="str">
        <f>IFERROR(__xludf.DUMMYFUNCTION("REGEXREPLACE(B177,""\D"","""")"),"6292557829")</f>
        <v>6292557829</v>
      </c>
      <c r="D177" s="12">
        <v>6.292557829E9</v>
      </c>
      <c r="E177" s="5" t="s">
        <v>3584</v>
      </c>
      <c r="F177" s="5" t="str">
        <f t="shared" si="1"/>
        <v>john.brown@hotmail.com</v>
      </c>
      <c r="G177" s="5" t="s">
        <v>5051</v>
      </c>
      <c r="H177" s="9">
        <v>45755.0</v>
      </c>
      <c r="I177" s="11"/>
    </row>
    <row r="178" ht="22.5" customHeight="1">
      <c r="A178" s="5" t="s">
        <v>1012</v>
      </c>
      <c r="B178" s="5" t="s">
        <v>3585</v>
      </c>
      <c r="C178" s="5" t="str">
        <f>IFERROR(__xludf.DUMMYFUNCTION("REGEXREPLACE(B178,""\D"","""")"),"8399529338")</f>
        <v>8399529338</v>
      </c>
      <c r="D178" s="12">
        <v>8.399529338E9</v>
      </c>
      <c r="E178" s="5" t="s">
        <v>3586</v>
      </c>
      <c r="F178" s="5" t="str">
        <f t="shared" si="1"/>
        <v>grace.perez@yahoo.com</v>
      </c>
      <c r="G178" s="5" t="s">
        <v>5052</v>
      </c>
      <c r="H178" s="9">
        <v>46118.0</v>
      </c>
      <c r="I178" s="9">
        <v>46134.0</v>
      </c>
    </row>
    <row r="179" ht="22.5" customHeight="1">
      <c r="A179" s="5" t="s">
        <v>1016</v>
      </c>
      <c r="B179" s="5" t="s">
        <v>3588</v>
      </c>
      <c r="C179" s="5" t="str">
        <f>IFERROR(__xludf.DUMMYFUNCTION("REGEXREPLACE(B179,""\D"","""")"),"4844631719")</f>
        <v>4844631719</v>
      </c>
      <c r="D179" s="12">
        <v>4.844631719E9</v>
      </c>
      <c r="E179" s="5" t="s">
        <v>3589</v>
      </c>
      <c r="F179" s="5" t="str">
        <f t="shared" si="1"/>
        <v>jane.young@outlook.com</v>
      </c>
      <c r="G179" s="5" t="s">
        <v>5053</v>
      </c>
      <c r="H179" s="9">
        <v>46133.0</v>
      </c>
      <c r="I179" s="11"/>
    </row>
    <row r="180" ht="22.5" customHeight="1">
      <c r="A180" s="5" t="s">
        <v>1019</v>
      </c>
      <c r="B180" s="5" t="s">
        <v>3591</v>
      </c>
      <c r="C180" s="5" t="str">
        <f>IFERROR(__xludf.DUMMYFUNCTION("REGEXREPLACE(B180,""\D"","""")"),"4968469657")</f>
        <v>4968469657</v>
      </c>
      <c r="D180" s="12">
        <v>4.968469657E9</v>
      </c>
      <c r="E180" s="5" t="s">
        <v>3592</v>
      </c>
      <c r="F180" s="5" t="str">
        <f t="shared" si="1"/>
        <v>miles.wu@hotmail.com</v>
      </c>
      <c r="G180" s="5" t="s">
        <v>3592</v>
      </c>
      <c r="H180" s="9">
        <v>46006.0</v>
      </c>
      <c r="I180" s="9">
        <v>46023.0</v>
      </c>
    </row>
    <row r="181" ht="22.5" customHeight="1">
      <c r="A181" s="5" t="s">
        <v>1023</v>
      </c>
      <c r="B181" s="5" t="s">
        <v>3594</v>
      </c>
      <c r="C181" s="5" t="str">
        <f>IFERROR(__xludf.DUMMYFUNCTION("REGEXREPLACE(B181,""\D"","""")"),"3665175547")</f>
        <v>3665175547</v>
      </c>
      <c r="D181" s="12">
        <v>3.665175547E9</v>
      </c>
      <c r="E181" s="5" t="s">
        <v>3595</v>
      </c>
      <c r="F181" s="5" t="str">
        <f t="shared" si="1"/>
        <v>christopher.smith@hotmail.com</v>
      </c>
      <c r="G181" s="5" t="s">
        <v>5054</v>
      </c>
      <c r="H181" s="9">
        <v>46240.0</v>
      </c>
      <c r="I181" s="9">
        <v>46253.0</v>
      </c>
    </row>
    <row r="182" ht="22.5" customHeight="1">
      <c r="A182" s="5" t="s">
        <v>1029</v>
      </c>
      <c r="B182" s="5" t="s">
        <v>3596</v>
      </c>
      <c r="C182" s="5" t="str">
        <f>IFERROR(__xludf.DUMMYFUNCTION("REGEXREPLACE(B182,""\D"","""")"),"6615155435")</f>
        <v>6615155435</v>
      </c>
      <c r="D182" s="12">
        <v>6.615155435E9</v>
      </c>
      <c r="E182" s="5" t="s">
        <v>3597</v>
      </c>
      <c r="F182" s="5" t="str">
        <f t="shared" si="1"/>
        <v>david.doe@yahoo.com</v>
      </c>
      <c r="G182" s="5" t="s">
        <v>3597</v>
      </c>
      <c r="H182" s="9">
        <v>46244.0</v>
      </c>
      <c r="I182" s="9">
        <v>46253.0</v>
      </c>
    </row>
    <row r="183" ht="22.5" customHeight="1">
      <c r="A183" s="5" t="s">
        <v>1031</v>
      </c>
      <c r="B183" s="5" t="s">
        <v>3598</v>
      </c>
      <c r="C183" s="5" t="str">
        <f>IFERROR(__xludf.DUMMYFUNCTION("REGEXREPLACE(B183,""\D"","""")"),"7797412933")</f>
        <v>7797412933</v>
      </c>
      <c r="D183" s="12">
        <v>7.797412933E9</v>
      </c>
      <c r="E183" s="5" t="s">
        <v>3599</v>
      </c>
      <c r="F183" s="5" t="str">
        <f t="shared" si="1"/>
        <v>thomas.jackson@hotmail.com</v>
      </c>
      <c r="G183" s="5" t="s">
        <v>5055</v>
      </c>
      <c r="H183" s="9">
        <v>45931.0</v>
      </c>
      <c r="I183" s="9">
        <v>45951.0</v>
      </c>
    </row>
    <row r="184" ht="22.5" customHeight="1">
      <c r="A184" s="5" t="s">
        <v>1034</v>
      </c>
      <c r="B184" s="5" t="s">
        <v>3601</v>
      </c>
      <c r="C184" s="5" t="str">
        <f>IFERROR(__xludf.DUMMYFUNCTION("REGEXREPLACE(B184,""\D"","""")"),"6848716925")</f>
        <v>6848716925</v>
      </c>
      <c r="D184" s="12">
        <v>6.848716925E9</v>
      </c>
      <c r="E184" s="5" t="s">
        <v>3602</v>
      </c>
      <c r="F184" s="5" t="str">
        <f t="shared" si="1"/>
        <v>frank.wales@hotmail.com</v>
      </c>
      <c r="G184" s="5" t="s">
        <v>3602</v>
      </c>
      <c r="H184" s="9">
        <v>46109.0</v>
      </c>
      <c r="I184" s="9">
        <v>46136.0</v>
      </c>
    </row>
    <row r="185" ht="22.5" customHeight="1">
      <c r="A185" s="5" t="s">
        <v>1038</v>
      </c>
      <c r="B185" s="5" t="s">
        <v>3604</v>
      </c>
      <c r="C185" s="5" t="str">
        <f>IFERROR(__xludf.DUMMYFUNCTION("REGEXREPLACE(B185,""\D"","""")"),"5928334206")</f>
        <v>5928334206</v>
      </c>
      <c r="D185" s="12">
        <v>5.928334206E9</v>
      </c>
      <c r="E185" s="5" t="s">
        <v>3605</v>
      </c>
      <c r="F185" s="5" t="str">
        <f t="shared" si="1"/>
        <v>daniel.glover@hotmail.com</v>
      </c>
      <c r="G185" s="5" t="s">
        <v>5056</v>
      </c>
      <c r="H185" s="9">
        <v>45879.0</v>
      </c>
      <c r="I185" s="9">
        <v>45888.0</v>
      </c>
    </row>
    <row r="186" ht="22.5" customHeight="1">
      <c r="A186" s="5" t="s">
        <v>1043</v>
      </c>
      <c r="B186" s="5" t="s">
        <v>3608</v>
      </c>
      <c r="C186" s="5" t="str">
        <f>IFERROR(__xludf.DUMMYFUNCTION("REGEXREPLACE(B186,""\D"","""")"),"9788145554")</f>
        <v>9788145554</v>
      </c>
      <c r="D186" s="12">
        <v>9.788145554E9</v>
      </c>
      <c r="E186" s="5" t="s">
        <v>3609</v>
      </c>
      <c r="F186" s="5" t="str">
        <f t="shared" si="1"/>
        <v>hannah.jones@gmail.com</v>
      </c>
      <c r="G186" s="5" t="s">
        <v>5057</v>
      </c>
      <c r="H186" s="9">
        <v>46112.0</v>
      </c>
      <c r="I186" s="9">
        <v>46134.0</v>
      </c>
    </row>
    <row r="187" ht="22.5" customHeight="1">
      <c r="A187" s="5" t="s">
        <v>1047</v>
      </c>
      <c r="B187" s="5" t="s">
        <v>3610</v>
      </c>
      <c r="C187" s="5" t="str">
        <f>IFERROR(__xludf.DUMMYFUNCTION("REGEXREPLACE(B187,""\D"","""")"),"3165542890")</f>
        <v>3165542890</v>
      </c>
      <c r="D187" s="12">
        <v>3.16554289E9</v>
      </c>
      <c r="E187" s="5" t="s">
        <v>3611</v>
      </c>
      <c r="F187" s="5" t="str">
        <f t="shared" si="1"/>
        <v>robert.bush@outlook.com</v>
      </c>
      <c r="G187" s="5" t="s">
        <v>5058</v>
      </c>
      <c r="H187" s="11"/>
      <c r="I187" s="11"/>
    </row>
    <row r="188" ht="22.5" customHeight="1">
      <c r="A188" s="5" t="s">
        <v>1051</v>
      </c>
      <c r="B188" s="5" t="s">
        <v>3612</v>
      </c>
      <c r="C188" s="5" t="str">
        <f>IFERROR(__xludf.DUMMYFUNCTION("REGEXREPLACE(B188,""\D"","""")"),"7797065868")</f>
        <v>7797065868</v>
      </c>
      <c r="D188" s="12">
        <v>7.797065868E9</v>
      </c>
      <c r="E188" s="5" t="s">
        <v>3613</v>
      </c>
      <c r="F188" s="5" t="str">
        <f t="shared" si="1"/>
        <v>nancy.perez@gmail.com</v>
      </c>
      <c r="G188" s="5" t="s">
        <v>5059</v>
      </c>
      <c r="H188" s="9">
        <v>46086.0</v>
      </c>
      <c r="I188" s="9">
        <v>46095.0</v>
      </c>
    </row>
    <row r="189" ht="22.5" customHeight="1">
      <c r="A189" s="5" t="s">
        <v>1054</v>
      </c>
      <c r="B189" s="14" t="s">
        <v>3615</v>
      </c>
      <c r="C189" s="5" t="str">
        <f>IFERROR(__xludf.DUMMYFUNCTION("REGEXREPLACE(B189,""\D"","""")"),"5736366337")</f>
        <v>5736366337</v>
      </c>
      <c r="D189" s="12">
        <v>5.736366337E9</v>
      </c>
      <c r="E189" s="5" t="s">
        <v>3616</v>
      </c>
      <c r="F189" s="5" t="str">
        <f t="shared" si="1"/>
        <v>jane.glover@gmail.com</v>
      </c>
      <c r="G189" s="5" t="s">
        <v>5060</v>
      </c>
      <c r="H189" s="9">
        <v>46074.0</v>
      </c>
      <c r="I189" s="11"/>
    </row>
    <row r="190" ht="22.5" customHeight="1">
      <c r="A190" s="5" t="s">
        <v>1056</v>
      </c>
      <c r="C190" s="10" t="str">
        <f>IFERROR(__xludf.DUMMYFUNCTION("REGEXREPLACE(B190,""\D"","""")"),"")</f>
        <v/>
      </c>
      <c r="D190" s="13" t="s">
        <v>4964</v>
      </c>
      <c r="E190" s="5" t="s">
        <v>3618</v>
      </c>
      <c r="F190" s="5" t="str">
        <f t="shared" si="1"/>
        <v>bob.richardson@gmail.com</v>
      </c>
      <c r="G190" s="5" t="s">
        <v>5061</v>
      </c>
      <c r="H190" s="9">
        <v>46029.0</v>
      </c>
      <c r="I190" s="11"/>
    </row>
    <row r="191" ht="22.5" customHeight="1">
      <c r="A191" s="5" t="s">
        <v>1059</v>
      </c>
      <c r="B191" s="5" t="s">
        <v>3619</v>
      </c>
      <c r="C191" s="5" t="str">
        <f>IFERROR(__xludf.DUMMYFUNCTION("REGEXREPLACE(B191,""\D"","""")"),"2708733489")</f>
        <v>2708733489</v>
      </c>
      <c r="D191" s="12">
        <v>2.708733489E9</v>
      </c>
      <c r="E191" s="5" t="s">
        <v>3620</v>
      </c>
      <c r="F191" s="5" t="str">
        <f t="shared" si="1"/>
        <v>tom.ng@aol.com</v>
      </c>
      <c r="G191" s="5" t="s">
        <v>3620</v>
      </c>
      <c r="H191" s="9">
        <v>45759.0</v>
      </c>
      <c r="I191" s="9">
        <v>45768.0</v>
      </c>
    </row>
    <row r="192" ht="22.5" customHeight="1">
      <c r="A192" s="5" t="s">
        <v>1063</v>
      </c>
      <c r="B192" s="14" t="s">
        <v>3621</v>
      </c>
      <c r="C192" s="5" t="str">
        <f>IFERROR(__xludf.DUMMYFUNCTION("REGEXREPLACE(B192,""\D"","""")"),"9025523691")</f>
        <v>9025523691</v>
      </c>
      <c r="D192" s="12">
        <v>9.025523691E9</v>
      </c>
      <c r="F192" s="10" t="str">
        <f t="shared" si="1"/>
        <v/>
      </c>
      <c r="G192" s="10" t="s">
        <v>4964</v>
      </c>
      <c r="H192" s="9">
        <v>45726.0</v>
      </c>
      <c r="I192" s="9">
        <v>45751.0</v>
      </c>
    </row>
    <row r="193" ht="22.5" customHeight="1">
      <c r="A193" s="5" t="s">
        <v>1066</v>
      </c>
      <c r="B193" s="5" t="s">
        <v>3624</v>
      </c>
      <c r="C193" s="5" t="str">
        <f>IFERROR(__xludf.DUMMYFUNCTION("REGEXREPLACE(B193,""\D"","""")"),"5435595813")</f>
        <v>5435595813</v>
      </c>
      <c r="D193" s="12">
        <v>5.435595813E9</v>
      </c>
      <c r="E193" s="5" t="s">
        <v>3625</v>
      </c>
      <c r="F193" s="5" t="str">
        <f t="shared" si="1"/>
        <v>eva.chang@gmail.com</v>
      </c>
      <c r="G193" s="5" t="s">
        <v>5062</v>
      </c>
      <c r="H193" s="9">
        <v>45975.0</v>
      </c>
      <c r="I193" s="9">
        <v>45987.0</v>
      </c>
    </row>
    <row r="194" ht="22.5" customHeight="1">
      <c r="A194" s="5" t="s">
        <v>1068</v>
      </c>
      <c r="B194" s="5" t="s">
        <v>3627</v>
      </c>
      <c r="C194" s="5" t="str">
        <f>IFERROR(__xludf.DUMMYFUNCTION("REGEXREPLACE(B194,""\D"","""")"),"9909205238")</f>
        <v>9909205238</v>
      </c>
      <c r="D194" s="12">
        <v>9.909205238E9</v>
      </c>
      <c r="E194" s="5" t="s">
        <v>3628</v>
      </c>
      <c r="F194" s="5" t="str">
        <f t="shared" si="1"/>
        <v>bob_.jiang@gmail.com</v>
      </c>
      <c r="G194" s="5" t="s">
        <v>5063</v>
      </c>
      <c r="H194" s="9">
        <v>46011.0</v>
      </c>
      <c r="I194" s="9">
        <v>46034.0</v>
      </c>
    </row>
    <row r="195" ht="22.5" customHeight="1">
      <c r="A195" s="5" t="s">
        <v>1072</v>
      </c>
      <c r="B195" s="5" t="s">
        <v>3629</v>
      </c>
      <c r="C195" s="5" t="str">
        <f>IFERROR(__xludf.DUMMYFUNCTION("REGEXREPLACE(B195,""\D"","""")"),"2993868807")</f>
        <v>2993868807</v>
      </c>
      <c r="D195" s="12">
        <v>2.993868807E9</v>
      </c>
      <c r="E195" s="5" t="s">
        <v>3630</v>
      </c>
      <c r="F195" s="5" t="str">
        <f t="shared" si="1"/>
        <v>xavier.doe@hotmail.com</v>
      </c>
      <c r="G195" s="5" t="s">
        <v>3630</v>
      </c>
      <c r="H195" s="9">
        <v>46078.0</v>
      </c>
      <c r="I195" s="11"/>
    </row>
    <row r="196" ht="22.5" customHeight="1">
      <c r="A196" s="5" t="s">
        <v>1076</v>
      </c>
      <c r="B196" s="5" t="s">
        <v>3632</v>
      </c>
      <c r="C196" s="5" t="str">
        <f>IFERROR(__xludf.DUMMYFUNCTION("REGEXREPLACE(B196,""\D"","""")"),"8362237552")</f>
        <v>8362237552</v>
      </c>
      <c r="D196" s="12">
        <v>8.362237552E9</v>
      </c>
      <c r="E196" s="5" t="s">
        <v>3633</v>
      </c>
      <c r="F196" s="5" t="str">
        <f t="shared" si="1"/>
        <v>daniel.wales@outlook.com</v>
      </c>
      <c r="G196" s="5" t="s">
        <v>5064</v>
      </c>
      <c r="H196" s="9">
        <v>45867.0</v>
      </c>
      <c r="I196" s="9">
        <v>45872.0</v>
      </c>
    </row>
    <row r="197" ht="22.5" customHeight="1">
      <c r="A197" s="5" t="s">
        <v>1080</v>
      </c>
      <c r="B197" s="5" t="s">
        <v>3634</v>
      </c>
      <c r="C197" s="5" t="str">
        <f>IFERROR(__xludf.DUMMYFUNCTION("REGEXREPLACE(B197,""\D"","""")"),"3308055292")</f>
        <v>3308055292</v>
      </c>
      <c r="D197" s="12">
        <v>3.308055292E9</v>
      </c>
      <c r="E197" s="5" t="s">
        <v>3635</v>
      </c>
      <c r="F197" s="5" t="str">
        <f t="shared" si="1"/>
        <v>grace.ferguson@outlook.com</v>
      </c>
      <c r="G197" s="5" t="s">
        <v>5065</v>
      </c>
      <c r="H197" s="9">
        <v>45947.0</v>
      </c>
      <c r="I197" s="9">
        <v>45962.0</v>
      </c>
    </row>
    <row r="198" ht="22.5" customHeight="1">
      <c r="A198" s="5" t="s">
        <v>1084</v>
      </c>
      <c r="B198" s="14" t="s">
        <v>3636</v>
      </c>
      <c r="C198" s="5" t="str">
        <f>IFERROR(__xludf.DUMMYFUNCTION("REGEXREPLACE(B198,""\D"","""")"),"3056487435")</f>
        <v>3056487435</v>
      </c>
      <c r="D198" s="12">
        <v>3.056487435E9</v>
      </c>
      <c r="E198" s="5" t="s">
        <v>3637</v>
      </c>
      <c r="F198" s="5" t="str">
        <f t="shared" si="1"/>
        <v>miles.williams@gmail.com</v>
      </c>
      <c r="G198" s="5" t="s">
        <v>5066</v>
      </c>
      <c r="H198" s="9">
        <v>46238.0</v>
      </c>
      <c r="I198" s="11"/>
    </row>
    <row r="199" ht="22.5" customHeight="1">
      <c r="A199" s="5" t="s">
        <v>1087</v>
      </c>
      <c r="B199" s="5" t="s">
        <v>3638</v>
      </c>
      <c r="C199" s="5" t="str">
        <f>IFERROR(__xludf.DUMMYFUNCTION("REGEXREPLACE(B199,""\D"","""")"),"2933123081")</f>
        <v>2933123081</v>
      </c>
      <c r="D199" s="12">
        <v>2.933123081E9</v>
      </c>
      <c r="E199" s="5" t="s">
        <v>3639</v>
      </c>
      <c r="F199" s="5" t="str">
        <f t="shared" si="1"/>
        <v>christopher.cooper@aol.com</v>
      </c>
      <c r="G199" s="5" t="s">
        <v>5067</v>
      </c>
      <c r="H199" s="11"/>
      <c r="I199" s="11"/>
    </row>
    <row r="200" ht="22.5" customHeight="1">
      <c r="A200" s="5" t="s">
        <v>1090</v>
      </c>
      <c r="C200" s="10" t="str">
        <f>IFERROR(__xludf.DUMMYFUNCTION("REGEXREPLACE(B200,""\D"","""")"),"")</f>
        <v/>
      </c>
      <c r="D200" s="13" t="s">
        <v>4964</v>
      </c>
      <c r="E200" s="5" t="s">
        <v>3640</v>
      </c>
      <c r="F200" s="5" t="str">
        <f t="shared" si="1"/>
        <v>david/.wu@outlook.com</v>
      </c>
      <c r="G200" s="5" t="s">
        <v>5068</v>
      </c>
      <c r="H200" s="9">
        <v>45756.0</v>
      </c>
      <c r="I200" s="9">
        <v>45777.0</v>
      </c>
    </row>
    <row r="201" ht="22.5" customHeight="1">
      <c r="A201" s="5" t="s">
        <v>1095</v>
      </c>
      <c r="B201" s="5" t="s">
        <v>3641</v>
      </c>
      <c r="C201" s="5" t="str">
        <f>IFERROR(__xludf.DUMMYFUNCTION("REGEXREPLACE(B201,""\D"","""")"),"3218352367")</f>
        <v>3218352367</v>
      </c>
      <c r="D201" s="12">
        <v>3.218352367E9</v>
      </c>
      <c r="E201" s="5" t="s">
        <v>3642</v>
      </c>
      <c r="F201" s="5" t="str">
        <f t="shared" si="1"/>
        <v>thomas.johnson@hotmail.com</v>
      </c>
      <c r="G201" s="5" t="s">
        <v>5069</v>
      </c>
      <c r="H201" s="9">
        <v>45904.0</v>
      </c>
      <c r="I201" s="9">
        <v>45924.0</v>
      </c>
    </row>
    <row r="202" ht="22.5" customHeight="1">
      <c r="A202" s="5" t="s">
        <v>1099</v>
      </c>
      <c r="B202" s="5" t="s">
        <v>3645</v>
      </c>
      <c r="C202" s="5" t="str">
        <f>IFERROR(__xludf.DUMMYFUNCTION("REGEXREPLACE(B202,""\D"","""")"),"4629062635")</f>
        <v>4629062635</v>
      </c>
      <c r="D202" s="12">
        <v>4.629062635E9</v>
      </c>
      <c r="E202" s="5" t="s">
        <v>3646</v>
      </c>
      <c r="F202" s="5" t="str">
        <f t="shared" si="1"/>
        <v>frank.smith@hotmail.com</v>
      </c>
      <c r="G202" s="5" t="s">
        <v>5070</v>
      </c>
      <c r="H202" s="9">
        <v>46230.0</v>
      </c>
      <c r="I202" s="9">
        <v>46243.0</v>
      </c>
    </row>
    <row r="203" ht="22.5" customHeight="1">
      <c r="A203" s="5" t="s">
        <v>1102</v>
      </c>
      <c r="B203" s="5" t="s">
        <v>3647</v>
      </c>
      <c r="C203" s="5" t="str">
        <f>IFERROR(__xludf.DUMMYFUNCTION("REGEXREPLACE(B203,""\D"","""")"),"7398039531")</f>
        <v>7398039531</v>
      </c>
      <c r="D203" s="12">
        <v>7.398039531E9</v>
      </c>
      <c r="E203" s="5" t="s">
        <v>3648</v>
      </c>
      <c r="F203" s="5" t="str">
        <f t="shared" si="1"/>
        <v>ian.richardson@gmail.com</v>
      </c>
      <c r="G203" s="5" t="s">
        <v>5071</v>
      </c>
      <c r="H203" s="9">
        <v>45929.0</v>
      </c>
      <c r="I203" s="11"/>
    </row>
    <row r="204" ht="22.5" customHeight="1">
      <c r="A204" s="5" t="s">
        <v>1104</v>
      </c>
      <c r="B204" s="14" t="s">
        <v>3650</v>
      </c>
      <c r="C204" s="5" t="str">
        <f>IFERROR(__xludf.DUMMYFUNCTION("REGEXREPLACE(B204,""\D"","""")"),"6145823913")</f>
        <v>6145823913</v>
      </c>
      <c r="D204" s="12">
        <v>6.145823913E9</v>
      </c>
      <c r="E204" s="5" t="s">
        <v>3651</v>
      </c>
      <c r="F204" s="5" t="str">
        <f t="shared" si="1"/>
        <v>charlie.liang@outlook.com</v>
      </c>
      <c r="G204" s="5" t="s">
        <v>5072</v>
      </c>
      <c r="H204" s="9">
        <v>46028.0</v>
      </c>
      <c r="I204" s="11"/>
    </row>
    <row r="205" ht="22.5" customHeight="1">
      <c r="A205" s="5" t="s">
        <v>1108</v>
      </c>
      <c r="B205" s="5" t="s">
        <v>3652</v>
      </c>
      <c r="C205" s="5" t="str">
        <f>IFERROR(__xludf.DUMMYFUNCTION("REGEXREPLACE(B205,""\D"","""")"),"7268892979")</f>
        <v>7268892979</v>
      </c>
      <c r="D205" s="12">
        <v>7.268892979E9</v>
      </c>
      <c r="E205" s="5" t="s">
        <v>3653</v>
      </c>
      <c r="F205" s="5" t="str">
        <f t="shared" si="1"/>
        <v>keith.brown@gmail.com</v>
      </c>
      <c r="G205" s="5" t="s">
        <v>3653</v>
      </c>
      <c r="H205" s="9">
        <v>46076.0</v>
      </c>
      <c r="I205" s="9">
        <v>46091.0</v>
      </c>
    </row>
    <row r="206" ht="22.5" customHeight="1">
      <c r="A206" s="5" t="s">
        <v>1111</v>
      </c>
      <c r="B206" s="14" t="s">
        <v>3655</v>
      </c>
      <c r="C206" s="5" t="str">
        <f>IFERROR(__xludf.DUMMYFUNCTION("REGEXREPLACE(B206,""\D"","""")"),"9823706986")</f>
        <v>9823706986</v>
      </c>
      <c r="D206" s="12">
        <v>9.823706986E9</v>
      </c>
      <c r="E206" s="5" t="s">
        <v>3656</v>
      </c>
      <c r="F206" s="5" t="str">
        <f t="shared" si="1"/>
        <v>frank.chan@outlook.com</v>
      </c>
      <c r="G206" s="5" t="s">
        <v>3656</v>
      </c>
      <c r="H206" s="9">
        <v>46113.0</v>
      </c>
      <c r="I206" s="9">
        <v>46127.0</v>
      </c>
    </row>
    <row r="207" ht="22.5" customHeight="1">
      <c r="A207" s="5" t="s">
        <v>1114</v>
      </c>
      <c r="C207" s="10" t="str">
        <f>IFERROR(__xludf.DUMMYFUNCTION("REGEXREPLACE(B207,""\D"","""")"),"")</f>
        <v/>
      </c>
      <c r="D207" s="13" t="s">
        <v>4964</v>
      </c>
      <c r="E207" s="5" t="s">
        <v>3658</v>
      </c>
      <c r="F207" s="5" t="str">
        <f t="shared" si="1"/>
        <v>olvia.chen@gmail.com</v>
      </c>
      <c r="G207" s="5" t="s">
        <v>5073</v>
      </c>
      <c r="H207" s="9">
        <v>46024.0</v>
      </c>
      <c r="I207" s="9">
        <v>46041.0</v>
      </c>
    </row>
    <row r="208" ht="22.5" customHeight="1">
      <c r="A208" s="5" t="s">
        <v>1118</v>
      </c>
      <c r="B208" s="5" t="s">
        <v>3659</v>
      </c>
      <c r="C208" s="5" t="str">
        <f>IFERROR(__xludf.DUMMYFUNCTION("REGEXREPLACE(B208,""\D"","""")"),"7877176491")</f>
        <v>7877176491</v>
      </c>
      <c r="D208" s="12">
        <v>7.877176491E9</v>
      </c>
      <c r="E208" s="5" t="s">
        <v>3660</v>
      </c>
      <c r="F208" s="5" t="str">
        <f t="shared" si="1"/>
        <v>bob.davis@hotmail.com</v>
      </c>
      <c r="G208" s="5" t="s">
        <v>3660</v>
      </c>
      <c r="H208" s="9">
        <v>45721.0</v>
      </c>
      <c r="I208" s="9">
        <v>45721.0</v>
      </c>
    </row>
    <row r="209" ht="22.5" customHeight="1">
      <c r="A209" s="5" t="s">
        <v>1121</v>
      </c>
      <c r="B209" s="5" t="s">
        <v>3661</v>
      </c>
      <c r="C209" s="5" t="str">
        <f>IFERROR(__xludf.DUMMYFUNCTION("REGEXREPLACE(B209,""\D"","""")"),"8648426020")</f>
        <v>8648426020</v>
      </c>
      <c r="D209" s="12">
        <v>8.64842602E9</v>
      </c>
      <c r="E209" s="5" t="s">
        <v>3662</v>
      </c>
      <c r="F209" s="5" t="str">
        <f t="shared" si="1"/>
        <v>eva.rodriguez@aol.com</v>
      </c>
      <c r="G209" s="5" t="s">
        <v>3662</v>
      </c>
      <c r="H209" s="9">
        <v>45994.0</v>
      </c>
      <c r="I209" s="11"/>
    </row>
    <row r="210" ht="22.5" customHeight="1">
      <c r="A210" s="5" t="s">
        <v>1123</v>
      </c>
      <c r="B210" s="5" t="s">
        <v>3663</v>
      </c>
      <c r="C210" s="5" t="str">
        <f>IFERROR(__xludf.DUMMYFUNCTION("REGEXREPLACE(B210,""\D"","""")"),"2769897297")</f>
        <v>2769897297</v>
      </c>
      <c r="D210" s="12">
        <v>2.769897297E9</v>
      </c>
      <c r="E210" s="5" t="s">
        <v>3664</v>
      </c>
      <c r="F210" s="5" t="str">
        <f t="shared" si="1"/>
        <v>jasmine.chan@yahoo.com</v>
      </c>
      <c r="G210" s="5" t="s">
        <v>3664</v>
      </c>
      <c r="H210" s="9">
        <v>45945.0</v>
      </c>
      <c r="I210" s="9">
        <v>45968.0</v>
      </c>
    </row>
    <row r="211" ht="22.5" customHeight="1">
      <c r="A211" s="5" t="s">
        <v>1127</v>
      </c>
      <c r="B211" s="5" t="s">
        <v>3667</v>
      </c>
      <c r="C211" s="5" t="str">
        <f>IFERROR(__xludf.DUMMYFUNCTION("REGEXREPLACE(B211,""\D"","""")"),"8125022220")</f>
        <v>8125022220</v>
      </c>
      <c r="D211" s="12">
        <v>8.12502222E9</v>
      </c>
      <c r="E211" s="5" t="s">
        <v>3668</v>
      </c>
      <c r="F211" s="5" t="str">
        <f t="shared" si="1"/>
        <v>sally.white@aol.com</v>
      </c>
      <c r="G211" s="5" t="s">
        <v>5074</v>
      </c>
      <c r="H211" s="9">
        <v>45829.0</v>
      </c>
      <c r="I211" s="9">
        <v>45841.0</v>
      </c>
    </row>
    <row r="212" ht="22.5" customHeight="1">
      <c r="A212" s="5" t="s">
        <v>1129</v>
      </c>
      <c r="B212" s="5" t="s">
        <v>3670</v>
      </c>
      <c r="C212" s="5" t="str">
        <f>IFERROR(__xludf.DUMMYFUNCTION("REGEXREPLACE(B212,""\D"","""")"),"6298587697")</f>
        <v>6298587697</v>
      </c>
      <c r="D212" s="12">
        <v>6.298587697E9</v>
      </c>
      <c r="E212" s="5" t="s">
        <v>3671</v>
      </c>
      <c r="F212" s="5" t="str">
        <f t="shared" si="1"/>
        <v>alice.doe@hotmail.com</v>
      </c>
      <c r="G212" s="5" t="s">
        <v>3671</v>
      </c>
      <c r="H212" s="9">
        <v>46238.0</v>
      </c>
      <c r="I212" s="11"/>
    </row>
    <row r="213" ht="22.5" customHeight="1">
      <c r="A213" s="5" t="s">
        <v>1132</v>
      </c>
      <c r="B213" s="14" t="s">
        <v>3672</v>
      </c>
      <c r="C213" s="5" t="str">
        <f>IFERROR(__xludf.DUMMYFUNCTION("REGEXREPLACE(B213,""\D"","""")"),"5117795848")</f>
        <v>5117795848</v>
      </c>
      <c r="D213" s="12">
        <v>5.117795848E9</v>
      </c>
      <c r="E213" s="5" t="s">
        <v>3673</v>
      </c>
      <c r="F213" s="5" t="str">
        <f t="shared" si="1"/>
        <v>alice.kim@outlook.com</v>
      </c>
      <c r="G213" s="5" t="s">
        <v>3673</v>
      </c>
      <c r="H213" s="9">
        <v>45719.0</v>
      </c>
      <c r="I213" s="11"/>
    </row>
    <row r="214" ht="22.5" customHeight="1">
      <c r="A214" s="5" t="s">
        <v>1135</v>
      </c>
      <c r="B214" s="14" t="s">
        <v>3675</v>
      </c>
      <c r="C214" s="5" t="str">
        <f>IFERROR(__xludf.DUMMYFUNCTION("REGEXREPLACE(B214,""\D"","""")"),"6366875950")</f>
        <v>6366875950</v>
      </c>
      <c r="D214" s="12">
        <v>6.36687595E9</v>
      </c>
      <c r="E214" s="5" t="s">
        <v>3676</v>
      </c>
      <c r="F214" s="5" t="str">
        <f t="shared" si="1"/>
        <v>david.davidson@gmail.com</v>
      </c>
      <c r="G214" s="5" t="s">
        <v>3676</v>
      </c>
      <c r="H214" s="9">
        <v>46036.0</v>
      </c>
      <c r="I214" s="9">
        <v>46065.0</v>
      </c>
    </row>
    <row r="215" ht="22.5" customHeight="1">
      <c r="A215" s="5" t="s">
        <v>1138</v>
      </c>
      <c r="B215" s="5" t="s">
        <v>3678</v>
      </c>
      <c r="C215" s="5" t="str">
        <f>IFERROR(__xludf.DUMMYFUNCTION("REGEXREPLACE(B215,""\D"","""")"),"2904036838")</f>
        <v>2904036838</v>
      </c>
      <c r="D215" s="12">
        <v>2.904036838E9</v>
      </c>
      <c r="E215" s="5" t="s">
        <v>3210</v>
      </c>
      <c r="F215" s="5" t="str">
        <f t="shared" si="1"/>
        <v>grace.rodriguez@hotmail.com</v>
      </c>
      <c r="G215" s="5" t="s">
        <v>3518</v>
      </c>
      <c r="H215" s="9">
        <v>45726.0</v>
      </c>
      <c r="I215" s="9">
        <v>45730.0</v>
      </c>
    </row>
    <row r="216" ht="22.5" customHeight="1">
      <c r="A216" s="5" t="s">
        <v>1142</v>
      </c>
      <c r="B216" s="5" t="s">
        <v>3679</v>
      </c>
      <c r="C216" s="5" t="str">
        <f>IFERROR(__xludf.DUMMYFUNCTION("REGEXREPLACE(B216,""\D"","""")"),"7712459208")</f>
        <v>7712459208</v>
      </c>
      <c r="D216" s="12">
        <v>7.712459208E9</v>
      </c>
      <c r="E216" s="5" t="s">
        <v>3680</v>
      </c>
      <c r="F216" s="5" t="str">
        <f t="shared" si="1"/>
        <v>joshua.brown@gmail.com</v>
      </c>
      <c r="G216" s="5" t="s">
        <v>3680</v>
      </c>
      <c r="H216" s="9">
        <v>46036.0</v>
      </c>
      <c r="I216" s="9">
        <v>46047.0</v>
      </c>
    </row>
    <row r="217" ht="22.5" customHeight="1">
      <c r="A217" s="5" t="s">
        <v>1145</v>
      </c>
      <c r="B217" s="5" t="s">
        <v>3682</v>
      </c>
      <c r="C217" s="5" t="str">
        <f>IFERROR(__xludf.DUMMYFUNCTION("REGEXREPLACE(B217,""\D"","""")"),"9036813696")</f>
        <v>9036813696</v>
      </c>
      <c r="D217" s="12">
        <v>9.036813696E9</v>
      </c>
      <c r="E217" s="5" t="s">
        <v>3683</v>
      </c>
      <c r="F217" s="5" t="str">
        <f t="shared" si="1"/>
        <v>alice.davis@hotmail.com</v>
      </c>
      <c r="G217" s="5" t="s">
        <v>5075</v>
      </c>
      <c r="H217" s="11"/>
      <c r="I217" s="11"/>
    </row>
    <row r="218" ht="22.5" customHeight="1">
      <c r="A218" s="5" t="s">
        <v>1148</v>
      </c>
      <c r="B218" s="5" t="s">
        <v>3684</v>
      </c>
      <c r="C218" s="5" t="str">
        <f>IFERROR(__xludf.DUMMYFUNCTION("REGEXREPLACE(B218,""\D"","""")"),"9022587964")</f>
        <v>9022587964</v>
      </c>
      <c r="D218" s="12">
        <v>9.022587964E9</v>
      </c>
      <c r="E218" s="5" t="s">
        <v>3685</v>
      </c>
      <c r="F218" s="5" t="str">
        <f t="shared" si="1"/>
        <v>pauline.rodriguez@yahoo.com</v>
      </c>
      <c r="G218" s="5" t="s">
        <v>5076</v>
      </c>
      <c r="H218" s="9">
        <v>45810.0</v>
      </c>
      <c r="I218" s="9">
        <v>45810.0</v>
      </c>
    </row>
    <row r="219" ht="22.5" customHeight="1">
      <c r="A219" s="5" t="s">
        <v>1152</v>
      </c>
      <c r="B219" s="5" t="s">
        <v>3686</v>
      </c>
      <c r="C219" s="5" t="str">
        <f>IFERROR(__xludf.DUMMYFUNCTION("REGEXREPLACE(B219,""\D"","""")"),"4715843761")</f>
        <v>4715843761</v>
      </c>
      <c r="D219" s="12">
        <v>4.715843761E9</v>
      </c>
      <c r="E219" s="5" t="s">
        <v>3687</v>
      </c>
      <c r="F219" s="5" t="str">
        <f t="shared" si="1"/>
        <v>michelle.garcia@yahoo.com</v>
      </c>
      <c r="G219" s="5" t="s">
        <v>5077</v>
      </c>
      <c r="H219" s="9">
        <v>46047.0</v>
      </c>
      <c r="I219" s="11"/>
    </row>
    <row r="220" ht="22.5" customHeight="1">
      <c r="A220" s="5" t="s">
        <v>1155</v>
      </c>
      <c r="B220" s="5" t="s">
        <v>3688</v>
      </c>
      <c r="C220" s="5" t="str">
        <f>IFERROR(__xludf.DUMMYFUNCTION("REGEXREPLACE(B220,""\D"","""")"),"3297475892")</f>
        <v>3297475892</v>
      </c>
      <c r="D220" s="12">
        <v>3.297475892E9</v>
      </c>
      <c r="E220" s="5" t="s">
        <v>3689</v>
      </c>
      <c r="F220" s="5" t="str">
        <f t="shared" si="1"/>
        <v>jane.smith@outlook.com</v>
      </c>
      <c r="G220" s="5" t="s">
        <v>3689</v>
      </c>
      <c r="H220" s="9">
        <v>45910.0</v>
      </c>
      <c r="I220" s="9">
        <v>45912.0</v>
      </c>
    </row>
    <row r="221" ht="22.5" customHeight="1">
      <c r="A221" s="5" t="s">
        <v>1158</v>
      </c>
      <c r="B221" s="5" t="s">
        <v>3691</v>
      </c>
      <c r="C221" s="5" t="str">
        <f>IFERROR(__xludf.DUMMYFUNCTION("REGEXREPLACE(B221,""\D"","""")"),"9107218075")</f>
        <v>9107218075</v>
      </c>
      <c r="D221" s="12">
        <v>9.107218075E9</v>
      </c>
      <c r="E221" s="5" t="s">
        <v>3692</v>
      </c>
      <c r="F221" s="5" t="str">
        <f t="shared" si="1"/>
        <v>craig.baker@gmail.com</v>
      </c>
      <c r="G221" s="5" t="s">
        <v>3692</v>
      </c>
      <c r="H221" s="9">
        <v>45756.0</v>
      </c>
      <c r="I221" s="9">
        <v>45757.0</v>
      </c>
    </row>
    <row r="222" ht="22.5" customHeight="1">
      <c r="A222" s="5" t="s">
        <v>1163</v>
      </c>
      <c r="B222" s="5" t="s">
        <v>3694</v>
      </c>
      <c r="C222" s="5" t="str">
        <f>IFERROR(__xludf.DUMMYFUNCTION("REGEXREPLACE(B222,""\D"","""")"),"7545699695")</f>
        <v>7545699695</v>
      </c>
      <c r="D222" s="12">
        <v>7.545699695E9</v>
      </c>
      <c r="E222" s="5" t="s">
        <v>3695</v>
      </c>
      <c r="F222" s="5" t="str">
        <f t="shared" si="1"/>
        <v>frank.rodriguez@aol.com</v>
      </c>
      <c r="G222" s="5" t="s">
        <v>3695</v>
      </c>
      <c r="H222" s="9">
        <v>45833.0</v>
      </c>
      <c r="I222" s="9">
        <v>45846.0</v>
      </c>
    </row>
    <row r="223" ht="22.5" customHeight="1">
      <c r="A223" s="5" t="s">
        <v>1165</v>
      </c>
      <c r="B223" s="5" t="s">
        <v>3696</v>
      </c>
      <c r="C223" s="5" t="str">
        <f>IFERROR(__xludf.DUMMYFUNCTION("REGEXREPLACE(B223,""\D"","""")"),"5407033103")</f>
        <v>5407033103</v>
      </c>
      <c r="D223" s="12">
        <v>5.407033103E9</v>
      </c>
      <c r="E223" s="5" t="s">
        <v>3697</v>
      </c>
      <c r="F223" s="5" t="str">
        <f t="shared" si="1"/>
        <v>jasmine.white@yahoo.com</v>
      </c>
      <c r="G223" s="5" t="s">
        <v>5078</v>
      </c>
      <c r="H223" s="9">
        <v>45802.0</v>
      </c>
      <c r="I223" s="11"/>
    </row>
    <row r="224" ht="22.5" customHeight="1">
      <c r="A224" s="5" t="s">
        <v>1169</v>
      </c>
      <c r="C224" s="10" t="str">
        <f>IFERROR(__xludf.DUMMYFUNCTION("REGEXREPLACE(B224,""\D"","""")"),"")</f>
        <v/>
      </c>
      <c r="D224" s="13" t="s">
        <v>4964</v>
      </c>
      <c r="E224" s="5" t="s">
        <v>3698</v>
      </c>
      <c r="F224" s="5" t="str">
        <f t="shared" si="1"/>
        <v>alice.sharp@aol.com</v>
      </c>
      <c r="G224" s="5" t="s">
        <v>5079</v>
      </c>
      <c r="H224" s="9">
        <v>45828.0</v>
      </c>
      <c r="I224" s="9">
        <v>45848.0</v>
      </c>
    </row>
    <row r="225" ht="22.5" customHeight="1">
      <c r="A225" s="5" t="s">
        <v>1173</v>
      </c>
      <c r="B225" s="14" t="s">
        <v>3699</v>
      </c>
      <c r="C225" s="5" t="str">
        <f>IFERROR(__xludf.DUMMYFUNCTION("REGEXREPLACE(B225,""\D"","""")"),"4846055126")</f>
        <v>4846055126</v>
      </c>
      <c r="D225" s="12">
        <v>4.846055126E9</v>
      </c>
      <c r="E225" s="5" t="s">
        <v>3700</v>
      </c>
      <c r="F225" s="5" t="str">
        <f t="shared" si="1"/>
        <v>hannah.rodriguez@aol.com</v>
      </c>
      <c r="G225" s="5" t="s">
        <v>5080</v>
      </c>
      <c r="H225" s="9">
        <v>45993.0</v>
      </c>
      <c r="I225" s="11"/>
    </row>
    <row r="226" ht="22.5" customHeight="1">
      <c r="A226" s="5" t="s">
        <v>1175</v>
      </c>
      <c r="B226" s="14" t="s">
        <v>3702</v>
      </c>
      <c r="C226" s="5" t="str">
        <f>IFERROR(__xludf.DUMMYFUNCTION("REGEXREPLACE(B226,""\D"","""")"),"2603229262")</f>
        <v>2603229262</v>
      </c>
      <c r="D226" s="12">
        <v>2.603229262E9</v>
      </c>
      <c r="E226" s="5" t="s">
        <v>3703</v>
      </c>
      <c r="F226" s="5" t="str">
        <f t="shared" si="1"/>
        <v>timothy.doe@yahoo.com</v>
      </c>
      <c r="G226" s="5" t="s">
        <v>3703</v>
      </c>
      <c r="H226" s="9">
        <v>46027.0</v>
      </c>
      <c r="I226" s="11"/>
    </row>
    <row r="227" ht="22.5" customHeight="1">
      <c r="A227" s="5" t="s">
        <v>1179</v>
      </c>
      <c r="B227" s="5" t="s">
        <v>3704</v>
      </c>
      <c r="C227" s="5" t="str">
        <f>IFERROR(__xludf.DUMMYFUNCTION("REGEXREPLACE(B227,""\D"","""")"),"7993269741")</f>
        <v>7993269741</v>
      </c>
      <c r="D227" s="12">
        <v>7.993269741E9</v>
      </c>
      <c r="E227" s="5" t="s">
        <v>3705</v>
      </c>
      <c r="F227" s="5" t="str">
        <f t="shared" si="1"/>
        <v>alice.young@outlook.com</v>
      </c>
      <c r="G227" s="5" t="s">
        <v>5081</v>
      </c>
      <c r="H227" s="9">
        <v>45933.0</v>
      </c>
      <c r="I227" s="9">
        <v>45946.0</v>
      </c>
    </row>
    <row r="228" ht="22.5" customHeight="1">
      <c r="A228" s="5" t="s">
        <v>1182</v>
      </c>
      <c r="B228" s="5" t="s">
        <v>3708</v>
      </c>
      <c r="C228" s="5" t="str">
        <f>IFERROR(__xludf.DUMMYFUNCTION("REGEXREPLACE(B228,""\D"","""")"),"7568334969")</f>
        <v>7568334969</v>
      </c>
      <c r="D228" s="12">
        <v>7.568334969E9</v>
      </c>
      <c r="E228" s="5" t="s">
        <v>3709</v>
      </c>
      <c r="F228" s="5" t="str">
        <f t="shared" si="1"/>
        <v>ava.brown@aol.com</v>
      </c>
      <c r="G228" s="5" t="s">
        <v>3709</v>
      </c>
      <c r="H228" s="9">
        <v>46124.0</v>
      </c>
      <c r="I228" s="9">
        <v>46131.0</v>
      </c>
    </row>
    <row r="229" ht="22.5" customHeight="1">
      <c r="A229" s="5" t="s">
        <v>1185</v>
      </c>
      <c r="B229" s="5" t="s">
        <v>3711</v>
      </c>
      <c r="C229" s="5" t="str">
        <f>IFERROR(__xludf.DUMMYFUNCTION("REGEXREPLACE(B229,""\D"","""")"),"4935318398")</f>
        <v>4935318398</v>
      </c>
      <c r="D229" s="12">
        <v>4.935318398E9</v>
      </c>
      <c r="E229" s="5" t="s">
        <v>3712</v>
      </c>
      <c r="F229" s="5" t="str">
        <f t="shared" si="1"/>
        <v>jack.martinez@aol.com</v>
      </c>
      <c r="G229" s="5" t="s">
        <v>5082</v>
      </c>
      <c r="H229" s="9">
        <v>45796.0</v>
      </c>
      <c r="I229" s="11"/>
    </row>
    <row r="230" ht="22.5" customHeight="1">
      <c r="A230" s="5" t="s">
        <v>1191</v>
      </c>
      <c r="B230" s="5" t="s">
        <v>3713</v>
      </c>
      <c r="C230" s="5" t="str">
        <f>IFERROR(__xludf.DUMMYFUNCTION("REGEXREPLACE(B230,""\D"","""")"),"4436551598")</f>
        <v>4436551598</v>
      </c>
      <c r="D230" s="12">
        <v>4.436551598E9</v>
      </c>
      <c r="E230" s="5" t="s">
        <v>3714</v>
      </c>
      <c r="F230" s="5" t="str">
        <f t="shared" si="1"/>
        <v>eva.jackson@hotmail.com</v>
      </c>
      <c r="G230" s="5" t="s">
        <v>3714</v>
      </c>
      <c r="H230" s="9">
        <v>45741.0</v>
      </c>
      <c r="I230" s="9">
        <v>45758.0</v>
      </c>
    </row>
    <row r="231" ht="22.5" customHeight="1">
      <c r="A231" s="5" t="s">
        <v>1193</v>
      </c>
      <c r="B231" s="5" t="s">
        <v>3717</v>
      </c>
      <c r="C231" s="5" t="str">
        <f>IFERROR(__xludf.DUMMYFUNCTION("REGEXREPLACE(B231,""\D"","""")"),"5345467547")</f>
        <v>5345467547</v>
      </c>
      <c r="D231" s="12">
        <v>5.345467547E9</v>
      </c>
      <c r="E231" s="5" t="s">
        <v>3718</v>
      </c>
      <c r="F231" s="5" t="str">
        <f t="shared" si="1"/>
        <v>frank.doe@aol.com</v>
      </c>
      <c r="G231" s="5" t="s">
        <v>3718</v>
      </c>
      <c r="H231" s="9">
        <v>45967.0</v>
      </c>
      <c r="I231" s="9">
        <v>45988.0</v>
      </c>
    </row>
    <row r="232" ht="22.5" customHeight="1">
      <c r="A232" s="5" t="s">
        <v>1196</v>
      </c>
      <c r="B232" s="5" t="s">
        <v>3719</v>
      </c>
      <c r="C232" s="5" t="str">
        <f>IFERROR(__xludf.DUMMYFUNCTION("REGEXREPLACE(B232,""\D"","""")"),"8282683320")</f>
        <v>8282683320</v>
      </c>
      <c r="D232" s="12">
        <v>8.28268332E9</v>
      </c>
      <c r="E232" s="5" t="s">
        <v>3720</v>
      </c>
      <c r="F232" s="5" t="str">
        <f t="shared" si="1"/>
        <v>timothy.ferguson@aol.com</v>
      </c>
      <c r="G232" s="5" t="s">
        <v>5083</v>
      </c>
      <c r="H232" s="9">
        <v>45874.0</v>
      </c>
      <c r="I232" s="9">
        <v>45886.0</v>
      </c>
    </row>
    <row r="233" ht="22.5" customHeight="1">
      <c r="A233" s="5" t="s">
        <v>1198</v>
      </c>
      <c r="B233" s="14" t="s">
        <v>3722</v>
      </c>
      <c r="C233" s="5" t="str">
        <f>IFERROR(__xludf.DUMMYFUNCTION("REGEXREPLACE(B233,""\D"","""")"),"8004518624")</f>
        <v>8004518624</v>
      </c>
      <c r="D233" s="12">
        <v>8.004518624E9</v>
      </c>
      <c r="E233" s="5" t="s">
        <v>3723</v>
      </c>
      <c r="F233" s="5" t="str">
        <f t="shared" si="1"/>
        <v>betty.glover@gmail.com</v>
      </c>
      <c r="G233" s="5" t="s">
        <v>3723</v>
      </c>
      <c r="H233" s="9">
        <v>45839.0</v>
      </c>
      <c r="I233" s="9">
        <v>45845.0</v>
      </c>
    </row>
    <row r="234" ht="22.5" customHeight="1">
      <c r="A234" s="5" t="s">
        <v>1201</v>
      </c>
      <c r="B234" s="5" t="s">
        <v>3725</v>
      </c>
      <c r="C234" s="5" t="str">
        <f>IFERROR(__xludf.DUMMYFUNCTION("REGEXREPLACE(B234,""\D"","""")"),"3689218596")</f>
        <v>3689218596</v>
      </c>
      <c r="D234" s="12">
        <v>3.689218596E9</v>
      </c>
      <c r="E234" s="5" t="s">
        <v>3726</v>
      </c>
      <c r="F234" s="5" t="str">
        <f t="shared" si="1"/>
        <v>john.little@gmail.com</v>
      </c>
      <c r="G234" s="5" t="s">
        <v>5084</v>
      </c>
      <c r="H234" s="9">
        <v>46014.0</v>
      </c>
      <c r="I234" s="11"/>
    </row>
    <row r="235" ht="22.5" customHeight="1">
      <c r="A235" s="5" t="s">
        <v>1204</v>
      </c>
      <c r="B235" s="14" t="s">
        <v>3728</v>
      </c>
      <c r="C235" s="5" t="str">
        <f>IFERROR(__xludf.DUMMYFUNCTION("REGEXREPLACE(B235,""\D"","""")"),"8875847110")</f>
        <v>8875847110</v>
      </c>
      <c r="D235" s="12">
        <v>8.87584711E9</v>
      </c>
      <c r="E235" s="5" t="s">
        <v>3729</v>
      </c>
      <c r="F235" s="5" t="str">
        <f t="shared" si="1"/>
        <v>daniella.miller@outlook.com</v>
      </c>
      <c r="G235" s="5" t="s">
        <v>3729</v>
      </c>
      <c r="H235" s="9">
        <v>46006.0</v>
      </c>
      <c r="I235" s="9">
        <v>46029.0</v>
      </c>
    </row>
    <row r="236" ht="22.5" customHeight="1">
      <c r="A236" s="5" t="s">
        <v>1206</v>
      </c>
      <c r="B236" s="5" t="s">
        <v>3730</v>
      </c>
      <c r="C236" s="5" t="str">
        <f>IFERROR(__xludf.DUMMYFUNCTION("REGEXREPLACE(B236,""\D"","""")"),"8637399269")</f>
        <v>8637399269</v>
      </c>
      <c r="D236" s="12">
        <v>8.637399269E9</v>
      </c>
      <c r="E236" s="5" t="s">
        <v>3731</v>
      </c>
      <c r="F236" s="5" t="str">
        <f t="shared" si="1"/>
        <v>daniel.chen@aol.com</v>
      </c>
      <c r="G236" s="5" t="s">
        <v>5085</v>
      </c>
      <c r="H236" s="9">
        <v>45770.0</v>
      </c>
      <c r="I236" s="9">
        <v>45796.0</v>
      </c>
    </row>
    <row r="237" ht="22.5" customHeight="1">
      <c r="A237" s="5" t="s">
        <v>1210</v>
      </c>
      <c r="B237" s="5" t="s">
        <v>3732</v>
      </c>
      <c r="C237" s="5" t="str">
        <f>IFERROR(__xludf.DUMMYFUNCTION("REGEXREPLACE(B237,""\D"","""")"),"2504311278")</f>
        <v>2504311278</v>
      </c>
      <c r="D237" s="12">
        <v>2.504311278E9</v>
      </c>
      <c r="E237" s="5" t="s">
        <v>3733</v>
      </c>
      <c r="F237" s="5" t="str">
        <f t="shared" si="1"/>
        <v>robert.white@aol.com</v>
      </c>
      <c r="G237" s="5" t="s">
        <v>5086</v>
      </c>
      <c r="H237" s="9">
        <v>45946.0</v>
      </c>
      <c r="I237" s="11"/>
    </row>
    <row r="238" ht="22.5" customHeight="1">
      <c r="A238" s="5" t="s">
        <v>1213</v>
      </c>
      <c r="B238" s="5" t="s">
        <v>3734</v>
      </c>
      <c r="C238" s="5" t="str">
        <f>IFERROR(__xludf.DUMMYFUNCTION("REGEXREPLACE(B238,""\D"","""")"),"4123481299")</f>
        <v>4123481299</v>
      </c>
      <c r="D238" s="12">
        <v>4.123481299E9</v>
      </c>
      <c r="E238" s="5" t="s">
        <v>3735</v>
      </c>
      <c r="F238" s="5" t="str">
        <f t="shared" si="1"/>
        <v>tom.wales@gmail.com</v>
      </c>
      <c r="G238" s="5" t="s">
        <v>5087</v>
      </c>
      <c r="H238" s="9">
        <v>45742.0</v>
      </c>
      <c r="I238" s="9">
        <v>45752.0</v>
      </c>
    </row>
    <row r="239" ht="22.5" customHeight="1">
      <c r="A239" s="5" t="s">
        <v>1215</v>
      </c>
      <c r="B239" s="5" t="s">
        <v>3736</v>
      </c>
      <c r="C239" s="5" t="str">
        <f>IFERROR(__xludf.DUMMYFUNCTION("REGEXREPLACE(B239,""\D"","""")"),"8714334806")</f>
        <v>8714334806</v>
      </c>
      <c r="D239" s="12">
        <v>8.714334806E9</v>
      </c>
      <c r="E239" s="5" t="s">
        <v>3737</v>
      </c>
      <c r="F239" s="5" t="str">
        <f t="shared" si="1"/>
        <v>tina.johnson@outlook.com</v>
      </c>
      <c r="G239" s="5" t="s">
        <v>5088</v>
      </c>
      <c r="H239" s="9">
        <v>45736.0</v>
      </c>
      <c r="I239" s="9">
        <v>45757.0</v>
      </c>
    </row>
    <row r="240" ht="22.5" customHeight="1">
      <c r="A240" s="5" t="s">
        <v>1218</v>
      </c>
      <c r="B240" s="14" t="s">
        <v>3739</v>
      </c>
      <c r="C240" s="5" t="str">
        <f>IFERROR(__xludf.DUMMYFUNCTION("REGEXREPLACE(B240,""\D"","""")"),"7189524804")</f>
        <v>7189524804</v>
      </c>
      <c r="D240" s="12">
        <v>7.189524804E9</v>
      </c>
      <c r="E240" s="5" t="s">
        <v>3740</v>
      </c>
      <c r="F240" s="5" t="str">
        <f t="shared" si="1"/>
        <v>bob.baker@outlook.com</v>
      </c>
      <c r="G240" s="5" t="s">
        <v>3740</v>
      </c>
      <c r="H240" s="9">
        <v>45930.0</v>
      </c>
      <c r="I240" s="9">
        <v>45931.0</v>
      </c>
    </row>
    <row r="241" ht="22.5" customHeight="1">
      <c r="A241" s="5" t="s">
        <v>1221</v>
      </c>
      <c r="B241" s="5" t="s">
        <v>3741</v>
      </c>
      <c r="C241" s="5" t="str">
        <f>IFERROR(__xludf.DUMMYFUNCTION("REGEXREPLACE(B241,""\D"","""")"),"3132064837")</f>
        <v>3132064837</v>
      </c>
      <c r="D241" s="12">
        <v>3.132064837E9</v>
      </c>
      <c r="E241" s="5" t="s">
        <v>3742</v>
      </c>
      <c r="F241" s="5" t="str">
        <f t="shared" si="1"/>
        <v>john.doe@gmail.com</v>
      </c>
      <c r="G241" s="5" t="s">
        <v>3742</v>
      </c>
      <c r="H241" s="9">
        <v>45905.0</v>
      </c>
      <c r="I241" s="9">
        <v>45906.0</v>
      </c>
    </row>
    <row r="242" ht="22.5" customHeight="1">
      <c r="A242" s="5" t="s">
        <v>1224</v>
      </c>
      <c r="B242" s="14" t="s">
        <v>3745</v>
      </c>
      <c r="C242" s="5" t="str">
        <f>IFERROR(__xludf.DUMMYFUNCTION("REGEXREPLACE(B242,""\D"","""")"),"8385994847")</f>
        <v>8385994847</v>
      </c>
      <c r="D242" s="12">
        <v>8.385994847E9</v>
      </c>
      <c r="E242" s="5" t="s">
        <v>3746</v>
      </c>
      <c r="F242" s="5" t="str">
        <f t="shared" si="1"/>
        <v>alice.white@gmail.com</v>
      </c>
      <c r="G242" s="5" t="s">
        <v>5089</v>
      </c>
      <c r="H242" s="9">
        <v>46132.0</v>
      </c>
      <c r="I242" s="9">
        <v>46140.0</v>
      </c>
    </row>
    <row r="243" ht="22.5" customHeight="1">
      <c r="A243" s="5" t="s">
        <v>1227</v>
      </c>
      <c r="B243" s="5" t="s">
        <v>3747</v>
      </c>
      <c r="C243" s="5" t="str">
        <f>IFERROR(__xludf.DUMMYFUNCTION("REGEXREPLACE(B243,""\D"","""")"),"4995011356")</f>
        <v>4995011356</v>
      </c>
      <c r="D243" s="12">
        <v>4.995011356E9</v>
      </c>
      <c r="E243" s="5" t="s">
        <v>3748</v>
      </c>
      <c r="F243" s="5" t="str">
        <f t="shared" si="1"/>
        <v>eva.lopez@yahoo.com</v>
      </c>
      <c r="G243" s="5" t="s">
        <v>5090</v>
      </c>
      <c r="H243" s="9">
        <v>46221.0</v>
      </c>
      <c r="I243" s="11"/>
    </row>
    <row r="244" ht="22.5" customHeight="1">
      <c r="A244" s="5" t="s">
        <v>1229</v>
      </c>
      <c r="C244" s="10" t="str">
        <f>IFERROR(__xludf.DUMMYFUNCTION("REGEXREPLACE(B244,""\D"","""")"),"")</f>
        <v/>
      </c>
      <c r="D244" s="13" t="s">
        <v>4964</v>
      </c>
      <c r="E244" s="5" t="s">
        <v>3749</v>
      </c>
      <c r="F244" s="5" t="str">
        <f t="shared" si="1"/>
        <v>grace.lim@aol.com</v>
      </c>
      <c r="G244" s="5" t="s">
        <v>5091</v>
      </c>
      <c r="H244" s="9">
        <v>45999.0</v>
      </c>
      <c r="I244" s="9">
        <v>46027.0</v>
      </c>
    </row>
    <row r="245" ht="22.5" customHeight="1">
      <c r="A245" s="5" t="s">
        <v>1230</v>
      </c>
      <c r="B245" s="5" t="s">
        <v>3751</v>
      </c>
      <c r="C245" s="5" t="str">
        <f>IFERROR(__xludf.DUMMYFUNCTION("REGEXREPLACE(B245,""\D"","""")"),"3186348289")</f>
        <v>3186348289</v>
      </c>
      <c r="D245" s="12">
        <v>3.186348289E9</v>
      </c>
      <c r="E245" s="5" t="s">
        <v>3752</v>
      </c>
      <c r="F245" s="5" t="str">
        <f t="shared" si="1"/>
        <v>olivia.lee@outlook.com</v>
      </c>
      <c r="G245" s="5" t="s">
        <v>5092</v>
      </c>
      <c r="H245" s="9">
        <v>45828.0</v>
      </c>
      <c r="I245" s="9">
        <v>45835.0</v>
      </c>
    </row>
    <row r="246" ht="22.5" customHeight="1">
      <c r="A246" s="5" t="s">
        <v>1234</v>
      </c>
      <c r="B246" s="14" t="s">
        <v>3754</v>
      </c>
      <c r="C246" s="5" t="str">
        <f>IFERROR(__xludf.DUMMYFUNCTION("REGEXREPLACE(B246,""\D"","""")"),"6452958579")</f>
        <v>6452958579</v>
      </c>
      <c r="D246" s="12">
        <v>6.452958579E9</v>
      </c>
      <c r="E246" s="5" t="s">
        <v>3755</v>
      </c>
      <c r="F246" s="5" t="str">
        <f t="shared" si="1"/>
        <v>alice.cooper@aol.com</v>
      </c>
      <c r="G246" s="5" t="s">
        <v>5093</v>
      </c>
      <c r="H246" s="9">
        <v>45838.0</v>
      </c>
      <c r="I246" s="9">
        <v>45844.0</v>
      </c>
    </row>
    <row r="247" ht="22.5" customHeight="1">
      <c r="A247" s="5" t="s">
        <v>1236</v>
      </c>
      <c r="B247" s="5" t="s">
        <v>3757</v>
      </c>
      <c r="C247" s="5" t="str">
        <f>IFERROR(__xludf.DUMMYFUNCTION("REGEXREPLACE(B247,""\D"","""")"),"5067925984")</f>
        <v>5067925984</v>
      </c>
      <c r="D247" s="12">
        <v>5.067925984E9</v>
      </c>
      <c r="E247" s="5" t="s">
        <v>3758</v>
      </c>
      <c r="F247" s="5" t="str">
        <f t="shared" si="1"/>
        <v>charles.wales@aol.com</v>
      </c>
      <c r="G247" s="5" t="s">
        <v>3758</v>
      </c>
      <c r="H247" s="9">
        <v>46027.0</v>
      </c>
      <c r="I247" s="11"/>
    </row>
    <row r="248" ht="22.5" customHeight="1">
      <c r="A248" s="5" t="s">
        <v>1241</v>
      </c>
      <c r="B248" s="5" t="s">
        <v>3759</v>
      </c>
      <c r="C248" s="5" t="str">
        <f>IFERROR(__xludf.DUMMYFUNCTION("REGEXREPLACE(B248,""\D"","""")"),"7609631017")</f>
        <v>7609631017</v>
      </c>
      <c r="D248" s="12">
        <v>7.609631017E9</v>
      </c>
      <c r="E248" s="5" t="s">
        <v>3760</v>
      </c>
      <c r="F248" s="5" t="str">
        <f t="shared" si="1"/>
        <v>fiona.liang@gmail.com</v>
      </c>
      <c r="G248" s="5" t="s">
        <v>5094</v>
      </c>
      <c r="H248" s="9">
        <v>45950.0</v>
      </c>
      <c r="I248" s="9">
        <v>45976.0</v>
      </c>
    </row>
    <row r="249" ht="22.5" customHeight="1">
      <c r="A249" s="5" t="s">
        <v>1245</v>
      </c>
      <c r="B249" s="5" t="s">
        <v>3763</v>
      </c>
      <c r="C249" s="5" t="str">
        <f>IFERROR(__xludf.DUMMYFUNCTION("REGEXREPLACE(B249,""\D"","""")"),"6867402774")</f>
        <v>6867402774</v>
      </c>
      <c r="D249" s="12">
        <v>6.867402774E9</v>
      </c>
      <c r="E249" s="5" t="s">
        <v>3764</v>
      </c>
      <c r="F249" s="5" t="str">
        <f t="shared" si="1"/>
        <v>david.jones@gmail.com</v>
      </c>
      <c r="G249" s="5" t="s">
        <v>3764</v>
      </c>
      <c r="H249" s="9">
        <v>46143.0</v>
      </c>
      <c r="I249" s="9">
        <v>46170.0</v>
      </c>
    </row>
    <row r="250" ht="22.5" customHeight="1">
      <c r="A250" s="5" t="s">
        <v>1248</v>
      </c>
      <c r="B250" s="14" t="s">
        <v>3766</v>
      </c>
      <c r="C250" s="5" t="str">
        <f>IFERROR(__xludf.DUMMYFUNCTION("REGEXREPLACE(B250,""\D"","""")"),"8152224391")</f>
        <v>8152224391</v>
      </c>
      <c r="D250" s="12">
        <v>8.152224391E9</v>
      </c>
      <c r="E250" s="5" t="s">
        <v>3767</v>
      </c>
      <c r="F250" s="5" t="str">
        <f t="shared" si="1"/>
        <v>david.doe@outlook.com</v>
      </c>
      <c r="G250" s="5" t="s">
        <v>3310</v>
      </c>
      <c r="H250" s="9">
        <v>45993.0</v>
      </c>
      <c r="I250" s="11"/>
    </row>
    <row r="251" ht="22.5" customHeight="1">
      <c r="A251" s="5" t="s">
        <v>1251</v>
      </c>
      <c r="B251" s="5" t="s">
        <v>3768</v>
      </c>
      <c r="C251" s="5" t="str">
        <f>IFERROR(__xludf.DUMMYFUNCTION("REGEXREPLACE(B251,""\D"","""")"),"9686923642")</f>
        <v>9686923642</v>
      </c>
      <c r="D251" s="12">
        <v>9.686923642E9</v>
      </c>
      <c r="E251" s="5" t="s">
        <v>3769</v>
      </c>
      <c r="F251" s="5" t="str">
        <f t="shared" si="1"/>
        <v>evan.liang@aol.com</v>
      </c>
      <c r="G251" s="5" t="s">
        <v>3769</v>
      </c>
      <c r="H251" s="9">
        <v>45929.0</v>
      </c>
      <c r="I251" s="9">
        <v>45951.0</v>
      </c>
    </row>
    <row r="252" ht="22.5" customHeight="1">
      <c r="A252" s="5" t="s">
        <v>1255</v>
      </c>
      <c r="B252" s="5" t="s">
        <v>3770</v>
      </c>
      <c r="C252" s="5" t="str">
        <f>IFERROR(__xludf.DUMMYFUNCTION("REGEXREPLACE(B252,""\D"","""")"),"6946796349")</f>
        <v>6946796349</v>
      </c>
      <c r="D252" s="12">
        <v>6.946796349E9</v>
      </c>
      <c r="E252" s="5" t="s">
        <v>3771</v>
      </c>
      <c r="F252" s="5" t="str">
        <f t="shared" si="1"/>
        <v>grace.cooper@outlook.com</v>
      </c>
      <c r="G252" s="5" t="s">
        <v>5095</v>
      </c>
      <c r="H252" s="9">
        <v>46220.0</v>
      </c>
      <c r="I252" s="9">
        <v>46241.0</v>
      </c>
    </row>
    <row r="253" ht="22.5" customHeight="1">
      <c r="A253" s="5" t="s">
        <v>1258</v>
      </c>
      <c r="B253" s="5" t="s">
        <v>3773</v>
      </c>
      <c r="C253" s="5" t="str">
        <f>IFERROR(__xludf.DUMMYFUNCTION("REGEXREPLACE(B253,""\D"","""")"),"6218871966")</f>
        <v>6218871966</v>
      </c>
      <c r="D253" s="12">
        <v>6.218871966E9</v>
      </c>
      <c r="E253" s="5" t="s">
        <v>3774</v>
      </c>
      <c r="F253" s="5" t="str">
        <f t="shared" si="1"/>
        <v>robert.martinez@hotmail.com</v>
      </c>
      <c r="G253" s="5" t="s">
        <v>5096</v>
      </c>
      <c r="H253" s="9">
        <v>46239.0</v>
      </c>
      <c r="I253" s="9">
        <v>46250.0</v>
      </c>
    </row>
    <row r="254" ht="22.5" customHeight="1">
      <c r="A254" s="5" t="s">
        <v>1261</v>
      </c>
      <c r="B254" s="5" t="s">
        <v>3776</v>
      </c>
      <c r="C254" s="5" t="str">
        <f>IFERROR(__xludf.DUMMYFUNCTION("REGEXREPLACE(B254,""\D"","""")"),"9493337180")</f>
        <v>9493337180</v>
      </c>
      <c r="D254" s="12">
        <v>9.49333718E9</v>
      </c>
      <c r="E254" s="5" t="s">
        <v>3777</v>
      </c>
      <c r="F254" s="5" t="str">
        <f t="shared" si="1"/>
        <v>hannah.jiang@gmail.com</v>
      </c>
      <c r="G254" s="5" t="s">
        <v>4056</v>
      </c>
      <c r="H254" s="9">
        <v>45792.0</v>
      </c>
      <c r="I254" s="9">
        <v>45804.0</v>
      </c>
    </row>
    <row r="255" ht="22.5" customHeight="1">
      <c r="A255" s="5" t="s">
        <v>1263</v>
      </c>
      <c r="B255" s="5" t="s">
        <v>3778</v>
      </c>
      <c r="C255" s="5" t="str">
        <f>IFERROR(__xludf.DUMMYFUNCTION("REGEXREPLACE(B255,""\D"","""")"),"3462951285")</f>
        <v>3462951285</v>
      </c>
      <c r="D255" s="12">
        <v>3.462951285E9</v>
      </c>
      <c r="E255" s="5" t="s">
        <v>3779</v>
      </c>
      <c r="F255" s="5" t="str">
        <f t="shared" si="1"/>
        <v>grace.rodriguez@gmail.com</v>
      </c>
      <c r="G255" s="5" t="s">
        <v>3529</v>
      </c>
      <c r="H255" s="9">
        <v>45815.0</v>
      </c>
      <c r="I255" s="11"/>
    </row>
    <row r="256" ht="22.5" customHeight="1">
      <c r="A256" s="5" t="s">
        <v>1266</v>
      </c>
      <c r="B256" s="5" t="s">
        <v>3781</v>
      </c>
      <c r="C256" s="5" t="str">
        <f>IFERROR(__xludf.DUMMYFUNCTION("REGEXREPLACE(B256,""\D"","""")"),"6473267822")</f>
        <v>6473267822</v>
      </c>
      <c r="D256" s="12">
        <v>6.473267822E9</v>
      </c>
      <c r="E256" s="5" t="s">
        <v>3782</v>
      </c>
      <c r="F256" s="5" t="str">
        <f t="shared" si="1"/>
        <v>thomas.volkov@outlook.com</v>
      </c>
      <c r="G256" s="5" t="s">
        <v>5097</v>
      </c>
      <c r="H256" s="9">
        <v>45987.0</v>
      </c>
      <c r="I256" s="11"/>
    </row>
    <row r="257" ht="22.5" customHeight="1">
      <c r="A257" s="5" t="s">
        <v>1271</v>
      </c>
      <c r="B257" s="14" t="s">
        <v>3783</v>
      </c>
      <c r="C257" s="5" t="str">
        <f>IFERROR(__xludf.DUMMYFUNCTION("REGEXREPLACE(B257,""\D"","""")"),"7377947965")</f>
        <v>7377947965</v>
      </c>
      <c r="D257" s="12">
        <v>7.377947965E9</v>
      </c>
      <c r="E257" s="5" t="s">
        <v>3784</v>
      </c>
      <c r="F257" s="5" t="str">
        <f t="shared" si="1"/>
        <v>eva.davidson@gmail.com</v>
      </c>
      <c r="G257" s="5" t="s">
        <v>5098</v>
      </c>
      <c r="H257" s="9">
        <v>45975.0</v>
      </c>
      <c r="I257" s="11"/>
    </row>
    <row r="258" ht="22.5" customHeight="1">
      <c r="A258" s="5" t="s">
        <v>1274</v>
      </c>
      <c r="B258" s="5" t="s">
        <v>3785</v>
      </c>
      <c r="C258" s="5" t="str">
        <f>IFERROR(__xludf.DUMMYFUNCTION("REGEXREPLACE(B258,""\D"","""")"),"5656272562")</f>
        <v>5656272562</v>
      </c>
      <c r="D258" s="12">
        <v>5.656272562E9</v>
      </c>
      <c r="E258" s="5" t="s">
        <v>3786</v>
      </c>
      <c r="F258" s="5" t="str">
        <f t="shared" si="1"/>
        <v>david.lim@gmail.com</v>
      </c>
      <c r="G258" s="5" t="s">
        <v>5099</v>
      </c>
      <c r="H258" s="9">
        <v>46213.0</v>
      </c>
      <c r="I258" s="9">
        <v>46213.0</v>
      </c>
    </row>
    <row r="259" ht="22.5" customHeight="1">
      <c r="A259" s="5" t="s">
        <v>1279</v>
      </c>
      <c r="B259" s="14" t="s">
        <v>3787</v>
      </c>
      <c r="C259" s="5" t="str">
        <f>IFERROR(__xludf.DUMMYFUNCTION("REGEXREPLACE(B259,""\D"","""")"),"3569743211")</f>
        <v>3569743211</v>
      </c>
      <c r="D259" s="12">
        <v>3.569743211E9</v>
      </c>
      <c r="F259" s="10" t="str">
        <f t="shared" si="1"/>
        <v/>
      </c>
      <c r="G259" s="10" t="s">
        <v>4964</v>
      </c>
      <c r="H259" s="9">
        <v>46026.0</v>
      </c>
      <c r="I259" s="11"/>
    </row>
    <row r="260" ht="22.5" customHeight="1">
      <c r="A260" s="5" t="s">
        <v>1282</v>
      </c>
      <c r="B260" s="14" t="s">
        <v>3788</v>
      </c>
      <c r="C260" s="5" t="str">
        <f>IFERROR(__xludf.DUMMYFUNCTION("REGEXREPLACE(B260,""\D"","""")"),"8688507284")</f>
        <v>8688507284</v>
      </c>
      <c r="D260" s="12">
        <v>8.688507284E9</v>
      </c>
      <c r="E260" s="5" t="s">
        <v>3789</v>
      </c>
      <c r="F260" s="5" t="str">
        <f t="shared" si="1"/>
        <v>robert.cooper@gmail.com</v>
      </c>
      <c r="G260" s="5" t="s">
        <v>5100</v>
      </c>
      <c r="H260" s="9">
        <v>45746.0</v>
      </c>
      <c r="I260" s="9">
        <v>45754.0</v>
      </c>
    </row>
    <row r="261" ht="22.5" customHeight="1">
      <c r="A261" s="5" t="s">
        <v>1286</v>
      </c>
      <c r="B261" s="5" t="s">
        <v>3790</v>
      </c>
      <c r="C261" s="5" t="str">
        <f>IFERROR(__xludf.DUMMYFUNCTION("REGEXREPLACE(B261,""\D"","""")"),"7273106616")</f>
        <v>7273106616</v>
      </c>
      <c r="D261" s="12">
        <v>7.273106616E9</v>
      </c>
      <c r="E261" s="5" t="s">
        <v>3791</v>
      </c>
      <c r="F261" s="5" t="str">
        <f t="shared" si="1"/>
        <v>thomas.white@outlook.com</v>
      </c>
      <c r="G261" s="5" t="s">
        <v>5101</v>
      </c>
      <c r="H261" s="9">
        <v>45725.0</v>
      </c>
      <c r="I261" s="9">
        <v>45727.0</v>
      </c>
    </row>
    <row r="262" ht="22.5" customHeight="1">
      <c r="A262" s="5" t="s">
        <v>1289</v>
      </c>
      <c r="B262" s="5" t="s">
        <v>3792</v>
      </c>
      <c r="C262" s="5" t="str">
        <f>IFERROR(__xludf.DUMMYFUNCTION("REGEXREPLACE(B262,""\D"","""")"),"8423744380")</f>
        <v>8423744380</v>
      </c>
      <c r="D262" s="12">
        <v>8.42374438E9</v>
      </c>
      <c r="E262" s="5" t="s">
        <v>3793</v>
      </c>
      <c r="F262" s="5" t="str">
        <f t="shared" si="1"/>
        <v>craig.jackson@aol.com</v>
      </c>
      <c r="G262" s="5" t="s">
        <v>3793</v>
      </c>
      <c r="H262" s="9">
        <v>46192.0</v>
      </c>
      <c r="I262" s="9">
        <v>46192.0</v>
      </c>
    </row>
    <row r="263" ht="22.5" customHeight="1">
      <c r="A263" s="5" t="s">
        <v>1293</v>
      </c>
      <c r="B263" s="5" t="s">
        <v>3795</v>
      </c>
      <c r="C263" s="5" t="str">
        <f>IFERROR(__xludf.DUMMYFUNCTION("REGEXREPLACE(B263,""\D"","""")"),"8445088726")</f>
        <v>8445088726</v>
      </c>
      <c r="D263" s="12">
        <v>8.445088726E9</v>
      </c>
      <c r="E263" s="5" t="s">
        <v>3796</v>
      </c>
      <c r="F263" s="5" t="str">
        <f t="shared" si="1"/>
        <v>greg.kim@hotmail.com</v>
      </c>
      <c r="G263" s="5" t="s">
        <v>5102</v>
      </c>
      <c r="H263" s="9">
        <v>45916.0</v>
      </c>
      <c r="I263" s="9">
        <v>45916.0</v>
      </c>
    </row>
    <row r="264" ht="22.5" customHeight="1">
      <c r="A264" s="5" t="s">
        <v>1296</v>
      </c>
      <c r="B264" s="5" t="s">
        <v>3797</v>
      </c>
      <c r="C264" s="5" t="str">
        <f>IFERROR(__xludf.DUMMYFUNCTION("REGEXREPLACE(B264,""\D"","""")"),"9287679223")</f>
        <v>9287679223</v>
      </c>
      <c r="D264" s="12">
        <v>9.287679223E9</v>
      </c>
      <c r="E264" s="5" t="s">
        <v>3798</v>
      </c>
      <c r="F264" s="5" t="str">
        <f t="shared" si="1"/>
        <v>frank.richardson@outlook.com</v>
      </c>
      <c r="G264" s="5" t="s">
        <v>5103</v>
      </c>
      <c r="H264" s="9">
        <v>45967.0</v>
      </c>
      <c r="I264" s="11"/>
    </row>
    <row r="265" ht="22.5" customHeight="1">
      <c r="A265" s="5" t="s">
        <v>1299</v>
      </c>
      <c r="B265" s="5" t="s">
        <v>3799</v>
      </c>
      <c r="C265" s="5" t="str">
        <f>IFERROR(__xludf.DUMMYFUNCTION("REGEXREPLACE(B265,""\D"","""")"),"8157165819")</f>
        <v>8157165819</v>
      </c>
      <c r="D265" s="12">
        <v>8.157165819E9</v>
      </c>
      <c r="E265" s="5" t="s">
        <v>3800</v>
      </c>
      <c r="F265" s="5" t="str">
        <f t="shared" si="1"/>
        <v>olivia.smith@yahoo.com</v>
      </c>
      <c r="G265" s="5" t="s">
        <v>3800</v>
      </c>
      <c r="H265" s="9">
        <v>45816.0</v>
      </c>
      <c r="I265" s="9">
        <v>45820.0</v>
      </c>
    </row>
    <row r="266" ht="22.5" customHeight="1">
      <c r="A266" s="5" t="s">
        <v>1302</v>
      </c>
      <c r="B266" s="5" t="s">
        <v>3801</v>
      </c>
      <c r="C266" s="5" t="str">
        <f>IFERROR(__xludf.DUMMYFUNCTION("REGEXREPLACE(B266,""\D"","""")"),"7267802356")</f>
        <v>7267802356</v>
      </c>
      <c r="D266" s="12">
        <v>7.267802356E9</v>
      </c>
      <c r="E266" s="5" t="s">
        <v>3802</v>
      </c>
      <c r="F266" s="5" t="str">
        <f t="shared" si="1"/>
        <v>vanessa.volkov@outlook.com</v>
      </c>
      <c r="G266" s="5" t="s">
        <v>5104</v>
      </c>
      <c r="H266" s="9">
        <v>46203.0</v>
      </c>
      <c r="I266" s="9">
        <v>46228.0</v>
      </c>
    </row>
    <row r="267" ht="22.5" customHeight="1">
      <c r="A267" s="5" t="s">
        <v>1305</v>
      </c>
      <c r="B267" s="5" t="s">
        <v>3803</v>
      </c>
      <c r="C267" s="5" t="str">
        <f>IFERROR(__xludf.DUMMYFUNCTION("REGEXREPLACE(B267,""\D"","""")"),"9038797523")</f>
        <v>9038797523</v>
      </c>
      <c r="D267" s="12">
        <v>9.038797523E9</v>
      </c>
      <c r="E267" s="5" t="s">
        <v>3804</v>
      </c>
      <c r="F267" s="5" t="str">
        <f t="shared" si="1"/>
        <v>rob.rodriguez@outlook.com</v>
      </c>
      <c r="G267" s="5" t="s">
        <v>5105</v>
      </c>
      <c r="H267" s="9">
        <v>45976.0</v>
      </c>
      <c r="I267" s="11"/>
    </row>
    <row r="268" ht="22.5" customHeight="1">
      <c r="A268" s="5" t="s">
        <v>1309</v>
      </c>
      <c r="B268" s="5" t="s">
        <v>3805</v>
      </c>
      <c r="C268" s="5" t="str">
        <f>IFERROR(__xludf.DUMMYFUNCTION("REGEXREPLACE(B268,""\D"","""")"),"8972415727")</f>
        <v>8972415727</v>
      </c>
      <c r="D268" s="12">
        <v>8.972415727E9</v>
      </c>
      <c r="E268" s="5" t="s">
        <v>3806</v>
      </c>
      <c r="F268" s="5" t="str">
        <f t="shared" si="1"/>
        <v>harry.garcia@outlook.com</v>
      </c>
      <c r="G268" s="5" t="s">
        <v>5106</v>
      </c>
      <c r="H268" s="9">
        <v>46248.0</v>
      </c>
      <c r="I268" s="9">
        <v>46253.0</v>
      </c>
    </row>
    <row r="269" ht="22.5" customHeight="1">
      <c r="A269" s="5" t="s">
        <v>1311</v>
      </c>
      <c r="B269" s="5" t="s">
        <v>3807</v>
      </c>
      <c r="C269" s="5" t="str">
        <f>IFERROR(__xludf.DUMMYFUNCTION("REGEXREPLACE(B269,""\D"","""")"),"5038057291")</f>
        <v>5038057291</v>
      </c>
      <c r="D269" s="12">
        <v>5.038057291E9</v>
      </c>
      <c r="E269" s="5" t="s">
        <v>3808</v>
      </c>
      <c r="F269" s="5" t="str">
        <f t="shared" si="1"/>
        <v>frank.miller@yahoo.com</v>
      </c>
      <c r="G269" s="5" t="s">
        <v>5107</v>
      </c>
      <c r="H269" s="9">
        <v>46024.0</v>
      </c>
      <c r="I269" s="9">
        <v>46045.0</v>
      </c>
    </row>
    <row r="270" ht="22.5" customHeight="1">
      <c r="A270" s="5" t="s">
        <v>1314</v>
      </c>
      <c r="B270" s="5" t="s">
        <v>3810</v>
      </c>
      <c r="C270" s="5" t="str">
        <f>IFERROR(__xludf.DUMMYFUNCTION("REGEXREPLACE(B270,""\D"","""")"),"4203546991")</f>
        <v>4203546991</v>
      </c>
      <c r="D270" s="12">
        <v>4.203546991E9</v>
      </c>
      <c r="E270" s="5" t="s">
        <v>3811</v>
      </c>
      <c r="F270" s="5" t="str">
        <f t="shared" si="1"/>
        <v>tina.rodriguez@yahoo.com</v>
      </c>
      <c r="G270" s="5" t="s">
        <v>3811</v>
      </c>
      <c r="H270" s="9">
        <v>45813.0</v>
      </c>
      <c r="I270" s="11"/>
    </row>
    <row r="271" ht="22.5" customHeight="1">
      <c r="A271" s="5" t="s">
        <v>1317</v>
      </c>
      <c r="B271" s="5" t="s">
        <v>3812</v>
      </c>
      <c r="C271" s="5" t="str">
        <f>IFERROR(__xludf.DUMMYFUNCTION("REGEXREPLACE(B271,""\D"","""")"),"6235763840")</f>
        <v>6235763840</v>
      </c>
      <c r="D271" s="12">
        <v>6.23576384E9</v>
      </c>
      <c r="E271" s="5" t="s">
        <v>3813</v>
      </c>
      <c r="F271" s="5" t="str">
        <f t="shared" si="1"/>
        <v>eva.brown@outlook.com</v>
      </c>
      <c r="G271" s="5" t="s">
        <v>5108</v>
      </c>
      <c r="H271" s="9">
        <v>45749.0</v>
      </c>
      <c r="I271" s="11"/>
    </row>
    <row r="272" ht="22.5" customHeight="1">
      <c r="A272" s="5" t="s">
        <v>1321</v>
      </c>
      <c r="B272" s="5" t="s">
        <v>3814</v>
      </c>
      <c r="C272" s="5" t="str">
        <f>IFERROR(__xludf.DUMMYFUNCTION("REGEXREPLACE(B272,""\D"","""")"),"3382572820")</f>
        <v>3382572820</v>
      </c>
      <c r="D272" s="12">
        <v>3.38257282E9</v>
      </c>
      <c r="E272" s="5" t="s">
        <v>3815</v>
      </c>
      <c r="F272" s="5" t="str">
        <f t="shared" si="1"/>
        <v>grace.jiang@hotmail.com</v>
      </c>
      <c r="G272" s="5" t="s">
        <v>5109</v>
      </c>
      <c r="H272" s="11"/>
      <c r="I272" s="11"/>
    </row>
    <row r="273" ht="22.5" customHeight="1">
      <c r="A273" s="5" t="s">
        <v>1324</v>
      </c>
      <c r="B273" s="5" t="s">
        <v>3816</v>
      </c>
      <c r="C273" s="5" t="str">
        <f>IFERROR(__xludf.DUMMYFUNCTION("REGEXREPLACE(B273,""\D"","""")"),"4253083384")</f>
        <v>4253083384</v>
      </c>
      <c r="D273" s="12">
        <v>4.253083384E9</v>
      </c>
      <c r="E273" s="5" t="s">
        <v>3817</v>
      </c>
      <c r="F273" s="5" t="str">
        <f t="shared" si="1"/>
        <v>kevin.cooper@gmail.com</v>
      </c>
      <c r="G273" s="5" t="s">
        <v>5110</v>
      </c>
      <c r="H273" s="9">
        <v>45910.0</v>
      </c>
      <c r="I273" s="11"/>
    </row>
    <row r="274" ht="22.5" customHeight="1">
      <c r="A274" s="5" t="s">
        <v>1328</v>
      </c>
      <c r="B274" s="5" t="s">
        <v>3818</v>
      </c>
      <c r="C274" s="5" t="str">
        <f>IFERROR(__xludf.DUMMYFUNCTION("REGEXREPLACE(B274,""\D"","""")"),"7623135831")</f>
        <v>7623135831</v>
      </c>
      <c r="D274" s="12">
        <v>7.623135831E9</v>
      </c>
      <c r="E274" s="5" t="s">
        <v>3819</v>
      </c>
      <c r="F274" s="5" t="str">
        <f t="shared" si="1"/>
        <v>timothy.garcia@outlook.com</v>
      </c>
      <c r="G274" s="5" t="s">
        <v>3819</v>
      </c>
      <c r="H274" s="9">
        <v>45904.0</v>
      </c>
      <c r="I274" s="9">
        <v>45921.0</v>
      </c>
    </row>
    <row r="275" ht="22.5" customHeight="1">
      <c r="A275" s="5" t="s">
        <v>1332</v>
      </c>
      <c r="C275" s="10" t="str">
        <f>IFERROR(__xludf.DUMMYFUNCTION("REGEXREPLACE(B275,""\D"","""")"),"")</f>
        <v/>
      </c>
      <c r="D275" s="13" t="s">
        <v>4964</v>
      </c>
      <c r="E275" s="5" t="s">
        <v>3821</v>
      </c>
      <c r="F275" s="5" t="str">
        <f t="shared" si="1"/>
        <v>john.glover@yahoo.com</v>
      </c>
      <c r="G275" s="5" t="s">
        <v>3821</v>
      </c>
      <c r="H275" s="9">
        <v>45777.0</v>
      </c>
      <c r="I275" s="9">
        <v>45801.0</v>
      </c>
    </row>
    <row r="276" ht="22.5" customHeight="1">
      <c r="A276" s="5" t="s">
        <v>1336</v>
      </c>
      <c r="B276" s="14" t="s">
        <v>3822</v>
      </c>
      <c r="C276" s="5" t="str">
        <f>IFERROR(__xludf.DUMMYFUNCTION("REGEXREPLACE(B276,""\D"","""")"),"4998409636")</f>
        <v>4998409636</v>
      </c>
      <c r="D276" s="12">
        <v>4.998409636E9</v>
      </c>
      <c r="E276" s="5" t="s">
        <v>3823</v>
      </c>
      <c r="F276" s="5" t="str">
        <f t="shared" si="1"/>
        <v>nancy.smith@yahoo.com</v>
      </c>
      <c r="G276" s="5" t="s">
        <v>5111</v>
      </c>
      <c r="H276" s="9">
        <v>46039.0</v>
      </c>
      <c r="I276" s="11"/>
    </row>
    <row r="277" ht="22.5" customHeight="1">
      <c r="A277" s="5" t="s">
        <v>1339</v>
      </c>
      <c r="B277" s="14" t="s">
        <v>3824</v>
      </c>
      <c r="C277" s="5" t="str">
        <f>IFERROR(__xludf.DUMMYFUNCTION("REGEXREPLACE(B277,""\D"","""")"),"2669015890")</f>
        <v>2669015890</v>
      </c>
      <c r="D277" s="12">
        <v>2.66901589E9</v>
      </c>
      <c r="F277" s="10" t="str">
        <f t="shared" si="1"/>
        <v/>
      </c>
      <c r="G277" s="10" t="s">
        <v>4964</v>
      </c>
      <c r="H277" s="9">
        <v>45727.0</v>
      </c>
      <c r="I277" s="9">
        <v>45743.0</v>
      </c>
    </row>
    <row r="278" ht="22.5" customHeight="1">
      <c r="A278" s="5" t="s">
        <v>1341</v>
      </c>
      <c r="B278" s="5" t="s">
        <v>3825</v>
      </c>
      <c r="C278" s="5" t="str">
        <f>IFERROR(__xludf.DUMMYFUNCTION("REGEXREPLACE(B278,""\D"","""")"),"9412323723")</f>
        <v>9412323723</v>
      </c>
      <c r="D278" s="12">
        <v>9.412323723E9</v>
      </c>
      <c r="E278" s="5" t="s">
        <v>3826</v>
      </c>
      <c r="F278" s="5" t="str">
        <f t="shared" si="1"/>
        <v>sally.young@yahoo.com</v>
      </c>
      <c r="G278" s="5" t="s">
        <v>3826</v>
      </c>
      <c r="H278" s="9">
        <v>46060.0</v>
      </c>
      <c r="I278" s="11"/>
    </row>
    <row r="279" ht="22.5" customHeight="1">
      <c r="A279" s="5" t="s">
        <v>1345</v>
      </c>
      <c r="B279" s="5" t="s">
        <v>3827</v>
      </c>
      <c r="C279" s="5" t="str">
        <f>IFERROR(__xludf.DUMMYFUNCTION("REGEXREPLACE(B279,""\D"","""")"),"5975934153")</f>
        <v>5975934153</v>
      </c>
      <c r="D279" s="12">
        <v>5.975934153E9</v>
      </c>
      <c r="E279" s="5" t="s">
        <v>3828</v>
      </c>
      <c r="F279" s="5" t="str">
        <f t="shared" si="1"/>
        <v>kevin.chan@hotmail.com</v>
      </c>
      <c r="G279" s="5" t="s">
        <v>3828</v>
      </c>
      <c r="H279" s="9">
        <v>45914.0</v>
      </c>
      <c r="I279" s="9">
        <v>45914.0</v>
      </c>
    </row>
    <row r="280" ht="22.5" customHeight="1">
      <c r="A280" s="5" t="s">
        <v>1350</v>
      </c>
      <c r="B280" s="14" t="s">
        <v>3830</v>
      </c>
      <c r="C280" s="5" t="str">
        <f>IFERROR(__xludf.DUMMYFUNCTION("REGEXREPLACE(B280,""\D"","""")"),"2797907766")</f>
        <v>2797907766</v>
      </c>
      <c r="D280" s="12">
        <v>2.797907766E9</v>
      </c>
      <c r="E280" s="5" t="s">
        <v>3831</v>
      </c>
      <c r="F280" s="5" t="str">
        <f t="shared" si="1"/>
        <v>olvia.rodriguez@gmail.com</v>
      </c>
      <c r="G280" s="5" t="s">
        <v>5112</v>
      </c>
      <c r="H280" s="9">
        <v>46058.0</v>
      </c>
      <c r="I280" s="11"/>
    </row>
    <row r="281" ht="22.5" customHeight="1">
      <c r="A281" s="5" t="s">
        <v>1352</v>
      </c>
      <c r="C281" s="10" t="str">
        <f>IFERROR(__xludf.DUMMYFUNCTION("REGEXREPLACE(B281,""\D"","""")"),"")</f>
        <v/>
      </c>
      <c r="D281" s="13" t="s">
        <v>4964</v>
      </c>
      <c r="E281" s="5" t="s">
        <v>3832</v>
      </c>
      <c r="F281" s="5" t="str">
        <f t="shared" si="1"/>
        <v>daniella.lopez@aol.com</v>
      </c>
      <c r="G281" s="5" t="s">
        <v>3832</v>
      </c>
      <c r="H281" s="9">
        <v>45968.0</v>
      </c>
      <c r="I281" s="9">
        <v>45982.0</v>
      </c>
    </row>
    <row r="282" ht="22.5" customHeight="1">
      <c r="A282" s="5" t="s">
        <v>1353</v>
      </c>
      <c r="C282" s="10" t="str">
        <f>IFERROR(__xludf.DUMMYFUNCTION("REGEXREPLACE(B282,""\D"","""")"),"")</f>
        <v/>
      </c>
      <c r="D282" s="13" t="s">
        <v>4964</v>
      </c>
      <c r="E282" s="5" t="s">
        <v>3833</v>
      </c>
      <c r="F282" s="5" t="str">
        <f t="shared" si="1"/>
        <v>john.jackson@yahoo.com</v>
      </c>
      <c r="G282" s="5" t="s">
        <v>3833</v>
      </c>
      <c r="H282" s="9">
        <v>46203.0</v>
      </c>
      <c r="I282" s="11"/>
    </row>
    <row r="283" ht="22.5" customHeight="1">
      <c r="A283" s="5" t="s">
        <v>1356</v>
      </c>
      <c r="B283" s="5" t="s">
        <v>3834</v>
      </c>
      <c r="C283" s="5" t="str">
        <f>IFERROR(__xludf.DUMMYFUNCTION("REGEXREPLACE(B283,""\D"","""")"),"2417014184")</f>
        <v>2417014184</v>
      </c>
      <c r="D283" s="12">
        <v>2.417014184E9</v>
      </c>
      <c r="E283" s="5" t="s">
        <v>3835</v>
      </c>
      <c r="F283" s="5" t="str">
        <f t="shared" si="1"/>
        <v>hannah.sharp@yahoo.com</v>
      </c>
      <c r="G283" s="5" t="s">
        <v>5113</v>
      </c>
      <c r="H283" s="9">
        <v>45778.0</v>
      </c>
      <c r="I283" s="11"/>
    </row>
    <row r="284" ht="22.5" customHeight="1">
      <c r="A284" s="5" t="s">
        <v>1357</v>
      </c>
      <c r="B284" s="5" t="s">
        <v>3836</v>
      </c>
      <c r="C284" s="5" t="str">
        <f>IFERROR(__xludf.DUMMYFUNCTION("REGEXREPLACE(B284,""\D"","""")"),"5444281233")</f>
        <v>5444281233</v>
      </c>
      <c r="D284" s="12">
        <v>5.444281233E9</v>
      </c>
      <c r="E284" s="5" t="s">
        <v>3837</v>
      </c>
      <c r="F284" s="5" t="str">
        <f t="shared" si="1"/>
        <v>alice.lee@gmail.com</v>
      </c>
      <c r="G284" s="5" t="s">
        <v>5114</v>
      </c>
      <c r="H284" s="9">
        <v>46065.0</v>
      </c>
      <c r="I284" s="9">
        <v>46067.0</v>
      </c>
    </row>
    <row r="285" ht="22.5" customHeight="1">
      <c r="A285" s="5" t="s">
        <v>1358</v>
      </c>
      <c r="B285" s="5" t="s">
        <v>3838</v>
      </c>
      <c r="C285" s="5" t="str">
        <f>IFERROR(__xludf.DUMMYFUNCTION("REGEXREPLACE(B285,""\D"","""")"),"8657902674")</f>
        <v>8657902674</v>
      </c>
      <c r="D285" s="12">
        <v>8.657902674E9</v>
      </c>
      <c r="E285" s="5" t="s">
        <v>3839</v>
      </c>
      <c r="F285" s="5" t="str">
        <f t="shared" si="1"/>
        <v>jasmine.rodriguez@aol.com</v>
      </c>
      <c r="G285" s="5" t="s">
        <v>5115</v>
      </c>
      <c r="H285" s="9">
        <v>46000.0</v>
      </c>
      <c r="I285" s="9">
        <v>46005.0</v>
      </c>
    </row>
    <row r="286" ht="22.5" customHeight="1">
      <c r="A286" s="5" t="s">
        <v>1360</v>
      </c>
      <c r="B286" s="5" t="s">
        <v>3842</v>
      </c>
      <c r="C286" s="5" t="str">
        <f>IFERROR(__xludf.DUMMYFUNCTION("REGEXREPLACE(B286,""\D"","""")"),"7592673472")</f>
        <v>7592673472</v>
      </c>
      <c r="D286" s="12">
        <v>7.592673472E9</v>
      </c>
      <c r="E286" s="5" t="s">
        <v>3843</v>
      </c>
      <c r="F286" s="5" t="str">
        <f t="shared" si="1"/>
        <v>michelle.richardson@aol.com</v>
      </c>
      <c r="G286" s="5" t="s">
        <v>3843</v>
      </c>
      <c r="H286" s="9">
        <v>45789.0</v>
      </c>
      <c r="I286" s="11"/>
    </row>
    <row r="287" ht="22.5" customHeight="1">
      <c r="A287" s="5" t="s">
        <v>1364</v>
      </c>
      <c r="B287" s="14" t="s">
        <v>3845</v>
      </c>
      <c r="C287" s="5" t="str">
        <f>IFERROR(__xludf.DUMMYFUNCTION("REGEXREPLACE(B287,""\D"","""")"),"9049632379")</f>
        <v>9049632379</v>
      </c>
      <c r="D287" s="12">
        <v>9.049632379E9</v>
      </c>
      <c r="E287" s="5" t="s">
        <v>3846</v>
      </c>
      <c r="F287" s="5" t="str">
        <f t="shared" si="1"/>
        <v>hannah.davis@outlook.com</v>
      </c>
      <c r="G287" s="5" t="s">
        <v>5116</v>
      </c>
      <c r="H287" s="9">
        <v>45828.0</v>
      </c>
      <c r="I287" s="11"/>
    </row>
    <row r="288" ht="22.5" customHeight="1">
      <c r="A288" s="5" t="s">
        <v>1367</v>
      </c>
      <c r="B288" s="5" t="s">
        <v>3847</v>
      </c>
      <c r="C288" s="5" t="str">
        <f>IFERROR(__xludf.DUMMYFUNCTION("REGEXREPLACE(B288,""\D"","""")"),"7868179103")</f>
        <v>7868179103</v>
      </c>
      <c r="D288" s="12">
        <v>7.868179103E9</v>
      </c>
      <c r="E288" s="5" t="s">
        <v>3848</v>
      </c>
      <c r="F288" s="5" t="str">
        <f t="shared" si="1"/>
        <v>charlie.rodriguez@aol.com</v>
      </c>
      <c r="G288" s="5" t="s">
        <v>5117</v>
      </c>
      <c r="H288" s="9">
        <v>45787.0</v>
      </c>
      <c r="I288" s="11"/>
    </row>
    <row r="289" ht="22.5" customHeight="1">
      <c r="A289" s="5" t="s">
        <v>1369</v>
      </c>
      <c r="B289" s="5" t="s">
        <v>3849</v>
      </c>
      <c r="C289" s="5" t="str">
        <f>IFERROR(__xludf.DUMMYFUNCTION("REGEXREPLACE(B289,""\D"","""")"),"8516227353")</f>
        <v>8516227353</v>
      </c>
      <c r="D289" s="12">
        <v>8.516227353E9</v>
      </c>
      <c r="E289" s="5" t="s">
        <v>3850</v>
      </c>
      <c r="F289" s="5" t="str">
        <f t="shared" si="1"/>
        <v>josephine.johnson@outlook.com</v>
      </c>
      <c r="G289" s="5" t="s">
        <v>5118</v>
      </c>
      <c r="H289" s="9">
        <v>46180.0</v>
      </c>
      <c r="I289" s="9">
        <v>46208.0</v>
      </c>
    </row>
    <row r="290" ht="22.5" customHeight="1">
      <c r="A290" s="5" t="s">
        <v>1372</v>
      </c>
      <c r="B290" s="14" t="s">
        <v>3852</v>
      </c>
      <c r="C290" s="5" t="str">
        <f>IFERROR(__xludf.DUMMYFUNCTION("REGEXREPLACE(B290,""\D"","""")"),"9673861243")</f>
        <v>9673861243</v>
      </c>
      <c r="D290" s="12">
        <v>9.673861243E9</v>
      </c>
      <c r="E290" s="5" t="s">
        <v>3853</v>
      </c>
      <c r="F290" s="5" t="str">
        <f t="shared" si="1"/>
        <v>bob.smith@aol.com</v>
      </c>
      <c r="G290" s="5" t="s">
        <v>5119</v>
      </c>
      <c r="H290" s="9">
        <v>45764.0</v>
      </c>
      <c r="I290" s="9">
        <v>45770.0</v>
      </c>
    </row>
    <row r="291" ht="22.5" customHeight="1">
      <c r="A291" s="5" t="s">
        <v>1374</v>
      </c>
      <c r="B291" s="5" t="s">
        <v>3854</v>
      </c>
      <c r="C291" s="5" t="str">
        <f>IFERROR(__xludf.DUMMYFUNCTION("REGEXREPLACE(B291,""\D"","""")"),"3543256010")</f>
        <v>3543256010</v>
      </c>
      <c r="D291" s="12">
        <v>3.54325601E9</v>
      </c>
      <c r="E291" s="5" t="s">
        <v>3855</v>
      </c>
      <c r="F291" s="5" t="str">
        <f t="shared" si="1"/>
        <v>louis.bush@outlook.com</v>
      </c>
      <c r="G291" s="5" t="s">
        <v>5120</v>
      </c>
      <c r="H291" s="9">
        <v>45901.0</v>
      </c>
      <c r="I291" s="9">
        <v>45926.0</v>
      </c>
    </row>
    <row r="292" ht="22.5" customHeight="1">
      <c r="A292" s="5" t="s">
        <v>1377</v>
      </c>
      <c r="B292" s="5" t="s">
        <v>3857</v>
      </c>
      <c r="C292" s="5" t="str">
        <f>IFERROR(__xludf.DUMMYFUNCTION("REGEXREPLACE(B292,""\D"","""")"),"8362472030")</f>
        <v>8362472030</v>
      </c>
      <c r="D292" s="12">
        <v>8.36247203E9</v>
      </c>
      <c r="E292" s="5" t="s">
        <v>3858</v>
      </c>
      <c r="F292" s="5" t="str">
        <f t="shared" si="1"/>
        <v>frank.cooper@hotmail.com</v>
      </c>
      <c r="G292" s="5" t="s">
        <v>5121</v>
      </c>
      <c r="H292" s="9">
        <v>45741.0</v>
      </c>
      <c r="I292" s="9">
        <v>45750.0</v>
      </c>
    </row>
    <row r="293" ht="22.5" customHeight="1">
      <c r="A293" s="5" t="s">
        <v>1380</v>
      </c>
      <c r="B293" s="5" t="s">
        <v>3860</v>
      </c>
      <c r="C293" s="5" t="str">
        <f>IFERROR(__xludf.DUMMYFUNCTION("REGEXREPLACE(B293,""\D"","""")"),"2506847255")</f>
        <v>2506847255</v>
      </c>
      <c r="D293" s="12">
        <v>2.506847255E9</v>
      </c>
      <c r="E293" s="5" t="s">
        <v>3861</v>
      </c>
      <c r="F293" s="5" t="str">
        <f t="shared" si="1"/>
        <v>david.davidson@aol.com</v>
      </c>
      <c r="G293" s="5" t="s">
        <v>5122</v>
      </c>
      <c r="H293" s="11"/>
      <c r="I293" s="11"/>
    </row>
    <row r="294" ht="22.5" customHeight="1">
      <c r="A294" s="5" t="s">
        <v>1384</v>
      </c>
      <c r="B294" s="5" t="s">
        <v>3862</v>
      </c>
      <c r="C294" s="5" t="str">
        <f>IFERROR(__xludf.DUMMYFUNCTION("REGEXREPLACE(B294,""\D"","""")"),"2495191520")</f>
        <v>2495191520</v>
      </c>
      <c r="D294" s="12">
        <v>2.49519152E9</v>
      </c>
      <c r="E294" s="5" t="s">
        <v>3863</v>
      </c>
      <c r="F294" s="5" t="str">
        <f t="shared" si="1"/>
        <v>ava.williams@gmail.com</v>
      </c>
      <c r="G294" s="5" t="s">
        <v>3863</v>
      </c>
      <c r="H294" s="9">
        <v>46173.0</v>
      </c>
      <c r="I294" s="11"/>
    </row>
    <row r="295" ht="22.5" customHeight="1">
      <c r="A295" s="5" t="s">
        <v>1387</v>
      </c>
      <c r="B295" s="5" t="s">
        <v>3864</v>
      </c>
      <c r="C295" s="5" t="str">
        <f>IFERROR(__xludf.DUMMYFUNCTION("REGEXREPLACE(B295,""\D"","""")"),"4995912735")</f>
        <v>4995912735</v>
      </c>
      <c r="D295" s="12">
        <v>4.995912735E9</v>
      </c>
      <c r="E295" s="5" t="s">
        <v>3865</v>
      </c>
      <c r="F295" s="5" t="str">
        <f t="shared" si="1"/>
        <v>ian.young@yahoo.com</v>
      </c>
      <c r="G295" s="5" t="s">
        <v>5123</v>
      </c>
      <c r="H295" s="9">
        <v>45959.0</v>
      </c>
      <c r="I295" s="9">
        <v>45967.0</v>
      </c>
    </row>
    <row r="296" ht="22.5" customHeight="1">
      <c r="A296" s="5" t="s">
        <v>1389</v>
      </c>
      <c r="B296" s="5" t="s">
        <v>3867</v>
      </c>
      <c r="C296" s="5" t="str">
        <f>IFERROR(__xludf.DUMMYFUNCTION("REGEXREPLACE(B296,""\D"","""")"),"5066328912")</f>
        <v>5066328912</v>
      </c>
      <c r="D296" s="12">
        <v>5.066328912E9</v>
      </c>
      <c r="E296" s="5" t="s">
        <v>3868</v>
      </c>
      <c r="F296" s="5" t="str">
        <f t="shared" si="1"/>
        <v>aidan.rodriguez@yahoo.com</v>
      </c>
      <c r="G296" s="5" t="s">
        <v>5124</v>
      </c>
      <c r="H296" s="9">
        <v>45998.0</v>
      </c>
      <c r="I296" s="9">
        <v>46018.0</v>
      </c>
    </row>
    <row r="297" ht="22.5" customHeight="1">
      <c r="A297" s="5" t="s">
        <v>1394</v>
      </c>
      <c r="B297" s="5" t="s">
        <v>3871</v>
      </c>
      <c r="C297" s="5" t="str">
        <f>IFERROR(__xludf.DUMMYFUNCTION("REGEXREPLACE(B297,""\D"","""")"),"8977432212")</f>
        <v>8977432212</v>
      </c>
      <c r="D297" s="12">
        <v>8.977432212E9</v>
      </c>
      <c r="E297" s="5" t="s">
        <v>3872</v>
      </c>
      <c r="F297" s="5" t="str">
        <f t="shared" si="1"/>
        <v>tom.ng@yahoo.com</v>
      </c>
      <c r="G297" s="5" t="s">
        <v>3872</v>
      </c>
      <c r="H297" s="9">
        <v>45756.0</v>
      </c>
      <c r="I297" s="11"/>
    </row>
    <row r="298" ht="22.5" customHeight="1">
      <c r="A298" s="5" t="s">
        <v>1397</v>
      </c>
      <c r="B298" s="5" t="s">
        <v>3873</v>
      </c>
      <c r="C298" s="5" t="str">
        <f>IFERROR(__xludf.DUMMYFUNCTION("REGEXREPLACE(B298,""\D"","""")"),"9888795416")</f>
        <v>9888795416</v>
      </c>
      <c r="D298" s="12">
        <v>9.888795416E9</v>
      </c>
      <c r="E298" s="5" t="s">
        <v>3874</v>
      </c>
      <c r="F298" s="5" t="str">
        <f t="shared" si="1"/>
        <v>pauline.white@outlook.com</v>
      </c>
      <c r="G298" s="5" t="s">
        <v>3874</v>
      </c>
      <c r="H298" s="9">
        <v>45921.0</v>
      </c>
      <c r="I298" s="9">
        <v>45923.0</v>
      </c>
    </row>
    <row r="299" ht="22.5" customHeight="1">
      <c r="A299" s="5" t="s">
        <v>1400</v>
      </c>
      <c r="B299" s="5" t="s">
        <v>3875</v>
      </c>
      <c r="C299" s="5" t="str">
        <f>IFERROR(__xludf.DUMMYFUNCTION("REGEXREPLACE(B299,""\D"","""")"),"5189921025")</f>
        <v>5189921025</v>
      </c>
      <c r="D299" s="12">
        <v>5.189921025E9</v>
      </c>
      <c r="E299" s="5" t="s">
        <v>3876</v>
      </c>
      <c r="F299" s="5" t="str">
        <f t="shared" si="1"/>
        <v>charlie.young@hotmail.com</v>
      </c>
      <c r="G299" s="5" t="s">
        <v>3876</v>
      </c>
      <c r="H299" s="9">
        <v>46219.0</v>
      </c>
      <c r="I299" s="9">
        <v>46247.0</v>
      </c>
    </row>
    <row r="300" ht="22.5" customHeight="1">
      <c r="A300" s="5" t="s">
        <v>1404</v>
      </c>
      <c r="B300" s="5" t="s">
        <v>3877</v>
      </c>
      <c r="C300" s="5" t="str">
        <f>IFERROR(__xludf.DUMMYFUNCTION("REGEXREPLACE(B300,""\D"","""")"),"5487289481")</f>
        <v>5487289481</v>
      </c>
      <c r="D300" s="12">
        <v>5.487289481E9</v>
      </c>
      <c r="E300" s="5" t="s">
        <v>3878</v>
      </c>
      <c r="F300" s="5" t="str">
        <f t="shared" si="1"/>
        <v>john.martinez@hotmail.com</v>
      </c>
      <c r="G300" s="5" t="s">
        <v>5125</v>
      </c>
      <c r="H300" s="9">
        <v>45807.0</v>
      </c>
      <c r="I300" s="9">
        <v>45836.0</v>
      </c>
    </row>
    <row r="301" ht="22.5" customHeight="1">
      <c r="A301" s="5" t="s">
        <v>1406</v>
      </c>
      <c r="B301" s="5" t="s">
        <v>3879</v>
      </c>
      <c r="C301" s="5" t="str">
        <f>IFERROR(__xludf.DUMMYFUNCTION("REGEXREPLACE(B301,""\D"","""")"),"5585069390")</f>
        <v>5585069390</v>
      </c>
      <c r="D301" s="12">
        <v>5.58506939E9</v>
      </c>
      <c r="E301" s="5" t="s">
        <v>3880</v>
      </c>
      <c r="F301" s="5" t="str">
        <f t="shared" si="1"/>
        <v>hannah.miller@outlook.com</v>
      </c>
      <c r="G301" s="5" t="s">
        <v>3880</v>
      </c>
      <c r="H301" s="9">
        <v>45917.0</v>
      </c>
      <c r="I301" s="11"/>
    </row>
    <row r="302" ht="22.5" customHeight="1">
      <c r="A302" s="5" t="s">
        <v>1408</v>
      </c>
      <c r="B302" s="5" t="s">
        <v>3881</v>
      </c>
      <c r="C302" s="5" t="str">
        <f>IFERROR(__xludf.DUMMYFUNCTION("REGEXREPLACE(B302,""\D"","""")"),"7514168496")</f>
        <v>7514168496</v>
      </c>
      <c r="D302" s="12">
        <v>7.514168496E9</v>
      </c>
      <c r="E302" s="5" t="s">
        <v>3882</v>
      </c>
      <c r="F302" s="5" t="str">
        <f t="shared" si="1"/>
        <v>charlie.little@outlook.com</v>
      </c>
      <c r="G302" s="5" t="s">
        <v>5126</v>
      </c>
      <c r="H302" s="9">
        <v>46045.0</v>
      </c>
      <c r="I302" s="11"/>
    </row>
    <row r="303" ht="22.5" customHeight="1">
      <c r="A303" s="5" t="s">
        <v>1411</v>
      </c>
      <c r="B303" s="5" t="s">
        <v>3883</v>
      </c>
      <c r="C303" s="5" t="str">
        <f>IFERROR(__xludf.DUMMYFUNCTION("REGEXREPLACE(B303,""\D"","""")"),"2525151755")</f>
        <v>2525151755</v>
      </c>
      <c r="D303" s="12">
        <v>2.525151755E9</v>
      </c>
      <c r="E303" s="5" t="s">
        <v>3884</v>
      </c>
      <c r="F303" s="5" t="str">
        <f t="shared" si="1"/>
        <v>alice.perez@gmail.com</v>
      </c>
      <c r="G303" s="5" t="s">
        <v>5127</v>
      </c>
      <c r="H303" s="9">
        <v>46172.0</v>
      </c>
      <c r="I303" s="11"/>
    </row>
    <row r="304" ht="22.5" customHeight="1">
      <c r="A304" s="5" t="s">
        <v>1414</v>
      </c>
      <c r="B304" s="5" t="s">
        <v>3885</v>
      </c>
      <c r="C304" s="5" t="str">
        <f>IFERROR(__xludf.DUMMYFUNCTION("REGEXREPLACE(B304,""\D"","""")"),"7979163505")</f>
        <v>7979163505</v>
      </c>
      <c r="D304" s="12">
        <v>7.979163505E9</v>
      </c>
      <c r="E304" s="5" t="s">
        <v>3886</v>
      </c>
      <c r="F304" s="5" t="str">
        <f t="shared" si="1"/>
        <v>ryan.jackson@gmail.com</v>
      </c>
      <c r="G304" s="5" t="s">
        <v>5128</v>
      </c>
      <c r="H304" s="9">
        <v>45914.0</v>
      </c>
      <c r="I304" s="9">
        <v>45932.0</v>
      </c>
    </row>
    <row r="305" ht="22.5" customHeight="1">
      <c r="A305" s="5" t="s">
        <v>1418</v>
      </c>
      <c r="B305" s="14" t="s">
        <v>3888</v>
      </c>
      <c r="C305" s="5" t="str">
        <f>IFERROR(__xludf.DUMMYFUNCTION("REGEXREPLACE(B305,""\D"","""")"),"8089443597")</f>
        <v>8089443597</v>
      </c>
      <c r="D305" s="12">
        <v>8.089443597E9</v>
      </c>
      <c r="E305" s="5" t="s">
        <v>3889</v>
      </c>
      <c r="F305" s="5" t="str">
        <f t="shared" si="1"/>
        <v>nicholas.doe@gmail.com</v>
      </c>
      <c r="G305" s="5" t="s">
        <v>5129</v>
      </c>
      <c r="H305" s="9">
        <v>46124.0</v>
      </c>
      <c r="I305" s="9">
        <v>46145.0</v>
      </c>
    </row>
    <row r="306" ht="22.5" customHeight="1">
      <c r="A306" s="5" t="s">
        <v>1421</v>
      </c>
      <c r="B306" s="5" t="s">
        <v>3890</v>
      </c>
      <c r="C306" s="5" t="str">
        <f>IFERROR(__xludf.DUMMYFUNCTION("REGEXREPLACE(B306,""\D"","""")"),"6499988901")</f>
        <v>6499988901</v>
      </c>
      <c r="D306" s="12">
        <v>6.499988901E9</v>
      </c>
      <c r="E306" s="5" t="s">
        <v>3891</v>
      </c>
      <c r="F306" s="5" t="str">
        <f t="shared" si="1"/>
        <v>theresa.jackson@gmail.com</v>
      </c>
      <c r="G306" s="5" t="s">
        <v>5130</v>
      </c>
      <c r="H306" s="9">
        <v>46162.0</v>
      </c>
      <c r="I306" s="11"/>
    </row>
    <row r="307" ht="22.5" customHeight="1">
      <c r="A307" s="5" t="s">
        <v>1425</v>
      </c>
      <c r="B307" s="5" t="s">
        <v>3892</v>
      </c>
      <c r="C307" s="5" t="str">
        <f>IFERROR(__xludf.DUMMYFUNCTION("REGEXREPLACE(B307,""\D"","""")"),"2147526798")</f>
        <v>2147526798</v>
      </c>
      <c r="D307" s="12">
        <v>2.147526798E9</v>
      </c>
      <c r="E307" s="5" t="s">
        <v>3893</v>
      </c>
      <c r="F307" s="5" t="str">
        <f t="shared" si="1"/>
        <v>frank.johnson@yahoo.com</v>
      </c>
      <c r="G307" s="5" t="s">
        <v>5013</v>
      </c>
      <c r="H307" s="9">
        <v>46225.0</v>
      </c>
      <c r="I307" s="11"/>
    </row>
    <row r="308" ht="22.5" customHeight="1">
      <c r="A308" s="5" t="s">
        <v>1427</v>
      </c>
      <c r="B308" s="5" t="s">
        <v>3894</v>
      </c>
      <c r="C308" s="5" t="str">
        <f>IFERROR(__xludf.DUMMYFUNCTION("REGEXREPLACE(B308,""\D"","""")"),"4559236482")</f>
        <v>4559236482</v>
      </c>
      <c r="D308" s="12">
        <v>4.559236482E9</v>
      </c>
      <c r="E308" s="5" t="s">
        <v>3895</v>
      </c>
      <c r="F308" s="5" t="str">
        <f t="shared" si="1"/>
        <v>harry.smith@gmail.com</v>
      </c>
      <c r="G308" s="5" t="s">
        <v>5131</v>
      </c>
      <c r="H308" s="9">
        <v>46235.0</v>
      </c>
      <c r="I308" s="9">
        <v>46237.0</v>
      </c>
    </row>
    <row r="309" ht="22.5" customHeight="1">
      <c r="A309" s="5" t="s">
        <v>1430</v>
      </c>
      <c r="B309" s="5" t="s">
        <v>3897</v>
      </c>
      <c r="C309" s="5" t="str">
        <f>IFERROR(__xludf.DUMMYFUNCTION("REGEXREPLACE(B309,""\D"","""")"),"2399385922")</f>
        <v>2399385922</v>
      </c>
      <c r="D309" s="12">
        <v>2.399385922E9</v>
      </c>
      <c r="E309" s="5" t="s">
        <v>3898</v>
      </c>
      <c r="F309" s="5" t="str">
        <f t="shared" si="1"/>
        <v>eva.lopez@aol.com</v>
      </c>
      <c r="G309" s="5" t="s">
        <v>5132</v>
      </c>
      <c r="H309" s="9">
        <v>46092.0</v>
      </c>
      <c r="I309" s="9">
        <v>46107.0</v>
      </c>
    </row>
    <row r="310" ht="22.5" customHeight="1">
      <c r="A310" s="5" t="s">
        <v>1432</v>
      </c>
      <c r="B310" s="14" t="s">
        <v>3899</v>
      </c>
      <c r="C310" s="5" t="str">
        <f>IFERROR(__xludf.DUMMYFUNCTION("REGEXREPLACE(B310,""\D"","""")"),"2767665386")</f>
        <v>2767665386</v>
      </c>
      <c r="D310" s="12">
        <v>2.767665386E9</v>
      </c>
      <c r="E310" s="5" t="s">
        <v>3900</v>
      </c>
      <c r="F310" s="5" t="str">
        <f t="shared" si="1"/>
        <v>olivia.glover@gmail.com</v>
      </c>
      <c r="G310" s="5" t="s">
        <v>5133</v>
      </c>
      <c r="H310" s="9">
        <v>46149.0</v>
      </c>
      <c r="I310" s="9">
        <v>46173.0</v>
      </c>
    </row>
    <row r="311" ht="22.5" customHeight="1">
      <c r="A311" s="5" t="s">
        <v>1435</v>
      </c>
      <c r="B311" s="5" t="s">
        <v>3902</v>
      </c>
      <c r="C311" s="5" t="str">
        <f>IFERROR(__xludf.DUMMYFUNCTION("REGEXREPLACE(B311,""\D"","""")"),"2846961880")</f>
        <v>2846961880</v>
      </c>
      <c r="D311" s="12">
        <v>2.84696188E9</v>
      </c>
      <c r="E311" s="5" t="s">
        <v>3903</v>
      </c>
      <c r="F311" s="5" t="str">
        <f t="shared" si="1"/>
        <v>grace.doe@gmail.com</v>
      </c>
      <c r="G311" s="5" t="s">
        <v>5134</v>
      </c>
      <c r="H311" s="9">
        <v>45799.0</v>
      </c>
      <c r="I311" s="9">
        <v>45804.0</v>
      </c>
    </row>
    <row r="312" ht="22.5" customHeight="1">
      <c r="A312" s="5" t="s">
        <v>1438</v>
      </c>
      <c r="C312" s="10" t="str">
        <f>IFERROR(__xludf.DUMMYFUNCTION("REGEXREPLACE(B312,""\D"","""")"),"")</f>
        <v/>
      </c>
      <c r="D312" s="13" t="s">
        <v>4964</v>
      </c>
      <c r="E312" s="5" t="s">
        <v>3905</v>
      </c>
      <c r="F312" s="5" t="str">
        <f t="shared" si="1"/>
        <v>timothy.lee@outlook.com</v>
      </c>
      <c r="G312" s="5" t="s">
        <v>5135</v>
      </c>
      <c r="H312" s="9">
        <v>46181.0</v>
      </c>
      <c r="I312" s="9">
        <v>46207.0</v>
      </c>
    </row>
    <row r="313" ht="22.5" customHeight="1">
      <c r="A313" s="5" t="s">
        <v>1441</v>
      </c>
      <c r="C313" s="10" t="str">
        <f>IFERROR(__xludf.DUMMYFUNCTION("REGEXREPLACE(B313,""\D"","""")"),"")</f>
        <v/>
      </c>
      <c r="D313" s="13" t="s">
        <v>4964</v>
      </c>
      <c r="E313" s="5" t="s">
        <v>3907</v>
      </c>
      <c r="F313" s="5" t="str">
        <f t="shared" si="1"/>
        <v>bob.white@yahoo.com</v>
      </c>
      <c r="G313" s="5" t="s">
        <v>3907</v>
      </c>
      <c r="H313" s="9">
        <v>46026.0</v>
      </c>
      <c r="I313" s="11"/>
    </row>
    <row r="314" ht="22.5" customHeight="1">
      <c r="A314" s="5" t="s">
        <v>1444</v>
      </c>
      <c r="B314" s="14" t="s">
        <v>3908</v>
      </c>
      <c r="C314" s="5" t="str">
        <f>IFERROR(__xludf.DUMMYFUNCTION("REGEXREPLACE(B314,""\D"","""")"),"4035963375")</f>
        <v>4035963375</v>
      </c>
      <c r="D314" s="12">
        <v>4.035963375E9</v>
      </c>
      <c r="E314" s="5" t="s">
        <v>3909</v>
      </c>
      <c r="F314" s="5" t="str">
        <f t="shared" si="1"/>
        <v>michelle.johnson@hotmail.com</v>
      </c>
      <c r="G314" s="5" t="s">
        <v>3909</v>
      </c>
      <c r="H314" s="9">
        <v>46096.0</v>
      </c>
      <c r="I314" s="9">
        <v>46117.0</v>
      </c>
    </row>
    <row r="315" ht="22.5" customHeight="1">
      <c r="A315" s="5" t="s">
        <v>1447</v>
      </c>
      <c r="B315" s="14" t="s">
        <v>3911</v>
      </c>
      <c r="C315" s="5" t="str">
        <f>IFERROR(__xludf.DUMMYFUNCTION("REGEXREPLACE(B315,""\D"","""")"),"3936049628")</f>
        <v>3936049628</v>
      </c>
      <c r="D315" s="12">
        <v>3.936049628E9</v>
      </c>
      <c r="E315" s="5" t="s">
        <v>3912</v>
      </c>
      <c r="F315" s="5" t="str">
        <f t="shared" si="1"/>
        <v>greg.lee@aol.com</v>
      </c>
      <c r="G315" s="5" t="s">
        <v>5136</v>
      </c>
      <c r="H315" s="9">
        <v>46050.0</v>
      </c>
      <c r="I315" s="9">
        <v>46063.0</v>
      </c>
    </row>
    <row r="316" ht="22.5" customHeight="1">
      <c r="A316" s="5" t="s">
        <v>1450</v>
      </c>
      <c r="C316" s="10" t="str">
        <f>IFERROR(__xludf.DUMMYFUNCTION("REGEXREPLACE(B316,""\D"","""")"),"")</f>
        <v/>
      </c>
      <c r="D316" s="13" t="s">
        <v>4964</v>
      </c>
      <c r="E316" s="5" t="s">
        <v>3914</v>
      </c>
      <c r="F316" s="5" t="str">
        <f t="shared" si="1"/>
        <v>john.baker@yahoo.com</v>
      </c>
      <c r="G316" s="5" t="s">
        <v>5137</v>
      </c>
      <c r="H316" s="9">
        <v>46050.0</v>
      </c>
      <c r="I316" s="9">
        <v>46078.0</v>
      </c>
    </row>
    <row r="317" ht="22.5" customHeight="1">
      <c r="A317" s="5" t="s">
        <v>1454</v>
      </c>
      <c r="B317" s="5" t="s">
        <v>3915</v>
      </c>
      <c r="C317" s="5" t="str">
        <f>IFERROR(__xludf.DUMMYFUNCTION("REGEXREPLACE(B317,""\D"","""")"),"9928521347")</f>
        <v>9928521347</v>
      </c>
      <c r="D317" s="12">
        <v>9.928521347E9</v>
      </c>
      <c r="E317" s="5" t="s">
        <v>3916</v>
      </c>
      <c r="F317" s="5" t="str">
        <f t="shared" si="1"/>
        <v>dale.jiang@hotmail.com</v>
      </c>
      <c r="G317" s="5" t="s">
        <v>3916</v>
      </c>
      <c r="H317" s="9">
        <v>45919.0</v>
      </c>
      <c r="I317" s="9">
        <v>45936.0</v>
      </c>
    </row>
    <row r="318" ht="22.5" customHeight="1">
      <c r="A318" s="5" t="s">
        <v>1458</v>
      </c>
      <c r="B318" s="5" t="s">
        <v>3918</v>
      </c>
      <c r="C318" s="5" t="str">
        <f>IFERROR(__xludf.DUMMYFUNCTION("REGEXREPLACE(B318,""\D"","""")"),"9852069307")</f>
        <v>9852069307</v>
      </c>
      <c r="D318" s="12">
        <v>9.852069307E9</v>
      </c>
      <c r="F318" s="10" t="str">
        <f t="shared" si="1"/>
        <v/>
      </c>
      <c r="G318" s="10" t="s">
        <v>4964</v>
      </c>
      <c r="H318" s="9">
        <v>46175.0</v>
      </c>
      <c r="I318" s="11"/>
    </row>
    <row r="319" ht="22.5" customHeight="1">
      <c r="A319" s="5" t="s">
        <v>1463</v>
      </c>
      <c r="B319" s="14" t="s">
        <v>3919</v>
      </c>
      <c r="C319" s="5" t="str">
        <f>IFERROR(__xludf.DUMMYFUNCTION("REGEXREPLACE(B319,""\D"","""")"),"7322207356")</f>
        <v>7322207356</v>
      </c>
      <c r="D319" s="12">
        <v>7.322207356E9</v>
      </c>
      <c r="E319" s="5" t="s">
        <v>3920</v>
      </c>
      <c r="F319" s="5" t="str">
        <f t="shared" si="1"/>
        <v>grace.lee@gmail.com</v>
      </c>
      <c r="G319" s="5" t="s">
        <v>5138</v>
      </c>
      <c r="H319" s="9">
        <v>46094.0</v>
      </c>
      <c r="I319" s="11"/>
    </row>
    <row r="320" ht="22.5" customHeight="1">
      <c r="A320" s="5" t="s">
        <v>1465</v>
      </c>
      <c r="B320" s="5" t="s">
        <v>3922</v>
      </c>
      <c r="C320" s="5" t="str">
        <f>IFERROR(__xludf.DUMMYFUNCTION("REGEXREPLACE(B320,""\D"","""")"),"6077379799")</f>
        <v>6077379799</v>
      </c>
      <c r="D320" s="12">
        <v>6.077379799E9</v>
      </c>
      <c r="E320" s="5" t="s">
        <v>3923</v>
      </c>
      <c r="F320" s="5" t="str">
        <f t="shared" si="1"/>
        <v>david.smirnov@yahoo.com</v>
      </c>
      <c r="G320" s="5" t="s">
        <v>5139</v>
      </c>
      <c r="H320" s="9">
        <v>45937.0</v>
      </c>
      <c r="I320" s="9">
        <v>45964.0</v>
      </c>
    </row>
    <row r="321" ht="22.5" customHeight="1">
      <c r="A321" s="5" t="s">
        <v>1467</v>
      </c>
      <c r="B321" s="5" t="s">
        <v>3925</v>
      </c>
      <c r="C321" s="5" t="str">
        <f>IFERROR(__xludf.DUMMYFUNCTION("REGEXREPLACE(B321,""\D"","""")"),"4863198157")</f>
        <v>4863198157</v>
      </c>
      <c r="D321" s="12">
        <v>4.863198157E9</v>
      </c>
      <c r="E321" s="5" t="s">
        <v>3926</v>
      </c>
      <c r="F321" s="5" t="str">
        <f t="shared" si="1"/>
        <v>eva.jackson@gmail.com</v>
      </c>
      <c r="G321" s="5" t="s">
        <v>5140</v>
      </c>
      <c r="H321" s="9">
        <v>45716.0</v>
      </c>
      <c r="I321" s="11"/>
    </row>
    <row r="322" ht="22.5" customHeight="1">
      <c r="A322" s="5" t="s">
        <v>1469</v>
      </c>
      <c r="B322" s="5" t="s">
        <v>3927</v>
      </c>
      <c r="C322" s="5" t="str">
        <f>IFERROR(__xludf.DUMMYFUNCTION("REGEXREPLACE(B322,""\D"","""")"),"5613867645")</f>
        <v>5613867645</v>
      </c>
      <c r="D322" s="12">
        <v>5.613867645E9</v>
      </c>
      <c r="E322" s="5" t="s">
        <v>3928</v>
      </c>
      <c r="F322" s="5" t="str">
        <f t="shared" si="1"/>
        <v>theresa.sharp@aol.com</v>
      </c>
      <c r="G322" s="5" t="s">
        <v>3928</v>
      </c>
      <c r="H322" s="11"/>
      <c r="I322" s="11"/>
    </row>
    <row r="323" ht="22.5" customHeight="1">
      <c r="A323" s="5" t="s">
        <v>1472</v>
      </c>
      <c r="B323" s="14" t="s">
        <v>3929</v>
      </c>
      <c r="C323" s="5" t="str">
        <f>IFERROR(__xludf.DUMMYFUNCTION("REGEXREPLACE(B323,""\D"","""")"),"2997503946")</f>
        <v>2997503946</v>
      </c>
      <c r="D323" s="12">
        <v>2.997503946E9</v>
      </c>
      <c r="E323" s="5" t="s">
        <v>3930</v>
      </c>
      <c r="F323" s="5" t="str">
        <f t="shared" si="1"/>
        <v>alice.jones@outlook.com</v>
      </c>
      <c r="G323" s="5" t="s">
        <v>5141</v>
      </c>
      <c r="H323" s="9">
        <v>45922.0</v>
      </c>
      <c r="I323" s="9">
        <v>45929.0</v>
      </c>
    </row>
    <row r="324" ht="22.5" customHeight="1">
      <c r="A324" s="5" t="s">
        <v>1474</v>
      </c>
      <c r="B324" s="5" t="s">
        <v>3931</v>
      </c>
      <c r="C324" s="5" t="str">
        <f>IFERROR(__xludf.DUMMYFUNCTION("REGEXREPLACE(B324,""\D"","""")"),"7253363643")</f>
        <v>7253363643</v>
      </c>
      <c r="D324" s="12">
        <v>7.253363643E9</v>
      </c>
      <c r="F324" s="10" t="str">
        <f t="shared" si="1"/>
        <v/>
      </c>
      <c r="G324" s="10" t="s">
        <v>4964</v>
      </c>
      <c r="H324" s="9">
        <v>46203.0</v>
      </c>
      <c r="I324" s="11"/>
    </row>
    <row r="325" ht="22.5" customHeight="1">
      <c r="A325" s="5" t="s">
        <v>1477</v>
      </c>
      <c r="B325" s="5" t="s">
        <v>3932</v>
      </c>
      <c r="C325" s="5" t="str">
        <f>IFERROR(__xludf.DUMMYFUNCTION("REGEXREPLACE(B325,""\D"","""")"),"9713576910")</f>
        <v>9713576910</v>
      </c>
      <c r="D325" s="12">
        <v>9.71357691E9</v>
      </c>
      <c r="E325" s="5" t="s">
        <v>3933</v>
      </c>
      <c r="F325" s="5" t="str">
        <f t="shared" si="1"/>
        <v>nancy.doe@yahoo.com</v>
      </c>
      <c r="G325" s="5" t="s">
        <v>5142</v>
      </c>
      <c r="H325" s="9">
        <v>46139.0</v>
      </c>
      <c r="I325" s="9">
        <v>46147.0</v>
      </c>
    </row>
    <row r="326" ht="22.5" customHeight="1">
      <c r="A326" s="5" t="s">
        <v>1480</v>
      </c>
      <c r="B326" s="5" t="s">
        <v>3934</v>
      </c>
      <c r="C326" s="5" t="str">
        <f>IFERROR(__xludf.DUMMYFUNCTION("REGEXREPLACE(B326,""\D"","""")"),"7302687703")</f>
        <v>7302687703</v>
      </c>
      <c r="D326" s="12">
        <v>7.302687703E9</v>
      </c>
      <c r="E326" s="5" t="s">
        <v>3935</v>
      </c>
      <c r="F326" s="5" t="str">
        <f t="shared" si="1"/>
        <v>eva.davis@hotmail.com</v>
      </c>
      <c r="G326" s="5" t="s">
        <v>4163</v>
      </c>
      <c r="H326" s="9">
        <v>46247.0</v>
      </c>
      <c r="I326" s="9">
        <v>46253.0</v>
      </c>
    </row>
    <row r="327" ht="22.5" customHeight="1">
      <c r="A327" s="5" t="s">
        <v>1482</v>
      </c>
      <c r="B327" s="5" t="s">
        <v>3936</v>
      </c>
      <c r="C327" s="5" t="str">
        <f>IFERROR(__xludf.DUMMYFUNCTION("REGEXREPLACE(B327,""\D"","""")"),"2439227127")</f>
        <v>2439227127</v>
      </c>
      <c r="D327" s="12">
        <v>2.439227127E9</v>
      </c>
      <c r="E327" s="5" t="s">
        <v>3937</v>
      </c>
      <c r="F327" s="5" t="str">
        <f t="shared" si="1"/>
        <v>charlie.bush@yahoo.com</v>
      </c>
      <c r="G327" s="5" t="s">
        <v>5143</v>
      </c>
      <c r="H327" s="9">
        <v>45925.0</v>
      </c>
      <c r="I327" s="9">
        <v>45939.0</v>
      </c>
    </row>
    <row r="328" ht="22.5" customHeight="1">
      <c r="A328" s="5" t="s">
        <v>1484</v>
      </c>
      <c r="B328" s="14" t="s">
        <v>3939</v>
      </c>
      <c r="C328" s="5" t="str">
        <f>IFERROR(__xludf.DUMMYFUNCTION("REGEXREPLACE(B328,""\D"","""")"),"6049031955")</f>
        <v>6049031955</v>
      </c>
      <c r="D328" s="12">
        <v>6.049031955E9</v>
      </c>
      <c r="E328" s="5" t="s">
        <v>3940</v>
      </c>
      <c r="F328" s="5" t="str">
        <f t="shared" si="1"/>
        <v>david.sun@gmail.com</v>
      </c>
      <c r="G328" s="5" t="s">
        <v>5144</v>
      </c>
      <c r="H328" s="9">
        <v>45882.0</v>
      </c>
      <c r="I328" s="9">
        <v>45910.0</v>
      </c>
    </row>
    <row r="329" ht="22.5" customHeight="1">
      <c r="A329" s="5" t="s">
        <v>1488</v>
      </c>
      <c r="B329" s="5" t="s">
        <v>3941</v>
      </c>
      <c r="C329" s="5" t="str">
        <f>IFERROR(__xludf.DUMMYFUNCTION("REGEXREPLACE(B329,""\D"","""")"),"4338937059")</f>
        <v>4338937059</v>
      </c>
      <c r="D329" s="12">
        <v>4.338937059E9</v>
      </c>
      <c r="E329" s="5" t="s">
        <v>3942</v>
      </c>
      <c r="F329" s="5" t="str">
        <f t="shared" si="1"/>
        <v>hannah.wu@aol.com</v>
      </c>
      <c r="G329" s="5" t="s">
        <v>5145</v>
      </c>
      <c r="H329" s="9">
        <v>45712.0</v>
      </c>
      <c r="I329" s="9">
        <v>45724.0</v>
      </c>
    </row>
    <row r="330" ht="22.5" customHeight="1">
      <c r="A330" s="5" t="s">
        <v>1490</v>
      </c>
      <c r="B330" s="14" t="s">
        <v>3944</v>
      </c>
      <c r="C330" s="5" t="str">
        <f>IFERROR(__xludf.DUMMYFUNCTION("REGEXREPLACE(B330,""\D"","""")"),"2247626717")</f>
        <v>2247626717</v>
      </c>
      <c r="D330" s="12">
        <v>2.247626717E9</v>
      </c>
      <c r="E330" s="5" t="s">
        <v>3945</v>
      </c>
      <c r="F330" s="5" t="str">
        <f t="shared" si="1"/>
        <v>john.sharp@gmail.com</v>
      </c>
      <c r="G330" s="5" t="s">
        <v>3945</v>
      </c>
      <c r="H330" s="9">
        <v>46177.0</v>
      </c>
      <c r="I330" s="9">
        <v>46196.0</v>
      </c>
    </row>
    <row r="331" ht="22.5" customHeight="1">
      <c r="A331" s="5" t="s">
        <v>1494</v>
      </c>
      <c r="B331" s="5" t="s">
        <v>3947</v>
      </c>
      <c r="C331" s="5" t="str">
        <f>IFERROR(__xludf.DUMMYFUNCTION("REGEXREPLACE(B331,""\D"","""")"),"4574245454")</f>
        <v>4574245454</v>
      </c>
      <c r="D331" s="12">
        <v>4.574245454E9</v>
      </c>
      <c r="E331" s="5" t="s">
        <v>3948</v>
      </c>
      <c r="F331" s="5" t="str">
        <f t="shared" si="1"/>
        <v>felix.martinez@aol.com</v>
      </c>
      <c r="G331" s="5" t="s">
        <v>5146</v>
      </c>
      <c r="H331" s="9">
        <v>46111.0</v>
      </c>
      <c r="I331" s="9">
        <v>46136.0</v>
      </c>
    </row>
    <row r="332" ht="22.5" customHeight="1">
      <c r="A332" s="5" t="s">
        <v>1498</v>
      </c>
      <c r="B332" s="5" t="s">
        <v>3950</v>
      </c>
      <c r="C332" s="5" t="str">
        <f>IFERROR(__xludf.DUMMYFUNCTION("REGEXREPLACE(B332,""\D"","""")"),"2305921772")</f>
        <v>2305921772</v>
      </c>
      <c r="D332" s="12">
        <v>2.305921772E9</v>
      </c>
      <c r="E332" s="5" t="s">
        <v>3951</v>
      </c>
      <c r="F332" s="5" t="str">
        <f t="shared" si="1"/>
        <v>theresa.jiang@aol.com</v>
      </c>
      <c r="G332" s="5" t="s">
        <v>3951</v>
      </c>
      <c r="H332" s="9">
        <v>45948.0</v>
      </c>
      <c r="I332" s="11"/>
    </row>
    <row r="333" ht="22.5" customHeight="1">
      <c r="A333" s="5" t="s">
        <v>1501</v>
      </c>
      <c r="B333" s="14" t="s">
        <v>3952</v>
      </c>
      <c r="C333" s="5" t="str">
        <f>IFERROR(__xludf.DUMMYFUNCTION("REGEXREPLACE(B333,""\D"","""")"),"5698899224")</f>
        <v>5698899224</v>
      </c>
      <c r="D333" s="12">
        <v>5.698899224E9</v>
      </c>
      <c r="E333" s="5" t="s">
        <v>3953</v>
      </c>
      <c r="F333" s="5" t="str">
        <f t="shared" si="1"/>
        <v>eva.rodriguez@yahoo.com</v>
      </c>
      <c r="G333" s="5" t="s">
        <v>5147</v>
      </c>
      <c r="H333" s="9">
        <v>46018.0</v>
      </c>
      <c r="I333" s="11"/>
    </row>
    <row r="334" ht="22.5" customHeight="1">
      <c r="A334" s="5" t="s">
        <v>1504</v>
      </c>
      <c r="B334" s="5" t="s">
        <v>3954</v>
      </c>
      <c r="C334" s="5" t="str">
        <f>IFERROR(__xludf.DUMMYFUNCTION("REGEXREPLACE(B334,""\D"","""")"),"5295332851")</f>
        <v>5295332851</v>
      </c>
      <c r="D334" s="12">
        <v>5.295332851E9</v>
      </c>
      <c r="E334" s="5" t="s">
        <v>3955</v>
      </c>
      <c r="F334" s="5" t="str">
        <f t="shared" si="1"/>
        <v>grace.glover@aol.com</v>
      </c>
      <c r="G334" s="5" t="s">
        <v>3955</v>
      </c>
      <c r="H334" s="9">
        <v>45745.0</v>
      </c>
      <c r="I334" s="11"/>
    </row>
    <row r="335" ht="22.5" customHeight="1">
      <c r="A335" s="5" t="s">
        <v>1507</v>
      </c>
      <c r="B335" s="5" t="s">
        <v>3957</v>
      </c>
      <c r="C335" s="5" t="str">
        <f>IFERROR(__xludf.DUMMYFUNCTION("REGEXREPLACE(B335,""\D"","""")"),"2123712893")</f>
        <v>2123712893</v>
      </c>
      <c r="D335" s="12">
        <v>2.123712893E9</v>
      </c>
      <c r="E335" s="5" t="s">
        <v>3958</v>
      </c>
      <c r="F335" s="5" t="str">
        <f t="shared" si="1"/>
        <v>michelle.davidson@hotmail.com</v>
      </c>
      <c r="G335" s="5" t="s">
        <v>3958</v>
      </c>
      <c r="H335" s="9">
        <v>46077.0</v>
      </c>
      <c r="I335" s="11"/>
    </row>
    <row r="336" ht="22.5" customHeight="1">
      <c r="A336" s="5" t="s">
        <v>1510</v>
      </c>
      <c r="B336" s="5" t="s">
        <v>3959</v>
      </c>
      <c r="C336" s="5" t="str">
        <f>IFERROR(__xludf.DUMMYFUNCTION("REGEXREPLACE(B336,""\D"","""")"),"3752056493")</f>
        <v>3752056493</v>
      </c>
      <c r="D336" s="12">
        <v>3.752056493E9</v>
      </c>
      <c r="E336" s="5" t="s">
        <v>3960</v>
      </c>
      <c r="F336" s="5" t="str">
        <f t="shared" si="1"/>
        <v>grace.sharp@outlook.com</v>
      </c>
      <c r="G336" s="5" t="s">
        <v>3960</v>
      </c>
      <c r="H336" s="9">
        <v>45957.0</v>
      </c>
      <c r="I336" s="9">
        <v>45963.0</v>
      </c>
    </row>
    <row r="337" ht="22.5" customHeight="1">
      <c r="A337" s="5" t="s">
        <v>1513</v>
      </c>
      <c r="B337" s="5" t="s">
        <v>3963</v>
      </c>
      <c r="C337" s="5" t="str">
        <f>IFERROR(__xludf.DUMMYFUNCTION("REGEXREPLACE(B337,""\D"","""")"),"7667066052")</f>
        <v>7667066052</v>
      </c>
      <c r="D337" s="12">
        <v>7.667066052E9</v>
      </c>
      <c r="E337" s="5" t="s">
        <v>3964</v>
      </c>
      <c r="F337" s="5" t="str">
        <f t="shared" si="1"/>
        <v>olivia.jones@gmail.com</v>
      </c>
      <c r="G337" s="5" t="s">
        <v>3964</v>
      </c>
      <c r="H337" s="9">
        <v>46012.0</v>
      </c>
      <c r="I337" s="9">
        <v>46016.0</v>
      </c>
    </row>
    <row r="338" ht="22.5" customHeight="1">
      <c r="A338" s="5" t="s">
        <v>1515</v>
      </c>
      <c r="B338" s="14" t="s">
        <v>3965</v>
      </c>
      <c r="C338" s="5" t="str">
        <f>IFERROR(__xludf.DUMMYFUNCTION("REGEXREPLACE(B338,""\D"","""")"),"8553579217")</f>
        <v>8553579217</v>
      </c>
      <c r="D338" s="12">
        <v>8.553579217E9</v>
      </c>
      <c r="E338" s="5" t="s">
        <v>3966</v>
      </c>
      <c r="F338" s="5" t="str">
        <f t="shared" si="1"/>
        <v>wendy.liang@outlook.com</v>
      </c>
      <c r="G338" s="5" t="s">
        <v>5148</v>
      </c>
      <c r="H338" s="9">
        <v>45727.0</v>
      </c>
      <c r="I338" s="11"/>
    </row>
    <row r="339" ht="22.5" customHeight="1">
      <c r="A339" s="5" t="s">
        <v>1516</v>
      </c>
      <c r="B339" s="5" t="s">
        <v>3967</v>
      </c>
      <c r="C339" s="5" t="str">
        <f>IFERROR(__xludf.DUMMYFUNCTION("REGEXREPLACE(B339,""\D"","""")"),"6116589936")</f>
        <v>6116589936</v>
      </c>
      <c r="D339" s="12">
        <v>6.116589936E9</v>
      </c>
      <c r="E339" s="5" t="s">
        <v>3968</v>
      </c>
      <c r="F339" s="5" t="str">
        <f t="shared" si="1"/>
        <v>harry.young@gmail.com</v>
      </c>
      <c r="G339" s="5" t="s">
        <v>3968</v>
      </c>
      <c r="H339" s="9">
        <v>46025.0</v>
      </c>
      <c r="I339" s="9">
        <v>46054.0</v>
      </c>
    </row>
    <row r="340" ht="22.5" customHeight="1">
      <c r="A340" s="5" t="s">
        <v>1517</v>
      </c>
      <c r="B340" s="14" t="s">
        <v>3969</v>
      </c>
      <c r="C340" s="5" t="str">
        <f>IFERROR(__xludf.DUMMYFUNCTION("REGEXREPLACE(B340,""\D"","""")"),"3755772621")</f>
        <v>3755772621</v>
      </c>
      <c r="D340" s="12">
        <v>3.755772621E9</v>
      </c>
      <c r="E340" s="5" t="s">
        <v>3970</v>
      </c>
      <c r="F340" s="5" t="str">
        <f t="shared" si="1"/>
        <v>rob.ferguson@gmail.com</v>
      </c>
      <c r="G340" s="5" t="s">
        <v>5149</v>
      </c>
      <c r="H340" s="9">
        <v>45968.0</v>
      </c>
      <c r="I340" s="11"/>
    </row>
    <row r="341" ht="22.5" customHeight="1">
      <c r="A341" s="5" t="s">
        <v>1522</v>
      </c>
      <c r="B341" s="5" t="s">
        <v>3971</v>
      </c>
      <c r="C341" s="5" t="str">
        <f>IFERROR(__xludf.DUMMYFUNCTION("REGEXREPLACE(B341,""\D"","""")"),"4846668965")</f>
        <v>4846668965</v>
      </c>
      <c r="D341" s="12">
        <v>4.846668965E9</v>
      </c>
      <c r="E341" s="5" t="s">
        <v>3972</v>
      </c>
      <c r="F341" s="5" t="str">
        <f t="shared" si="1"/>
        <v>fiona.lopez@hotmail.com</v>
      </c>
      <c r="G341" s="5" t="s">
        <v>3972</v>
      </c>
      <c r="H341" s="9">
        <v>45868.0</v>
      </c>
      <c r="I341" s="11"/>
    </row>
    <row r="342" ht="22.5" customHeight="1">
      <c r="A342" s="5" t="s">
        <v>1524</v>
      </c>
      <c r="B342" s="5" t="s">
        <v>3974</v>
      </c>
      <c r="C342" s="5" t="str">
        <f>IFERROR(__xludf.DUMMYFUNCTION("REGEXREPLACE(B342,""\D"","""")"),"9085947126")</f>
        <v>9085947126</v>
      </c>
      <c r="D342" s="12">
        <v>9.085947126E9</v>
      </c>
      <c r="E342" s="5" t="s">
        <v>3975</v>
      </c>
      <c r="F342" s="5" t="str">
        <f t="shared" si="1"/>
        <v>keith.richardson@hotmail.com</v>
      </c>
      <c r="G342" s="5" t="s">
        <v>5150</v>
      </c>
      <c r="H342" s="9">
        <v>45946.0</v>
      </c>
      <c r="I342" s="11"/>
    </row>
    <row r="343" ht="22.5" customHeight="1">
      <c r="A343" s="5" t="s">
        <v>1528</v>
      </c>
      <c r="B343" s="14" t="s">
        <v>3976</v>
      </c>
      <c r="C343" s="5" t="str">
        <f>IFERROR(__xludf.DUMMYFUNCTION("REGEXREPLACE(B343,""\D"","""")"),"2587628758")</f>
        <v>2587628758</v>
      </c>
      <c r="D343" s="12">
        <v>2.587628758E9</v>
      </c>
      <c r="E343" s="5" t="s">
        <v>3977</v>
      </c>
      <c r="F343" s="5" t="str">
        <f t="shared" si="1"/>
        <v>ryan.sun@gmail.com</v>
      </c>
      <c r="G343" s="5" t="s">
        <v>3977</v>
      </c>
      <c r="H343" s="9">
        <v>46097.0</v>
      </c>
      <c r="I343" s="9">
        <v>46116.0</v>
      </c>
    </row>
    <row r="344" ht="22.5" customHeight="1">
      <c r="A344" s="5" t="s">
        <v>1530</v>
      </c>
      <c r="B344" s="14" t="s">
        <v>3979</v>
      </c>
      <c r="C344" s="5" t="str">
        <f>IFERROR(__xludf.DUMMYFUNCTION("REGEXREPLACE(B344,""\D"","""")"),"6416277057")</f>
        <v>6416277057</v>
      </c>
      <c r="D344" s="12">
        <v>6.416277057E9</v>
      </c>
      <c r="E344" s="5" t="s">
        <v>3980</v>
      </c>
      <c r="F344" s="5" t="str">
        <f t="shared" si="1"/>
        <v>felix.johnson@outlook.com</v>
      </c>
      <c r="G344" s="5" t="s">
        <v>5151</v>
      </c>
      <c r="H344" s="9">
        <v>45894.0</v>
      </c>
      <c r="I344" s="11"/>
    </row>
    <row r="345" ht="22.5" customHeight="1">
      <c r="A345" s="5" t="s">
        <v>1534</v>
      </c>
      <c r="B345" s="14" t="s">
        <v>3981</v>
      </c>
      <c r="C345" s="5" t="str">
        <f>IFERROR(__xludf.DUMMYFUNCTION("REGEXREPLACE(B345,""\D"","""")"),"9974323355")</f>
        <v>9974323355</v>
      </c>
      <c r="D345" s="12">
        <v>9.974323355E9</v>
      </c>
      <c r="E345" s="5" t="s">
        <v>3982</v>
      </c>
      <c r="F345" s="5" t="str">
        <f t="shared" si="1"/>
        <v>greg.chan@gmail.com</v>
      </c>
      <c r="G345" s="5" t="s">
        <v>3982</v>
      </c>
      <c r="H345" s="9">
        <v>46234.0</v>
      </c>
      <c r="I345" s="9">
        <v>46239.0</v>
      </c>
    </row>
    <row r="346" ht="22.5" customHeight="1">
      <c r="A346" s="5" t="s">
        <v>1536</v>
      </c>
      <c r="B346" s="5" t="s">
        <v>3983</v>
      </c>
      <c r="C346" s="5" t="str">
        <f>IFERROR(__xludf.DUMMYFUNCTION("REGEXREPLACE(B346,""\D"","""")"),"3996498964")</f>
        <v>3996498964</v>
      </c>
      <c r="D346" s="12">
        <v>3.996498964E9</v>
      </c>
      <c r="E346" s="5" t="s">
        <v>3984</v>
      </c>
      <c r="F346" s="5" t="str">
        <f t="shared" si="1"/>
        <v>michelle.ferguson@yahoo.com</v>
      </c>
      <c r="G346" s="5" t="s">
        <v>5152</v>
      </c>
      <c r="H346" s="9">
        <v>45802.0</v>
      </c>
      <c r="I346" s="9">
        <v>45815.0</v>
      </c>
    </row>
    <row r="347" ht="22.5" customHeight="1">
      <c r="A347" s="5" t="s">
        <v>1539</v>
      </c>
      <c r="B347" s="14" t="s">
        <v>3985</v>
      </c>
      <c r="C347" s="5" t="str">
        <f>IFERROR(__xludf.DUMMYFUNCTION("REGEXREPLACE(B347,""\D"","""")"),"5894032230")</f>
        <v>5894032230</v>
      </c>
      <c r="D347" s="12">
        <v>5.89403223E9</v>
      </c>
      <c r="E347" s="5" t="s">
        <v>3986</v>
      </c>
      <c r="F347" s="5" t="str">
        <f t="shared" si="1"/>
        <v>grace.lopez@outlook.com</v>
      </c>
      <c r="G347" s="5" t="s">
        <v>3986</v>
      </c>
      <c r="H347" s="9">
        <v>46027.0</v>
      </c>
      <c r="I347" s="11"/>
    </row>
    <row r="348" ht="22.5" customHeight="1">
      <c r="A348" s="5" t="s">
        <v>1542</v>
      </c>
      <c r="B348" s="5" t="s">
        <v>3987</v>
      </c>
      <c r="C348" s="5" t="str">
        <f>IFERROR(__xludf.DUMMYFUNCTION("REGEXREPLACE(B348,""\D"","""")"),"2746646037")</f>
        <v>2746646037</v>
      </c>
      <c r="D348" s="12">
        <v>2.746646037E9</v>
      </c>
      <c r="E348" s="5" t="s">
        <v>3988</v>
      </c>
      <c r="F348" s="5" t="str">
        <f t="shared" si="1"/>
        <v>olivia.cooper@yahoo.com</v>
      </c>
      <c r="G348" s="5" t="s">
        <v>5153</v>
      </c>
      <c r="H348" s="9">
        <v>46168.0</v>
      </c>
      <c r="I348" s="9">
        <v>46193.0</v>
      </c>
    </row>
    <row r="349" ht="22.5" customHeight="1">
      <c r="A349" s="5" t="s">
        <v>1544</v>
      </c>
      <c r="B349" s="5" t="s">
        <v>3989</v>
      </c>
      <c r="C349" s="5" t="str">
        <f>IFERROR(__xludf.DUMMYFUNCTION("REGEXREPLACE(B349,""\D"","""")"),"2726357993")</f>
        <v>2726357993</v>
      </c>
      <c r="D349" s="12">
        <v>2.726357993E9</v>
      </c>
      <c r="E349" s="5" t="s">
        <v>3990</v>
      </c>
      <c r="F349" s="5" t="str">
        <f t="shared" si="1"/>
        <v>tom.lopez@outlook.com</v>
      </c>
      <c r="G349" s="5" t="s">
        <v>3990</v>
      </c>
      <c r="H349" s="9">
        <v>45891.0</v>
      </c>
      <c r="I349" s="9">
        <v>45892.0</v>
      </c>
    </row>
    <row r="350" ht="22.5" customHeight="1">
      <c r="A350" s="5" t="s">
        <v>1548</v>
      </c>
      <c r="B350" s="5" t="s">
        <v>3993</v>
      </c>
      <c r="C350" s="5" t="str">
        <f>IFERROR(__xludf.DUMMYFUNCTION("REGEXREPLACE(B350,""\D"","""")"),"3913299932")</f>
        <v>3913299932</v>
      </c>
      <c r="D350" s="12">
        <v>3.913299932E9</v>
      </c>
      <c r="E350" s="5" t="s">
        <v>3994</v>
      </c>
      <c r="F350" s="5" t="str">
        <f t="shared" si="1"/>
        <v>jane.lee@gmail.com</v>
      </c>
      <c r="G350" s="5" t="s">
        <v>3994</v>
      </c>
      <c r="H350" s="9">
        <v>45906.0</v>
      </c>
      <c r="I350" s="9">
        <v>45933.0</v>
      </c>
    </row>
    <row r="351" ht="22.5" customHeight="1">
      <c r="A351" s="5" t="s">
        <v>1550</v>
      </c>
      <c r="C351" s="10" t="str">
        <f>IFERROR(__xludf.DUMMYFUNCTION("REGEXREPLACE(B351,""\D"","""")"),"")</f>
        <v/>
      </c>
      <c r="D351" s="13" t="s">
        <v>4964</v>
      </c>
      <c r="E351" s="5" t="s">
        <v>3995</v>
      </c>
      <c r="F351" s="5" t="str">
        <f t="shared" si="1"/>
        <v>david.chang@outlook.com</v>
      </c>
      <c r="G351" s="5" t="s">
        <v>5154</v>
      </c>
      <c r="H351" s="9">
        <v>46053.0</v>
      </c>
      <c r="I351" s="9">
        <v>46059.0</v>
      </c>
    </row>
    <row r="352" ht="22.5" customHeight="1">
      <c r="A352" s="5" t="s">
        <v>1553</v>
      </c>
      <c r="B352" s="5" t="s">
        <v>3997</v>
      </c>
      <c r="C352" s="5" t="str">
        <f>IFERROR(__xludf.DUMMYFUNCTION("REGEXREPLACE(B352,""\D"","""")"),"4865967908")</f>
        <v>4865967908</v>
      </c>
      <c r="D352" s="12">
        <v>4.865967908E9</v>
      </c>
      <c r="E352" s="5" t="s">
        <v>3998</v>
      </c>
      <c r="F352" s="5" t="str">
        <f t="shared" si="1"/>
        <v>bob.wu@outlook.com</v>
      </c>
      <c r="G352" s="5" t="s">
        <v>3998</v>
      </c>
      <c r="H352" s="9">
        <v>45710.0</v>
      </c>
      <c r="I352" s="11"/>
    </row>
    <row r="353" ht="22.5" customHeight="1">
      <c r="A353" s="5" t="s">
        <v>1556</v>
      </c>
      <c r="B353" s="14" t="s">
        <v>4000</v>
      </c>
      <c r="C353" s="5" t="str">
        <f>IFERROR(__xludf.DUMMYFUNCTION("REGEXREPLACE(B353,""\D"","""")"),"2484413607")</f>
        <v>2484413607</v>
      </c>
      <c r="D353" s="12">
        <v>2.484413607E9</v>
      </c>
      <c r="E353" s="5" t="s">
        <v>4001</v>
      </c>
      <c r="F353" s="5" t="str">
        <f t="shared" si="1"/>
        <v>frank.perez@yahoo.com</v>
      </c>
      <c r="G353" s="5" t="s">
        <v>4001</v>
      </c>
      <c r="H353" s="9">
        <v>46173.0</v>
      </c>
      <c r="I353" s="9">
        <v>46202.0</v>
      </c>
    </row>
    <row r="354" ht="22.5" customHeight="1">
      <c r="A354" s="5" t="s">
        <v>1558</v>
      </c>
      <c r="B354" s="5" t="s">
        <v>4002</v>
      </c>
      <c r="C354" s="5" t="str">
        <f>IFERROR(__xludf.DUMMYFUNCTION("REGEXREPLACE(B354,""\D"","""")"),"9448203303")</f>
        <v>9448203303</v>
      </c>
      <c r="D354" s="12">
        <v>9.448203303E9</v>
      </c>
      <c r="E354" s="5" t="s">
        <v>4003</v>
      </c>
      <c r="F354" s="5" t="str">
        <f t="shared" si="1"/>
        <v>jane.smirnov@outlook.com</v>
      </c>
      <c r="G354" s="5" t="s">
        <v>5155</v>
      </c>
      <c r="H354" s="9">
        <v>46109.0</v>
      </c>
      <c r="I354" s="9">
        <v>46124.0</v>
      </c>
    </row>
    <row r="355" ht="22.5" customHeight="1">
      <c r="A355" s="5" t="s">
        <v>1561</v>
      </c>
      <c r="B355" s="5" t="s">
        <v>4004</v>
      </c>
      <c r="C355" s="5" t="str">
        <f>IFERROR(__xludf.DUMMYFUNCTION("REGEXREPLACE(B355,""\D"","""")"),"4837887296")</f>
        <v>4837887296</v>
      </c>
      <c r="D355" s="12">
        <v>4.837887296E9</v>
      </c>
      <c r="E355" s="5" t="s">
        <v>4005</v>
      </c>
      <c r="F355" s="5" t="str">
        <f t="shared" si="1"/>
        <v>jane.perez@hotmail.com</v>
      </c>
      <c r="G355" s="5" t="s">
        <v>4005</v>
      </c>
      <c r="H355" s="9">
        <v>45936.0</v>
      </c>
      <c r="I355" s="9">
        <v>45954.0</v>
      </c>
    </row>
    <row r="356" ht="22.5" customHeight="1">
      <c r="A356" s="5" t="s">
        <v>1564</v>
      </c>
      <c r="B356" s="5" t="s">
        <v>4006</v>
      </c>
      <c r="C356" s="5" t="str">
        <f>IFERROR(__xludf.DUMMYFUNCTION("REGEXREPLACE(B356,""\D"","""")"),"3972886558")</f>
        <v>3972886558</v>
      </c>
      <c r="D356" s="12">
        <v>3.972886558E9</v>
      </c>
      <c r="E356" s="5" t="s">
        <v>4007</v>
      </c>
      <c r="F356" s="5" t="str">
        <f t="shared" si="1"/>
        <v>grace.brown@hotmail.com</v>
      </c>
      <c r="G356" s="5" t="s">
        <v>4007</v>
      </c>
      <c r="H356" s="9">
        <v>45990.0</v>
      </c>
      <c r="I356" s="11"/>
    </row>
    <row r="357" ht="22.5" customHeight="1">
      <c r="A357" s="5" t="s">
        <v>1567</v>
      </c>
      <c r="B357" s="5" t="s">
        <v>4009</v>
      </c>
      <c r="C357" s="5" t="str">
        <f>IFERROR(__xludf.DUMMYFUNCTION("REGEXREPLACE(B357,""\D"","""")"),"8372231769")</f>
        <v>8372231769</v>
      </c>
      <c r="D357" s="12">
        <v>8.372231769E9</v>
      </c>
      <c r="E357" s="5" t="s">
        <v>4010</v>
      </c>
      <c r="F357" s="5" t="str">
        <f t="shared" si="1"/>
        <v>eva.sun@hotmail.com</v>
      </c>
      <c r="G357" s="5" t="s">
        <v>4010</v>
      </c>
      <c r="H357" s="9">
        <v>46090.0</v>
      </c>
      <c r="I357" s="9">
        <v>46093.0</v>
      </c>
    </row>
    <row r="358" ht="22.5" customHeight="1">
      <c r="A358" s="5" t="s">
        <v>1571</v>
      </c>
      <c r="B358" s="5" t="s">
        <v>4012</v>
      </c>
      <c r="C358" s="5" t="str">
        <f>IFERROR(__xludf.DUMMYFUNCTION("REGEXREPLACE(B358,""\D"","""")"),"8822277461")</f>
        <v>8822277461</v>
      </c>
      <c r="D358" s="12">
        <v>8.822277461E9</v>
      </c>
      <c r="E358" s="5" t="s">
        <v>4013</v>
      </c>
      <c r="F358" s="5" t="str">
        <f t="shared" si="1"/>
        <v>bob.jiang@outlook.com</v>
      </c>
      <c r="G358" s="5" t="s">
        <v>5156</v>
      </c>
      <c r="H358" s="9">
        <v>45812.0</v>
      </c>
      <c r="I358" s="9">
        <v>45838.0</v>
      </c>
    </row>
    <row r="359" ht="22.5" customHeight="1">
      <c r="A359" s="5" t="s">
        <v>1574</v>
      </c>
      <c r="B359" s="5" t="s">
        <v>4014</v>
      </c>
      <c r="C359" s="5" t="str">
        <f>IFERROR(__xludf.DUMMYFUNCTION("REGEXREPLACE(B359,""\D"","""")"),"5848404766")</f>
        <v>5848404766</v>
      </c>
      <c r="D359" s="12">
        <v>5.848404766E9</v>
      </c>
      <c r="E359" s="5" t="s">
        <v>4015</v>
      </c>
      <c r="F359" s="5" t="str">
        <f t="shared" si="1"/>
        <v>david.miller@gmail.com</v>
      </c>
      <c r="G359" s="5" t="s">
        <v>4015</v>
      </c>
      <c r="H359" s="9">
        <v>45894.0</v>
      </c>
      <c r="I359" s="9">
        <v>45895.0</v>
      </c>
    </row>
    <row r="360" ht="22.5" customHeight="1">
      <c r="A360" s="5" t="s">
        <v>1577</v>
      </c>
      <c r="B360" s="5" t="s">
        <v>4016</v>
      </c>
      <c r="C360" s="5" t="str">
        <f>IFERROR(__xludf.DUMMYFUNCTION("REGEXREPLACE(B360,""\D"","""")"),"5659769610")</f>
        <v>5659769610</v>
      </c>
      <c r="D360" s="12">
        <v>5.65976961E9</v>
      </c>
      <c r="E360" s="5" t="s">
        <v>4017</v>
      </c>
      <c r="F360" s="5" t="str">
        <f t="shared" si="1"/>
        <v>hannah.baker@outlook.com</v>
      </c>
      <c r="G360" s="5" t="s">
        <v>3537</v>
      </c>
      <c r="H360" s="9">
        <v>45968.0</v>
      </c>
      <c r="I360" s="9">
        <v>45997.0</v>
      </c>
    </row>
    <row r="361" ht="22.5" customHeight="1">
      <c r="A361" s="5" t="s">
        <v>1579</v>
      </c>
      <c r="B361" s="5" t="s">
        <v>4018</v>
      </c>
      <c r="C361" s="5" t="str">
        <f>IFERROR(__xludf.DUMMYFUNCTION("REGEXREPLACE(B361,""\D"","""")"),"2826959545")</f>
        <v>2826959545</v>
      </c>
      <c r="D361" s="12">
        <v>2.826959545E9</v>
      </c>
      <c r="E361" s="5" t="s">
        <v>4019</v>
      </c>
      <c r="F361" s="5" t="str">
        <f t="shared" si="1"/>
        <v>john.jiang@yahoo.com</v>
      </c>
      <c r="G361" s="5" t="s">
        <v>5157</v>
      </c>
      <c r="H361" s="9">
        <v>46138.0</v>
      </c>
      <c r="I361" s="9">
        <v>46139.0</v>
      </c>
    </row>
    <row r="362" ht="22.5" customHeight="1">
      <c r="A362" s="5" t="s">
        <v>1582</v>
      </c>
      <c r="B362" s="5" t="s">
        <v>4021</v>
      </c>
      <c r="C362" s="5" t="str">
        <f>IFERROR(__xludf.DUMMYFUNCTION("REGEXREPLACE(B362,""\D"","""")"),"3728848572")</f>
        <v>3728848572</v>
      </c>
      <c r="D362" s="12">
        <v>3.728848572E9</v>
      </c>
      <c r="E362" s="5" t="s">
        <v>4022</v>
      </c>
      <c r="F362" s="5" t="str">
        <f t="shared" si="1"/>
        <v>michelle.smirnov@aol.com</v>
      </c>
      <c r="G362" s="5" t="s">
        <v>5158</v>
      </c>
      <c r="H362" s="9">
        <v>45984.0</v>
      </c>
      <c r="I362" s="11"/>
    </row>
    <row r="363" ht="22.5" customHeight="1">
      <c r="A363" s="5" t="s">
        <v>1585</v>
      </c>
      <c r="B363" s="14" t="s">
        <v>4024</v>
      </c>
      <c r="C363" s="5" t="str">
        <f>IFERROR(__xludf.DUMMYFUNCTION("REGEXREPLACE(B363,""\D"","""")"),"9359224273")</f>
        <v>9359224273</v>
      </c>
      <c r="D363" s="12">
        <v>9.359224273E9</v>
      </c>
      <c r="E363" s="5" t="s">
        <v>4025</v>
      </c>
      <c r="F363" s="5" t="str">
        <f t="shared" si="1"/>
        <v>bob.chen@gmail.com</v>
      </c>
      <c r="G363" s="5" t="s">
        <v>4025</v>
      </c>
      <c r="H363" s="9">
        <v>46158.0</v>
      </c>
      <c r="I363" s="9">
        <v>46163.0</v>
      </c>
    </row>
    <row r="364" ht="22.5" customHeight="1">
      <c r="A364" s="5" t="s">
        <v>1588</v>
      </c>
      <c r="B364" s="5" t="s">
        <v>4027</v>
      </c>
      <c r="C364" s="5" t="str">
        <f>IFERROR(__xludf.DUMMYFUNCTION("REGEXREPLACE(B364,""\D"","""")"),"7403194850")</f>
        <v>7403194850</v>
      </c>
      <c r="D364" s="12">
        <v>7.40319485E9</v>
      </c>
      <c r="E364" s="5" t="s">
        <v>4028</v>
      </c>
      <c r="F364" s="5" t="str">
        <f t="shared" si="1"/>
        <v>fiona.jackson@yahoo.com</v>
      </c>
      <c r="G364" s="5" t="s">
        <v>4028</v>
      </c>
      <c r="H364" s="9">
        <v>45807.0</v>
      </c>
      <c r="I364" s="9">
        <v>45810.0</v>
      </c>
    </row>
    <row r="365" ht="22.5" customHeight="1">
      <c r="A365" s="5" t="s">
        <v>1591</v>
      </c>
      <c r="B365" s="5" t="s">
        <v>4029</v>
      </c>
      <c r="C365" s="5" t="str">
        <f>IFERROR(__xludf.DUMMYFUNCTION("REGEXREPLACE(B365,""\D"","""")"),"4645454890")</f>
        <v>4645454890</v>
      </c>
      <c r="D365" s="12">
        <v>4.64545489E9</v>
      </c>
      <c r="E365" s="5" t="s">
        <v>4030</v>
      </c>
      <c r="F365" s="5" t="str">
        <f t="shared" si="1"/>
        <v>bob.ng@aol.com</v>
      </c>
      <c r="G365" s="5" t="s">
        <v>5159</v>
      </c>
      <c r="H365" s="9">
        <v>45722.0</v>
      </c>
      <c r="I365" s="9">
        <v>45737.0</v>
      </c>
    </row>
    <row r="366" ht="22.5" customHeight="1">
      <c r="A366" s="5" t="s">
        <v>1594</v>
      </c>
      <c r="B366" s="5" t="s">
        <v>4033</v>
      </c>
      <c r="C366" s="5" t="str">
        <f>IFERROR(__xludf.DUMMYFUNCTION("REGEXREPLACE(B366,""\D"","""")"),"7599561502")</f>
        <v>7599561502</v>
      </c>
      <c r="D366" s="12">
        <v>7.599561502E9</v>
      </c>
      <c r="F366" s="10" t="str">
        <f t="shared" si="1"/>
        <v/>
      </c>
      <c r="G366" s="10" t="s">
        <v>4964</v>
      </c>
      <c r="H366" s="9">
        <v>46213.0</v>
      </c>
      <c r="I366" s="11"/>
    </row>
    <row r="367" ht="22.5" customHeight="1">
      <c r="A367" s="5" t="s">
        <v>1597</v>
      </c>
      <c r="B367" s="14" t="s">
        <v>4034</v>
      </c>
      <c r="C367" s="5" t="str">
        <f>IFERROR(__xludf.DUMMYFUNCTION("REGEXREPLACE(B367,""\D"","""")"),"6284473469")</f>
        <v>6284473469</v>
      </c>
      <c r="D367" s="12">
        <v>6.284473469E9</v>
      </c>
      <c r="E367" s="5" t="s">
        <v>4035</v>
      </c>
      <c r="F367" s="5" t="str">
        <f t="shared" si="1"/>
        <v>ava.miller@outlook.com</v>
      </c>
      <c r="G367" s="5" t="s">
        <v>4035</v>
      </c>
      <c r="H367" s="9">
        <v>46095.0</v>
      </c>
      <c r="I367" s="11"/>
    </row>
    <row r="368" ht="22.5" customHeight="1">
      <c r="A368" s="5" t="s">
        <v>1600</v>
      </c>
      <c r="B368" s="14" t="s">
        <v>4036</v>
      </c>
      <c r="C368" s="5" t="str">
        <f>IFERROR(__xludf.DUMMYFUNCTION("REGEXREPLACE(B368,""\D"","""")"),"5555707053")</f>
        <v>5555707053</v>
      </c>
      <c r="D368" s="12">
        <v>5.555707053E9</v>
      </c>
      <c r="E368" s="5" t="s">
        <v>4037</v>
      </c>
      <c r="F368" s="5" t="str">
        <f t="shared" si="1"/>
        <v>frank.volkov@aol.com</v>
      </c>
      <c r="G368" s="5" t="s">
        <v>5160</v>
      </c>
      <c r="H368" s="9">
        <v>46135.0</v>
      </c>
      <c r="I368" s="9">
        <v>46157.0</v>
      </c>
    </row>
    <row r="369" ht="22.5" customHeight="1">
      <c r="A369" s="5" t="s">
        <v>1603</v>
      </c>
      <c r="B369" s="5" t="s">
        <v>4038</v>
      </c>
      <c r="C369" s="5" t="str">
        <f>IFERROR(__xludf.DUMMYFUNCTION("REGEXREPLACE(B369,""\D"","""")"),"2288128757")</f>
        <v>2288128757</v>
      </c>
      <c r="D369" s="12">
        <v>2.288128757E9</v>
      </c>
      <c r="E369" s="5" t="s">
        <v>4039</v>
      </c>
      <c r="F369" s="5" t="str">
        <f t="shared" si="1"/>
        <v>ryan.jones@outlook.com</v>
      </c>
      <c r="G369" s="5" t="s">
        <v>4039</v>
      </c>
      <c r="H369" s="9">
        <v>45831.0</v>
      </c>
      <c r="I369" s="11"/>
    </row>
    <row r="370" ht="22.5" customHeight="1">
      <c r="A370" s="5" t="s">
        <v>1606</v>
      </c>
      <c r="B370" s="5" t="s">
        <v>4040</v>
      </c>
      <c r="C370" s="5" t="str">
        <f>IFERROR(__xludf.DUMMYFUNCTION("REGEXREPLACE(B370,""\D"","""")"),"6967068585")</f>
        <v>6967068585</v>
      </c>
      <c r="D370" s="12">
        <v>6.967068585E9</v>
      </c>
      <c r="E370" s="5" t="s">
        <v>4041</v>
      </c>
      <c r="F370" s="5" t="str">
        <f t="shared" si="1"/>
        <v>felix.little@hotmail.com</v>
      </c>
      <c r="G370" s="5" t="s">
        <v>4041</v>
      </c>
      <c r="H370" s="9">
        <v>45789.0</v>
      </c>
      <c r="I370" s="11"/>
    </row>
    <row r="371" ht="22.5" customHeight="1">
      <c r="A371" s="5" t="s">
        <v>1608</v>
      </c>
      <c r="B371" s="14" t="s">
        <v>4042</v>
      </c>
      <c r="C371" s="5" t="str">
        <f>IFERROR(__xludf.DUMMYFUNCTION("REGEXREPLACE(B371,""\D"","""")"),"8415658244")</f>
        <v>8415658244</v>
      </c>
      <c r="D371" s="12">
        <v>8.415658244E9</v>
      </c>
      <c r="E371" s="5" t="s">
        <v>4043</v>
      </c>
      <c r="F371" s="5" t="str">
        <f t="shared" si="1"/>
        <v>grace.liang@hotmail.com</v>
      </c>
      <c r="G371" s="5" t="s">
        <v>5161</v>
      </c>
      <c r="H371" s="9">
        <v>46023.0</v>
      </c>
      <c r="I371" s="11"/>
    </row>
    <row r="372" ht="22.5" customHeight="1">
      <c r="A372" s="5" t="s">
        <v>1611</v>
      </c>
      <c r="B372" s="14" t="s">
        <v>4044</v>
      </c>
      <c r="C372" s="5" t="str">
        <f>IFERROR(__xludf.DUMMYFUNCTION("REGEXREPLACE(B372,""\D"","""")"),"4503439976")</f>
        <v>4503439976</v>
      </c>
      <c r="D372" s="12">
        <v>4.503439976E9</v>
      </c>
      <c r="E372" s="5" t="s">
        <v>4045</v>
      </c>
      <c r="F372" s="5" t="str">
        <f t="shared" si="1"/>
        <v>thomas.rodriguez@yahoo.com</v>
      </c>
      <c r="G372" s="5" t="s">
        <v>5162</v>
      </c>
      <c r="H372" s="9">
        <v>46096.0</v>
      </c>
      <c r="I372" s="9">
        <v>46100.0</v>
      </c>
    </row>
    <row r="373" ht="22.5" customHeight="1">
      <c r="A373" s="5" t="s">
        <v>1614</v>
      </c>
      <c r="B373" s="14" t="s">
        <v>4047</v>
      </c>
      <c r="C373" s="5" t="str">
        <f>IFERROR(__xludf.DUMMYFUNCTION("REGEXREPLACE(B373,""\D"","""")"),"8883223042")</f>
        <v>8883223042</v>
      </c>
      <c r="D373" s="12">
        <v>8.883223042E9</v>
      </c>
      <c r="E373" s="5" t="s">
        <v>4048</v>
      </c>
      <c r="F373" s="5" t="str">
        <f t="shared" si="1"/>
        <v>jane.lee@hotmail.com</v>
      </c>
      <c r="G373" s="5" t="s">
        <v>5163</v>
      </c>
      <c r="H373" s="9">
        <v>46122.0</v>
      </c>
      <c r="I373" s="9">
        <v>46146.0</v>
      </c>
    </row>
    <row r="374" ht="22.5" customHeight="1">
      <c r="A374" s="5" t="s">
        <v>1616</v>
      </c>
      <c r="B374" s="14" t="s">
        <v>4051</v>
      </c>
      <c r="C374" s="5" t="str">
        <f>IFERROR(__xludf.DUMMYFUNCTION("REGEXREPLACE(B374,""\D"","""")"),"7946302106")</f>
        <v>7946302106</v>
      </c>
      <c r="D374" s="12">
        <v>7.946302106E9</v>
      </c>
      <c r="E374" s="5" t="s">
        <v>4052</v>
      </c>
      <c r="F374" s="5" t="str">
        <f t="shared" si="1"/>
        <v>tom.doe@gmail.com</v>
      </c>
      <c r="G374" s="5" t="s">
        <v>4052</v>
      </c>
      <c r="H374" s="9">
        <v>45888.0</v>
      </c>
      <c r="I374" s="9">
        <v>45893.0</v>
      </c>
    </row>
    <row r="375" ht="22.5" customHeight="1">
      <c r="A375" s="5" t="s">
        <v>1619</v>
      </c>
      <c r="B375" s="14" t="s">
        <v>4053</v>
      </c>
      <c r="C375" s="5" t="str">
        <f>IFERROR(__xludf.DUMMYFUNCTION("REGEXREPLACE(B375,""\D"","""")"),"3943712403")</f>
        <v>3943712403</v>
      </c>
      <c r="D375" s="12">
        <v>3.943712403E9</v>
      </c>
      <c r="E375" s="5" t="s">
        <v>4054</v>
      </c>
      <c r="F375" s="5" t="str">
        <f t="shared" si="1"/>
        <v>david.johnson@outlook.com</v>
      </c>
      <c r="G375" s="5" t="s">
        <v>5164</v>
      </c>
      <c r="H375" s="9">
        <v>46190.0</v>
      </c>
      <c r="I375" s="11"/>
    </row>
    <row r="376" ht="22.5" customHeight="1">
      <c r="A376" s="5" t="s">
        <v>1623</v>
      </c>
      <c r="B376" s="5" t="s">
        <v>4055</v>
      </c>
      <c r="C376" s="5" t="str">
        <f>IFERROR(__xludf.DUMMYFUNCTION("REGEXREPLACE(B376,""\D"","""")"),"4668783212")</f>
        <v>4668783212</v>
      </c>
      <c r="D376" s="12">
        <v>4.668783212E9</v>
      </c>
      <c r="E376" s="5" t="s">
        <v>4056</v>
      </c>
      <c r="F376" s="5" t="str">
        <f t="shared" si="1"/>
        <v>hannah.jiang@gmail.com</v>
      </c>
      <c r="G376" s="5" t="s">
        <v>4056</v>
      </c>
      <c r="H376" s="9">
        <v>45851.0</v>
      </c>
      <c r="I376" s="9">
        <v>45860.0</v>
      </c>
    </row>
    <row r="377" ht="22.5" customHeight="1">
      <c r="A377" s="5" t="s">
        <v>1625</v>
      </c>
      <c r="B377" s="5" t="s">
        <v>4057</v>
      </c>
      <c r="C377" s="5" t="str">
        <f>IFERROR(__xludf.DUMMYFUNCTION("REGEXREPLACE(B377,""\D"","""")"),"6042003305")</f>
        <v>6042003305</v>
      </c>
      <c r="D377" s="12">
        <v>6.042003305E9</v>
      </c>
      <c r="E377" s="5" t="s">
        <v>4058</v>
      </c>
      <c r="F377" s="5" t="str">
        <f t="shared" si="1"/>
        <v>timothy.davis@gmail.com</v>
      </c>
      <c r="G377" s="5" t="s">
        <v>5165</v>
      </c>
      <c r="H377" s="9">
        <v>45821.0</v>
      </c>
      <c r="I377" s="9">
        <v>45850.0</v>
      </c>
    </row>
    <row r="378" ht="22.5" customHeight="1">
      <c r="A378" s="5" t="s">
        <v>1628</v>
      </c>
      <c r="B378" s="5" t="s">
        <v>4060</v>
      </c>
      <c r="C378" s="5" t="str">
        <f>IFERROR(__xludf.DUMMYFUNCTION("REGEXREPLACE(B378,""\D"","""")"),"6565502736")</f>
        <v>6565502736</v>
      </c>
      <c r="D378" s="12">
        <v>6.565502736E9</v>
      </c>
      <c r="E378" s="5" t="s">
        <v>4061</v>
      </c>
      <c r="F378" s="5" t="str">
        <f t="shared" si="1"/>
        <v>eva.rodriguez@hotmail.com</v>
      </c>
      <c r="G378" s="5" t="s">
        <v>5166</v>
      </c>
      <c r="H378" s="9">
        <v>46175.0</v>
      </c>
      <c r="I378" s="9">
        <v>46195.0</v>
      </c>
    </row>
    <row r="379" ht="22.5" customHeight="1">
      <c r="A379" s="5" t="s">
        <v>1631</v>
      </c>
      <c r="B379" s="14" t="s">
        <v>4063</v>
      </c>
      <c r="C379" s="5" t="str">
        <f>IFERROR(__xludf.DUMMYFUNCTION("REGEXREPLACE(B379,""\D"","""")"),"9193115738")</f>
        <v>9193115738</v>
      </c>
      <c r="D379" s="12">
        <v>9.193115738E9</v>
      </c>
      <c r="E379" s="5" t="s">
        <v>4064</v>
      </c>
      <c r="F379" s="5" t="str">
        <f t="shared" si="1"/>
        <v>frank.davidson@gmail.com</v>
      </c>
      <c r="G379" s="5" t="s">
        <v>5167</v>
      </c>
      <c r="H379" s="9">
        <v>46120.0</v>
      </c>
      <c r="I379" s="9">
        <v>46125.0</v>
      </c>
    </row>
    <row r="380" ht="22.5" customHeight="1">
      <c r="A380" s="5" t="s">
        <v>1633</v>
      </c>
      <c r="B380" s="5" t="s">
        <v>4066</v>
      </c>
      <c r="C380" s="5" t="str">
        <f>IFERROR(__xludf.DUMMYFUNCTION("REGEXREPLACE(B380,""\D"","""")"),"4269638660")</f>
        <v>4269638660</v>
      </c>
      <c r="D380" s="12">
        <v>4.26963866E9</v>
      </c>
      <c r="E380" s="5" t="s">
        <v>4067</v>
      </c>
      <c r="F380" s="5" t="str">
        <f t="shared" si="1"/>
        <v>ryan.doe@hotmail.com</v>
      </c>
      <c r="G380" s="5" t="s">
        <v>5168</v>
      </c>
      <c r="H380" s="9">
        <v>46143.0</v>
      </c>
      <c r="I380" s="11"/>
    </row>
    <row r="381" ht="22.5" customHeight="1">
      <c r="A381" s="5" t="s">
        <v>1636</v>
      </c>
      <c r="B381" s="5" t="s">
        <v>4068</v>
      </c>
      <c r="C381" s="5" t="str">
        <f>IFERROR(__xludf.DUMMYFUNCTION("REGEXREPLACE(B381,""\D"","""")"),"4814909789")</f>
        <v>4814909789</v>
      </c>
      <c r="D381" s="12">
        <v>4.814909789E9</v>
      </c>
      <c r="E381" s="5" t="s">
        <v>4069</v>
      </c>
      <c r="F381" s="5" t="str">
        <f t="shared" si="1"/>
        <v>eva.jackson@aol.com</v>
      </c>
      <c r="G381" s="5" t="s">
        <v>4069</v>
      </c>
      <c r="H381" s="9">
        <v>45956.0</v>
      </c>
      <c r="I381" s="11"/>
    </row>
    <row r="382" ht="22.5" customHeight="1">
      <c r="A382" s="5" t="s">
        <v>1639</v>
      </c>
      <c r="B382" s="5" t="s">
        <v>4070</v>
      </c>
      <c r="C382" s="5" t="str">
        <f>IFERROR(__xludf.DUMMYFUNCTION("REGEXREPLACE(B382,""\D"","""")"),"7894582688")</f>
        <v>7894582688</v>
      </c>
      <c r="D382" s="12">
        <v>7.894582688E9</v>
      </c>
      <c r="E382" s="5" t="s">
        <v>4071</v>
      </c>
      <c r="F382" s="5" t="str">
        <f t="shared" si="1"/>
        <v>alice.doe@gmail.com</v>
      </c>
      <c r="G382" s="5" t="s">
        <v>4071</v>
      </c>
      <c r="H382" s="9">
        <v>46015.0</v>
      </c>
      <c r="I382" s="9">
        <v>46028.0</v>
      </c>
    </row>
    <row r="383" ht="22.5" customHeight="1">
      <c r="A383" s="5" t="s">
        <v>1642</v>
      </c>
      <c r="B383" s="5" t="s">
        <v>4072</v>
      </c>
      <c r="C383" s="5" t="str">
        <f>IFERROR(__xludf.DUMMYFUNCTION("REGEXREPLACE(B383,""\D"","""")"),"3277116602")</f>
        <v>3277116602</v>
      </c>
      <c r="D383" s="12">
        <v>3.277116602E9</v>
      </c>
      <c r="E383" s="5" t="s">
        <v>4073</v>
      </c>
      <c r="F383" s="5" t="str">
        <f t="shared" si="1"/>
        <v>ian.garcia@gmail.com</v>
      </c>
      <c r="G383" s="5" t="s">
        <v>5169</v>
      </c>
      <c r="H383" s="9">
        <v>46165.0</v>
      </c>
      <c r="I383" s="9">
        <v>46190.0</v>
      </c>
    </row>
    <row r="384" ht="22.5" customHeight="1">
      <c r="A384" s="5" t="s">
        <v>1644</v>
      </c>
      <c r="B384" s="5" t="s">
        <v>4074</v>
      </c>
      <c r="C384" s="5" t="str">
        <f>IFERROR(__xludf.DUMMYFUNCTION("REGEXREPLACE(B384,""\D"","""")"),"7272285740")</f>
        <v>7272285740</v>
      </c>
      <c r="D384" s="12">
        <v>7.27228574E9</v>
      </c>
      <c r="E384" s="5" t="s">
        <v>4075</v>
      </c>
      <c r="F384" s="5" t="str">
        <f t="shared" si="1"/>
        <v>eva.brown@gmail.com</v>
      </c>
      <c r="G384" s="5" t="s">
        <v>5170</v>
      </c>
      <c r="H384" s="9">
        <v>46208.0</v>
      </c>
      <c r="I384" s="11"/>
    </row>
    <row r="385" ht="22.5" customHeight="1">
      <c r="A385" s="5" t="s">
        <v>1647</v>
      </c>
      <c r="C385" s="10" t="str">
        <f>IFERROR(__xludf.DUMMYFUNCTION("REGEXREPLACE(B385,""\D"","""")"),"")</f>
        <v/>
      </c>
      <c r="D385" s="13" t="s">
        <v>4964</v>
      </c>
      <c r="E385" s="5" t="s">
        <v>4076</v>
      </c>
      <c r="F385" s="5" t="str">
        <f t="shared" si="1"/>
        <v>jane.doe@aol.com</v>
      </c>
      <c r="G385" s="5" t="s">
        <v>5171</v>
      </c>
      <c r="H385" s="9">
        <v>46044.0</v>
      </c>
      <c r="I385" s="11"/>
    </row>
    <row r="386" ht="22.5" customHeight="1">
      <c r="A386" s="5" t="s">
        <v>1649</v>
      </c>
      <c r="B386" s="5" t="s">
        <v>4078</v>
      </c>
      <c r="C386" s="5" t="str">
        <f>IFERROR(__xludf.DUMMYFUNCTION("REGEXREPLACE(B386,""\D"","""")"),"6997901429")</f>
        <v>6997901429</v>
      </c>
      <c r="D386" s="12">
        <v>6.997901429E9</v>
      </c>
      <c r="E386" s="5" t="s">
        <v>4079</v>
      </c>
      <c r="F386" s="5" t="str">
        <f t="shared" si="1"/>
        <v>sally.davis@hotmail.com</v>
      </c>
      <c r="G386" s="5" t="s">
        <v>5172</v>
      </c>
      <c r="H386" s="9">
        <v>45894.0</v>
      </c>
      <c r="I386" s="9">
        <v>45919.0</v>
      </c>
    </row>
    <row r="387" ht="22.5" customHeight="1">
      <c r="A387" s="5" t="s">
        <v>1652</v>
      </c>
      <c r="B387" s="5" t="s">
        <v>4080</v>
      </c>
      <c r="C387" s="5" t="str">
        <f>IFERROR(__xludf.DUMMYFUNCTION("REGEXREPLACE(B387,""\D"","""")"),"6668804851")</f>
        <v>6668804851</v>
      </c>
      <c r="D387" s="12">
        <v>6.668804851E9</v>
      </c>
      <c r="E387" s="5" t="s">
        <v>4081</v>
      </c>
      <c r="F387" s="5" t="str">
        <f t="shared" si="1"/>
        <v>david.chen@gmail.com</v>
      </c>
      <c r="G387" s="5" t="s">
        <v>5173</v>
      </c>
      <c r="H387" s="9">
        <v>45741.0</v>
      </c>
      <c r="I387" s="11"/>
    </row>
    <row r="388" ht="22.5" customHeight="1">
      <c r="A388" s="5" t="s">
        <v>1655</v>
      </c>
      <c r="B388" s="14" t="s">
        <v>4082</v>
      </c>
      <c r="C388" s="5" t="str">
        <f>IFERROR(__xludf.DUMMYFUNCTION("REGEXREPLACE(B388,""\D"","""")"),"7566901138")</f>
        <v>7566901138</v>
      </c>
      <c r="D388" s="12">
        <v>7.566901138E9</v>
      </c>
      <c r="E388" s="5" t="s">
        <v>4083</v>
      </c>
      <c r="F388" s="5" t="str">
        <f t="shared" si="1"/>
        <v>louis.cooper@aol.com</v>
      </c>
      <c r="G388" s="5" t="s">
        <v>4083</v>
      </c>
      <c r="H388" s="9">
        <v>45828.0</v>
      </c>
      <c r="I388" s="9">
        <v>45838.0</v>
      </c>
    </row>
    <row r="389" ht="22.5" customHeight="1">
      <c r="A389" s="5" t="s">
        <v>1659</v>
      </c>
      <c r="B389" s="14" t="s">
        <v>4084</v>
      </c>
      <c r="C389" s="5" t="str">
        <f>IFERROR(__xludf.DUMMYFUNCTION("REGEXREPLACE(B389,""\D"","""")"),"2586465088")</f>
        <v>2586465088</v>
      </c>
      <c r="D389" s="12">
        <v>2.586465088E9</v>
      </c>
      <c r="E389" s="5" t="s">
        <v>4085</v>
      </c>
      <c r="F389" s="5" t="str">
        <f t="shared" si="1"/>
        <v>olivia.baker@yahoo.com</v>
      </c>
      <c r="G389" s="5" t="s">
        <v>5174</v>
      </c>
      <c r="H389" s="9">
        <v>45913.0</v>
      </c>
      <c r="I389" s="11"/>
    </row>
    <row r="390" ht="22.5" customHeight="1">
      <c r="A390" s="5" t="s">
        <v>1661</v>
      </c>
      <c r="B390" s="5" t="s">
        <v>4087</v>
      </c>
      <c r="C390" s="5" t="str">
        <f>IFERROR(__xludf.DUMMYFUNCTION("REGEXREPLACE(B390,""\D"","""")"),"8326915363")</f>
        <v>8326915363</v>
      </c>
      <c r="D390" s="12">
        <v>8.326915363E9</v>
      </c>
      <c r="E390" s="5" t="s">
        <v>4088</v>
      </c>
      <c r="F390" s="5" t="str">
        <f t="shared" si="1"/>
        <v>david.jones@hotmail.com</v>
      </c>
      <c r="G390" s="5" t="s">
        <v>5175</v>
      </c>
      <c r="H390" s="9">
        <v>45799.0</v>
      </c>
      <c r="I390" s="9">
        <v>45809.0</v>
      </c>
    </row>
    <row r="391" ht="22.5" customHeight="1">
      <c r="A391" s="5" t="s">
        <v>1664</v>
      </c>
      <c r="B391" s="5" t="s">
        <v>4090</v>
      </c>
      <c r="C391" s="5" t="str">
        <f>IFERROR(__xludf.DUMMYFUNCTION("REGEXREPLACE(B391,""\D"","""")"),"4006524066")</f>
        <v>4006524066</v>
      </c>
      <c r="D391" s="12">
        <v>4.006524066E9</v>
      </c>
      <c r="E391" s="5" t="s">
        <v>4091</v>
      </c>
      <c r="F391" s="5" t="str">
        <f t="shared" si="1"/>
        <v>daniel.wu@outlook.com</v>
      </c>
      <c r="G391" s="5" t="s">
        <v>5176</v>
      </c>
      <c r="H391" s="9">
        <v>45851.0</v>
      </c>
      <c r="I391" s="9">
        <v>45860.0</v>
      </c>
    </row>
    <row r="392" ht="22.5" customHeight="1">
      <c r="A392" s="5" t="s">
        <v>1668</v>
      </c>
      <c r="B392" s="5" t="s">
        <v>4092</v>
      </c>
      <c r="C392" s="5" t="str">
        <f>IFERROR(__xludf.DUMMYFUNCTION("REGEXREPLACE(B392,""\D"","""")"),"2337105059")</f>
        <v>2337105059</v>
      </c>
      <c r="D392" s="12">
        <v>2.337105059E9</v>
      </c>
      <c r="E392" s="5" t="s">
        <v>4093</v>
      </c>
      <c r="F392" s="5" t="str">
        <f t="shared" si="1"/>
        <v>frank.jackson@outlook.com</v>
      </c>
      <c r="G392" s="5" t="s">
        <v>5177</v>
      </c>
      <c r="H392" s="9">
        <v>45882.0</v>
      </c>
      <c r="I392" s="11"/>
    </row>
    <row r="393" ht="22.5" customHeight="1">
      <c r="A393" s="5" t="s">
        <v>1670</v>
      </c>
      <c r="B393" s="5" t="s">
        <v>4094</v>
      </c>
      <c r="C393" s="5" t="str">
        <f>IFERROR(__xludf.DUMMYFUNCTION("REGEXREPLACE(B393,""\D"","""")"),"2705087654")</f>
        <v>2705087654</v>
      </c>
      <c r="D393" s="12">
        <v>2.705087654E9</v>
      </c>
      <c r="E393" s="5" t="s">
        <v>4095</v>
      </c>
      <c r="F393" s="5" t="str">
        <f t="shared" si="1"/>
        <v>kylie.richardson@yahoo.com</v>
      </c>
      <c r="G393" s="5" t="s">
        <v>4095</v>
      </c>
      <c r="H393" s="9">
        <v>45807.0</v>
      </c>
      <c r="I393" s="9">
        <v>45835.0</v>
      </c>
    </row>
    <row r="394" ht="22.5" customHeight="1">
      <c r="A394" s="5" t="s">
        <v>1673</v>
      </c>
      <c r="B394" s="14" t="s">
        <v>4096</v>
      </c>
      <c r="C394" s="5" t="str">
        <f>IFERROR(__xludf.DUMMYFUNCTION("REGEXREPLACE(B394,""\D"","""")"),"4572814968")</f>
        <v>4572814968</v>
      </c>
      <c r="D394" s="12">
        <v>4.572814968E9</v>
      </c>
      <c r="E394" s="5" t="s">
        <v>4097</v>
      </c>
      <c r="F394" s="5" t="str">
        <f t="shared" si="1"/>
        <v>hannah.jones@outlook.com</v>
      </c>
      <c r="G394" s="5" t="s">
        <v>5178</v>
      </c>
      <c r="H394" s="9">
        <v>46078.0</v>
      </c>
      <c r="I394" s="9">
        <v>46082.0</v>
      </c>
    </row>
    <row r="395" ht="22.5" customHeight="1">
      <c r="A395" s="5" t="s">
        <v>1675</v>
      </c>
      <c r="C395" s="10" t="str">
        <f>IFERROR(__xludf.DUMMYFUNCTION("REGEXREPLACE(B395,""\D"","""")"),"")</f>
        <v/>
      </c>
      <c r="D395" s="13" t="s">
        <v>4964</v>
      </c>
      <c r="E395" s="5" t="s">
        <v>4098</v>
      </c>
      <c r="F395" s="5" t="str">
        <f t="shared" si="1"/>
        <v>wendy.lopez@gmail.com</v>
      </c>
      <c r="G395" s="5" t="s">
        <v>4098</v>
      </c>
      <c r="H395" s="9">
        <v>46203.0</v>
      </c>
      <c r="I395" s="9">
        <v>46224.0</v>
      </c>
    </row>
    <row r="396" ht="22.5" customHeight="1">
      <c r="A396" s="5" t="s">
        <v>1679</v>
      </c>
      <c r="B396" s="5" t="s">
        <v>4099</v>
      </c>
      <c r="C396" s="5" t="str">
        <f>IFERROR(__xludf.DUMMYFUNCTION("REGEXREPLACE(B396,""\D"","""")"),"8343507706")</f>
        <v>8343507706</v>
      </c>
      <c r="D396" s="12">
        <v>8.343507706E9</v>
      </c>
      <c r="E396" s="5" t="s">
        <v>4100</v>
      </c>
      <c r="F396" s="5" t="str">
        <f t="shared" si="1"/>
        <v>david.rodriguez@yahoo.com</v>
      </c>
      <c r="G396" s="5" t="s">
        <v>5179</v>
      </c>
      <c r="H396" s="9">
        <v>45883.0</v>
      </c>
      <c r="I396" s="11"/>
    </row>
    <row r="397" ht="22.5" customHeight="1">
      <c r="A397" s="5" t="s">
        <v>1682</v>
      </c>
      <c r="B397" s="5" t="s">
        <v>4101</v>
      </c>
      <c r="C397" s="5" t="str">
        <f>IFERROR(__xludf.DUMMYFUNCTION("REGEXREPLACE(B397,""\D"","""")"),"2247606737")</f>
        <v>2247606737</v>
      </c>
      <c r="D397" s="12">
        <v>2.247606737E9</v>
      </c>
      <c r="E397" s="5" t="s">
        <v>4102</v>
      </c>
      <c r="F397" s="5" t="str">
        <f t="shared" si="1"/>
        <v>alice.cooper@gmail.com</v>
      </c>
      <c r="G397" s="5" t="s">
        <v>4102</v>
      </c>
      <c r="H397" s="9">
        <v>46109.0</v>
      </c>
      <c r="I397" s="11"/>
    </row>
    <row r="398" ht="22.5" customHeight="1">
      <c r="A398" s="5" t="s">
        <v>1685</v>
      </c>
      <c r="B398" s="5" t="s">
        <v>4103</v>
      </c>
      <c r="C398" s="5" t="str">
        <f>IFERROR(__xludf.DUMMYFUNCTION("REGEXREPLACE(B398,""\D"","""")"),"2963398808")</f>
        <v>2963398808</v>
      </c>
      <c r="D398" s="12">
        <v>2.963398808E9</v>
      </c>
      <c r="E398" s="5" t="s">
        <v>4104</v>
      </c>
      <c r="F398" s="5" t="str">
        <f t="shared" si="1"/>
        <v>jane.smith@gmail.com</v>
      </c>
      <c r="G398" s="5" t="s">
        <v>5180</v>
      </c>
      <c r="H398" s="9">
        <v>45798.0</v>
      </c>
      <c r="I398" s="9">
        <v>45809.0</v>
      </c>
    </row>
    <row r="399" ht="22.5" customHeight="1">
      <c r="A399" s="5" t="s">
        <v>1688</v>
      </c>
      <c r="B399" s="5" t="s">
        <v>4105</v>
      </c>
      <c r="C399" s="5" t="str">
        <f>IFERROR(__xludf.DUMMYFUNCTION("REGEXREPLACE(B399,""\D"","""")"),"8356979900")</f>
        <v>8356979900</v>
      </c>
      <c r="D399" s="12">
        <v>8.3569799E9</v>
      </c>
      <c r="E399" s="5" t="s">
        <v>4106</v>
      </c>
      <c r="F399" s="5" t="str">
        <f t="shared" si="1"/>
        <v>ava.garcia@gmail.com</v>
      </c>
      <c r="G399" s="5" t="s">
        <v>5181</v>
      </c>
      <c r="H399" s="9">
        <v>46185.0</v>
      </c>
      <c r="I399" s="9">
        <v>46209.0</v>
      </c>
    </row>
    <row r="400" ht="22.5" customHeight="1">
      <c r="A400" s="5" t="s">
        <v>1691</v>
      </c>
      <c r="B400" s="5" t="s">
        <v>4107</v>
      </c>
      <c r="C400" s="5" t="str">
        <f>IFERROR(__xludf.DUMMYFUNCTION("REGEXREPLACE(B400,""\D"","""")"),"7223605230")</f>
        <v>7223605230</v>
      </c>
      <c r="D400" s="12">
        <v>7.22360523E9</v>
      </c>
      <c r="E400" s="5" t="s">
        <v>4108</v>
      </c>
      <c r="F400" s="5" t="str">
        <f t="shared" si="1"/>
        <v>betty.miller@yahoo.com</v>
      </c>
      <c r="G400" s="5" t="s">
        <v>4108</v>
      </c>
      <c r="H400" s="9">
        <v>45818.0</v>
      </c>
      <c r="I400" s="9">
        <v>45841.0</v>
      </c>
    </row>
    <row r="401" ht="22.5" customHeight="1">
      <c r="A401" s="5" t="s">
        <v>1694</v>
      </c>
      <c r="B401" s="5" t="s">
        <v>4110</v>
      </c>
      <c r="C401" s="5" t="str">
        <f>IFERROR(__xludf.DUMMYFUNCTION("REGEXREPLACE(B401,""\D"","""")"),"4854683000")</f>
        <v>4854683000</v>
      </c>
      <c r="D401" s="12">
        <v>4.854683E9</v>
      </c>
      <c r="E401" s="5" t="s">
        <v>4111</v>
      </c>
      <c r="F401" s="5" t="str">
        <f t="shared" si="1"/>
        <v>jane.sun@outlook.com</v>
      </c>
      <c r="G401" s="5" t="s">
        <v>5182</v>
      </c>
      <c r="H401" s="9">
        <v>45797.0</v>
      </c>
      <c r="I401" s="9">
        <v>45809.0</v>
      </c>
    </row>
    <row r="402" ht="22.5" customHeight="1">
      <c r="A402" s="5" t="s">
        <v>1697</v>
      </c>
      <c r="B402" s="5" t="s">
        <v>4113</v>
      </c>
      <c r="C402" s="5" t="str">
        <f>IFERROR(__xludf.DUMMYFUNCTION("REGEXREPLACE(B402,""\D"","""")"),"7902128732")</f>
        <v>7902128732</v>
      </c>
      <c r="D402" s="12">
        <v>7.902128732E9</v>
      </c>
      <c r="E402" s="5" t="s">
        <v>4114</v>
      </c>
      <c r="F402" s="5" t="str">
        <f t="shared" si="1"/>
        <v>david.cooper@hotmail.com</v>
      </c>
      <c r="G402" s="5" t="s">
        <v>5183</v>
      </c>
      <c r="H402" s="9">
        <v>46208.0</v>
      </c>
      <c r="I402" s="9">
        <v>46235.0</v>
      </c>
    </row>
    <row r="403" ht="22.5" customHeight="1">
      <c r="A403" s="5" t="s">
        <v>1699</v>
      </c>
      <c r="B403" s="5" t="s">
        <v>4115</v>
      </c>
      <c r="C403" s="5" t="str">
        <f>IFERROR(__xludf.DUMMYFUNCTION("REGEXREPLACE(B403,""\D"","""")"),"7382659278")</f>
        <v>7382659278</v>
      </c>
      <c r="D403" s="12">
        <v>7.382659278E9</v>
      </c>
      <c r="F403" s="10" t="str">
        <f t="shared" si="1"/>
        <v/>
      </c>
      <c r="G403" s="10" t="s">
        <v>4964</v>
      </c>
      <c r="H403" s="9">
        <v>45789.0</v>
      </c>
      <c r="I403" s="11"/>
    </row>
    <row r="404" ht="22.5" customHeight="1">
      <c r="A404" s="5" t="s">
        <v>1703</v>
      </c>
      <c r="B404" s="5" t="s">
        <v>4116</v>
      </c>
      <c r="C404" s="5" t="str">
        <f>IFERROR(__xludf.DUMMYFUNCTION("REGEXREPLACE(B404,""\D"","""")"),"2426941193")</f>
        <v>2426941193</v>
      </c>
      <c r="D404" s="12">
        <v>2.426941193E9</v>
      </c>
      <c r="E404" s="5" t="s">
        <v>4117</v>
      </c>
      <c r="F404" s="5" t="str">
        <f t="shared" si="1"/>
        <v>jane.rodriguez@hotmail.com</v>
      </c>
      <c r="G404" s="5" t="s">
        <v>4117</v>
      </c>
      <c r="H404" s="9">
        <v>45796.0</v>
      </c>
      <c r="I404" s="9">
        <v>45813.0</v>
      </c>
    </row>
    <row r="405" ht="22.5" customHeight="1">
      <c r="A405" s="5" t="s">
        <v>1706</v>
      </c>
      <c r="B405" s="5" t="s">
        <v>4118</v>
      </c>
      <c r="C405" s="5" t="str">
        <f>IFERROR(__xludf.DUMMYFUNCTION("REGEXREPLACE(B405,""\D"","""")"),"5915969935")</f>
        <v>5915969935</v>
      </c>
      <c r="D405" s="12">
        <v>5.915969935E9</v>
      </c>
      <c r="E405" s="5" t="s">
        <v>4119</v>
      </c>
      <c r="F405" s="5" t="str">
        <f t="shared" si="1"/>
        <v>nancy.little@yahoo.com</v>
      </c>
      <c r="G405" s="5" t="s">
        <v>5184</v>
      </c>
      <c r="H405" s="9">
        <v>45955.0</v>
      </c>
      <c r="I405" s="9">
        <v>45980.0</v>
      </c>
    </row>
    <row r="406" ht="22.5" customHeight="1">
      <c r="A406" s="5" t="s">
        <v>1709</v>
      </c>
      <c r="B406" s="14" t="s">
        <v>4121</v>
      </c>
      <c r="C406" s="5" t="str">
        <f>IFERROR(__xludf.DUMMYFUNCTION("REGEXREPLACE(B406,""\D"","""")"),"2987968843")</f>
        <v>2987968843</v>
      </c>
      <c r="D406" s="12">
        <v>2.987968843E9</v>
      </c>
      <c r="E406" s="5" t="s">
        <v>4122</v>
      </c>
      <c r="F406" s="5" t="str">
        <f t="shared" si="1"/>
        <v>pauline.rodriguez@aol.com</v>
      </c>
      <c r="G406" s="5" t="s">
        <v>4122</v>
      </c>
      <c r="H406" s="9">
        <v>46251.0</v>
      </c>
      <c r="I406" s="11"/>
    </row>
    <row r="407" ht="22.5" customHeight="1">
      <c r="A407" s="5" t="s">
        <v>1712</v>
      </c>
      <c r="B407" s="5" t="s">
        <v>4123</v>
      </c>
      <c r="C407" s="5" t="str">
        <f>IFERROR(__xludf.DUMMYFUNCTION("REGEXREPLACE(B407,""\D"","""")"),"8684174258")</f>
        <v>8684174258</v>
      </c>
      <c r="D407" s="12">
        <v>8.684174258E9</v>
      </c>
      <c r="E407" s="5" t="s">
        <v>4124</v>
      </c>
      <c r="F407" s="5" t="str">
        <f t="shared" si="1"/>
        <v>hannah.sharp@hotmail.com</v>
      </c>
      <c r="G407" s="5" t="s">
        <v>4124</v>
      </c>
      <c r="H407" s="9">
        <v>46079.0</v>
      </c>
      <c r="I407" s="11"/>
    </row>
    <row r="408" ht="22.5" customHeight="1">
      <c r="A408" s="5" t="s">
        <v>1715</v>
      </c>
      <c r="B408" s="5" t="s">
        <v>4126</v>
      </c>
      <c r="C408" s="5" t="str">
        <f>IFERROR(__xludf.DUMMYFUNCTION("REGEXREPLACE(B408,""\D"","""")"),"8076107553")</f>
        <v>8076107553</v>
      </c>
      <c r="D408" s="12">
        <v>8.076107553E9</v>
      </c>
      <c r="E408" s="5" t="s">
        <v>4127</v>
      </c>
      <c r="F408" s="5" t="str">
        <f t="shared" si="1"/>
        <v>craig.jones@yahoo.com</v>
      </c>
      <c r="G408" s="5" t="s">
        <v>4127</v>
      </c>
      <c r="H408" s="9">
        <v>46213.0</v>
      </c>
      <c r="I408" s="11"/>
    </row>
    <row r="409" ht="22.5" customHeight="1">
      <c r="A409" s="5" t="s">
        <v>1718</v>
      </c>
      <c r="B409" s="14" t="s">
        <v>4128</v>
      </c>
      <c r="C409" s="5" t="str">
        <f>IFERROR(__xludf.DUMMYFUNCTION("REGEXREPLACE(B409,""\D"","""")"),"6945134661")</f>
        <v>6945134661</v>
      </c>
      <c r="D409" s="12">
        <v>6.945134661E9</v>
      </c>
      <c r="E409" s="5" t="s">
        <v>4129</v>
      </c>
      <c r="F409" s="5" t="str">
        <f t="shared" si="1"/>
        <v>greg.jones@outlook.com</v>
      </c>
      <c r="G409" s="5" t="s">
        <v>4129</v>
      </c>
      <c r="H409" s="9">
        <v>45731.0</v>
      </c>
      <c r="I409" s="11"/>
    </row>
    <row r="410" ht="22.5" customHeight="1">
      <c r="A410" s="5" t="s">
        <v>1721</v>
      </c>
      <c r="B410" s="5" t="s">
        <v>4131</v>
      </c>
      <c r="C410" s="5" t="str">
        <f>IFERROR(__xludf.DUMMYFUNCTION("REGEXREPLACE(B410,""\D"","""")"),"2709822431")</f>
        <v>2709822431</v>
      </c>
      <c r="D410" s="12">
        <v>2.709822431E9</v>
      </c>
      <c r="E410" s="5" t="s">
        <v>4132</v>
      </c>
      <c r="F410" s="5" t="str">
        <f t="shared" si="1"/>
        <v>bob.white@hotmail.com</v>
      </c>
      <c r="G410" s="5" t="s">
        <v>5185</v>
      </c>
      <c r="H410" s="9">
        <v>45801.0</v>
      </c>
      <c r="I410" s="9">
        <v>45823.0</v>
      </c>
    </row>
    <row r="411" ht="22.5" customHeight="1">
      <c r="A411" s="5" t="s">
        <v>1723</v>
      </c>
      <c r="B411" s="5" t="s">
        <v>4133</v>
      </c>
      <c r="C411" s="5" t="str">
        <f>IFERROR(__xludf.DUMMYFUNCTION("REGEXREPLACE(B411,""\D"","""")"),"7719623154")</f>
        <v>7719623154</v>
      </c>
      <c r="D411" s="12">
        <v>7.719623154E9</v>
      </c>
      <c r="E411" s="5" t="s">
        <v>4134</v>
      </c>
      <c r="F411" s="5" t="str">
        <f t="shared" si="1"/>
        <v>keith.doe@gmail.com</v>
      </c>
      <c r="G411" s="5" t="s">
        <v>5186</v>
      </c>
      <c r="H411" s="9">
        <v>46152.0</v>
      </c>
      <c r="I411" s="11"/>
    </row>
    <row r="412" ht="22.5" customHeight="1">
      <c r="A412" s="5" t="s">
        <v>1726</v>
      </c>
      <c r="B412" s="5" t="s">
        <v>4135</v>
      </c>
      <c r="C412" s="5" t="str">
        <f>IFERROR(__xludf.DUMMYFUNCTION("REGEXREPLACE(B412,""\D"","""")"),"4905658828")</f>
        <v>4905658828</v>
      </c>
      <c r="D412" s="12">
        <v>4.905658828E9</v>
      </c>
      <c r="E412" s="5" t="s">
        <v>4136</v>
      </c>
      <c r="F412" s="5" t="str">
        <f t="shared" si="1"/>
        <v>eva.baker@aol.com</v>
      </c>
      <c r="G412" s="5" t="s">
        <v>5187</v>
      </c>
      <c r="H412" s="9">
        <v>46171.0</v>
      </c>
      <c r="I412" s="9">
        <v>46200.0</v>
      </c>
    </row>
    <row r="413" ht="22.5" customHeight="1">
      <c r="A413" s="5" t="s">
        <v>1730</v>
      </c>
      <c r="B413" s="5" t="s">
        <v>4137</v>
      </c>
      <c r="C413" s="5" t="str">
        <f>IFERROR(__xludf.DUMMYFUNCTION("REGEXREPLACE(B413,""\D"","""")"),"7618328167")</f>
        <v>7618328167</v>
      </c>
      <c r="D413" s="12">
        <v>7.618328167E9</v>
      </c>
      <c r="E413" s="5" t="s">
        <v>4138</v>
      </c>
      <c r="F413" s="5" t="str">
        <f t="shared" si="1"/>
        <v>fiona.chan@hotmail.com</v>
      </c>
      <c r="G413" s="5" t="s">
        <v>4138</v>
      </c>
      <c r="H413" s="9">
        <v>45849.0</v>
      </c>
      <c r="I413" s="11"/>
    </row>
    <row r="414" ht="22.5" customHeight="1">
      <c r="A414" s="5" t="s">
        <v>1732</v>
      </c>
      <c r="B414" s="14" t="s">
        <v>4140</v>
      </c>
      <c r="C414" s="5" t="str">
        <f>IFERROR(__xludf.DUMMYFUNCTION("REGEXREPLACE(B414,""\D"","""")"),"6173064713")</f>
        <v>6173064713</v>
      </c>
      <c r="D414" s="12">
        <v>6.173064713E9</v>
      </c>
      <c r="E414" s="5" t="s">
        <v>4141</v>
      </c>
      <c r="F414" s="5" t="str">
        <f t="shared" si="1"/>
        <v>hannah.sharp@outlook.com</v>
      </c>
      <c r="G414" s="5" t="s">
        <v>5188</v>
      </c>
      <c r="H414" s="9">
        <v>46001.0</v>
      </c>
      <c r="I414" s="11"/>
    </row>
    <row r="415" ht="22.5" customHeight="1">
      <c r="A415" s="5" t="s">
        <v>1735</v>
      </c>
      <c r="B415" s="14" t="s">
        <v>4142</v>
      </c>
      <c r="C415" s="5" t="str">
        <f>IFERROR(__xludf.DUMMYFUNCTION("REGEXREPLACE(B415,""\D"","""")"),"6067323760")</f>
        <v>6067323760</v>
      </c>
      <c r="D415" s="12">
        <v>6.06732376E9</v>
      </c>
      <c r="E415" s="5" t="s">
        <v>4143</v>
      </c>
      <c r="F415" s="5" t="str">
        <f t="shared" si="1"/>
        <v>josephine.williams@hotmail.com</v>
      </c>
      <c r="G415" s="5" t="s">
        <v>5189</v>
      </c>
      <c r="H415" s="9">
        <v>46207.0</v>
      </c>
      <c r="I415" s="9">
        <v>46216.0</v>
      </c>
    </row>
    <row r="416" ht="22.5" customHeight="1">
      <c r="A416" s="5" t="s">
        <v>1738</v>
      </c>
      <c r="B416" s="14" t="s">
        <v>4145</v>
      </c>
      <c r="C416" s="5" t="str">
        <f>IFERROR(__xludf.DUMMYFUNCTION("REGEXREPLACE(B416,""\D"","""")"),"6395268762")</f>
        <v>6395268762</v>
      </c>
      <c r="D416" s="12">
        <v>6.395268762E9</v>
      </c>
      <c r="E416" s="5" t="s">
        <v>4146</v>
      </c>
      <c r="F416" s="5" t="str">
        <f t="shared" si="1"/>
        <v>christine.cooper@outlook.com</v>
      </c>
      <c r="G416" s="5" t="s">
        <v>5190</v>
      </c>
      <c r="H416" s="9">
        <v>46089.0</v>
      </c>
      <c r="I416" s="9">
        <v>46092.0</v>
      </c>
    </row>
    <row r="417" ht="22.5" customHeight="1">
      <c r="A417" s="5" t="s">
        <v>1741</v>
      </c>
      <c r="B417" s="14" t="s">
        <v>4148</v>
      </c>
      <c r="C417" s="5" t="str">
        <f>IFERROR(__xludf.DUMMYFUNCTION("REGEXREPLACE(B417,""\D"","""")"),"2988099466")</f>
        <v>2988099466</v>
      </c>
      <c r="D417" s="12">
        <v>2.988099466E9</v>
      </c>
      <c r="E417" s="5" t="s">
        <v>4149</v>
      </c>
      <c r="F417" s="5" t="str">
        <f t="shared" si="1"/>
        <v>felix.lopez@aol.com</v>
      </c>
      <c r="G417" s="5" t="s">
        <v>4149</v>
      </c>
      <c r="H417" s="11"/>
      <c r="I417" s="11"/>
    </row>
    <row r="418" ht="22.5" customHeight="1">
      <c r="A418" s="5" t="s">
        <v>1743</v>
      </c>
      <c r="B418" s="14" t="s">
        <v>4150</v>
      </c>
      <c r="C418" s="5" t="str">
        <f>IFERROR(__xludf.DUMMYFUNCTION("REGEXREPLACE(B418,""\D"","""")"),"5592384406")</f>
        <v>5592384406</v>
      </c>
      <c r="D418" s="12">
        <v>5.592384406E9</v>
      </c>
      <c r="E418" s="5" t="s">
        <v>4151</v>
      </c>
      <c r="F418" s="5" t="str">
        <f t="shared" si="1"/>
        <v>ian.brown@hotmail.com</v>
      </c>
      <c r="G418" s="5" t="s">
        <v>5191</v>
      </c>
      <c r="H418" s="9">
        <v>45941.0</v>
      </c>
      <c r="I418" s="9">
        <v>45952.0</v>
      </c>
    </row>
    <row r="419" ht="22.5" customHeight="1">
      <c r="A419" s="5" t="s">
        <v>1746</v>
      </c>
      <c r="B419" s="5" t="s">
        <v>4153</v>
      </c>
      <c r="C419" s="5" t="str">
        <f>IFERROR(__xludf.DUMMYFUNCTION("REGEXREPLACE(B419,""\D"","""")"),"3295404390")</f>
        <v>3295404390</v>
      </c>
      <c r="D419" s="12">
        <v>3.29540439E9</v>
      </c>
      <c r="E419" s="5" t="s">
        <v>4154</v>
      </c>
      <c r="F419" s="5" t="str">
        <f t="shared" si="1"/>
        <v>ryan.lee@outlook.com</v>
      </c>
      <c r="G419" s="5" t="s">
        <v>5192</v>
      </c>
      <c r="H419" s="9">
        <v>46071.0</v>
      </c>
      <c r="I419" s="9">
        <v>46087.0</v>
      </c>
    </row>
    <row r="420" ht="22.5" customHeight="1">
      <c r="A420" s="5" t="s">
        <v>1750</v>
      </c>
      <c r="B420" s="14" t="s">
        <v>4155</v>
      </c>
      <c r="C420" s="5" t="str">
        <f>IFERROR(__xludf.DUMMYFUNCTION("REGEXREPLACE(B420,""\D"","""")"),"5025872456")</f>
        <v>5025872456</v>
      </c>
      <c r="D420" s="12">
        <v>5.025872456E9</v>
      </c>
      <c r="E420" s="5" t="s">
        <v>4156</v>
      </c>
      <c r="F420" s="5" t="str">
        <f t="shared" si="1"/>
        <v>tina.doe@aol.com</v>
      </c>
      <c r="G420" s="5" t="s">
        <v>5193</v>
      </c>
      <c r="H420" s="9">
        <v>46057.0</v>
      </c>
      <c r="I420" s="11"/>
    </row>
    <row r="421" ht="22.5" customHeight="1">
      <c r="A421" s="5" t="s">
        <v>1752</v>
      </c>
      <c r="B421" s="14" t="s">
        <v>4158</v>
      </c>
      <c r="C421" s="5" t="str">
        <f>IFERROR(__xludf.DUMMYFUNCTION("REGEXREPLACE(B421,""\D"","""")"),"3996044719")</f>
        <v>3996044719</v>
      </c>
      <c r="D421" s="12">
        <v>3.996044719E9</v>
      </c>
      <c r="E421" s="5" t="s">
        <v>4159</v>
      </c>
      <c r="F421" s="5" t="str">
        <f t="shared" si="1"/>
        <v>harry.perez@outlook.com</v>
      </c>
      <c r="G421" s="5" t="s">
        <v>4159</v>
      </c>
      <c r="H421" s="9">
        <v>45817.0</v>
      </c>
      <c r="I421" s="11"/>
    </row>
    <row r="422" ht="22.5" customHeight="1">
      <c r="A422" s="5" t="s">
        <v>1755</v>
      </c>
      <c r="B422" s="5" t="s">
        <v>4160</v>
      </c>
      <c r="C422" s="5" t="str">
        <f>IFERROR(__xludf.DUMMYFUNCTION("REGEXREPLACE(B422,""\D"","""")"),"6337463918")</f>
        <v>6337463918</v>
      </c>
      <c r="D422" s="12">
        <v>6.337463918E9</v>
      </c>
      <c r="E422" s="5" t="s">
        <v>4161</v>
      </c>
      <c r="F422" s="5" t="str">
        <f t="shared" si="1"/>
        <v>hannah.lim@gmail.com</v>
      </c>
      <c r="G422" s="5" t="s">
        <v>5194</v>
      </c>
      <c r="H422" s="9">
        <v>46096.0</v>
      </c>
      <c r="I422" s="9">
        <v>46124.0</v>
      </c>
    </row>
    <row r="423" ht="22.5" customHeight="1">
      <c r="A423" s="5" t="s">
        <v>1757</v>
      </c>
      <c r="B423" s="5" t="s">
        <v>4162</v>
      </c>
      <c r="C423" s="5" t="str">
        <f>IFERROR(__xludf.DUMMYFUNCTION("REGEXREPLACE(B423,""\D"","""")"),"2823836614")</f>
        <v>2823836614</v>
      </c>
      <c r="D423" s="12">
        <v>2.823836614E9</v>
      </c>
      <c r="E423" s="5" t="s">
        <v>4163</v>
      </c>
      <c r="F423" s="5" t="str">
        <f t="shared" si="1"/>
        <v>eva.davis@hotmail.com</v>
      </c>
      <c r="G423" s="5" t="s">
        <v>4163</v>
      </c>
      <c r="H423" s="9">
        <v>46012.0</v>
      </c>
      <c r="I423" s="11"/>
    </row>
    <row r="424" ht="22.5" customHeight="1">
      <c r="A424" s="5" t="s">
        <v>1759</v>
      </c>
      <c r="B424" s="5" t="s">
        <v>4164</v>
      </c>
      <c r="C424" s="5" t="str">
        <f>IFERROR(__xludf.DUMMYFUNCTION("REGEXREPLACE(B424,""\D"","""")"),"5094036848")</f>
        <v>5094036848</v>
      </c>
      <c r="D424" s="12">
        <v>5.094036848E9</v>
      </c>
      <c r="E424" s="5" t="s">
        <v>4165</v>
      </c>
      <c r="F424" s="5" t="str">
        <f t="shared" si="1"/>
        <v>louis.ferguson@gmail.com</v>
      </c>
      <c r="G424" s="5" t="s">
        <v>5195</v>
      </c>
      <c r="H424" s="9">
        <v>46046.0</v>
      </c>
      <c r="I424" s="9">
        <v>46070.0</v>
      </c>
    </row>
    <row r="425" ht="22.5" customHeight="1">
      <c r="A425" s="5" t="s">
        <v>1761</v>
      </c>
      <c r="B425" s="14" t="s">
        <v>4167</v>
      </c>
      <c r="C425" s="5" t="str">
        <f>IFERROR(__xludf.DUMMYFUNCTION("REGEXREPLACE(B425,""\D"","""")"),"2297691240")</f>
        <v>2297691240</v>
      </c>
      <c r="D425" s="12">
        <v>2.29769124E9</v>
      </c>
      <c r="E425" s="5" t="s">
        <v>4168</v>
      </c>
      <c r="F425" s="5" t="str">
        <f t="shared" si="1"/>
        <v>timothy.wu@gmail.com</v>
      </c>
      <c r="G425" s="5" t="s">
        <v>5196</v>
      </c>
      <c r="H425" s="9">
        <v>45888.0</v>
      </c>
      <c r="I425" s="11"/>
    </row>
    <row r="426" ht="22.5" customHeight="1">
      <c r="A426" s="5" t="s">
        <v>1765</v>
      </c>
      <c r="B426" s="5" t="s">
        <v>4169</v>
      </c>
      <c r="C426" s="5" t="str">
        <f>IFERROR(__xludf.DUMMYFUNCTION("REGEXREPLACE(B426,""\D"","""")"),"4442995003")</f>
        <v>4442995003</v>
      </c>
      <c r="D426" s="12">
        <v>4.442995003E9</v>
      </c>
      <c r="E426" s="5" t="s">
        <v>4170</v>
      </c>
      <c r="F426" s="5" t="str">
        <f t="shared" si="1"/>
        <v>alice.cooper@yahoo.com</v>
      </c>
      <c r="G426" s="5" t="s">
        <v>4170</v>
      </c>
      <c r="H426" s="9">
        <v>46226.0</v>
      </c>
      <c r="I426" s="11"/>
    </row>
    <row r="427" ht="22.5" customHeight="1">
      <c r="A427" s="5" t="s">
        <v>1767</v>
      </c>
      <c r="B427" s="14" t="s">
        <v>4171</v>
      </c>
      <c r="C427" s="5" t="str">
        <f>IFERROR(__xludf.DUMMYFUNCTION("REGEXREPLACE(B427,""\D"","""")"),"6673468651")</f>
        <v>6673468651</v>
      </c>
      <c r="D427" s="12">
        <v>6.673468651E9</v>
      </c>
      <c r="E427" s="5" t="s">
        <v>4172</v>
      </c>
      <c r="F427" s="5" t="str">
        <f t="shared" si="1"/>
        <v>jack.lopez@gmail.com</v>
      </c>
      <c r="G427" s="5" t="s">
        <v>4172</v>
      </c>
      <c r="H427" s="9">
        <v>46061.0</v>
      </c>
      <c r="I427" s="9">
        <v>46062.0</v>
      </c>
    </row>
    <row r="428" ht="22.5" customHeight="1">
      <c r="A428" s="5" t="s">
        <v>1770</v>
      </c>
      <c r="B428" s="5" t="s">
        <v>4173</v>
      </c>
      <c r="C428" s="5" t="str">
        <f>IFERROR(__xludf.DUMMYFUNCTION("REGEXREPLACE(B428,""\D"","""")"),"5523032054")</f>
        <v>5523032054</v>
      </c>
      <c r="D428" s="12">
        <v>5.523032054E9</v>
      </c>
      <c r="E428" s="5" t="s">
        <v>4174</v>
      </c>
      <c r="F428" s="5" t="str">
        <f t="shared" si="1"/>
        <v>jane.glover@gmail.com</v>
      </c>
      <c r="G428" s="5" t="s">
        <v>5060</v>
      </c>
      <c r="H428" s="9">
        <v>45904.0</v>
      </c>
      <c r="I428" s="9">
        <v>45905.0</v>
      </c>
    </row>
    <row r="429" ht="22.5" customHeight="1">
      <c r="A429" s="5" t="s">
        <v>1772</v>
      </c>
      <c r="B429" s="14" t="s">
        <v>4175</v>
      </c>
      <c r="C429" s="5" t="str">
        <f>IFERROR(__xludf.DUMMYFUNCTION("REGEXREPLACE(B429,""\D"","""")"),"6084662658")</f>
        <v>6084662658</v>
      </c>
      <c r="D429" s="12">
        <v>6.084662658E9</v>
      </c>
      <c r="E429" s="5" t="s">
        <v>4176</v>
      </c>
      <c r="F429" s="5" t="str">
        <f t="shared" si="1"/>
        <v>joshua.miller@outlook.com</v>
      </c>
      <c r="G429" s="5" t="s">
        <v>4176</v>
      </c>
      <c r="H429" s="9">
        <v>46236.0</v>
      </c>
      <c r="I429" s="9">
        <v>46248.0</v>
      </c>
    </row>
    <row r="430" ht="22.5" customHeight="1">
      <c r="A430" s="5" t="s">
        <v>1774</v>
      </c>
      <c r="B430" s="14" t="s">
        <v>4177</v>
      </c>
      <c r="C430" s="5" t="str">
        <f>IFERROR(__xludf.DUMMYFUNCTION("REGEXREPLACE(B430,""\D"","""")"),"2729715597")</f>
        <v>2729715597</v>
      </c>
      <c r="D430" s="12">
        <v>2.729715597E9</v>
      </c>
      <c r="F430" s="10" t="str">
        <f t="shared" si="1"/>
        <v/>
      </c>
      <c r="G430" s="10" t="s">
        <v>4964</v>
      </c>
      <c r="H430" s="9">
        <v>46058.0</v>
      </c>
      <c r="I430" s="11"/>
    </row>
    <row r="431" ht="22.5" customHeight="1">
      <c r="A431" s="5" t="s">
        <v>1777</v>
      </c>
      <c r="B431" s="14" t="s">
        <v>4178</v>
      </c>
      <c r="C431" s="5" t="str">
        <f>IFERROR(__xludf.DUMMYFUNCTION("REGEXREPLACE(B431,""\D"","""")"),"9379818095")</f>
        <v>9379818095</v>
      </c>
      <c r="D431" s="12">
        <v>9.379818095E9</v>
      </c>
      <c r="E431" s="5" t="s">
        <v>4179</v>
      </c>
      <c r="F431" s="5" t="str">
        <f t="shared" si="1"/>
        <v>dale.glover@gmail.com</v>
      </c>
      <c r="G431" s="5" t="s">
        <v>4179</v>
      </c>
      <c r="H431" s="9">
        <v>45845.0</v>
      </c>
      <c r="I431" s="9">
        <v>45856.0</v>
      </c>
    </row>
    <row r="432" ht="22.5" customHeight="1">
      <c r="A432" s="5" t="s">
        <v>1780</v>
      </c>
      <c r="B432" s="5" t="s">
        <v>4181</v>
      </c>
      <c r="C432" s="5" t="str">
        <f>IFERROR(__xludf.DUMMYFUNCTION("REGEXREPLACE(B432,""\D"","""")"),"3956443851")</f>
        <v>3956443851</v>
      </c>
      <c r="D432" s="12">
        <v>3.956443851E9</v>
      </c>
      <c r="E432" s="5" t="s">
        <v>4182</v>
      </c>
      <c r="F432" s="5" t="str">
        <f t="shared" si="1"/>
        <v>hannah.bush@outlook.com</v>
      </c>
      <c r="G432" s="5" t="s">
        <v>4182</v>
      </c>
      <c r="H432" s="9">
        <v>46043.0</v>
      </c>
      <c r="I432" s="9">
        <v>46054.0</v>
      </c>
    </row>
    <row r="433" ht="22.5" customHeight="1">
      <c r="A433" s="5" t="s">
        <v>1781</v>
      </c>
      <c r="C433" s="10" t="str">
        <f>IFERROR(__xludf.DUMMYFUNCTION("REGEXREPLACE(B433,""\D"","""")"),"")</f>
        <v/>
      </c>
      <c r="D433" s="13" t="s">
        <v>4964</v>
      </c>
      <c r="E433" s="5" t="s">
        <v>4183</v>
      </c>
      <c r="F433" s="5" t="str">
        <f t="shared" si="1"/>
        <v>alice.young@hotmail.com</v>
      </c>
      <c r="G433" s="5" t="s">
        <v>5197</v>
      </c>
      <c r="H433" s="11"/>
      <c r="I433" s="11"/>
    </row>
    <row r="434" ht="22.5" customHeight="1">
      <c r="A434" s="5" t="s">
        <v>1785</v>
      </c>
      <c r="B434" s="5" t="s">
        <v>4184</v>
      </c>
      <c r="C434" s="5" t="str">
        <f>IFERROR(__xludf.DUMMYFUNCTION("REGEXREPLACE(B434,""\D"","""")"),"4955203274")</f>
        <v>4955203274</v>
      </c>
      <c r="D434" s="12">
        <v>4.955203274E9</v>
      </c>
      <c r="E434" s="5" t="s">
        <v>4185</v>
      </c>
      <c r="F434" s="5" t="str">
        <f t="shared" si="1"/>
        <v>robert.jones@outlook.com</v>
      </c>
      <c r="G434" s="5" t="s">
        <v>4185</v>
      </c>
      <c r="H434" s="9">
        <v>45907.0</v>
      </c>
      <c r="I434" s="9">
        <v>45932.0</v>
      </c>
    </row>
    <row r="435" ht="22.5" customHeight="1">
      <c r="A435" s="5" t="s">
        <v>1787</v>
      </c>
      <c r="C435" s="10" t="str">
        <f>IFERROR(__xludf.DUMMYFUNCTION("REGEXREPLACE(B435,""\D"","""")"),"")</f>
        <v/>
      </c>
      <c r="D435" s="13" t="s">
        <v>4964</v>
      </c>
      <c r="E435" s="5" t="s">
        <v>4187</v>
      </c>
      <c r="F435" s="5" t="str">
        <f t="shared" si="1"/>
        <v>ashley.young@yahoo.com</v>
      </c>
      <c r="G435" s="5" t="s">
        <v>4187</v>
      </c>
      <c r="H435" s="9">
        <v>45776.0</v>
      </c>
      <c r="I435" s="11"/>
    </row>
    <row r="436" ht="22.5" customHeight="1">
      <c r="A436" s="5" t="s">
        <v>1791</v>
      </c>
      <c r="B436" s="5" t="s">
        <v>4188</v>
      </c>
      <c r="C436" s="5" t="str">
        <f>IFERROR(__xludf.DUMMYFUNCTION("REGEXREPLACE(B436,""\D"","""")"),"4039479329")</f>
        <v>4039479329</v>
      </c>
      <c r="D436" s="12">
        <v>4.039479329E9</v>
      </c>
      <c r="F436" s="10" t="str">
        <f t="shared" si="1"/>
        <v/>
      </c>
      <c r="G436" s="10" t="s">
        <v>4964</v>
      </c>
      <c r="H436" s="9">
        <v>46174.0</v>
      </c>
      <c r="I436" s="11"/>
    </row>
    <row r="437" ht="22.5" customHeight="1">
      <c r="A437" s="5" t="s">
        <v>1794</v>
      </c>
      <c r="C437" s="10" t="str">
        <f>IFERROR(__xludf.DUMMYFUNCTION("REGEXREPLACE(B437,""\D"","""")"),"")</f>
        <v/>
      </c>
      <c r="D437" s="13" t="s">
        <v>4964</v>
      </c>
      <c r="E437" s="5" t="s">
        <v>4189</v>
      </c>
      <c r="F437" s="5" t="str">
        <f t="shared" si="1"/>
        <v>frank.brown@outlook.com</v>
      </c>
      <c r="G437" s="5" t="s">
        <v>5198</v>
      </c>
      <c r="H437" s="9">
        <v>46109.0</v>
      </c>
      <c r="I437" s="9">
        <v>46116.0</v>
      </c>
    </row>
    <row r="438" ht="22.5" customHeight="1">
      <c r="A438" s="5" t="s">
        <v>1796</v>
      </c>
      <c r="B438" s="14" t="s">
        <v>4190</v>
      </c>
      <c r="C438" s="5" t="str">
        <f>IFERROR(__xludf.DUMMYFUNCTION("REGEXREPLACE(B438,""\D"","""")"),"9826128404")</f>
        <v>9826128404</v>
      </c>
      <c r="D438" s="12">
        <v>9.826128404E9</v>
      </c>
      <c r="E438" s="5" t="s">
        <v>4191</v>
      </c>
      <c r="F438" s="5" t="str">
        <f t="shared" si="1"/>
        <v>john.doe@yahoo.com</v>
      </c>
      <c r="G438" s="5" t="s">
        <v>5199</v>
      </c>
      <c r="H438" s="9">
        <v>45720.0</v>
      </c>
      <c r="I438" s="11"/>
    </row>
    <row r="439" ht="22.5" customHeight="1">
      <c r="A439" s="5" t="s">
        <v>1799</v>
      </c>
      <c r="B439" s="14" t="s">
        <v>4193</v>
      </c>
      <c r="C439" s="5" t="str">
        <f>IFERROR(__xludf.DUMMYFUNCTION("REGEXREPLACE(B439,""\D"","""")"),"4188456543")</f>
        <v>4188456543</v>
      </c>
      <c r="D439" s="12">
        <v>4.188456543E9</v>
      </c>
      <c r="E439" s="5" t="s">
        <v>4194</v>
      </c>
      <c r="F439" s="5" t="str">
        <f t="shared" si="1"/>
        <v>wendy.kim@yahoo.com</v>
      </c>
      <c r="G439" s="5" t="s">
        <v>4194</v>
      </c>
      <c r="H439" s="9">
        <v>46153.0</v>
      </c>
      <c r="I439" s="9">
        <v>46164.0</v>
      </c>
    </row>
    <row r="440" ht="22.5" customHeight="1">
      <c r="A440" s="5" t="s">
        <v>1801</v>
      </c>
      <c r="B440" s="5" t="s">
        <v>4195</v>
      </c>
      <c r="C440" s="5" t="str">
        <f>IFERROR(__xludf.DUMMYFUNCTION("REGEXREPLACE(B440,""\D"","""")"),"6783039712")</f>
        <v>6783039712</v>
      </c>
      <c r="D440" s="12">
        <v>6.783039712E9</v>
      </c>
      <c r="E440" s="5" t="s">
        <v>4196</v>
      </c>
      <c r="F440" s="5" t="str">
        <f t="shared" si="1"/>
        <v>miles.lim@aol.com</v>
      </c>
      <c r="G440" s="5" t="s">
        <v>4196</v>
      </c>
      <c r="H440" s="9">
        <v>45961.0</v>
      </c>
      <c r="I440" s="9">
        <v>45971.0</v>
      </c>
    </row>
    <row r="441" ht="22.5" customHeight="1">
      <c r="A441" s="5" t="s">
        <v>1803</v>
      </c>
      <c r="B441" s="5" t="s">
        <v>4198</v>
      </c>
      <c r="C441" s="5" t="str">
        <f>IFERROR(__xludf.DUMMYFUNCTION("REGEXREPLACE(B441,""\D"","""")"),"7736588901")</f>
        <v>7736588901</v>
      </c>
      <c r="D441" s="12">
        <v>7.736588901E9</v>
      </c>
      <c r="E441" s="5" t="s">
        <v>4199</v>
      </c>
      <c r="F441" s="5" t="str">
        <f t="shared" si="1"/>
        <v>mary.davis@gmail.com</v>
      </c>
      <c r="G441" s="5" t="s">
        <v>5200</v>
      </c>
      <c r="H441" s="9">
        <v>46163.0</v>
      </c>
      <c r="I441" s="9">
        <v>46175.0</v>
      </c>
    </row>
    <row r="442" ht="22.5" customHeight="1">
      <c r="A442" s="5" t="s">
        <v>1805</v>
      </c>
      <c r="B442" s="5" t="s">
        <v>4200</v>
      </c>
      <c r="C442" s="5" t="str">
        <f>IFERROR(__xludf.DUMMYFUNCTION("REGEXREPLACE(B442,""\D"","""")"),"9059437630")</f>
        <v>9059437630</v>
      </c>
      <c r="D442" s="12">
        <v>9.05943763E9</v>
      </c>
      <c r="E442" s="5" t="s">
        <v>4201</v>
      </c>
      <c r="F442" s="5" t="str">
        <f t="shared" si="1"/>
        <v>david.smith@yahoo.com</v>
      </c>
      <c r="G442" s="5" t="s">
        <v>5201</v>
      </c>
      <c r="H442" s="11"/>
      <c r="I442" s="11"/>
    </row>
    <row r="443" ht="22.5" customHeight="1">
      <c r="A443" s="5" t="s">
        <v>1808</v>
      </c>
      <c r="B443" s="14" t="s">
        <v>4202</v>
      </c>
      <c r="C443" s="5" t="str">
        <f>IFERROR(__xludf.DUMMYFUNCTION("REGEXREPLACE(B443,""\D"","""")"),"6676695314")</f>
        <v>6676695314</v>
      </c>
      <c r="D443" s="12">
        <v>6.676695314E9</v>
      </c>
      <c r="E443" s="5" t="s">
        <v>4203</v>
      </c>
      <c r="F443" s="5" t="str">
        <f t="shared" si="1"/>
        <v>aidan.williams@aol.com</v>
      </c>
      <c r="G443" s="5" t="s">
        <v>5202</v>
      </c>
      <c r="H443" s="9">
        <v>46196.0</v>
      </c>
      <c r="I443" s="9">
        <v>46210.0</v>
      </c>
    </row>
    <row r="444" ht="22.5" customHeight="1">
      <c r="A444" s="5" t="s">
        <v>1812</v>
      </c>
      <c r="C444" s="10" t="str">
        <f>IFERROR(__xludf.DUMMYFUNCTION("REGEXREPLACE(B444,""\D"","""")"),"")</f>
        <v/>
      </c>
      <c r="D444" s="13" t="s">
        <v>4964</v>
      </c>
      <c r="E444" s="5" t="s">
        <v>4204</v>
      </c>
      <c r="F444" s="5" t="str">
        <f t="shared" si="1"/>
        <v>jack.brown@aol.com</v>
      </c>
      <c r="G444" s="5" t="s">
        <v>4204</v>
      </c>
      <c r="H444" s="9">
        <v>46014.0</v>
      </c>
      <c r="I444" s="9">
        <v>46014.0</v>
      </c>
    </row>
    <row r="445" ht="22.5" customHeight="1">
      <c r="A445" s="5" t="s">
        <v>1814</v>
      </c>
      <c r="B445" s="5" t="s">
        <v>4205</v>
      </c>
      <c r="C445" s="5" t="str">
        <f>IFERROR(__xludf.DUMMYFUNCTION("REGEXREPLACE(B445,""\D"","""")"),"4458216165")</f>
        <v>4458216165</v>
      </c>
      <c r="D445" s="12">
        <v>4.458216165E9</v>
      </c>
      <c r="E445" s="5" t="s">
        <v>4206</v>
      </c>
      <c r="F445" s="5" t="str">
        <f t="shared" si="1"/>
        <v>jane.ng@outlook.com</v>
      </c>
      <c r="G445" s="5" t="s">
        <v>5203</v>
      </c>
      <c r="H445" s="9">
        <v>45930.0</v>
      </c>
      <c r="I445" s="11"/>
    </row>
    <row r="446" ht="22.5" customHeight="1">
      <c r="A446" s="5" t="s">
        <v>1817</v>
      </c>
      <c r="B446" s="5" t="s">
        <v>4207</v>
      </c>
      <c r="C446" s="5" t="str">
        <f>IFERROR(__xludf.DUMMYFUNCTION("REGEXREPLACE(B446,""\D"","""")"),"2438962736")</f>
        <v>2438962736</v>
      </c>
      <c r="D446" s="12">
        <v>2.438962736E9</v>
      </c>
      <c r="E446" s="5" t="s">
        <v>4208</v>
      </c>
      <c r="F446" s="5" t="str">
        <f t="shared" si="1"/>
        <v>frank.wu@outlook.com</v>
      </c>
      <c r="G446" s="5" t="s">
        <v>5204</v>
      </c>
      <c r="H446" s="9">
        <v>45793.0</v>
      </c>
      <c r="I446" s="11"/>
    </row>
    <row r="447" ht="22.5" customHeight="1">
      <c r="A447" s="5" t="s">
        <v>1819</v>
      </c>
      <c r="B447" s="5" t="s">
        <v>4209</v>
      </c>
      <c r="C447" s="5" t="str">
        <f>IFERROR(__xludf.DUMMYFUNCTION("REGEXREPLACE(B447,""\D"","""")"),"8789651702")</f>
        <v>8789651702</v>
      </c>
      <c r="D447" s="12">
        <v>8.789651702E9</v>
      </c>
      <c r="E447" s="5" t="s">
        <v>4210</v>
      </c>
      <c r="F447" s="5" t="str">
        <f t="shared" si="1"/>
        <v>victor.miller@hotmail.com</v>
      </c>
      <c r="G447" s="5" t="s">
        <v>4210</v>
      </c>
      <c r="H447" s="11"/>
      <c r="I447" s="11"/>
    </row>
    <row r="448" ht="22.5" customHeight="1">
      <c r="A448" s="5" t="s">
        <v>1822</v>
      </c>
      <c r="B448" s="5" t="s">
        <v>4211</v>
      </c>
      <c r="C448" s="5" t="str">
        <f>IFERROR(__xludf.DUMMYFUNCTION("REGEXREPLACE(B448,""\D"","""")"),"6729699579")</f>
        <v>6729699579</v>
      </c>
      <c r="D448" s="12">
        <v>6.729699579E9</v>
      </c>
      <c r="E448" s="5" t="s">
        <v>4212</v>
      </c>
      <c r="F448" s="5" t="str">
        <f t="shared" si="1"/>
        <v>charlotte.jones@outlook.com</v>
      </c>
      <c r="G448" s="5" t="s">
        <v>4212</v>
      </c>
      <c r="H448" s="9">
        <v>45969.0</v>
      </c>
      <c r="I448" s="9">
        <v>45971.0</v>
      </c>
    </row>
    <row r="449" ht="22.5" customHeight="1">
      <c r="A449" s="5" t="s">
        <v>1825</v>
      </c>
      <c r="B449" s="14" t="s">
        <v>4213</v>
      </c>
      <c r="C449" s="5" t="str">
        <f>IFERROR(__xludf.DUMMYFUNCTION("REGEXREPLACE(B449,""\D"","""")"),"2514362130")</f>
        <v>2514362130</v>
      </c>
      <c r="D449" s="12">
        <v>2.51436213E9</v>
      </c>
      <c r="E449" s="5" t="s">
        <v>4214</v>
      </c>
      <c r="F449" s="5" t="str">
        <f t="shared" si="1"/>
        <v>olivia.chen@hotmail.com</v>
      </c>
      <c r="G449" s="5" t="s">
        <v>4214</v>
      </c>
      <c r="H449" s="9">
        <v>45884.0</v>
      </c>
      <c r="I449" s="9">
        <v>45913.0</v>
      </c>
    </row>
    <row r="450" ht="22.5" customHeight="1">
      <c r="A450" s="5" t="s">
        <v>1828</v>
      </c>
      <c r="B450" s="5" t="s">
        <v>4215</v>
      </c>
      <c r="C450" s="5" t="str">
        <f>IFERROR(__xludf.DUMMYFUNCTION("REGEXREPLACE(B450,""\D"","""")"),"3024046612")</f>
        <v>3024046612</v>
      </c>
      <c r="D450" s="12">
        <v>3.024046612E9</v>
      </c>
      <c r="E450" s="5" t="s">
        <v>4216</v>
      </c>
      <c r="F450" s="5" t="str">
        <f t="shared" si="1"/>
        <v>gregory.chang@yahoo.com</v>
      </c>
      <c r="G450" s="5" t="s">
        <v>5205</v>
      </c>
      <c r="H450" s="9">
        <v>45902.0</v>
      </c>
      <c r="I450" s="9">
        <v>45928.0</v>
      </c>
    </row>
    <row r="451" ht="22.5" customHeight="1">
      <c r="A451" s="5" t="s">
        <v>1831</v>
      </c>
      <c r="C451" s="10" t="str">
        <f>IFERROR(__xludf.DUMMYFUNCTION("REGEXREPLACE(B451,""\D"","""")"),"")</f>
        <v/>
      </c>
      <c r="D451" s="13" t="s">
        <v>4964</v>
      </c>
      <c r="E451" s="5" t="s">
        <v>4218</v>
      </c>
      <c r="F451" s="5" t="str">
        <f t="shared" si="1"/>
        <v>lisa.liang@yahoo.com</v>
      </c>
      <c r="G451" s="5" t="s">
        <v>4218</v>
      </c>
      <c r="H451" s="9">
        <v>46126.0</v>
      </c>
      <c r="I451" s="9">
        <v>46129.0</v>
      </c>
    </row>
    <row r="452" ht="22.5" customHeight="1">
      <c r="A452" s="5" t="s">
        <v>1833</v>
      </c>
      <c r="B452" s="14" t="s">
        <v>4220</v>
      </c>
      <c r="C452" s="5" t="str">
        <f>IFERROR(__xludf.DUMMYFUNCTION("REGEXREPLACE(B452,""\D"","""")"),"8792033354")</f>
        <v>8792033354</v>
      </c>
      <c r="D452" s="12">
        <v>8.792033354E9</v>
      </c>
      <c r="E452" s="5" t="s">
        <v>4221</v>
      </c>
      <c r="F452" s="5" t="str">
        <f t="shared" si="1"/>
        <v>kylie.smith@gmail.com</v>
      </c>
      <c r="G452" s="5" t="s">
        <v>4221</v>
      </c>
      <c r="H452" s="9">
        <v>46086.0</v>
      </c>
      <c r="I452" s="11"/>
    </row>
    <row r="453" ht="22.5" customHeight="1">
      <c r="A453" s="5" t="s">
        <v>1834</v>
      </c>
      <c r="B453" s="14" t="s">
        <v>4222</v>
      </c>
      <c r="C453" s="5" t="str">
        <f>IFERROR(__xludf.DUMMYFUNCTION("REGEXREPLACE(B453,""\D"","""")"),"7533573361")</f>
        <v>7533573361</v>
      </c>
      <c r="D453" s="12">
        <v>7.533573361E9</v>
      </c>
      <c r="E453" s="5" t="s">
        <v>4223</v>
      </c>
      <c r="F453" s="5" t="str">
        <f t="shared" si="1"/>
        <v>pauline.sharp@aol.com</v>
      </c>
      <c r="G453" s="5" t="s">
        <v>4223</v>
      </c>
      <c r="H453" s="9">
        <v>45947.0</v>
      </c>
      <c r="I453" s="9">
        <v>45965.0</v>
      </c>
    </row>
    <row r="454" ht="22.5" customHeight="1">
      <c r="A454" s="5" t="s">
        <v>1838</v>
      </c>
      <c r="B454" s="14" t="s">
        <v>4224</v>
      </c>
      <c r="C454" s="5" t="str">
        <f>IFERROR(__xludf.DUMMYFUNCTION("REGEXREPLACE(B454,""\D"","""")"),"5446308099")</f>
        <v>5446308099</v>
      </c>
      <c r="D454" s="12">
        <v>5.446308099E9</v>
      </c>
      <c r="F454" s="10" t="str">
        <f t="shared" si="1"/>
        <v/>
      </c>
      <c r="G454" s="10" t="s">
        <v>4964</v>
      </c>
      <c r="H454" s="9">
        <v>46008.0</v>
      </c>
      <c r="I454" s="9">
        <v>46019.0</v>
      </c>
    </row>
    <row r="455" ht="22.5" customHeight="1">
      <c r="A455" s="5" t="s">
        <v>1840</v>
      </c>
      <c r="B455" s="5" t="s">
        <v>4226</v>
      </c>
      <c r="C455" s="5" t="str">
        <f>IFERROR(__xludf.DUMMYFUNCTION("REGEXREPLACE(B455,""\D"","""")"),"3677671876")</f>
        <v>3677671876</v>
      </c>
      <c r="D455" s="12">
        <v>3.677671876E9</v>
      </c>
      <c r="E455" s="5" t="s">
        <v>4227</v>
      </c>
      <c r="F455" s="5" t="str">
        <f t="shared" si="1"/>
        <v>wendy.doe@hotmail.com</v>
      </c>
      <c r="G455" s="5" t="s">
        <v>4227</v>
      </c>
      <c r="H455" s="9">
        <v>45757.0</v>
      </c>
      <c r="I455" s="9">
        <v>45775.0</v>
      </c>
    </row>
    <row r="456" ht="22.5" customHeight="1">
      <c r="A456" s="5" t="s">
        <v>1843</v>
      </c>
      <c r="B456" s="5" t="s">
        <v>4228</v>
      </c>
      <c r="C456" s="5" t="str">
        <f>IFERROR(__xludf.DUMMYFUNCTION("REGEXREPLACE(B456,""\D"","""")"),"6495238537")</f>
        <v>6495238537</v>
      </c>
      <c r="D456" s="12">
        <v>6.495238537E9</v>
      </c>
      <c r="E456" s="5" t="s">
        <v>4229</v>
      </c>
      <c r="F456" s="5" t="str">
        <f t="shared" si="1"/>
        <v>joshua.jones@outlook.com</v>
      </c>
      <c r="G456" s="5" t="s">
        <v>4229</v>
      </c>
      <c r="H456" s="9">
        <v>45788.0</v>
      </c>
      <c r="I456" s="9">
        <v>45803.0</v>
      </c>
    </row>
    <row r="457" ht="22.5" customHeight="1">
      <c r="A457" s="5" t="s">
        <v>1846</v>
      </c>
      <c r="C457" s="10" t="str">
        <f>IFERROR(__xludf.DUMMYFUNCTION("REGEXREPLACE(B457,""\D"","""")"),"")</f>
        <v/>
      </c>
      <c r="D457" s="13" t="s">
        <v>4964</v>
      </c>
      <c r="E457" s="5" t="s">
        <v>4231</v>
      </c>
      <c r="F457" s="5" t="str">
        <f t="shared" si="1"/>
        <v>frank.davis@hotmail.com</v>
      </c>
      <c r="G457" s="5" t="s">
        <v>5206</v>
      </c>
      <c r="H457" s="9">
        <v>45943.0</v>
      </c>
      <c r="I457" s="9">
        <v>45960.0</v>
      </c>
    </row>
    <row r="458" ht="22.5" customHeight="1">
      <c r="A458" s="5" t="s">
        <v>1848</v>
      </c>
      <c r="B458" s="5" t="s">
        <v>4234</v>
      </c>
      <c r="C458" s="5" t="str">
        <f>IFERROR(__xludf.DUMMYFUNCTION("REGEXREPLACE(B458,""\D"","""")"),"3397235906")</f>
        <v>3397235906</v>
      </c>
      <c r="D458" s="12">
        <v>3.397235906E9</v>
      </c>
      <c r="E458" s="5" t="s">
        <v>4235</v>
      </c>
      <c r="F458" s="5" t="str">
        <f t="shared" si="1"/>
        <v>tina.richardson@outlook.com</v>
      </c>
      <c r="G458" s="5" t="s">
        <v>4235</v>
      </c>
      <c r="H458" s="9">
        <v>45880.0</v>
      </c>
      <c r="I458" s="11"/>
    </row>
    <row r="459" ht="22.5" customHeight="1">
      <c r="A459" s="5" t="s">
        <v>1851</v>
      </c>
      <c r="B459" s="14" t="s">
        <v>4237</v>
      </c>
      <c r="C459" s="5" t="str">
        <f>IFERROR(__xludf.DUMMYFUNCTION("REGEXREPLACE(B459,""\D"","""")"),"3187222505")</f>
        <v>3187222505</v>
      </c>
      <c r="D459" s="12">
        <v>3.187222505E9</v>
      </c>
      <c r="E459" s="5" t="s">
        <v>4238</v>
      </c>
      <c r="F459" s="5" t="str">
        <f t="shared" si="1"/>
        <v>grace.johnson@hotmail.com</v>
      </c>
      <c r="G459" s="5" t="s">
        <v>5207</v>
      </c>
      <c r="H459" s="11"/>
      <c r="I459" s="11"/>
    </row>
    <row r="460" ht="22.5" customHeight="1">
      <c r="A460" s="5" t="s">
        <v>1852</v>
      </c>
      <c r="B460" s="5" t="s">
        <v>4239</v>
      </c>
      <c r="C460" s="5" t="str">
        <f>IFERROR(__xludf.DUMMYFUNCTION("REGEXREPLACE(B460,""\D"","""")"),"5037302394")</f>
        <v>5037302394</v>
      </c>
      <c r="D460" s="12">
        <v>5.037302394E9</v>
      </c>
      <c r="E460" s="5" t="s">
        <v>4240</v>
      </c>
      <c r="F460" s="5" t="str">
        <f t="shared" si="1"/>
        <v>hannah.rodriguez@yahoo.com</v>
      </c>
      <c r="G460" s="5" t="s">
        <v>5208</v>
      </c>
      <c r="H460" s="9">
        <v>46113.0</v>
      </c>
      <c r="I460" s="11"/>
    </row>
    <row r="461" ht="22.5" customHeight="1">
      <c r="A461" s="5" t="s">
        <v>1855</v>
      </c>
      <c r="B461" s="14" t="s">
        <v>4241</v>
      </c>
      <c r="C461" s="5" t="str">
        <f>IFERROR(__xludf.DUMMYFUNCTION("REGEXREPLACE(B461,""\D"","""")"),"2062854656")</f>
        <v>2062854656</v>
      </c>
      <c r="D461" s="12">
        <v>2.062854656E9</v>
      </c>
      <c r="E461" s="5" t="s">
        <v>4242</v>
      </c>
      <c r="F461" s="5" t="str">
        <f t="shared" si="1"/>
        <v>betty.volkov@gmail.com</v>
      </c>
      <c r="G461" s="5" t="s">
        <v>4242</v>
      </c>
      <c r="H461" s="9">
        <v>45734.0</v>
      </c>
      <c r="I461" s="9">
        <v>45755.0</v>
      </c>
    </row>
    <row r="462" ht="22.5" customHeight="1">
      <c r="A462" s="5" t="s">
        <v>1858</v>
      </c>
      <c r="B462" s="5" t="s">
        <v>4243</v>
      </c>
      <c r="C462" s="5" t="str">
        <f>IFERROR(__xludf.DUMMYFUNCTION("REGEXREPLACE(B462,""\D"","""")"),"5782743226")</f>
        <v>5782743226</v>
      </c>
      <c r="D462" s="12">
        <v>5.782743226E9</v>
      </c>
      <c r="E462" s="5" t="s">
        <v>4244</v>
      </c>
      <c r="F462" s="5" t="str">
        <f t="shared" si="1"/>
        <v>john.rodriguez@yahoo.com</v>
      </c>
      <c r="G462" s="5" t="s">
        <v>5209</v>
      </c>
      <c r="H462" s="9">
        <v>45923.0</v>
      </c>
      <c r="I462" s="11"/>
    </row>
    <row r="463" ht="22.5" customHeight="1">
      <c r="A463" s="5" t="s">
        <v>1861</v>
      </c>
      <c r="B463" s="5" t="s">
        <v>4245</v>
      </c>
      <c r="C463" s="5" t="str">
        <f>IFERROR(__xludf.DUMMYFUNCTION("REGEXREPLACE(B463,""\D"","""")"),"2056414523")</f>
        <v>2056414523</v>
      </c>
      <c r="D463" s="12">
        <v>2.056414523E9</v>
      </c>
      <c r="E463" s="5" t="s">
        <v>4246</v>
      </c>
      <c r="F463" s="5" t="str">
        <f t="shared" si="1"/>
        <v>ashley.cooper@yahoo.com</v>
      </c>
      <c r="G463" s="5" t="s">
        <v>4246</v>
      </c>
      <c r="H463" s="9">
        <v>46017.0</v>
      </c>
      <c r="I463" s="11"/>
    </row>
    <row r="464" ht="22.5" customHeight="1">
      <c r="A464" s="5" t="s">
        <v>1864</v>
      </c>
      <c r="C464" s="10" t="str">
        <f>IFERROR(__xludf.DUMMYFUNCTION("REGEXREPLACE(B464,""\D"","""")"),"")</f>
        <v/>
      </c>
      <c r="D464" s="13" t="s">
        <v>4964</v>
      </c>
      <c r="E464" s="5" t="s">
        <v>4247</v>
      </c>
      <c r="F464" s="5" t="str">
        <f t="shared" si="1"/>
        <v>eva.garcia@aol.com</v>
      </c>
      <c r="G464" s="5" t="s">
        <v>4247</v>
      </c>
      <c r="H464" s="9">
        <v>46169.0</v>
      </c>
      <c r="I464" s="9">
        <v>46187.0</v>
      </c>
    </row>
    <row r="465" ht="22.5" customHeight="1">
      <c r="A465" s="5" t="s">
        <v>1866</v>
      </c>
      <c r="B465" s="14" t="s">
        <v>4249</v>
      </c>
      <c r="C465" s="5" t="str">
        <f>IFERROR(__xludf.DUMMYFUNCTION("REGEXREPLACE(B465,""\D"","""")"),"6577635842")</f>
        <v>6577635842</v>
      </c>
      <c r="D465" s="12">
        <v>6.577635842E9</v>
      </c>
      <c r="E465" s="5" t="s">
        <v>4250</v>
      </c>
      <c r="F465" s="5" t="str">
        <f t="shared" si="1"/>
        <v>hannah.miller@hotmail.com</v>
      </c>
      <c r="G465" s="5" t="s">
        <v>4250</v>
      </c>
      <c r="H465" s="9">
        <v>46081.0</v>
      </c>
      <c r="I465" s="9">
        <v>46103.0</v>
      </c>
    </row>
    <row r="466" ht="22.5" customHeight="1">
      <c r="A466" s="5" t="s">
        <v>1869</v>
      </c>
      <c r="B466" s="5" t="s">
        <v>4251</v>
      </c>
      <c r="C466" s="5" t="str">
        <f>IFERROR(__xludf.DUMMYFUNCTION("REGEXREPLACE(B466,""\D"","""")"),"8612536390")</f>
        <v>8612536390</v>
      </c>
      <c r="D466" s="12">
        <v>8.61253639E9</v>
      </c>
      <c r="E466" s="5" t="s">
        <v>3229</v>
      </c>
      <c r="F466" s="5" t="str">
        <f t="shared" si="1"/>
        <v>alice.rodriguez@yahoo.com</v>
      </c>
      <c r="G466" s="5" t="s">
        <v>3229</v>
      </c>
      <c r="H466" s="9">
        <v>45764.0</v>
      </c>
      <c r="I466" s="11"/>
    </row>
    <row r="467" ht="22.5" customHeight="1">
      <c r="A467" s="5" t="s">
        <v>1870</v>
      </c>
      <c r="B467" s="5" t="s">
        <v>4252</v>
      </c>
      <c r="C467" s="5" t="str">
        <f>IFERROR(__xludf.DUMMYFUNCTION("REGEXREPLACE(B467,""\D"","""")"),"5135727358")</f>
        <v>5135727358</v>
      </c>
      <c r="D467" s="12">
        <v>5.135727358E9</v>
      </c>
      <c r="E467" s="5" t="s">
        <v>4253</v>
      </c>
      <c r="F467" s="5" t="str">
        <f t="shared" si="1"/>
        <v>eva.smith@yahoo.com</v>
      </c>
      <c r="G467" s="5" t="s">
        <v>5210</v>
      </c>
      <c r="H467" s="9">
        <v>45865.0</v>
      </c>
      <c r="I467" s="9">
        <v>45886.0</v>
      </c>
    </row>
    <row r="468" ht="22.5" customHeight="1">
      <c r="A468" s="5" t="s">
        <v>1874</v>
      </c>
      <c r="B468" s="14" t="s">
        <v>4254</v>
      </c>
      <c r="C468" s="5" t="str">
        <f>IFERROR(__xludf.DUMMYFUNCTION("REGEXREPLACE(B468,""\D"","""")"),"8758296593")</f>
        <v>8758296593</v>
      </c>
      <c r="D468" s="12">
        <v>8.758296593E9</v>
      </c>
      <c r="E468" s="5" t="s">
        <v>4255</v>
      </c>
      <c r="F468" s="5" t="str">
        <f t="shared" si="1"/>
        <v>dale.chang@yahoo.com</v>
      </c>
      <c r="G468" s="5" t="s">
        <v>4255</v>
      </c>
      <c r="H468" s="9">
        <v>46182.0</v>
      </c>
      <c r="I468" s="9">
        <v>46202.0</v>
      </c>
    </row>
    <row r="469" ht="22.5" customHeight="1">
      <c r="A469" s="5" t="s">
        <v>1878</v>
      </c>
      <c r="B469" s="14" t="s">
        <v>4256</v>
      </c>
      <c r="C469" s="5" t="str">
        <f>IFERROR(__xludf.DUMMYFUNCTION("REGEXREPLACE(B469,""\D"","""")"),"8472498699")</f>
        <v>8472498699</v>
      </c>
      <c r="D469" s="12">
        <v>8.472498699E9</v>
      </c>
      <c r="E469" s="5" t="s">
        <v>4257</v>
      </c>
      <c r="F469" s="5" t="str">
        <f t="shared" si="1"/>
        <v>jane.rodriguez@gmail.com</v>
      </c>
      <c r="G469" s="5" t="s">
        <v>5211</v>
      </c>
      <c r="H469" s="9">
        <v>46183.0</v>
      </c>
      <c r="I469" s="9">
        <v>46201.0</v>
      </c>
    </row>
    <row r="470" ht="22.5" customHeight="1">
      <c r="A470" s="5" t="s">
        <v>1880</v>
      </c>
      <c r="B470" s="5" t="s">
        <v>4259</v>
      </c>
      <c r="C470" s="5" t="str">
        <f>IFERROR(__xludf.DUMMYFUNCTION("REGEXREPLACE(B470,""\D"","""")"),"4049822037")</f>
        <v>4049822037</v>
      </c>
      <c r="D470" s="12">
        <v>4.049822037E9</v>
      </c>
      <c r="E470" s="5" t="s">
        <v>4260</v>
      </c>
      <c r="F470" s="5" t="str">
        <f t="shared" si="1"/>
        <v>fiona.williams@hotmail.com</v>
      </c>
      <c r="G470" s="5" t="s">
        <v>5212</v>
      </c>
      <c r="H470" s="11"/>
      <c r="I470" s="11"/>
    </row>
    <row r="471" ht="22.5" customHeight="1">
      <c r="A471" s="5" t="s">
        <v>1882</v>
      </c>
      <c r="B471" s="14" t="s">
        <v>4261</v>
      </c>
      <c r="C471" s="5" t="str">
        <f>IFERROR(__xludf.DUMMYFUNCTION("REGEXREPLACE(B471,""\D"","""")"),"9182525320")</f>
        <v>9182525320</v>
      </c>
      <c r="D471" s="12">
        <v>9.18252532E9</v>
      </c>
      <c r="E471" s="5" t="s">
        <v>4262</v>
      </c>
      <c r="F471" s="5" t="str">
        <f t="shared" si="1"/>
        <v>hannah.lee@outlook.com</v>
      </c>
      <c r="G471" s="5" t="s">
        <v>4262</v>
      </c>
      <c r="H471" s="9">
        <v>45981.0</v>
      </c>
      <c r="I471" s="11"/>
    </row>
    <row r="472" ht="22.5" customHeight="1">
      <c r="A472" s="5" t="s">
        <v>1884</v>
      </c>
      <c r="B472" s="5" t="s">
        <v>4264</v>
      </c>
      <c r="C472" s="5" t="str">
        <f>IFERROR(__xludf.DUMMYFUNCTION("REGEXREPLACE(B472,""\D"","""")"),"3167466086")</f>
        <v>3167466086</v>
      </c>
      <c r="D472" s="12">
        <v>3.167466086E9</v>
      </c>
      <c r="E472" s="5" t="s">
        <v>4265</v>
      </c>
      <c r="F472" s="5" t="str">
        <f t="shared" si="1"/>
        <v>josephine.doe@hotmail.com</v>
      </c>
      <c r="G472" s="5" t="s">
        <v>5213</v>
      </c>
      <c r="H472" s="9">
        <v>45970.0</v>
      </c>
      <c r="I472" s="9">
        <v>45975.0</v>
      </c>
    </row>
    <row r="473" ht="22.5" customHeight="1">
      <c r="A473" s="5" t="s">
        <v>1887</v>
      </c>
      <c r="B473" s="5" t="s">
        <v>4266</v>
      </c>
      <c r="C473" s="5" t="str">
        <f>IFERROR(__xludf.DUMMYFUNCTION("REGEXREPLACE(B473,""\D"","""")"),"7012617480")</f>
        <v>7012617480</v>
      </c>
      <c r="D473" s="12">
        <v>7.01261748E9</v>
      </c>
      <c r="E473" s="5" t="s">
        <v>4267</v>
      </c>
      <c r="F473" s="5" t="str">
        <f t="shared" si="1"/>
        <v>christine.perez@outlook.com</v>
      </c>
      <c r="G473" s="5" t="s">
        <v>5214</v>
      </c>
      <c r="H473" s="9">
        <v>46107.0</v>
      </c>
      <c r="I473" s="9">
        <v>46128.0</v>
      </c>
    </row>
    <row r="474" ht="22.5" customHeight="1">
      <c r="A474" s="5" t="s">
        <v>1889</v>
      </c>
      <c r="B474" s="14" t="s">
        <v>4269</v>
      </c>
      <c r="C474" s="5" t="str">
        <f>IFERROR(__xludf.DUMMYFUNCTION("REGEXREPLACE(B474,""\D"","""")"),"7657257784")</f>
        <v>7657257784</v>
      </c>
      <c r="D474" s="12">
        <v>7.657257784E9</v>
      </c>
      <c r="E474" s="5" t="s">
        <v>4270</v>
      </c>
      <c r="F474" s="5" t="str">
        <f t="shared" si="1"/>
        <v>jane.johnson@hotmail.com</v>
      </c>
      <c r="G474" s="5" t="s">
        <v>4270</v>
      </c>
      <c r="H474" s="9">
        <v>45920.0</v>
      </c>
      <c r="I474" s="9">
        <v>45932.0</v>
      </c>
    </row>
    <row r="475" ht="22.5" customHeight="1">
      <c r="A475" s="5" t="s">
        <v>1892</v>
      </c>
      <c r="B475" s="5" t="s">
        <v>4272</v>
      </c>
      <c r="C475" s="5" t="str">
        <f>IFERROR(__xludf.DUMMYFUNCTION("REGEXREPLACE(B475,""\D"","""")"),"7315262322")</f>
        <v>7315262322</v>
      </c>
      <c r="D475" s="12">
        <v>7.315262322E9</v>
      </c>
      <c r="E475" s="5" t="s">
        <v>4273</v>
      </c>
      <c r="F475" s="5" t="str">
        <f t="shared" si="1"/>
        <v>ian.miller@aol.com</v>
      </c>
      <c r="G475" s="5" t="s">
        <v>4273</v>
      </c>
      <c r="H475" s="9">
        <v>46169.0</v>
      </c>
      <c r="I475" s="11"/>
    </row>
    <row r="476" ht="22.5" customHeight="1">
      <c r="A476" s="5" t="s">
        <v>1895</v>
      </c>
      <c r="B476" s="14" t="s">
        <v>4274</v>
      </c>
      <c r="C476" s="5" t="str">
        <f>IFERROR(__xludf.DUMMYFUNCTION("REGEXREPLACE(B476,""\D"","""")"),"9388619239")</f>
        <v>9388619239</v>
      </c>
      <c r="D476" s="12">
        <v>9.388619239E9</v>
      </c>
      <c r="E476" s="5" t="s">
        <v>4275</v>
      </c>
      <c r="F476" s="5" t="str">
        <f t="shared" si="1"/>
        <v>michelle.young@gmail.com</v>
      </c>
      <c r="G476" s="5" t="s">
        <v>5215</v>
      </c>
      <c r="H476" s="9">
        <v>45909.0</v>
      </c>
      <c r="I476" s="11"/>
    </row>
    <row r="477" ht="22.5" customHeight="1">
      <c r="A477" s="5" t="s">
        <v>1897</v>
      </c>
      <c r="B477" s="14" t="s">
        <v>4276</v>
      </c>
      <c r="C477" s="5" t="str">
        <f>IFERROR(__xludf.DUMMYFUNCTION("REGEXREPLACE(B477,""\D"","""")"),"5804419155")</f>
        <v>5804419155</v>
      </c>
      <c r="D477" s="12">
        <v>5.804419155E9</v>
      </c>
      <c r="E477" s="5" t="s">
        <v>4277</v>
      </c>
      <c r="F477" s="5" t="str">
        <f t="shared" si="1"/>
        <v>aidan.rodriguez@yahoo.com</v>
      </c>
      <c r="G477" s="5" t="s">
        <v>5124</v>
      </c>
      <c r="H477" s="9">
        <v>45824.0</v>
      </c>
      <c r="I477" s="9">
        <v>45847.0</v>
      </c>
    </row>
    <row r="478" ht="22.5" customHeight="1">
      <c r="A478" s="5" t="s">
        <v>1900</v>
      </c>
      <c r="B478" s="5" t="s">
        <v>4279</v>
      </c>
      <c r="C478" s="5" t="str">
        <f>IFERROR(__xludf.DUMMYFUNCTION("REGEXREPLACE(B478,""\D"","""")"),"3575904859")</f>
        <v>3575904859</v>
      </c>
      <c r="D478" s="12">
        <v>3.575904859E9</v>
      </c>
      <c r="E478" s="5" t="s">
        <v>4280</v>
      </c>
      <c r="F478" s="5" t="str">
        <f t="shared" si="1"/>
        <v>betty.jackson@hotmail.com</v>
      </c>
      <c r="G478" s="5" t="s">
        <v>5216</v>
      </c>
      <c r="H478" s="11"/>
      <c r="I478" s="11"/>
    </row>
    <row r="479" ht="22.5" customHeight="1">
      <c r="A479" s="5" t="s">
        <v>1902</v>
      </c>
      <c r="B479" s="5" t="s">
        <v>4281</v>
      </c>
      <c r="C479" s="5" t="str">
        <f>IFERROR(__xludf.DUMMYFUNCTION("REGEXREPLACE(B479,""\D"","""")"),"4127541582")</f>
        <v>4127541582</v>
      </c>
      <c r="D479" s="12">
        <v>4.127541582E9</v>
      </c>
      <c r="E479" s="5" t="s">
        <v>4282</v>
      </c>
      <c r="F479" s="5" t="str">
        <f t="shared" si="1"/>
        <v>hannah.garcia@yahoo.com</v>
      </c>
      <c r="G479" s="5" t="s">
        <v>5217</v>
      </c>
      <c r="H479" s="9">
        <v>45971.0</v>
      </c>
      <c r="I479" s="9">
        <v>45979.0</v>
      </c>
    </row>
    <row r="480" ht="22.5" customHeight="1">
      <c r="A480" s="5" t="s">
        <v>1905</v>
      </c>
      <c r="B480" s="5" t="s">
        <v>4283</v>
      </c>
      <c r="C480" s="5" t="str">
        <f>IFERROR(__xludf.DUMMYFUNCTION("REGEXREPLACE(B480,""\D"","""")"),"3669785505")</f>
        <v>3669785505</v>
      </c>
      <c r="D480" s="12">
        <v>3.669785505E9</v>
      </c>
      <c r="E480" s="5" t="s">
        <v>4284</v>
      </c>
      <c r="F480" s="5" t="str">
        <f t="shared" si="1"/>
        <v>thomas.smith@aol.com</v>
      </c>
      <c r="G480" s="5" t="s">
        <v>5218</v>
      </c>
      <c r="H480" s="9">
        <v>46081.0</v>
      </c>
      <c r="I480" s="11"/>
    </row>
    <row r="481" ht="22.5" customHeight="1">
      <c r="A481" s="5" t="s">
        <v>1906</v>
      </c>
      <c r="C481" s="10" t="str">
        <f>IFERROR(__xludf.DUMMYFUNCTION("REGEXREPLACE(B481,""\D"","""")"),"")</f>
        <v/>
      </c>
      <c r="D481" s="13" t="s">
        <v>4964</v>
      </c>
      <c r="E481" s="5" t="s">
        <v>4285</v>
      </c>
      <c r="F481" s="5" t="str">
        <f t="shared" si="1"/>
        <v>john.bush@gmail.com</v>
      </c>
      <c r="G481" s="5" t="s">
        <v>5219</v>
      </c>
      <c r="H481" s="9">
        <v>46181.0</v>
      </c>
      <c r="I481" s="9">
        <v>46195.0</v>
      </c>
    </row>
    <row r="482" ht="22.5" customHeight="1">
      <c r="A482" s="5" t="s">
        <v>1908</v>
      </c>
      <c r="B482" s="5" t="s">
        <v>4286</v>
      </c>
      <c r="C482" s="5" t="str">
        <f>IFERROR(__xludf.DUMMYFUNCTION("REGEXREPLACE(B482,""\D"","""")"),"3474606563")</f>
        <v>3474606563</v>
      </c>
      <c r="D482" s="12">
        <v>3.474606563E9</v>
      </c>
      <c r="E482" s="5" t="s">
        <v>4287</v>
      </c>
      <c r="F482" s="5" t="str">
        <f t="shared" si="1"/>
        <v>timothy.doe@yahoo.com</v>
      </c>
      <c r="G482" s="5" t="s">
        <v>3703</v>
      </c>
      <c r="H482" s="9">
        <v>45751.0</v>
      </c>
      <c r="I482" s="11"/>
    </row>
    <row r="483" ht="22.5" customHeight="1">
      <c r="A483" s="5" t="s">
        <v>1911</v>
      </c>
      <c r="B483" s="14" t="s">
        <v>4288</v>
      </c>
      <c r="C483" s="5" t="str">
        <f>IFERROR(__xludf.DUMMYFUNCTION("REGEXREPLACE(B483,""\D"","""")"),"6805628543")</f>
        <v>6805628543</v>
      </c>
      <c r="D483" s="12">
        <v>6.805628543E9</v>
      </c>
      <c r="E483" s="5" t="s">
        <v>4289</v>
      </c>
      <c r="F483" s="5" t="str">
        <f t="shared" si="1"/>
        <v>olivia.rodriguez@hotmail.com</v>
      </c>
      <c r="G483" s="5" t="s">
        <v>5220</v>
      </c>
      <c r="H483" s="9">
        <v>46107.0</v>
      </c>
      <c r="I483" s="9">
        <v>46128.0</v>
      </c>
    </row>
    <row r="484" ht="22.5" customHeight="1">
      <c r="A484" s="5" t="s">
        <v>1913</v>
      </c>
      <c r="B484" s="14" t="s">
        <v>4290</v>
      </c>
      <c r="C484" s="5" t="str">
        <f>IFERROR(__xludf.DUMMYFUNCTION("REGEXREPLACE(B484,""\D"","""")"),"6154802761")</f>
        <v>6154802761</v>
      </c>
      <c r="D484" s="12">
        <v>6.154802761E9</v>
      </c>
      <c r="E484" s="5" t="s">
        <v>4291</v>
      </c>
      <c r="F484" s="5" t="str">
        <f t="shared" si="1"/>
        <v>vanessa.lopez@yahoo.com</v>
      </c>
      <c r="G484" s="5" t="s">
        <v>5221</v>
      </c>
      <c r="H484" s="9">
        <v>46124.0</v>
      </c>
      <c r="I484" s="11"/>
    </row>
    <row r="485" ht="22.5" customHeight="1">
      <c r="A485" s="5" t="s">
        <v>1915</v>
      </c>
      <c r="B485" s="5" t="s">
        <v>4292</v>
      </c>
      <c r="C485" s="5" t="str">
        <f>IFERROR(__xludf.DUMMYFUNCTION("REGEXREPLACE(B485,""\D"","""")"),"6677613029")</f>
        <v>6677613029</v>
      </c>
      <c r="D485" s="12">
        <v>6.677613029E9</v>
      </c>
      <c r="E485" s="5" t="s">
        <v>4293</v>
      </c>
      <c r="F485" s="5" t="str">
        <f t="shared" si="1"/>
        <v>grace.glover@outlook.com</v>
      </c>
      <c r="G485" s="5" t="s">
        <v>5222</v>
      </c>
      <c r="H485" s="9">
        <v>46231.0</v>
      </c>
      <c r="I485" s="11"/>
    </row>
    <row r="486" ht="22.5" customHeight="1">
      <c r="A486" s="5" t="s">
        <v>1919</v>
      </c>
      <c r="B486" s="5" t="s">
        <v>4294</v>
      </c>
      <c r="C486" s="5" t="str">
        <f>IFERROR(__xludf.DUMMYFUNCTION("REGEXREPLACE(B486,""\D"","""")"),"7445916626")</f>
        <v>7445916626</v>
      </c>
      <c r="D486" s="12">
        <v>7.445916626E9</v>
      </c>
      <c r="E486" s="5" t="s">
        <v>4295</v>
      </c>
      <c r="F486" s="5" t="str">
        <f t="shared" si="1"/>
        <v>frank.little@outlook.com</v>
      </c>
      <c r="G486" s="5" t="s">
        <v>3145</v>
      </c>
      <c r="H486" s="9">
        <v>45930.0</v>
      </c>
      <c r="I486" s="9">
        <v>45946.0</v>
      </c>
    </row>
    <row r="487" ht="22.5" customHeight="1">
      <c r="A487" s="5" t="s">
        <v>1921</v>
      </c>
      <c r="B487" s="5" t="s">
        <v>4296</v>
      </c>
      <c r="C487" s="5" t="str">
        <f>IFERROR(__xludf.DUMMYFUNCTION("REGEXREPLACE(B487,""\D"","""")"),"2393047736")</f>
        <v>2393047736</v>
      </c>
      <c r="D487" s="12">
        <v>2.393047736E9</v>
      </c>
      <c r="E487" s="5" t="s">
        <v>4297</v>
      </c>
      <c r="F487" s="5" t="str">
        <f t="shared" si="1"/>
        <v>daniel.sharp@hotmail.com</v>
      </c>
      <c r="G487" s="5" t="s">
        <v>4297</v>
      </c>
      <c r="H487" s="9">
        <v>45809.0</v>
      </c>
      <c r="I487" s="9">
        <v>45838.0</v>
      </c>
    </row>
    <row r="488" ht="22.5" customHeight="1">
      <c r="A488" s="5" t="s">
        <v>1924</v>
      </c>
      <c r="B488" s="14" t="s">
        <v>4298</v>
      </c>
      <c r="C488" s="5" t="str">
        <f>IFERROR(__xludf.DUMMYFUNCTION("REGEXREPLACE(B488,""\D"","""")"),"8347351169")</f>
        <v>8347351169</v>
      </c>
      <c r="D488" s="12">
        <v>8.347351169E9</v>
      </c>
      <c r="E488" s="5" t="s">
        <v>4299</v>
      </c>
      <c r="F488" s="5" t="str">
        <f t="shared" si="1"/>
        <v>jane.rodriguez@outlook.com</v>
      </c>
      <c r="G488" s="5" t="s">
        <v>5045</v>
      </c>
      <c r="H488" s="9">
        <v>45902.0</v>
      </c>
      <c r="I488" s="9">
        <v>45925.0</v>
      </c>
    </row>
    <row r="489" ht="22.5" customHeight="1">
      <c r="A489" s="5" t="s">
        <v>1925</v>
      </c>
      <c r="B489" s="5" t="s">
        <v>4300</v>
      </c>
      <c r="C489" s="5" t="str">
        <f>IFERROR(__xludf.DUMMYFUNCTION("REGEXREPLACE(B489,""\D"","""")"),"7974953063")</f>
        <v>7974953063</v>
      </c>
      <c r="D489" s="12">
        <v>7.974953063E9</v>
      </c>
      <c r="E489" s="5" t="s">
        <v>4301</v>
      </c>
      <c r="F489" s="5" t="str">
        <f t="shared" si="1"/>
        <v>lisa.davidson@hotmail.com</v>
      </c>
      <c r="G489" s="5" t="s">
        <v>5223</v>
      </c>
      <c r="H489" s="9">
        <v>45785.0</v>
      </c>
      <c r="I489" s="11"/>
    </row>
    <row r="490" ht="22.5" customHeight="1">
      <c r="A490" s="5" t="s">
        <v>1928</v>
      </c>
      <c r="B490" s="5" t="s">
        <v>4302</v>
      </c>
      <c r="C490" s="5" t="str">
        <f>IFERROR(__xludf.DUMMYFUNCTION("REGEXREPLACE(B490,""\D"","""")"),"8297292390")</f>
        <v>8297292390</v>
      </c>
      <c r="D490" s="12">
        <v>8.29729239E9</v>
      </c>
      <c r="E490" s="5" t="s">
        <v>4303</v>
      </c>
      <c r="F490" s="5" t="str">
        <f t="shared" si="1"/>
        <v>harry.smirnov@outlook.com</v>
      </c>
      <c r="G490" s="5" t="s">
        <v>5224</v>
      </c>
      <c r="H490" s="9">
        <v>46241.0</v>
      </c>
      <c r="I490" s="9">
        <v>46253.0</v>
      </c>
    </row>
    <row r="491" ht="22.5" customHeight="1">
      <c r="A491" s="5" t="s">
        <v>1931</v>
      </c>
      <c r="B491" s="5" t="s">
        <v>4304</v>
      </c>
      <c r="C491" s="5" t="str">
        <f>IFERROR(__xludf.DUMMYFUNCTION("REGEXREPLACE(B491,""\D"","""")"),"7172329890")</f>
        <v>7172329890</v>
      </c>
      <c r="D491" s="12">
        <v>7.17232989E9</v>
      </c>
      <c r="E491" s="5" t="s">
        <v>4305</v>
      </c>
      <c r="F491" s="5" t="str">
        <f t="shared" si="1"/>
        <v>frank.ferguson@aol.com</v>
      </c>
      <c r="G491" s="5" t="s">
        <v>5225</v>
      </c>
      <c r="H491" s="9">
        <v>45954.0</v>
      </c>
      <c r="I491" s="11"/>
    </row>
    <row r="492" ht="22.5" customHeight="1">
      <c r="A492" s="5" t="s">
        <v>1933</v>
      </c>
      <c r="B492" s="14" t="s">
        <v>4306</v>
      </c>
      <c r="C492" s="5" t="str">
        <f>IFERROR(__xludf.DUMMYFUNCTION("REGEXREPLACE(B492,""\D"","""")"),"2878053956")</f>
        <v>2878053956</v>
      </c>
      <c r="D492" s="12">
        <v>2.878053956E9</v>
      </c>
      <c r="F492" s="10" t="str">
        <f t="shared" si="1"/>
        <v/>
      </c>
      <c r="G492" s="10" t="s">
        <v>4964</v>
      </c>
      <c r="H492" s="9">
        <v>46009.0</v>
      </c>
      <c r="I492" s="9">
        <v>46020.0</v>
      </c>
    </row>
    <row r="493" ht="22.5" customHeight="1">
      <c r="A493" s="5" t="s">
        <v>1935</v>
      </c>
      <c r="B493" s="5" t="s">
        <v>4307</v>
      </c>
      <c r="C493" s="5" t="str">
        <f>IFERROR(__xludf.DUMMYFUNCTION("REGEXREPLACE(B493,""\D"","""")"),"4912553720")</f>
        <v>4912553720</v>
      </c>
      <c r="D493" s="12">
        <v>4.91255372E9</v>
      </c>
      <c r="E493" s="5" t="s">
        <v>4308</v>
      </c>
      <c r="F493" s="5" t="str">
        <f t="shared" si="1"/>
        <v>felix.lee@hotmail.com</v>
      </c>
      <c r="G493" s="5" t="s">
        <v>5226</v>
      </c>
      <c r="H493" s="9">
        <v>45938.0</v>
      </c>
      <c r="I493" s="9">
        <v>45945.0</v>
      </c>
    </row>
    <row r="494" ht="22.5" customHeight="1">
      <c r="A494" s="5" t="s">
        <v>1938</v>
      </c>
      <c r="B494" s="5" t="s">
        <v>4309</v>
      </c>
      <c r="C494" s="5" t="str">
        <f>IFERROR(__xludf.DUMMYFUNCTION("REGEXREPLACE(B494,""\D"","""")"),"9078651774")</f>
        <v>9078651774</v>
      </c>
      <c r="D494" s="12">
        <v>9.078651774E9</v>
      </c>
      <c r="E494" s="5" t="s">
        <v>4310</v>
      </c>
      <c r="F494" s="5" t="str">
        <f t="shared" si="1"/>
        <v>josephine.jones@gmail.com</v>
      </c>
      <c r="G494" s="5" t="s">
        <v>4310</v>
      </c>
      <c r="H494" s="9">
        <v>45993.0</v>
      </c>
      <c r="I494" s="9">
        <v>46010.0</v>
      </c>
    </row>
    <row r="495" ht="22.5" customHeight="1">
      <c r="A495" s="5" t="s">
        <v>1942</v>
      </c>
      <c r="B495" s="5" t="s">
        <v>4311</v>
      </c>
      <c r="C495" s="5" t="str">
        <f>IFERROR(__xludf.DUMMYFUNCTION("REGEXREPLACE(B495,""\D"","""")"),"5178136635")</f>
        <v>5178136635</v>
      </c>
      <c r="D495" s="12">
        <v>5.178136635E9</v>
      </c>
      <c r="E495" s="5" t="s">
        <v>4312</v>
      </c>
      <c r="F495" s="5" t="str">
        <f t="shared" si="1"/>
        <v>bob.sharp@gmail.com</v>
      </c>
      <c r="G495" s="5" t="s">
        <v>5227</v>
      </c>
      <c r="H495" s="9">
        <v>45835.0</v>
      </c>
      <c r="I495" s="11"/>
    </row>
    <row r="496" ht="22.5" customHeight="1">
      <c r="A496" s="5" t="s">
        <v>1943</v>
      </c>
      <c r="B496" s="5" t="s">
        <v>4313</v>
      </c>
      <c r="C496" s="5" t="str">
        <f>IFERROR(__xludf.DUMMYFUNCTION("REGEXREPLACE(B496,""\D"","""")"),"6479393053")</f>
        <v>6479393053</v>
      </c>
      <c r="D496" s="12">
        <v>6.479393053E9</v>
      </c>
      <c r="E496" s="5" t="s">
        <v>4314</v>
      </c>
      <c r="F496" s="5" t="str">
        <f t="shared" si="1"/>
        <v>vanessa.johnson@yahoo.com</v>
      </c>
      <c r="G496" s="5" t="s">
        <v>4314</v>
      </c>
      <c r="H496" s="9">
        <v>45853.0</v>
      </c>
      <c r="I496" s="9">
        <v>45864.0</v>
      </c>
    </row>
    <row r="497" ht="22.5" customHeight="1">
      <c r="A497" s="5" t="s">
        <v>1947</v>
      </c>
      <c r="B497" s="5" t="s">
        <v>4317</v>
      </c>
      <c r="C497" s="5" t="str">
        <f>IFERROR(__xludf.DUMMYFUNCTION("REGEXREPLACE(B497,""\D"","""")"),"6016441848")</f>
        <v>6016441848</v>
      </c>
      <c r="D497" s="12">
        <v>6.016441848E9</v>
      </c>
      <c r="E497" s="5" t="s">
        <v>4318</v>
      </c>
      <c r="F497" s="5" t="str">
        <f t="shared" si="1"/>
        <v>hannah.doe@hotmail.com</v>
      </c>
      <c r="G497" s="5" t="s">
        <v>4318</v>
      </c>
      <c r="H497" s="9">
        <v>46153.0</v>
      </c>
      <c r="I497" s="11"/>
    </row>
    <row r="498" ht="22.5" customHeight="1">
      <c r="A498" s="5" t="s">
        <v>1950</v>
      </c>
      <c r="B498" s="5" t="s">
        <v>4319</v>
      </c>
      <c r="C498" s="5" t="str">
        <f>IFERROR(__xludf.DUMMYFUNCTION("REGEXREPLACE(B498,""\D"","""")"),"4904492797")</f>
        <v>4904492797</v>
      </c>
      <c r="D498" s="12">
        <v>4.904492797E9</v>
      </c>
      <c r="E498" s="5" t="s">
        <v>4320</v>
      </c>
      <c r="F498" s="5" t="str">
        <f t="shared" si="1"/>
        <v>victoria.richardson@outlook.com</v>
      </c>
      <c r="G498" s="5" t="s">
        <v>5228</v>
      </c>
      <c r="H498" s="9">
        <v>45951.0</v>
      </c>
      <c r="I498" s="11"/>
    </row>
    <row r="499" ht="22.5" customHeight="1">
      <c r="A499" s="5" t="s">
        <v>1954</v>
      </c>
      <c r="B499" s="5" t="s">
        <v>4321</v>
      </c>
      <c r="C499" s="5" t="str">
        <f>IFERROR(__xludf.DUMMYFUNCTION("REGEXREPLACE(B499,""\D"","""")"),"6104766310")</f>
        <v>6104766310</v>
      </c>
      <c r="D499" s="12">
        <v>6.10476631E9</v>
      </c>
      <c r="E499" s="5" t="s">
        <v>4322</v>
      </c>
      <c r="F499" s="5" t="str">
        <f t="shared" si="1"/>
        <v>hannah.garcia@outlook.com</v>
      </c>
      <c r="G499" s="5" t="s">
        <v>5229</v>
      </c>
      <c r="H499" s="9">
        <v>45984.0</v>
      </c>
      <c r="I499" s="11"/>
    </row>
    <row r="500" ht="22.5" customHeight="1">
      <c r="A500" s="5" t="s">
        <v>1957</v>
      </c>
      <c r="B500" s="5" t="s">
        <v>4323</v>
      </c>
      <c r="C500" s="5" t="str">
        <f>IFERROR(__xludf.DUMMYFUNCTION("REGEXREPLACE(B500,""\D"","""")"),"7474604232")</f>
        <v>7474604232</v>
      </c>
      <c r="D500" s="12">
        <v>7.474604232E9</v>
      </c>
      <c r="E500" s="5" t="s">
        <v>4324</v>
      </c>
      <c r="F500" s="5" t="str">
        <f t="shared" si="1"/>
        <v>victoria.jiang@aol.com</v>
      </c>
      <c r="G500" s="5" t="s">
        <v>5230</v>
      </c>
      <c r="H500" s="9">
        <v>46104.0</v>
      </c>
      <c r="I500" s="9">
        <v>46119.0</v>
      </c>
    </row>
    <row r="501" ht="22.5" customHeight="1">
      <c r="A501" s="5" t="s">
        <v>1959</v>
      </c>
      <c r="B501" s="5" t="s">
        <v>4326</v>
      </c>
      <c r="C501" s="5" t="str">
        <f>IFERROR(__xludf.DUMMYFUNCTION("REGEXREPLACE(B501,""\D"","""")"),"9877873781")</f>
        <v>9877873781</v>
      </c>
      <c r="D501" s="12">
        <v>9.877873781E9</v>
      </c>
      <c r="E501" s="5" t="s">
        <v>4327</v>
      </c>
      <c r="F501" s="5" t="str">
        <f t="shared" si="1"/>
        <v>wendy.williams@gmail.com</v>
      </c>
      <c r="G501" s="5" t="s">
        <v>5231</v>
      </c>
      <c r="H501" s="9">
        <v>46007.0</v>
      </c>
      <c r="I501" s="9">
        <v>46014.0</v>
      </c>
    </row>
    <row r="502" ht="22.5" customHeight="1">
      <c r="A502" s="5" t="s">
        <v>1962</v>
      </c>
      <c r="B502" s="5" t="s">
        <v>4328</v>
      </c>
      <c r="C502" s="5" t="str">
        <f>IFERROR(__xludf.DUMMYFUNCTION("REGEXREPLACE(B502,""\D"","""")"),"2475952221")</f>
        <v>2475952221</v>
      </c>
      <c r="D502" s="12">
        <v>2.475952221E9</v>
      </c>
      <c r="E502" s="5" t="s">
        <v>4329</v>
      </c>
      <c r="F502" s="5" t="str">
        <f t="shared" si="1"/>
        <v>mary.garcia@gmail.com</v>
      </c>
      <c r="G502" s="5" t="s">
        <v>5232</v>
      </c>
      <c r="H502" s="9">
        <v>45843.0</v>
      </c>
      <c r="I502" s="9">
        <v>45848.0</v>
      </c>
    </row>
    <row r="503" ht="22.5" customHeight="1">
      <c r="A503" s="5" t="s">
        <v>1964</v>
      </c>
      <c r="B503" s="14" t="s">
        <v>4331</v>
      </c>
      <c r="C503" s="5" t="str">
        <f>IFERROR(__xludf.DUMMYFUNCTION("REGEXREPLACE(B503,""\D"","""")"),"9525585202")</f>
        <v>9525585202</v>
      </c>
      <c r="D503" s="12">
        <v>9.525585202E9</v>
      </c>
      <c r="F503" s="10" t="str">
        <f t="shared" si="1"/>
        <v/>
      </c>
      <c r="G503" s="10" t="s">
        <v>4964</v>
      </c>
      <c r="H503" s="9">
        <v>46213.0</v>
      </c>
      <c r="I503" s="11"/>
    </row>
    <row r="504" ht="22.5" customHeight="1">
      <c r="A504" s="5" t="s">
        <v>1966</v>
      </c>
      <c r="B504" s="5" t="s">
        <v>4332</v>
      </c>
      <c r="C504" s="5" t="str">
        <f>IFERROR(__xludf.DUMMYFUNCTION("REGEXREPLACE(B504,""\D"","""")"),"3762937461")</f>
        <v>3762937461</v>
      </c>
      <c r="D504" s="12">
        <v>3.762937461E9</v>
      </c>
      <c r="E504" s="5" t="s">
        <v>4333</v>
      </c>
      <c r="F504" s="5" t="str">
        <f t="shared" si="1"/>
        <v>bob.doe@yahoo.com</v>
      </c>
      <c r="G504" s="5" t="s">
        <v>4333</v>
      </c>
      <c r="H504" s="9">
        <v>45965.0</v>
      </c>
      <c r="I504" s="9">
        <v>45972.0</v>
      </c>
    </row>
    <row r="505" ht="22.5" customHeight="1">
      <c r="A505" s="5" t="s">
        <v>1968</v>
      </c>
      <c r="B505" s="14" t="s">
        <v>4334</v>
      </c>
      <c r="C505" s="5" t="str">
        <f>IFERROR(__xludf.DUMMYFUNCTION("REGEXREPLACE(B505,""\D"","""")"),"5065469669")</f>
        <v>5065469669</v>
      </c>
      <c r="D505" s="12">
        <v>5.065469669E9</v>
      </c>
      <c r="E505" s="5" t="s">
        <v>4318</v>
      </c>
      <c r="F505" s="5" t="str">
        <f t="shared" si="1"/>
        <v>hannah.doe@hotmail.com</v>
      </c>
      <c r="G505" s="5" t="s">
        <v>4318</v>
      </c>
      <c r="H505" s="9">
        <v>45711.0</v>
      </c>
      <c r="I505" s="9">
        <v>45712.0</v>
      </c>
    </row>
    <row r="506" ht="22.5" customHeight="1">
      <c r="A506" s="5" t="s">
        <v>1971</v>
      </c>
      <c r="B506" s="5" t="s">
        <v>4335</v>
      </c>
      <c r="C506" s="5" t="str">
        <f>IFERROR(__xludf.DUMMYFUNCTION("REGEXREPLACE(B506,""\D"","""")"),"8935998197")</f>
        <v>8935998197</v>
      </c>
      <c r="D506" s="12">
        <v>8.935998197E9</v>
      </c>
      <c r="E506" s="5" t="s">
        <v>4336</v>
      </c>
      <c r="F506" s="5" t="str">
        <f t="shared" si="1"/>
        <v>michelle.brown@aol.com</v>
      </c>
      <c r="G506" s="5" t="s">
        <v>4336</v>
      </c>
      <c r="H506" s="9">
        <v>46026.0</v>
      </c>
      <c r="I506" s="9">
        <v>46039.0</v>
      </c>
    </row>
    <row r="507" ht="22.5" customHeight="1">
      <c r="A507" s="5" t="s">
        <v>1973</v>
      </c>
      <c r="B507" s="5" t="s">
        <v>4337</v>
      </c>
      <c r="C507" s="5" t="str">
        <f>IFERROR(__xludf.DUMMYFUNCTION("REGEXREPLACE(B507,""\D"","""")"),"4783368225")</f>
        <v>4783368225</v>
      </c>
      <c r="D507" s="12">
        <v>4.783368225E9</v>
      </c>
      <c r="F507" s="10" t="str">
        <f t="shared" si="1"/>
        <v/>
      </c>
      <c r="G507" s="10" t="s">
        <v>4964</v>
      </c>
      <c r="H507" s="9">
        <v>45782.0</v>
      </c>
      <c r="I507" s="11"/>
    </row>
    <row r="508" ht="22.5" customHeight="1">
      <c r="A508" s="5" t="s">
        <v>1977</v>
      </c>
      <c r="B508" s="5" t="s">
        <v>4339</v>
      </c>
      <c r="C508" s="5" t="str">
        <f>IFERROR(__xludf.DUMMYFUNCTION("REGEXREPLACE(B508,""\D"","""")"),"8748555394")</f>
        <v>8748555394</v>
      </c>
      <c r="D508" s="12">
        <v>8.748555394E9</v>
      </c>
      <c r="E508" s="5" t="s">
        <v>4340</v>
      </c>
      <c r="F508" s="5" t="str">
        <f t="shared" si="1"/>
        <v>victor.rodriguez@hotmail.com</v>
      </c>
      <c r="G508" s="5" t="s">
        <v>5233</v>
      </c>
      <c r="H508" s="9">
        <v>45976.0</v>
      </c>
      <c r="I508" s="9">
        <v>46005.0</v>
      </c>
    </row>
    <row r="509" ht="22.5" customHeight="1">
      <c r="A509" s="5" t="s">
        <v>1979</v>
      </c>
      <c r="B509" s="5" t="s">
        <v>4341</v>
      </c>
      <c r="C509" s="5" t="str">
        <f>IFERROR(__xludf.DUMMYFUNCTION("REGEXREPLACE(B509,""\D"","""")"),"6369522699")</f>
        <v>6369522699</v>
      </c>
      <c r="D509" s="12">
        <v>6.369522699E9</v>
      </c>
      <c r="E509" s="5" t="s">
        <v>4342</v>
      </c>
      <c r="F509" s="5" t="str">
        <f t="shared" si="1"/>
        <v>john.davis@gmail.com</v>
      </c>
      <c r="G509" s="5" t="s">
        <v>4993</v>
      </c>
      <c r="H509" s="9">
        <v>45889.0</v>
      </c>
      <c r="I509" s="9">
        <v>45908.0</v>
      </c>
    </row>
    <row r="510" ht="22.5" customHeight="1">
      <c r="A510" s="5" t="s">
        <v>1982</v>
      </c>
      <c r="B510" s="14" t="s">
        <v>4343</v>
      </c>
      <c r="C510" s="5" t="str">
        <f>IFERROR(__xludf.DUMMYFUNCTION("REGEXREPLACE(B510,""\D"","""")"),"7157854700")</f>
        <v>7157854700</v>
      </c>
      <c r="D510" s="12">
        <v>7.1578547E9</v>
      </c>
      <c r="E510" s="5" t="s">
        <v>4344</v>
      </c>
      <c r="F510" s="5" t="str">
        <f t="shared" si="1"/>
        <v>bob.davidson@gmail.com</v>
      </c>
      <c r="G510" s="5" t="s">
        <v>4344</v>
      </c>
      <c r="H510" s="9">
        <v>46061.0</v>
      </c>
      <c r="I510" s="9">
        <v>46075.0</v>
      </c>
    </row>
    <row r="511" ht="22.5" customHeight="1">
      <c r="A511" s="5" t="s">
        <v>1984</v>
      </c>
      <c r="B511" s="5" t="s">
        <v>4345</v>
      </c>
      <c r="C511" s="5" t="str">
        <f>IFERROR(__xludf.DUMMYFUNCTION("REGEXREPLACE(B511,""\D"","""")"),"4274215201")</f>
        <v>4274215201</v>
      </c>
      <c r="D511" s="12">
        <v>4.274215201E9</v>
      </c>
      <c r="E511" s="5" t="s">
        <v>4346</v>
      </c>
      <c r="F511" s="5" t="str">
        <f t="shared" si="1"/>
        <v>jane.lopez@aol.com</v>
      </c>
      <c r="G511" s="5" t="s">
        <v>4346</v>
      </c>
      <c r="H511" s="9">
        <v>45945.0</v>
      </c>
      <c r="I511" s="9">
        <v>45966.0</v>
      </c>
    </row>
    <row r="512" ht="22.5" customHeight="1">
      <c r="A512" s="5" t="s">
        <v>1987</v>
      </c>
      <c r="B512" s="5" t="s">
        <v>4347</v>
      </c>
      <c r="C512" s="5" t="str">
        <f>IFERROR(__xludf.DUMMYFUNCTION("REGEXREPLACE(B512,""\D"","""")"),"5866529051")</f>
        <v>5866529051</v>
      </c>
      <c r="D512" s="12">
        <v>5.866529051E9</v>
      </c>
      <c r="F512" s="10" t="str">
        <f t="shared" si="1"/>
        <v/>
      </c>
      <c r="G512" s="10" t="s">
        <v>4964</v>
      </c>
      <c r="H512" s="9">
        <v>46204.0</v>
      </c>
      <c r="I512" s="11"/>
    </row>
    <row r="513" ht="22.5" customHeight="1">
      <c r="A513" s="5" t="s">
        <v>1990</v>
      </c>
      <c r="B513" s="5" t="s">
        <v>4348</v>
      </c>
      <c r="C513" s="5" t="str">
        <f>IFERROR(__xludf.DUMMYFUNCTION("REGEXREPLACE(B513,""\D"","""")"),"6264397134")</f>
        <v>6264397134</v>
      </c>
      <c r="D513" s="12">
        <v>6.264397134E9</v>
      </c>
      <c r="E513" s="5" t="s">
        <v>4349</v>
      </c>
      <c r="F513" s="5" t="str">
        <f t="shared" si="1"/>
        <v>jack.wu@gmail.com</v>
      </c>
      <c r="G513" s="5" t="s">
        <v>4349</v>
      </c>
      <c r="H513" s="9">
        <v>45900.0</v>
      </c>
      <c r="I513" s="11"/>
    </row>
    <row r="514" ht="22.5" customHeight="1">
      <c r="A514" s="5" t="s">
        <v>1994</v>
      </c>
      <c r="B514" s="5" t="s">
        <v>4350</v>
      </c>
      <c r="C514" s="5" t="str">
        <f>IFERROR(__xludf.DUMMYFUNCTION("REGEXREPLACE(B514,""\D"","""")"),"6788408335")</f>
        <v>6788408335</v>
      </c>
      <c r="D514" s="12">
        <v>6.788408335E9</v>
      </c>
      <c r="E514" s="5" t="s">
        <v>4351</v>
      </c>
      <c r="F514" s="5" t="str">
        <f t="shared" si="1"/>
        <v>betty.bush@outlook.com</v>
      </c>
      <c r="G514" s="5" t="s">
        <v>4351</v>
      </c>
      <c r="H514" s="9">
        <v>45726.0</v>
      </c>
      <c r="I514" s="11"/>
    </row>
    <row r="515" ht="22.5" customHeight="1">
      <c r="A515" s="5" t="s">
        <v>1997</v>
      </c>
      <c r="B515" s="14" t="s">
        <v>4352</v>
      </c>
      <c r="C515" s="5" t="str">
        <f>IFERROR(__xludf.DUMMYFUNCTION("REGEXREPLACE(B515,""\D"","""")"),"3169945737")</f>
        <v>3169945737</v>
      </c>
      <c r="D515" s="12">
        <v>3.169945737E9</v>
      </c>
      <c r="E515" s="5" t="s">
        <v>4353</v>
      </c>
      <c r="F515" s="5" t="str">
        <f t="shared" si="1"/>
        <v>bob.jones@outlook.com</v>
      </c>
      <c r="G515" s="5" t="s">
        <v>4353</v>
      </c>
      <c r="H515" s="9">
        <v>46085.0</v>
      </c>
      <c r="I515" s="11"/>
    </row>
    <row r="516" ht="22.5" customHeight="1">
      <c r="A516" s="5" t="s">
        <v>1999</v>
      </c>
      <c r="B516" s="5" t="s">
        <v>4354</v>
      </c>
      <c r="C516" s="5" t="str">
        <f>IFERROR(__xludf.DUMMYFUNCTION("REGEXREPLACE(B516,""\D"","""")"),"4326656518")</f>
        <v>4326656518</v>
      </c>
      <c r="D516" s="12">
        <v>4.326656518E9</v>
      </c>
      <c r="E516" s="5" t="s">
        <v>4355</v>
      </c>
      <c r="F516" s="5" t="str">
        <f t="shared" si="1"/>
        <v>bob.davis@outlook.com</v>
      </c>
      <c r="G516" s="5" t="s">
        <v>4355</v>
      </c>
      <c r="H516" s="11"/>
      <c r="I516" s="11"/>
    </row>
    <row r="517" ht="22.5" customHeight="1">
      <c r="A517" s="5" t="s">
        <v>2001</v>
      </c>
      <c r="B517" s="14" t="s">
        <v>4356</v>
      </c>
      <c r="C517" s="5" t="str">
        <f>IFERROR(__xludf.DUMMYFUNCTION("REGEXREPLACE(B517,""\D"","""")"),"3139463007")</f>
        <v>3139463007</v>
      </c>
      <c r="D517" s="12">
        <v>3.139463007E9</v>
      </c>
      <c r="E517" s="5" t="s">
        <v>4357</v>
      </c>
      <c r="F517" s="5" t="str">
        <f t="shared" si="1"/>
        <v>ashley.williams@hotmail.com</v>
      </c>
      <c r="G517" s="5" t="s">
        <v>4357</v>
      </c>
      <c r="H517" s="9">
        <v>46057.0</v>
      </c>
      <c r="I517" s="11"/>
    </row>
    <row r="518" ht="22.5" customHeight="1">
      <c r="A518" s="5" t="s">
        <v>2003</v>
      </c>
      <c r="B518" s="5" t="s">
        <v>4358</v>
      </c>
      <c r="C518" s="5" t="str">
        <f>IFERROR(__xludf.DUMMYFUNCTION("REGEXREPLACE(B518,""\D"","""")"),"4942077585")</f>
        <v>4942077585</v>
      </c>
      <c r="D518" s="12">
        <v>4.942077585E9</v>
      </c>
      <c r="E518" s="5" t="s">
        <v>4359</v>
      </c>
      <c r="F518" s="5" t="str">
        <f t="shared" si="1"/>
        <v>tina.perez@aol.com</v>
      </c>
      <c r="G518" s="5" t="s">
        <v>5234</v>
      </c>
      <c r="H518" s="9">
        <v>45950.0</v>
      </c>
      <c r="I518" s="9">
        <v>45965.0</v>
      </c>
    </row>
    <row r="519" ht="22.5" customHeight="1">
      <c r="A519" s="5" t="s">
        <v>2006</v>
      </c>
      <c r="B519" s="5" t="s">
        <v>4360</v>
      </c>
      <c r="C519" s="5" t="str">
        <f>IFERROR(__xludf.DUMMYFUNCTION("REGEXREPLACE(B519,""\D"","""")"),"6507654777")</f>
        <v>6507654777</v>
      </c>
      <c r="D519" s="12">
        <v>6.507654777E9</v>
      </c>
      <c r="E519" s="5" t="s">
        <v>4117</v>
      </c>
      <c r="F519" s="5" t="str">
        <f t="shared" si="1"/>
        <v>jane.rodriguez@hotmail.com</v>
      </c>
      <c r="G519" s="5" t="s">
        <v>4117</v>
      </c>
      <c r="H519" s="9">
        <v>45726.0</v>
      </c>
      <c r="I519" s="11"/>
    </row>
    <row r="520" ht="22.5" customHeight="1">
      <c r="A520" s="5" t="s">
        <v>2010</v>
      </c>
      <c r="B520" s="5" t="s">
        <v>4361</v>
      </c>
      <c r="C520" s="5" t="str">
        <f>IFERROR(__xludf.DUMMYFUNCTION("REGEXREPLACE(B520,""\D"","""")"),"6158484963")</f>
        <v>6158484963</v>
      </c>
      <c r="D520" s="12">
        <v>6.158484963E9</v>
      </c>
      <c r="E520" s="5" t="s">
        <v>4362</v>
      </c>
      <c r="F520" s="5" t="str">
        <f t="shared" si="1"/>
        <v>jasmine.ferguson@aol.com</v>
      </c>
      <c r="G520" s="5" t="s">
        <v>5235</v>
      </c>
      <c r="H520" s="9">
        <v>46116.0</v>
      </c>
      <c r="I520" s="9">
        <v>46118.0</v>
      </c>
    </row>
    <row r="521" ht="22.5" customHeight="1">
      <c r="A521" s="5" t="s">
        <v>2012</v>
      </c>
      <c r="B521" s="14" t="s">
        <v>4363</v>
      </c>
      <c r="C521" s="5" t="str">
        <f>IFERROR(__xludf.DUMMYFUNCTION("REGEXREPLACE(B521,""\D"","""")"),"2177451272")</f>
        <v>2177451272</v>
      </c>
      <c r="D521" s="12">
        <v>2.177451272E9</v>
      </c>
      <c r="E521" s="5" t="s">
        <v>4364</v>
      </c>
      <c r="F521" s="5" t="str">
        <f t="shared" si="1"/>
        <v>victoria.smith@yahoo.com</v>
      </c>
      <c r="G521" s="5" t="s">
        <v>4364</v>
      </c>
      <c r="H521" s="9">
        <v>45731.0</v>
      </c>
      <c r="I521" s="11"/>
    </row>
    <row r="522" ht="22.5" customHeight="1">
      <c r="A522" s="5" t="s">
        <v>2016</v>
      </c>
      <c r="B522" s="5" t="s">
        <v>4365</v>
      </c>
      <c r="C522" s="5" t="str">
        <f>IFERROR(__xludf.DUMMYFUNCTION("REGEXREPLACE(B522,""\D"","""")"),"6288478474")</f>
        <v>6288478474</v>
      </c>
      <c r="D522" s="12">
        <v>6.288478474E9</v>
      </c>
      <c r="E522" s="5" t="s">
        <v>4366</v>
      </c>
      <c r="F522" s="5" t="str">
        <f t="shared" si="1"/>
        <v>thomas.garcia@yahoo.com</v>
      </c>
      <c r="G522" s="5" t="s">
        <v>4366</v>
      </c>
      <c r="H522" s="9">
        <v>45712.0</v>
      </c>
      <c r="I522" s="9">
        <v>45721.0</v>
      </c>
    </row>
    <row r="523" ht="22.5" customHeight="1">
      <c r="A523" s="5" t="s">
        <v>2018</v>
      </c>
      <c r="B523" s="5" t="s">
        <v>4367</v>
      </c>
      <c r="C523" s="5" t="str">
        <f>IFERROR(__xludf.DUMMYFUNCTION("REGEXREPLACE(B523,""\D"","""")"),"3554776214")</f>
        <v>3554776214</v>
      </c>
      <c r="D523" s="12">
        <v>3.554776214E9</v>
      </c>
      <c r="E523" s="5" t="s">
        <v>4368</v>
      </c>
      <c r="F523" s="5" t="str">
        <f t="shared" si="1"/>
        <v>kylie.miller@aol.com</v>
      </c>
      <c r="G523" s="5" t="s">
        <v>4368</v>
      </c>
      <c r="H523" s="9">
        <v>46219.0</v>
      </c>
      <c r="I523" s="9">
        <v>46221.0</v>
      </c>
    </row>
    <row r="524" ht="22.5" customHeight="1">
      <c r="A524" s="5" t="s">
        <v>2021</v>
      </c>
      <c r="B524" s="5" t="s">
        <v>4369</v>
      </c>
      <c r="C524" s="5" t="str">
        <f>IFERROR(__xludf.DUMMYFUNCTION("REGEXREPLACE(B524,""\D"","""")"),"3294175807")</f>
        <v>3294175807</v>
      </c>
      <c r="D524" s="12">
        <v>3.294175807E9</v>
      </c>
      <c r="E524" s="5" t="s">
        <v>4370</v>
      </c>
      <c r="F524" s="5" t="str">
        <f t="shared" si="1"/>
        <v>ryan.perez@aol.com</v>
      </c>
      <c r="G524" s="5" t="s">
        <v>4370</v>
      </c>
      <c r="H524" s="9">
        <v>45927.0</v>
      </c>
      <c r="I524" s="11"/>
    </row>
    <row r="525" ht="22.5" customHeight="1">
      <c r="A525" s="5" t="s">
        <v>2023</v>
      </c>
      <c r="B525" s="5" t="s">
        <v>4372</v>
      </c>
      <c r="C525" s="5" t="str">
        <f>IFERROR(__xludf.DUMMYFUNCTION("REGEXREPLACE(B525,""\D"","""")"),"7032599674")</f>
        <v>7032599674</v>
      </c>
      <c r="D525" s="12">
        <v>7.032599674E9</v>
      </c>
      <c r="E525" s="5" t="s">
        <v>4373</v>
      </c>
      <c r="F525" s="5" t="str">
        <f t="shared" si="1"/>
        <v>olivia.sharp@gmail.com</v>
      </c>
      <c r="G525" s="5" t="s">
        <v>5236</v>
      </c>
      <c r="H525" s="9">
        <v>45732.0</v>
      </c>
      <c r="I525" s="9">
        <v>45739.0</v>
      </c>
    </row>
    <row r="526" ht="22.5" customHeight="1">
      <c r="A526" s="5" t="s">
        <v>2025</v>
      </c>
      <c r="B526" s="5" t="s">
        <v>4375</v>
      </c>
      <c r="C526" s="5" t="str">
        <f>IFERROR(__xludf.DUMMYFUNCTION("REGEXREPLACE(B526,""\D"","""")"),"6506994563")</f>
        <v>6506994563</v>
      </c>
      <c r="D526" s="12">
        <v>6.506994563E9</v>
      </c>
      <c r="E526" s="5" t="s">
        <v>4376</v>
      </c>
      <c r="F526" s="5" t="str">
        <f t="shared" si="1"/>
        <v>eva.smirnov@yahoo.com</v>
      </c>
      <c r="G526" s="5" t="s">
        <v>5237</v>
      </c>
      <c r="H526" s="9">
        <v>46151.0</v>
      </c>
      <c r="I526" s="9">
        <v>46164.0</v>
      </c>
    </row>
    <row r="527" ht="22.5" customHeight="1">
      <c r="A527" s="5" t="s">
        <v>2028</v>
      </c>
      <c r="B527" s="5" t="s">
        <v>4378</v>
      </c>
      <c r="C527" s="5" t="str">
        <f>IFERROR(__xludf.DUMMYFUNCTION("REGEXREPLACE(B527,""\D"","""")"),"9657568795")</f>
        <v>9657568795</v>
      </c>
      <c r="D527" s="12">
        <v>9.657568795E9</v>
      </c>
      <c r="E527" s="5" t="s">
        <v>4379</v>
      </c>
      <c r="F527" s="5" t="str">
        <f t="shared" si="1"/>
        <v>jane.liang@outlook.com</v>
      </c>
      <c r="G527" s="5" t="s">
        <v>5238</v>
      </c>
      <c r="H527" s="9">
        <v>45987.0</v>
      </c>
      <c r="I527" s="9">
        <v>46014.0</v>
      </c>
    </row>
    <row r="528" ht="22.5" customHeight="1">
      <c r="A528" s="5" t="s">
        <v>2029</v>
      </c>
      <c r="B528" s="5" t="s">
        <v>4380</v>
      </c>
      <c r="C528" s="5" t="str">
        <f>IFERROR(__xludf.DUMMYFUNCTION("REGEXREPLACE(B528,""\D"","""")"),"2687514670")</f>
        <v>2687514670</v>
      </c>
      <c r="D528" s="12">
        <v>2.68751467E9</v>
      </c>
      <c r="E528" s="5" t="s">
        <v>4381</v>
      </c>
      <c r="F528" s="5" t="str">
        <f t="shared" si="1"/>
        <v>thomas.glover@hotmail.com</v>
      </c>
      <c r="G528" s="5" t="s">
        <v>5239</v>
      </c>
      <c r="H528" s="9">
        <v>45717.0</v>
      </c>
      <c r="I528" s="9">
        <v>45717.0</v>
      </c>
    </row>
    <row r="529" ht="22.5" customHeight="1">
      <c r="A529" s="5" t="s">
        <v>2030</v>
      </c>
      <c r="B529" s="14" t="s">
        <v>4382</v>
      </c>
      <c r="C529" s="5" t="str">
        <f>IFERROR(__xludf.DUMMYFUNCTION("REGEXREPLACE(B529,""\D"","""")"),"2156012268")</f>
        <v>2156012268</v>
      </c>
      <c r="D529" s="12">
        <v>2.156012268E9</v>
      </c>
      <c r="E529" s="5" t="s">
        <v>4383</v>
      </c>
      <c r="F529" s="5" t="str">
        <f t="shared" si="1"/>
        <v>ryan.brown@yahoo.com</v>
      </c>
      <c r="G529" s="5" t="s">
        <v>5240</v>
      </c>
      <c r="H529" s="9">
        <v>45719.0</v>
      </c>
      <c r="I529" s="9">
        <v>45737.0</v>
      </c>
    </row>
    <row r="530" ht="22.5" customHeight="1">
      <c r="A530" s="5" t="s">
        <v>2033</v>
      </c>
      <c r="B530" s="5" t="s">
        <v>4384</v>
      </c>
      <c r="C530" s="5" t="str">
        <f>IFERROR(__xludf.DUMMYFUNCTION("REGEXREPLACE(B530,""\D"","""")"),"6275052490")</f>
        <v>6275052490</v>
      </c>
      <c r="D530" s="12">
        <v>6.27505249E9</v>
      </c>
      <c r="E530" s="5" t="s">
        <v>4385</v>
      </c>
      <c r="F530" s="5" t="str">
        <f t="shared" si="1"/>
        <v>grace.williams@yahoo.com</v>
      </c>
      <c r="G530" s="5" t="s">
        <v>5241</v>
      </c>
      <c r="H530" s="9">
        <v>45994.0</v>
      </c>
      <c r="I530" s="11"/>
    </row>
    <row r="531" ht="22.5" customHeight="1">
      <c r="A531" s="5" t="s">
        <v>2036</v>
      </c>
      <c r="B531" s="5" t="s">
        <v>4386</v>
      </c>
      <c r="C531" s="5" t="str">
        <f>IFERROR(__xludf.DUMMYFUNCTION("REGEXREPLACE(B531,""\D"","""")"),"4002327614")</f>
        <v>4002327614</v>
      </c>
      <c r="D531" s="12">
        <v>4.002327614E9</v>
      </c>
      <c r="E531" s="5" t="s">
        <v>4387</v>
      </c>
      <c r="F531" s="5" t="str">
        <f t="shared" si="1"/>
        <v>alice.smith@aol.com</v>
      </c>
      <c r="G531" s="5" t="s">
        <v>5242</v>
      </c>
      <c r="H531" s="9">
        <v>46067.0</v>
      </c>
      <c r="I531" s="9">
        <v>46088.0</v>
      </c>
    </row>
    <row r="532" ht="22.5" customHeight="1">
      <c r="A532" s="5" t="s">
        <v>2038</v>
      </c>
      <c r="B532" s="5" t="s">
        <v>4389</v>
      </c>
      <c r="C532" s="5" t="str">
        <f>IFERROR(__xludf.DUMMYFUNCTION("REGEXREPLACE(B532,""\D"","""")"),"4326689245")</f>
        <v>4326689245</v>
      </c>
      <c r="D532" s="12">
        <v>4.326689245E9</v>
      </c>
      <c r="E532" s="5" t="s">
        <v>4390</v>
      </c>
      <c r="F532" s="5" t="str">
        <f t="shared" si="1"/>
        <v>lisa.davidson@gmail.com</v>
      </c>
      <c r="G532" s="5" t="s">
        <v>5243</v>
      </c>
      <c r="H532" s="9">
        <v>45711.0</v>
      </c>
      <c r="I532" s="9">
        <v>45715.0</v>
      </c>
    </row>
    <row r="533" ht="22.5" customHeight="1">
      <c r="A533" s="5" t="s">
        <v>2041</v>
      </c>
      <c r="B533" s="5" t="s">
        <v>4391</v>
      </c>
      <c r="C533" s="5" t="str">
        <f>IFERROR(__xludf.DUMMYFUNCTION("REGEXREPLACE(B533,""\D"","""")"),"6724456395")</f>
        <v>6724456395</v>
      </c>
      <c r="D533" s="12">
        <v>6.724456395E9</v>
      </c>
      <c r="E533" s="5" t="s">
        <v>4392</v>
      </c>
      <c r="F533" s="5" t="str">
        <f t="shared" si="1"/>
        <v>john.rodriguez@hotmail.com</v>
      </c>
      <c r="G533" s="5" t="s">
        <v>5244</v>
      </c>
      <c r="H533" s="9">
        <v>45795.0</v>
      </c>
      <c r="I533" s="11"/>
    </row>
    <row r="534" ht="22.5" customHeight="1">
      <c r="A534" s="5" t="s">
        <v>2044</v>
      </c>
      <c r="B534" s="5" t="s">
        <v>4393</v>
      </c>
      <c r="C534" s="5" t="str">
        <f>IFERROR(__xludf.DUMMYFUNCTION("REGEXREPLACE(B534,""\D"","""")"),"9682535562")</f>
        <v>9682535562</v>
      </c>
      <c r="D534" s="12">
        <v>9.682535562E9</v>
      </c>
      <c r="E534" s="5" t="s">
        <v>4394</v>
      </c>
      <c r="F534" s="5" t="str">
        <f t="shared" si="1"/>
        <v>jane.chang@gmail.com</v>
      </c>
      <c r="G534" s="5" t="s">
        <v>5245</v>
      </c>
      <c r="H534" s="9">
        <v>46049.0</v>
      </c>
      <c r="I534" s="9">
        <v>46070.0</v>
      </c>
    </row>
    <row r="535" ht="22.5" customHeight="1">
      <c r="A535" s="5" t="s">
        <v>2046</v>
      </c>
      <c r="B535" s="5" t="s">
        <v>4395</v>
      </c>
      <c r="C535" s="5" t="str">
        <f>IFERROR(__xludf.DUMMYFUNCTION("REGEXREPLACE(B535,""\D"","""")"),"8158614079")</f>
        <v>8158614079</v>
      </c>
      <c r="D535" s="12">
        <v>8.158614079E9</v>
      </c>
      <c r="E535" s="5" t="s">
        <v>4396</v>
      </c>
      <c r="F535" s="5" t="str">
        <f t="shared" si="1"/>
        <v>daniella.bush@aol.com</v>
      </c>
      <c r="G535" s="5" t="s">
        <v>5246</v>
      </c>
      <c r="H535" s="9">
        <v>46149.0</v>
      </c>
      <c r="I535" s="11"/>
    </row>
    <row r="536" ht="22.5" customHeight="1">
      <c r="A536" s="5" t="s">
        <v>2048</v>
      </c>
      <c r="B536" s="5" t="s">
        <v>4397</v>
      </c>
      <c r="C536" s="5" t="str">
        <f>IFERROR(__xludf.DUMMYFUNCTION("REGEXREPLACE(B536,""\D"","""")"),"8455299116")</f>
        <v>8455299116</v>
      </c>
      <c r="D536" s="12">
        <v>8.455299116E9</v>
      </c>
      <c r="E536" s="5" t="s">
        <v>4398</v>
      </c>
      <c r="F536" s="5" t="str">
        <f t="shared" si="1"/>
        <v>eva.cooper@yahoo.com</v>
      </c>
      <c r="G536" s="5" t="s">
        <v>5247</v>
      </c>
      <c r="H536" s="9">
        <v>45926.0</v>
      </c>
      <c r="I536" s="9">
        <v>45931.0</v>
      </c>
    </row>
    <row r="537" ht="22.5" customHeight="1">
      <c r="A537" s="5" t="s">
        <v>2052</v>
      </c>
      <c r="B537" s="14" t="s">
        <v>4399</v>
      </c>
      <c r="C537" s="5" t="str">
        <f>IFERROR(__xludf.DUMMYFUNCTION("REGEXREPLACE(B537,""\D"","""")"),"9027484666")</f>
        <v>9027484666</v>
      </c>
      <c r="D537" s="12">
        <v>9.027484666E9</v>
      </c>
      <c r="E537" s="5" t="s">
        <v>4400</v>
      </c>
      <c r="F537" s="5" t="str">
        <f t="shared" si="1"/>
        <v>ava.rodriguez@hotmail.com</v>
      </c>
      <c r="G537" s="5" t="s">
        <v>5248</v>
      </c>
      <c r="H537" s="9">
        <v>45980.0</v>
      </c>
      <c r="I537" s="11"/>
    </row>
    <row r="538" ht="22.5" customHeight="1">
      <c r="A538" s="5" t="s">
        <v>2055</v>
      </c>
      <c r="C538" s="10" t="str">
        <f>IFERROR(__xludf.DUMMYFUNCTION("REGEXREPLACE(B538,""\D"","""")"),"")</f>
        <v/>
      </c>
      <c r="D538" s="13" t="s">
        <v>4964</v>
      </c>
      <c r="E538" s="5" t="s">
        <v>4401</v>
      </c>
      <c r="F538" s="5" t="str">
        <f t="shared" si="1"/>
        <v>charlie.baker@gmail.com</v>
      </c>
      <c r="G538" s="5" t="s">
        <v>4401</v>
      </c>
      <c r="H538" s="9">
        <v>46067.0</v>
      </c>
      <c r="I538" s="11"/>
    </row>
    <row r="539" ht="22.5" customHeight="1">
      <c r="A539" s="5" t="s">
        <v>2057</v>
      </c>
      <c r="B539" s="14" t="s">
        <v>4402</v>
      </c>
      <c r="C539" s="5" t="str">
        <f>IFERROR(__xludf.DUMMYFUNCTION("REGEXREPLACE(B539,""\D"","""")"),"3237394879")</f>
        <v>3237394879</v>
      </c>
      <c r="D539" s="12">
        <v>3.237394879E9</v>
      </c>
      <c r="E539" s="5" t="s">
        <v>4403</v>
      </c>
      <c r="F539" s="5" t="str">
        <f t="shared" si="1"/>
        <v>pauline.wu@aol.com</v>
      </c>
      <c r="G539" s="5" t="s">
        <v>5249</v>
      </c>
      <c r="H539" s="9">
        <v>46207.0</v>
      </c>
      <c r="I539" s="11"/>
    </row>
    <row r="540" ht="22.5" customHeight="1">
      <c r="A540" s="5" t="s">
        <v>2060</v>
      </c>
      <c r="C540" s="10" t="str">
        <f>IFERROR(__xludf.DUMMYFUNCTION("REGEXREPLACE(B540,""\D"","""")"),"")</f>
        <v/>
      </c>
      <c r="D540" s="13" t="s">
        <v>4964</v>
      </c>
      <c r="E540" s="5" t="s">
        <v>4404</v>
      </c>
      <c r="F540" s="5" t="str">
        <f t="shared" si="1"/>
        <v>michelle.jones@gmail.com</v>
      </c>
      <c r="G540" s="5" t="s">
        <v>4404</v>
      </c>
      <c r="H540" s="9">
        <v>45873.0</v>
      </c>
      <c r="I540" s="11"/>
    </row>
    <row r="541" ht="22.5" customHeight="1">
      <c r="A541" s="5" t="s">
        <v>2063</v>
      </c>
      <c r="B541" s="5" t="s">
        <v>4405</v>
      </c>
      <c r="C541" s="5" t="str">
        <f>IFERROR(__xludf.DUMMYFUNCTION("REGEXREPLACE(B541,""\D"","""")"),"2996439052")</f>
        <v>2996439052</v>
      </c>
      <c r="D541" s="12">
        <v>2.996439052E9</v>
      </c>
      <c r="E541" s="5" t="s">
        <v>4406</v>
      </c>
      <c r="F541" s="5" t="str">
        <f t="shared" si="1"/>
        <v>alice.miller@outlook.com</v>
      </c>
      <c r="G541" s="5" t="s">
        <v>5250</v>
      </c>
      <c r="H541" s="9">
        <v>46217.0</v>
      </c>
      <c r="I541" s="9">
        <v>46242.0</v>
      </c>
    </row>
    <row r="542" ht="22.5" customHeight="1">
      <c r="A542" s="5" t="s">
        <v>2071</v>
      </c>
      <c r="B542" s="5" t="s">
        <v>4407</v>
      </c>
      <c r="C542" s="5" t="str">
        <f>IFERROR(__xludf.DUMMYFUNCTION("REGEXREPLACE(B542,""\D"","""")"),"4777903526")</f>
        <v>4777903526</v>
      </c>
      <c r="D542" s="12">
        <v>4.777903526E9</v>
      </c>
      <c r="E542" s="5" t="s">
        <v>4408</v>
      </c>
      <c r="F542" s="5" t="str">
        <f t="shared" si="1"/>
        <v>steven.campbell@yahoo.com</v>
      </c>
      <c r="G542" s="5" t="s">
        <v>4408</v>
      </c>
      <c r="H542" s="9">
        <v>45804.0</v>
      </c>
      <c r="I542" s="11"/>
    </row>
    <row r="543" ht="22.5" customHeight="1">
      <c r="A543" s="5" t="s">
        <v>2076</v>
      </c>
      <c r="B543" s="14" t="s">
        <v>4409</v>
      </c>
      <c r="C543" s="5" t="str">
        <f>IFERROR(__xludf.DUMMYFUNCTION("REGEXREPLACE(B543,""\D"","""")"),"7715073163")</f>
        <v>7715073163</v>
      </c>
      <c r="D543" s="12">
        <v>7.715073163E9</v>
      </c>
      <c r="E543" s="5" t="s">
        <v>4410</v>
      </c>
      <c r="F543" s="5" t="str">
        <f t="shared" si="1"/>
        <v>deborah.morris@aol.com</v>
      </c>
      <c r="G543" s="5" t="s">
        <v>4410</v>
      </c>
      <c r="H543" s="9">
        <v>46013.0</v>
      </c>
      <c r="I543" s="9">
        <v>46042.0</v>
      </c>
    </row>
    <row r="544" ht="22.5" customHeight="1">
      <c r="A544" s="5" t="s">
        <v>2081</v>
      </c>
      <c r="B544" s="14" t="s">
        <v>4412</v>
      </c>
      <c r="C544" s="5" t="str">
        <f>IFERROR(__xludf.DUMMYFUNCTION("REGEXREPLACE(B544,""\D"","""")"),"9629321332")</f>
        <v>9629321332</v>
      </c>
      <c r="D544" s="12">
        <v>9.629321332E9</v>
      </c>
      <c r="E544" s="5" t="s">
        <v>4413</v>
      </c>
      <c r="F544" s="5" t="str">
        <f t="shared" si="1"/>
        <v>william.thompson@gmail.com</v>
      </c>
      <c r="G544" s="5" t="s">
        <v>5251</v>
      </c>
      <c r="H544" s="9">
        <v>46172.0</v>
      </c>
      <c r="I544" s="11"/>
    </row>
    <row r="545" ht="22.5" customHeight="1">
      <c r="A545" s="5" t="s">
        <v>2085</v>
      </c>
      <c r="B545" s="5" t="s">
        <v>4414</v>
      </c>
      <c r="C545" s="5" t="str">
        <f>IFERROR(__xludf.DUMMYFUNCTION("REGEXREPLACE(B545,""\D"","""")"),"7862831604")</f>
        <v>7862831604</v>
      </c>
      <c r="D545" s="12">
        <v>7.862831604E9</v>
      </c>
      <c r="F545" s="10" t="str">
        <f t="shared" si="1"/>
        <v/>
      </c>
      <c r="G545" s="10" t="s">
        <v>4964</v>
      </c>
      <c r="H545" s="9">
        <v>45839.0</v>
      </c>
      <c r="I545" s="9">
        <v>45858.0</v>
      </c>
    </row>
    <row r="546" ht="22.5" customHeight="1">
      <c r="A546" s="5" t="s">
        <v>2089</v>
      </c>
      <c r="B546" s="14" t="s">
        <v>4416</v>
      </c>
      <c r="C546" s="5" t="str">
        <f>IFERROR(__xludf.DUMMYFUNCTION("REGEXREPLACE(B546,""\D"","""")"),"2909161518")</f>
        <v>2909161518</v>
      </c>
      <c r="D546" s="12">
        <v>2.909161518E9</v>
      </c>
      <c r="E546" s="5" t="s">
        <v>4417</v>
      </c>
      <c r="F546" s="5" t="str">
        <f t="shared" si="1"/>
        <v>timothy.cruz@outlook.com</v>
      </c>
      <c r="G546" s="5" t="s">
        <v>4417</v>
      </c>
      <c r="H546" s="9">
        <v>46227.0</v>
      </c>
      <c r="I546" s="11"/>
    </row>
    <row r="547" ht="22.5" customHeight="1">
      <c r="A547" s="5" t="s">
        <v>2093</v>
      </c>
      <c r="B547" s="14" t="s">
        <v>4419</v>
      </c>
      <c r="C547" s="5" t="str">
        <f>IFERROR(__xludf.DUMMYFUNCTION("REGEXREPLACE(B547,""\D"","""")"),"8599688956")</f>
        <v>8599688956</v>
      </c>
      <c r="D547" s="12">
        <v>8.599688956E9</v>
      </c>
      <c r="E547" s="5" t="s">
        <v>4420</v>
      </c>
      <c r="F547" s="5" t="str">
        <f t="shared" si="1"/>
        <v>christine.peterson@aol.com</v>
      </c>
      <c r="G547" s="5" t="s">
        <v>4420</v>
      </c>
      <c r="H547" s="9">
        <v>46230.0</v>
      </c>
      <c r="I547" s="9">
        <v>46259.0</v>
      </c>
    </row>
    <row r="548" ht="22.5" customHeight="1">
      <c r="A548" s="5" t="s">
        <v>2098</v>
      </c>
      <c r="B548" s="5" t="s">
        <v>4422</v>
      </c>
      <c r="C548" s="5" t="str">
        <f>IFERROR(__xludf.DUMMYFUNCTION("REGEXREPLACE(B548,""\D"","""")"),"5719732928")</f>
        <v>5719732928</v>
      </c>
      <c r="D548" s="12">
        <v>5.719732928E9</v>
      </c>
      <c r="E548" s="5" t="s">
        <v>4423</v>
      </c>
      <c r="F548" s="5" t="str">
        <f t="shared" si="1"/>
        <v>kenneth.sanchez@hotmail.com</v>
      </c>
      <c r="G548" s="5" t="s">
        <v>4423</v>
      </c>
      <c r="H548" s="9">
        <v>46011.0</v>
      </c>
      <c r="I548" s="9">
        <v>46039.0</v>
      </c>
    </row>
    <row r="549" ht="22.5" customHeight="1">
      <c r="A549" s="5" t="s">
        <v>2102</v>
      </c>
      <c r="B549" s="5" t="s">
        <v>4424</v>
      </c>
      <c r="C549" s="5" t="str">
        <f>IFERROR(__xludf.DUMMYFUNCTION("REGEXREPLACE(B549,""\D"","""")"),"2866458145")</f>
        <v>2866458145</v>
      </c>
      <c r="D549" s="12">
        <v>2.866458145E9</v>
      </c>
      <c r="E549" s="5" t="s">
        <v>4425</v>
      </c>
      <c r="F549" s="5" t="str">
        <f t="shared" si="1"/>
        <v>scott.ortiz@hotmail.com</v>
      </c>
      <c r="G549" s="5" t="s">
        <v>5252</v>
      </c>
      <c r="H549" s="9">
        <v>46263.0</v>
      </c>
      <c r="I549" s="11"/>
    </row>
    <row r="550" ht="22.5" customHeight="1">
      <c r="A550" s="5" t="s">
        <v>2107</v>
      </c>
      <c r="B550" s="5" t="s">
        <v>4427</v>
      </c>
      <c r="C550" s="5" t="str">
        <f>IFERROR(__xludf.DUMMYFUNCTION("REGEXREPLACE(B550,""\D"","""")"),"8455855975")</f>
        <v>8455855975</v>
      </c>
      <c r="D550" s="12">
        <v>8.455855975E9</v>
      </c>
      <c r="E550" s="5" t="s">
        <v>4428</v>
      </c>
      <c r="F550" s="5" t="str">
        <f t="shared" si="1"/>
        <v>angela.collins@aol.com</v>
      </c>
      <c r="G550" s="5" t="s">
        <v>5253</v>
      </c>
      <c r="H550" s="9">
        <v>46189.0</v>
      </c>
      <c r="I550" s="9">
        <v>46207.0</v>
      </c>
    </row>
    <row r="551" ht="22.5" customHeight="1">
      <c r="A551" s="5" t="s">
        <v>2111</v>
      </c>
      <c r="B551" s="5" t="s">
        <v>4429</v>
      </c>
      <c r="C551" s="5" t="str">
        <f>IFERROR(__xludf.DUMMYFUNCTION("REGEXREPLACE(B551,""\D"","""")"),"9016444659")</f>
        <v>9016444659</v>
      </c>
      <c r="D551" s="12">
        <v>9.016444659E9</v>
      </c>
      <c r="E551" s="5" t="s">
        <v>4430</v>
      </c>
      <c r="F551" s="5" t="str">
        <f t="shared" si="1"/>
        <v>linda.wilson@outlook.com</v>
      </c>
      <c r="G551" s="5" t="s">
        <v>5254</v>
      </c>
      <c r="H551" s="9">
        <v>45939.0</v>
      </c>
      <c r="I551" s="11"/>
    </row>
    <row r="552" ht="22.5" customHeight="1">
      <c r="A552" s="5" t="s">
        <v>2116</v>
      </c>
      <c r="B552" s="14" t="s">
        <v>4431</v>
      </c>
      <c r="C552" s="5" t="str">
        <f>IFERROR(__xludf.DUMMYFUNCTION("REGEXREPLACE(B552,""\D"","""")"),"4407412407")</f>
        <v>4407412407</v>
      </c>
      <c r="D552" s="12">
        <v>4.407412407E9</v>
      </c>
      <c r="E552" s="5" t="s">
        <v>4432</v>
      </c>
      <c r="F552" s="5" t="str">
        <f t="shared" si="1"/>
        <v>charles.campbell@hotmail.com</v>
      </c>
      <c r="G552" s="5" t="s">
        <v>5255</v>
      </c>
      <c r="H552" s="9">
        <v>45871.0</v>
      </c>
      <c r="I552" s="9">
        <v>45878.0</v>
      </c>
    </row>
    <row r="553" ht="22.5" customHeight="1">
      <c r="A553" s="5" t="s">
        <v>2118</v>
      </c>
      <c r="B553" s="5" t="s">
        <v>4434</v>
      </c>
      <c r="C553" s="5" t="str">
        <f>IFERROR(__xludf.DUMMYFUNCTION("REGEXREPLACE(B553,""\D"","""")"),"5367389206")</f>
        <v>5367389206</v>
      </c>
      <c r="D553" s="12">
        <v>5.367389206E9</v>
      </c>
      <c r="E553" s="5" t="s">
        <v>4435</v>
      </c>
      <c r="F553" s="5" t="str">
        <f t="shared" si="1"/>
        <v>patricia.rivera@outlook.com</v>
      </c>
      <c r="G553" s="5" t="s">
        <v>5256</v>
      </c>
      <c r="H553" s="9">
        <v>46160.0</v>
      </c>
      <c r="I553" s="9">
        <v>46169.0</v>
      </c>
    </row>
    <row r="554" ht="22.5" customHeight="1">
      <c r="A554" s="5" t="s">
        <v>2122</v>
      </c>
      <c r="B554" s="5" t="s">
        <v>4437</v>
      </c>
      <c r="C554" s="5" t="str">
        <f>IFERROR(__xludf.DUMMYFUNCTION("REGEXREPLACE(B554,""\D"","""")"),"9892586022")</f>
        <v>9892586022</v>
      </c>
      <c r="D554" s="12">
        <v>9.892586022E9</v>
      </c>
      <c r="E554" s="5" t="s">
        <v>4438</v>
      </c>
      <c r="F554" s="5" t="str">
        <f t="shared" si="1"/>
        <v>brenda.cruz@aol.com</v>
      </c>
      <c r="G554" s="5" t="s">
        <v>5257</v>
      </c>
      <c r="H554" s="9">
        <v>46230.0</v>
      </c>
      <c r="I554" s="11"/>
    </row>
    <row r="555" ht="22.5" customHeight="1">
      <c r="A555" s="5" t="s">
        <v>2125</v>
      </c>
      <c r="B555" s="5" t="s">
        <v>4439</v>
      </c>
      <c r="C555" s="5" t="str">
        <f>IFERROR(__xludf.DUMMYFUNCTION("REGEXREPLACE(B555,""\D"","""")"),"2633477650")</f>
        <v>2633477650</v>
      </c>
      <c r="D555" s="12">
        <v>2.63347765E9</v>
      </c>
      <c r="E555" s="5" t="s">
        <v>4440</v>
      </c>
      <c r="F555" s="5" t="str">
        <f t="shared" si="1"/>
        <v>carolyn.parker@aol.com</v>
      </c>
      <c r="G555" s="5" t="s">
        <v>4440</v>
      </c>
      <c r="H555" s="9">
        <v>45726.0</v>
      </c>
      <c r="I555" s="11"/>
    </row>
    <row r="556" ht="22.5" customHeight="1">
      <c r="A556" s="5" t="s">
        <v>2128</v>
      </c>
      <c r="B556" s="5" t="s">
        <v>4441</v>
      </c>
      <c r="C556" s="5" t="str">
        <f>IFERROR(__xludf.DUMMYFUNCTION("REGEXREPLACE(B556,""\D"","""")"),"6365935394")</f>
        <v>6365935394</v>
      </c>
      <c r="D556" s="12">
        <v>6.365935394E9</v>
      </c>
      <c r="E556" s="5" t="s">
        <v>4442</v>
      </c>
      <c r="F556" s="5" t="str">
        <f t="shared" si="1"/>
        <v>shirley.davis@yahoo.com</v>
      </c>
      <c r="G556" s="5" t="s">
        <v>5258</v>
      </c>
      <c r="H556" s="9">
        <v>46125.0</v>
      </c>
      <c r="I556" s="9">
        <v>46149.0</v>
      </c>
    </row>
    <row r="557" ht="22.5" customHeight="1">
      <c r="A557" s="5" t="s">
        <v>2132</v>
      </c>
      <c r="B557" s="5" t="s">
        <v>4443</v>
      </c>
      <c r="C557" s="5" t="str">
        <f>IFERROR(__xludf.DUMMYFUNCTION("REGEXREPLACE(B557,""\D"","""")"),"9108887603")</f>
        <v>9108887603</v>
      </c>
      <c r="D557" s="12">
        <v>9.108887603E9</v>
      </c>
      <c r="E557" s="5" t="s">
        <v>4444</v>
      </c>
      <c r="F557" s="5" t="str">
        <f t="shared" si="1"/>
        <v>catherine.gomez@hotmail.com</v>
      </c>
      <c r="G557" s="5" t="s">
        <v>4444</v>
      </c>
      <c r="H557" s="9">
        <v>45924.0</v>
      </c>
      <c r="I557" s="11"/>
    </row>
    <row r="558" ht="22.5" customHeight="1">
      <c r="A558" s="5" t="s">
        <v>2138</v>
      </c>
      <c r="B558" s="5" t="s">
        <v>4445</v>
      </c>
      <c r="C558" s="5" t="str">
        <f>IFERROR(__xludf.DUMMYFUNCTION("REGEXREPLACE(B558,""\D"","""")"),"5497294774")</f>
        <v>5497294774</v>
      </c>
      <c r="D558" s="12">
        <v>5.497294774E9</v>
      </c>
      <c r="E558" s="5" t="s">
        <v>4446</v>
      </c>
      <c r="F558" s="5" t="str">
        <f t="shared" si="1"/>
        <v>jessica.roberts@gmail.com</v>
      </c>
      <c r="G558" s="5" t="s">
        <v>5259</v>
      </c>
      <c r="H558" s="9">
        <v>45863.0</v>
      </c>
      <c r="I558" s="9">
        <v>45886.0</v>
      </c>
    </row>
    <row r="559" ht="22.5" customHeight="1">
      <c r="A559" s="5" t="s">
        <v>2141</v>
      </c>
      <c r="B559" s="5" t="s">
        <v>4448</v>
      </c>
      <c r="C559" s="5" t="str">
        <f>IFERROR(__xludf.DUMMYFUNCTION("REGEXREPLACE(B559,""\D"","""")"),"4219491140")</f>
        <v>4219491140</v>
      </c>
      <c r="D559" s="12">
        <v>4.21949114E9</v>
      </c>
      <c r="E559" s="5" t="s">
        <v>4449</v>
      </c>
      <c r="F559" s="5" t="str">
        <f t="shared" si="1"/>
        <v>frank.scott@hotmail.com</v>
      </c>
      <c r="G559" s="5" t="s">
        <v>5260</v>
      </c>
      <c r="H559" s="9">
        <v>45972.0</v>
      </c>
      <c r="I559" s="9">
        <v>45989.0</v>
      </c>
    </row>
    <row r="560" ht="22.5" customHeight="1">
      <c r="A560" s="5" t="s">
        <v>2143</v>
      </c>
      <c r="B560" s="14" t="s">
        <v>4451</v>
      </c>
      <c r="C560" s="5" t="str">
        <f>IFERROR(__xludf.DUMMYFUNCTION("REGEXREPLACE(B560,""\D"","""")"),"4344283017")</f>
        <v>4344283017</v>
      </c>
      <c r="D560" s="12">
        <v>4.344283017E9</v>
      </c>
      <c r="F560" s="10" t="str">
        <f t="shared" si="1"/>
        <v/>
      </c>
      <c r="G560" s="10" t="s">
        <v>4964</v>
      </c>
      <c r="H560" s="9">
        <v>46144.0</v>
      </c>
      <c r="I560" s="9">
        <v>46169.0</v>
      </c>
    </row>
    <row r="561" ht="22.5" customHeight="1">
      <c r="A561" s="5" t="s">
        <v>2147</v>
      </c>
      <c r="B561" s="5" t="s">
        <v>4452</v>
      </c>
      <c r="C561" s="5" t="str">
        <f>IFERROR(__xludf.DUMMYFUNCTION("REGEXREPLACE(B561,""\D"","""")"),"9355256014")</f>
        <v>9355256014</v>
      </c>
      <c r="D561" s="12">
        <v>9.355256014E9</v>
      </c>
      <c r="E561" s="5" t="s">
        <v>4453</v>
      </c>
      <c r="F561" s="5" t="str">
        <f t="shared" si="1"/>
        <v>nancy.taylor@yahoo.com</v>
      </c>
      <c r="G561" s="5" t="s">
        <v>5261</v>
      </c>
      <c r="H561" s="9">
        <v>45900.0</v>
      </c>
      <c r="I561" s="9">
        <v>45926.0</v>
      </c>
    </row>
    <row r="562" ht="22.5" customHeight="1">
      <c r="A562" s="5" t="s">
        <v>2152</v>
      </c>
      <c r="B562" s="14" t="s">
        <v>4454</v>
      </c>
      <c r="C562" s="5" t="str">
        <f>IFERROR(__xludf.DUMMYFUNCTION("REGEXREPLACE(B562,""\D"","""")"),"6118073448")</f>
        <v>6118073448</v>
      </c>
      <c r="D562" s="12">
        <v>6.118073448E9</v>
      </c>
      <c r="E562" s="5" t="s">
        <v>4455</v>
      </c>
      <c r="F562" s="5" t="str">
        <f t="shared" si="1"/>
        <v>amy.anderson@yahoo.com</v>
      </c>
      <c r="G562" s="5" t="s">
        <v>5262</v>
      </c>
      <c r="H562" s="9">
        <v>45809.0</v>
      </c>
      <c r="I562" s="11"/>
    </row>
    <row r="563" ht="22.5" customHeight="1">
      <c r="A563" s="5" t="s">
        <v>2157</v>
      </c>
      <c r="B563" s="5" t="s">
        <v>4456</v>
      </c>
      <c r="C563" s="5" t="str">
        <f>IFERROR(__xludf.DUMMYFUNCTION("REGEXREPLACE(B563,""\D"","""")"),"7499071088")</f>
        <v>7499071088</v>
      </c>
      <c r="D563" s="12">
        <v>7.499071088E9</v>
      </c>
      <c r="E563" s="5" t="s">
        <v>4457</v>
      </c>
      <c r="F563" s="5" t="str">
        <f t="shared" si="1"/>
        <v>brandon.peterson@yahoo.com</v>
      </c>
      <c r="G563" s="5" t="s">
        <v>5263</v>
      </c>
      <c r="H563" s="9">
        <v>45939.0</v>
      </c>
      <c r="I563" s="9">
        <v>45955.0</v>
      </c>
    </row>
    <row r="564" ht="22.5" customHeight="1">
      <c r="A564" s="5" t="s">
        <v>2158</v>
      </c>
      <c r="B564" s="14" t="s">
        <v>4458</v>
      </c>
      <c r="C564" s="5" t="str">
        <f>IFERROR(__xludf.DUMMYFUNCTION("REGEXREPLACE(B564,""\D"","""")"),"5105845059")</f>
        <v>5105845059</v>
      </c>
      <c r="D564" s="12">
        <v>5.105845059E9</v>
      </c>
      <c r="E564" s="5" t="s">
        <v>4459</v>
      </c>
      <c r="F564" s="5" t="str">
        <f t="shared" si="1"/>
        <v>steven.chavez@gmail.com</v>
      </c>
      <c r="G564" s="5" t="s">
        <v>5264</v>
      </c>
      <c r="H564" s="9">
        <v>45738.0</v>
      </c>
      <c r="I564" s="9">
        <v>45767.0</v>
      </c>
    </row>
    <row r="565" ht="22.5" customHeight="1">
      <c r="A565" s="5" t="s">
        <v>2161</v>
      </c>
      <c r="B565" s="5" t="s">
        <v>4460</v>
      </c>
      <c r="C565" s="5" t="str">
        <f>IFERROR(__xludf.DUMMYFUNCTION("REGEXREPLACE(B565,""\D"","""")"),"7595808759")</f>
        <v>7595808759</v>
      </c>
      <c r="D565" s="12">
        <v>7.595808759E9</v>
      </c>
      <c r="E565" s="5" t="s">
        <v>4461</v>
      </c>
      <c r="F565" s="5" t="str">
        <f t="shared" si="1"/>
        <v>amy.ruiz@hotmail.com</v>
      </c>
      <c r="G565" s="5" t="s">
        <v>5265</v>
      </c>
      <c r="H565" s="9">
        <v>45915.0</v>
      </c>
      <c r="I565" s="9">
        <v>45941.0</v>
      </c>
    </row>
    <row r="566" ht="22.5" customHeight="1">
      <c r="A566" s="5" t="s">
        <v>2165</v>
      </c>
      <c r="C566" s="10" t="str">
        <f>IFERROR(__xludf.DUMMYFUNCTION("REGEXREPLACE(B566,""\D"","""")"),"")</f>
        <v/>
      </c>
      <c r="D566" s="13" t="s">
        <v>4964</v>
      </c>
      <c r="E566" s="5" t="s">
        <v>4463</v>
      </c>
      <c r="F566" s="5" t="str">
        <f t="shared" si="1"/>
        <v>mark.rogers@hotmail.com</v>
      </c>
      <c r="G566" s="5" t="s">
        <v>5266</v>
      </c>
      <c r="H566" s="11"/>
      <c r="I566" s="11"/>
    </row>
    <row r="567" ht="22.5" customHeight="1">
      <c r="A567" s="5" t="s">
        <v>2170</v>
      </c>
      <c r="B567" s="5" t="s">
        <v>4464</v>
      </c>
      <c r="C567" s="5" t="str">
        <f>IFERROR(__xludf.DUMMYFUNCTION("REGEXREPLACE(B567,""\D"","""")"),"7827072981")</f>
        <v>7827072981</v>
      </c>
      <c r="D567" s="12">
        <v>7.827072981E9</v>
      </c>
      <c r="E567" s="5" t="s">
        <v>4465</v>
      </c>
      <c r="F567" s="5" t="str">
        <f t="shared" si="1"/>
        <v>scott.williams@outlook.com</v>
      </c>
      <c r="G567" s="5" t="s">
        <v>5267</v>
      </c>
      <c r="H567" s="9">
        <v>45880.0</v>
      </c>
      <c r="I567" s="11"/>
    </row>
    <row r="568" ht="22.5" customHeight="1">
      <c r="A568" s="5" t="s">
        <v>2172</v>
      </c>
      <c r="B568" s="5" t="s">
        <v>4466</v>
      </c>
      <c r="C568" s="5" t="str">
        <f>IFERROR(__xludf.DUMMYFUNCTION("REGEXREPLACE(B568,""\D"","""")"),"9478904520")</f>
        <v>9478904520</v>
      </c>
      <c r="D568" s="12">
        <v>9.47890452E9</v>
      </c>
      <c r="E568" s="5" t="s">
        <v>4467</v>
      </c>
      <c r="F568" s="5" t="str">
        <f t="shared" si="1"/>
        <v>charles.scott@aol.com</v>
      </c>
      <c r="G568" s="5" t="s">
        <v>5268</v>
      </c>
      <c r="H568" s="9">
        <v>45981.0</v>
      </c>
      <c r="I568" s="9">
        <v>46006.0</v>
      </c>
    </row>
    <row r="569" ht="22.5" customHeight="1">
      <c r="A569" s="5" t="s">
        <v>2174</v>
      </c>
      <c r="B569" s="14" t="s">
        <v>4468</v>
      </c>
      <c r="C569" s="5" t="str">
        <f>IFERROR(__xludf.DUMMYFUNCTION("REGEXREPLACE(B569,""\D"","""")"),"4368669488")</f>
        <v>4368669488</v>
      </c>
      <c r="D569" s="12">
        <v>4.368669488E9</v>
      </c>
      <c r="E569" s="5" t="s">
        <v>4469</v>
      </c>
      <c r="F569" s="5" t="str">
        <f t="shared" si="1"/>
        <v>amy.flores@yahoo.com</v>
      </c>
      <c r="G569" s="5" t="s">
        <v>5269</v>
      </c>
      <c r="H569" s="9">
        <v>46095.0</v>
      </c>
      <c r="I569" s="11"/>
    </row>
    <row r="570" ht="22.5" customHeight="1">
      <c r="A570" s="5" t="s">
        <v>2177</v>
      </c>
      <c r="B570" s="5" t="s">
        <v>4470</v>
      </c>
      <c r="C570" s="5" t="str">
        <f>IFERROR(__xludf.DUMMYFUNCTION("REGEXREPLACE(B570,""\D"","""")"),"3948519906")</f>
        <v>3948519906</v>
      </c>
      <c r="D570" s="12">
        <v>3.948519906E9</v>
      </c>
      <c r="E570" s="5" t="s">
        <v>4471</v>
      </c>
      <c r="F570" s="5" t="str">
        <f t="shared" si="1"/>
        <v>matthew.hill@gmail.com</v>
      </c>
      <c r="G570" s="5" t="s">
        <v>5270</v>
      </c>
      <c r="H570" s="9">
        <v>45871.0</v>
      </c>
      <c r="I570" s="11"/>
    </row>
    <row r="571" ht="22.5" customHeight="1">
      <c r="A571" s="5" t="s">
        <v>2181</v>
      </c>
      <c r="B571" s="5" t="s">
        <v>4472</v>
      </c>
      <c r="C571" s="5" t="str">
        <f>IFERROR(__xludf.DUMMYFUNCTION("REGEXREPLACE(B571,""\D"","""")"),"9026026952")</f>
        <v>9026026952</v>
      </c>
      <c r="D571" s="12">
        <v>9.026026952E9</v>
      </c>
      <c r="E571" s="5" t="s">
        <v>4473</v>
      </c>
      <c r="F571" s="5" t="str">
        <f t="shared" si="1"/>
        <v>larry.smith@gmail.com</v>
      </c>
      <c r="G571" s="5" t="s">
        <v>4473</v>
      </c>
      <c r="H571" s="9">
        <v>46214.0</v>
      </c>
      <c r="I571" s="9">
        <v>46228.0</v>
      </c>
    </row>
    <row r="572" ht="22.5" customHeight="1">
      <c r="A572" s="5" t="s">
        <v>2185</v>
      </c>
      <c r="B572" s="5" t="s">
        <v>4475</v>
      </c>
      <c r="C572" s="5" t="str">
        <f>IFERROR(__xludf.DUMMYFUNCTION("REGEXREPLACE(B572,""\D"","""")"),"7888568983")</f>
        <v>7888568983</v>
      </c>
      <c r="D572" s="12">
        <v>7.888568983E9</v>
      </c>
      <c r="E572" s="5" t="s">
        <v>4476</v>
      </c>
      <c r="F572" s="5" t="str">
        <f t="shared" si="1"/>
        <v>laura.bailey@aol.com</v>
      </c>
      <c r="G572" s="5" t="s">
        <v>4476</v>
      </c>
      <c r="H572" s="9">
        <v>46166.0</v>
      </c>
      <c r="I572" s="9">
        <v>46177.0</v>
      </c>
    </row>
    <row r="573" ht="22.5" customHeight="1">
      <c r="A573" s="5" t="s">
        <v>2190</v>
      </c>
      <c r="B573" s="14" t="s">
        <v>4477</v>
      </c>
      <c r="C573" s="5" t="str">
        <f>IFERROR(__xludf.DUMMYFUNCTION("REGEXREPLACE(B573,""\D"","""")"),"2952112248")</f>
        <v>2952112248</v>
      </c>
      <c r="D573" s="12">
        <v>2.952112248E9</v>
      </c>
      <c r="E573" s="5" t="s">
        <v>4478</v>
      </c>
      <c r="F573" s="5" t="str">
        <f t="shared" si="1"/>
        <v>patricia.james@hotmail.com</v>
      </c>
      <c r="G573" s="5" t="s">
        <v>5271</v>
      </c>
      <c r="H573" s="9">
        <v>46086.0</v>
      </c>
      <c r="I573" s="9">
        <v>46100.0</v>
      </c>
    </row>
    <row r="574" ht="22.5" customHeight="1">
      <c r="A574" s="5" t="s">
        <v>2192</v>
      </c>
      <c r="B574" s="5" t="s">
        <v>4479</v>
      </c>
      <c r="C574" s="5" t="str">
        <f>IFERROR(__xludf.DUMMYFUNCTION("REGEXREPLACE(B574,""\D"","""")"),"5033646367")</f>
        <v>5033646367</v>
      </c>
      <c r="D574" s="12">
        <v>5.033646367E9</v>
      </c>
      <c r="E574" s="5" t="s">
        <v>4480</v>
      </c>
      <c r="F574" s="5" t="str">
        <f t="shared" si="1"/>
        <v>kathleen.kelly@hotmail.com</v>
      </c>
      <c r="G574" s="5" t="s">
        <v>5272</v>
      </c>
      <c r="H574" s="9">
        <v>46198.0</v>
      </c>
      <c r="I574" s="11"/>
    </row>
    <row r="575" ht="22.5" customHeight="1">
      <c r="A575" s="5" t="s">
        <v>2196</v>
      </c>
      <c r="B575" s="14" t="s">
        <v>4481</v>
      </c>
      <c r="C575" s="5" t="str">
        <f>IFERROR(__xludf.DUMMYFUNCTION("REGEXREPLACE(B575,""\D"","""")"),"6126504954")</f>
        <v>6126504954</v>
      </c>
      <c r="D575" s="12">
        <v>6.126504954E9</v>
      </c>
      <c r="F575" s="10" t="str">
        <f t="shared" si="1"/>
        <v/>
      </c>
      <c r="G575" s="10" t="s">
        <v>4964</v>
      </c>
      <c r="H575" s="9">
        <v>45864.0</v>
      </c>
      <c r="I575" s="9">
        <v>45885.0</v>
      </c>
    </row>
    <row r="576" ht="22.5" customHeight="1">
      <c r="A576" s="5" t="s">
        <v>2201</v>
      </c>
      <c r="B576" s="5" t="s">
        <v>4482</v>
      </c>
      <c r="C576" s="5" t="str">
        <f>IFERROR(__xludf.DUMMYFUNCTION("REGEXREPLACE(B576,""\D"","""")"),"8166517778")</f>
        <v>8166517778</v>
      </c>
      <c r="D576" s="12">
        <v>8.166517778E9</v>
      </c>
      <c r="E576" s="5" t="s">
        <v>4483</v>
      </c>
      <c r="F576" s="5" t="str">
        <f t="shared" si="1"/>
        <v>karen.gutierrez@hotmail.com</v>
      </c>
      <c r="G576" s="5" t="s">
        <v>5273</v>
      </c>
      <c r="H576" s="9">
        <v>46039.0</v>
      </c>
      <c r="I576" s="11"/>
    </row>
    <row r="577" ht="22.5" customHeight="1">
      <c r="A577" s="5" t="s">
        <v>2205</v>
      </c>
      <c r="B577" s="5" t="s">
        <v>4484</v>
      </c>
      <c r="C577" s="5" t="str">
        <f>IFERROR(__xludf.DUMMYFUNCTION("REGEXREPLACE(B577,""\D"","""")"),"2695728995")</f>
        <v>2695728995</v>
      </c>
      <c r="D577" s="12">
        <v>2.695728995E9</v>
      </c>
      <c r="E577" s="5" t="s">
        <v>4485</v>
      </c>
      <c r="F577" s="5" t="str">
        <f t="shared" si="1"/>
        <v>nicholas.lee@gmail.com</v>
      </c>
      <c r="G577" s="5" t="s">
        <v>5274</v>
      </c>
      <c r="H577" s="9">
        <v>46055.0</v>
      </c>
      <c r="I577" s="9">
        <v>46081.0</v>
      </c>
    </row>
    <row r="578" ht="22.5" customHeight="1">
      <c r="A578" s="5" t="s">
        <v>2209</v>
      </c>
      <c r="B578" s="14" t="s">
        <v>4487</v>
      </c>
      <c r="C578" s="5" t="str">
        <f>IFERROR(__xludf.DUMMYFUNCTION("REGEXREPLACE(B578,""\D"","""")"),"7075213628")</f>
        <v>7075213628</v>
      </c>
      <c r="D578" s="12">
        <v>7.075213628E9</v>
      </c>
      <c r="E578" s="5" t="s">
        <v>4488</v>
      </c>
      <c r="F578" s="5" t="str">
        <f t="shared" si="1"/>
        <v>benjamin.ramirez@aol.com</v>
      </c>
      <c r="G578" s="5" t="s">
        <v>4488</v>
      </c>
      <c r="H578" s="9">
        <v>45741.0</v>
      </c>
      <c r="I578" s="9">
        <v>45756.0</v>
      </c>
    </row>
    <row r="579" ht="22.5" customHeight="1">
      <c r="A579" s="5" t="s">
        <v>2212</v>
      </c>
      <c r="B579" s="5" t="s">
        <v>4489</v>
      </c>
      <c r="C579" s="5" t="str">
        <f>IFERROR(__xludf.DUMMYFUNCTION("REGEXREPLACE(B579,""\D"","""")"),"3948993919")</f>
        <v>3948993919</v>
      </c>
      <c r="D579" s="12">
        <v>3.948993919E9</v>
      </c>
      <c r="E579" s="5" t="s">
        <v>4490</v>
      </c>
      <c r="F579" s="5" t="str">
        <f t="shared" si="1"/>
        <v>paul.cox@outlook.com</v>
      </c>
      <c r="G579" s="5" t="s">
        <v>4490</v>
      </c>
      <c r="H579" s="9">
        <v>45818.0</v>
      </c>
      <c r="I579" s="9">
        <v>45840.0</v>
      </c>
    </row>
    <row r="580" ht="22.5" customHeight="1">
      <c r="A580" s="5" t="s">
        <v>2216</v>
      </c>
      <c r="C580" s="10" t="str">
        <f>IFERROR(__xludf.DUMMYFUNCTION("REGEXREPLACE(B580,""\D"","""")"),"")</f>
        <v/>
      </c>
      <c r="D580" s="13" t="s">
        <v>4964</v>
      </c>
      <c r="E580" s="5" t="s">
        <v>4492</v>
      </c>
      <c r="F580" s="5" t="str">
        <f t="shared" si="1"/>
        <v>jack.bennett@yahoo.com</v>
      </c>
      <c r="G580" s="5" t="s">
        <v>5275</v>
      </c>
      <c r="H580" s="9">
        <v>45824.0</v>
      </c>
      <c r="I580" s="9">
        <v>45852.0</v>
      </c>
    </row>
    <row r="581" ht="22.5" customHeight="1">
      <c r="A581" s="5" t="s">
        <v>2220</v>
      </c>
      <c r="B581" s="5" t="s">
        <v>4493</v>
      </c>
      <c r="C581" s="5" t="str">
        <f>IFERROR(__xludf.DUMMYFUNCTION("REGEXREPLACE(B581,""\D"","""")"),"8487809933")</f>
        <v>8487809933</v>
      </c>
      <c r="D581" s="12">
        <v>8.487809933E9</v>
      </c>
      <c r="E581" s="5" t="s">
        <v>4494</v>
      </c>
      <c r="F581" s="5" t="str">
        <f t="shared" si="1"/>
        <v>janet.wood@aol.com</v>
      </c>
      <c r="G581" s="5" t="s">
        <v>5276</v>
      </c>
      <c r="H581" s="9">
        <v>46100.0</v>
      </c>
      <c r="I581" s="9">
        <v>46126.0</v>
      </c>
    </row>
    <row r="582" ht="22.5" customHeight="1">
      <c r="A582" s="5" t="s">
        <v>2224</v>
      </c>
      <c r="B582" s="5" t="s">
        <v>4495</v>
      </c>
      <c r="C582" s="5" t="str">
        <f>IFERROR(__xludf.DUMMYFUNCTION("REGEXREPLACE(B582,""\D"","""")"),"3797081111")</f>
        <v>3797081111</v>
      </c>
      <c r="D582" s="12">
        <v>3.797081111E9</v>
      </c>
      <c r="E582" s="5" t="s">
        <v>4496</v>
      </c>
      <c r="F582" s="5" t="str">
        <f t="shared" si="1"/>
        <v>rachel.hughes@yahoo.com</v>
      </c>
      <c r="G582" s="5" t="s">
        <v>5277</v>
      </c>
      <c r="H582" s="9">
        <v>46029.0</v>
      </c>
      <c r="I582" s="11"/>
    </row>
    <row r="583" ht="22.5" customHeight="1">
      <c r="A583" s="5" t="s">
        <v>2229</v>
      </c>
      <c r="B583" s="5" t="s">
        <v>4497</v>
      </c>
      <c r="C583" s="5" t="str">
        <f>IFERROR(__xludf.DUMMYFUNCTION("REGEXREPLACE(B583,""\D"","""")"),"6758768490")</f>
        <v>6758768490</v>
      </c>
      <c r="D583" s="12">
        <v>6.75876849E9</v>
      </c>
      <c r="E583" s="5" t="s">
        <v>4498</v>
      </c>
      <c r="F583" s="5" t="str">
        <f t="shared" si="1"/>
        <v>nancy.hall@aol.com</v>
      </c>
      <c r="G583" s="5" t="s">
        <v>5278</v>
      </c>
      <c r="H583" s="9">
        <v>45985.0</v>
      </c>
      <c r="I583" s="11"/>
    </row>
    <row r="584" ht="22.5" customHeight="1">
      <c r="A584" s="5" t="s">
        <v>2233</v>
      </c>
      <c r="B584" s="14" t="s">
        <v>4500</v>
      </c>
      <c r="C584" s="5" t="str">
        <f>IFERROR(__xludf.DUMMYFUNCTION("REGEXREPLACE(B584,""\D"","""")"),"3293559924")</f>
        <v>3293559924</v>
      </c>
      <c r="D584" s="12">
        <v>3.293559924E9</v>
      </c>
      <c r="E584" s="5" t="s">
        <v>4501</v>
      </c>
      <c r="F584" s="5" t="str">
        <f t="shared" si="1"/>
        <v>mary.murphy@outlook.com</v>
      </c>
      <c r="G584" s="5" t="s">
        <v>4501</v>
      </c>
      <c r="H584" s="9">
        <v>45821.0</v>
      </c>
      <c r="I584" s="11"/>
    </row>
    <row r="585" ht="22.5" customHeight="1">
      <c r="A585" s="5" t="s">
        <v>2236</v>
      </c>
      <c r="B585" s="5" t="s">
        <v>4502</v>
      </c>
      <c r="C585" s="5" t="str">
        <f>IFERROR(__xludf.DUMMYFUNCTION("REGEXREPLACE(B585,""\D"","""")"),"9555732094")</f>
        <v>9555732094</v>
      </c>
      <c r="D585" s="12">
        <v>9.555732094E9</v>
      </c>
      <c r="E585" s="5" t="s">
        <v>4503</v>
      </c>
      <c r="F585" s="5" t="str">
        <f t="shared" si="1"/>
        <v>kimberly.garcia@outlook.com</v>
      </c>
      <c r="G585" s="5" t="s">
        <v>5279</v>
      </c>
      <c r="H585" s="9">
        <v>46133.0</v>
      </c>
      <c r="I585" s="9">
        <v>46136.0</v>
      </c>
    </row>
    <row r="586" ht="22.5" customHeight="1">
      <c r="A586" s="5" t="s">
        <v>2239</v>
      </c>
      <c r="B586" s="5" t="s">
        <v>4504</v>
      </c>
      <c r="C586" s="5" t="str">
        <f>IFERROR(__xludf.DUMMYFUNCTION("REGEXREPLACE(B586,""\D"","""")"),"2248073536")</f>
        <v>2248073536</v>
      </c>
      <c r="D586" s="12">
        <v>2.248073536E9</v>
      </c>
      <c r="E586" s="5" t="s">
        <v>4505</v>
      </c>
      <c r="F586" s="5" t="str">
        <f t="shared" si="1"/>
        <v>angela.bailey@hotmail.com</v>
      </c>
      <c r="G586" s="5" t="s">
        <v>4505</v>
      </c>
      <c r="H586" s="9">
        <v>45834.0</v>
      </c>
      <c r="I586" s="9">
        <v>45856.0</v>
      </c>
    </row>
    <row r="587" ht="22.5" customHeight="1">
      <c r="A587" s="5" t="s">
        <v>2243</v>
      </c>
      <c r="B587" s="5" t="s">
        <v>4506</v>
      </c>
      <c r="C587" s="5" t="str">
        <f>IFERROR(__xludf.DUMMYFUNCTION("REGEXREPLACE(B587,""\D"","""")"),"5414988481")</f>
        <v>5414988481</v>
      </c>
      <c r="D587" s="12">
        <v>5.414988481E9</v>
      </c>
      <c r="E587" s="5" t="s">
        <v>4507</v>
      </c>
      <c r="F587" s="5" t="str">
        <f t="shared" si="1"/>
        <v>anthony.anderson@hotmail.com</v>
      </c>
      <c r="G587" s="5" t="s">
        <v>5280</v>
      </c>
      <c r="H587" s="9">
        <v>46023.0</v>
      </c>
      <c r="I587" s="9">
        <v>46025.0</v>
      </c>
    </row>
    <row r="588" ht="22.5" customHeight="1">
      <c r="A588" s="5" t="s">
        <v>2245</v>
      </c>
      <c r="B588" s="14" t="s">
        <v>4508</v>
      </c>
      <c r="C588" s="5" t="str">
        <f>IFERROR(__xludf.DUMMYFUNCTION("REGEXREPLACE(B588,""\D"","""")"),"9672354802")</f>
        <v>9672354802</v>
      </c>
      <c r="D588" s="12">
        <v>9.672354802E9</v>
      </c>
      <c r="E588" s="5" t="s">
        <v>4509</v>
      </c>
      <c r="F588" s="5" t="str">
        <f t="shared" si="1"/>
        <v>helen.ruiz@yahoo.com</v>
      </c>
      <c r="G588" s="5" t="s">
        <v>5281</v>
      </c>
      <c r="H588" s="9">
        <v>46184.0</v>
      </c>
      <c r="I588" s="9">
        <v>46193.0</v>
      </c>
    </row>
    <row r="589" ht="22.5" customHeight="1">
      <c r="A589" s="5" t="s">
        <v>2249</v>
      </c>
      <c r="B589" s="5" t="s">
        <v>4510</v>
      </c>
      <c r="C589" s="5" t="str">
        <f>IFERROR(__xludf.DUMMYFUNCTION("REGEXREPLACE(B589,""\D"","""")"),"9442517277")</f>
        <v>9442517277</v>
      </c>
      <c r="D589" s="12">
        <v>9.442517277E9</v>
      </c>
      <c r="E589" s="5" t="s">
        <v>4511</v>
      </c>
      <c r="F589" s="5" t="str">
        <f t="shared" si="1"/>
        <v>maria.adams@gmail.com</v>
      </c>
      <c r="G589" s="5" t="s">
        <v>4511</v>
      </c>
      <c r="H589" s="9">
        <v>46046.0</v>
      </c>
      <c r="I589" s="9">
        <v>46056.0</v>
      </c>
    </row>
    <row r="590" ht="22.5" customHeight="1">
      <c r="A590" s="5" t="s">
        <v>2253</v>
      </c>
      <c r="B590" s="5" t="s">
        <v>4512</v>
      </c>
      <c r="C590" s="5" t="str">
        <f>IFERROR(__xludf.DUMMYFUNCTION("REGEXREPLACE(B590,""\D"","""")"),"2673982116")</f>
        <v>2673982116</v>
      </c>
      <c r="D590" s="12">
        <v>2.673982116E9</v>
      </c>
      <c r="E590" s="5" t="s">
        <v>4513</v>
      </c>
      <c r="F590" s="5" t="str">
        <f t="shared" si="1"/>
        <v>matthew.allen@outlook.com</v>
      </c>
      <c r="G590" s="5" t="s">
        <v>5282</v>
      </c>
      <c r="H590" s="9">
        <v>45722.0</v>
      </c>
      <c r="I590" s="9">
        <v>45738.0</v>
      </c>
    </row>
    <row r="591" ht="22.5" customHeight="1">
      <c r="A591" s="5" t="s">
        <v>2255</v>
      </c>
      <c r="B591" s="5" t="s">
        <v>4514</v>
      </c>
      <c r="C591" s="5" t="str">
        <f>IFERROR(__xludf.DUMMYFUNCTION("REGEXREPLACE(B591,""\D"","""")"),"7742322619")</f>
        <v>7742322619</v>
      </c>
      <c r="D591" s="12">
        <v>7.742322619E9</v>
      </c>
      <c r="E591" s="5" t="s">
        <v>4515</v>
      </c>
      <c r="F591" s="5" t="str">
        <f t="shared" si="1"/>
        <v>jessica.white@aol.com</v>
      </c>
      <c r="G591" s="5" t="s">
        <v>5283</v>
      </c>
      <c r="H591" s="9">
        <v>45887.0</v>
      </c>
      <c r="I591" s="9">
        <v>45888.0</v>
      </c>
    </row>
    <row r="592" ht="22.5" customHeight="1">
      <c r="A592" s="5" t="s">
        <v>2257</v>
      </c>
      <c r="B592" s="5" t="s">
        <v>4516</v>
      </c>
      <c r="C592" s="5" t="str">
        <f>IFERROR(__xludf.DUMMYFUNCTION("REGEXREPLACE(B592,""\D"","""")"),"6477323062")</f>
        <v>6477323062</v>
      </c>
      <c r="D592" s="12">
        <v>6.477323062E9</v>
      </c>
      <c r="E592" s="5" t="s">
        <v>4517</v>
      </c>
      <c r="F592" s="5" t="str">
        <f t="shared" si="1"/>
        <v>sandra.hughes@outlook.com</v>
      </c>
      <c r="G592" s="5" t="s">
        <v>4517</v>
      </c>
      <c r="H592" s="9">
        <v>46208.0</v>
      </c>
      <c r="I592" s="9">
        <v>46236.0</v>
      </c>
    </row>
    <row r="593" ht="22.5" customHeight="1">
      <c r="A593" s="5" t="s">
        <v>2261</v>
      </c>
      <c r="B593" s="14" t="s">
        <v>4518</v>
      </c>
      <c r="C593" s="5" t="str">
        <f>IFERROR(__xludf.DUMMYFUNCTION("REGEXREPLACE(B593,""\D"","""")"),"3287174273")</f>
        <v>3287174273</v>
      </c>
      <c r="D593" s="12">
        <v>3.287174273E9</v>
      </c>
      <c r="E593" s="5" t="s">
        <v>4519</v>
      </c>
      <c r="F593" s="5" t="str">
        <f t="shared" si="1"/>
        <v>patrick.lee@hotmail.com</v>
      </c>
      <c r="G593" s="5" t="s">
        <v>4519</v>
      </c>
      <c r="H593" s="9">
        <v>46258.0</v>
      </c>
      <c r="I593" s="11"/>
    </row>
    <row r="594" ht="22.5" customHeight="1">
      <c r="A594" s="5" t="s">
        <v>2265</v>
      </c>
      <c r="B594" s="5" t="s">
        <v>4521</v>
      </c>
      <c r="C594" s="5" t="str">
        <f>IFERROR(__xludf.DUMMYFUNCTION("REGEXREPLACE(B594,""\D"","""")"),"6612561294")</f>
        <v>6612561294</v>
      </c>
      <c r="D594" s="12">
        <v>6.612561294E9</v>
      </c>
      <c r="E594" s="5" t="s">
        <v>4522</v>
      </c>
      <c r="F594" s="5" t="str">
        <f t="shared" si="1"/>
        <v>catherine.morgan@outlook.com</v>
      </c>
      <c r="G594" s="5" t="s">
        <v>4522</v>
      </c>
      <c r="H594" s="9">
        <v>45959.0</v>
      </c>
      <c r="I594" s="9">
        <v>45972.0</v>
      </c>
    </row>
    <row r="595" ht="22.5" customHeight="1">
      <c r="A595" s="5" t="s">
        <v>2268</v>
      </c>
      <c r="B595" s="5" t="s">
        <v>4523</v>
      </c>
      <c r="C595" s="5" t="str">
        <f>IFERROR(__xludf.DUMMYFUNCTION("REGEXREPLACE(B595,""\D"","""")"),"6132204464")</f>
        <v>6132204464</v>
      </c>
      <c r="D595" s="12">
        <v>6.132204464E9</v>
      </c>
      <c r="E595" s="5" t="s">
        <v>4524</v>
      </c>
      <c r="F595" s="5" t="str">
        <f t="shared" si="1"/>
        <v>lisa.alvarez@yahoo.com</v>
      </c>
      <c r="G595" s="5" t="s">
        <v>5284</v>
      </c>
      <c r="H595" s="9">
        <v>45944.0</v>
      </c>
      <c r="I595" s="11"/>
    </row>
    <row r="596" ht="22.5" customHeight="1">
      <c r="A596" s="5" t="s">
        <v>2272</v>
      </c>
      <c r="B596" s="5" t="s">
        <v>4526</v>
      </c>
      <c r="C596" s="5" t="str">
        <f>IFERROR(__xludf.DUMMYFUNCTION("REGEXREPLACE(B596,""\D"","""")"),"5445495646")</f>
        <v>5445495646</v>
      </c>
      <c r="D596" s="12">
        <v>5.445495646E9</v>
      </c>
      <c r="E596" s="5" t="s">
        <v>4527</v>
      </c>
      <c r="F596" s="5" t="str">
        <f t="shared" si="1"/>
        <v>charles.lopez@yahoo.com</v>
      </c>
      <c r="G596" s="5" t="s">
        <v>4527</v>
      </c>
      <c r="H596" s="9">
        <v>46098.0</v>
      </c>
      <c r="I596" s="11"/>
    </row>
    <row r="597" ht="22.5" customHeight="1">
      <c r="A597" s="5" t="s">
        <v>2274</v>
      </c>
      <c r="B597" s="14" t="s">
        <v>4528</v>
      </c>
      <c r="C597" s="5" t="str">
        <f>IFERROR(__xludf.DUMMYFUNCTION("REGEXREPLACE(B597,""\D"","""")"),"7109196582")</f>
        <v>7109196582</v>
      </c>
      <c r="D597" s="12">
        <v>7.109196582E9</v>
      </c>
      <c r="E597" s="5" t="s">
        <v>4529</v>
      </c>
      <c r="F597" s="5" t="str">
        <f t="shared" si="1"/>
        <v>thomas.alvarez@hotmail.com</v>
      </c>
      <c r="G597" s="5" t="s">
        <v>4529</v>
      </c>
      <c r="H597" s="9">
        <v>45990.0</v>
      </c>
      <c r="I597" s="9">
        <v>46017.0</v>
      </c>
    </row>
    <row r="598" ht="22.5" customHeight="1">
      <c r="A598" s="5" t="s">
        <v>2276</v>
      </c>
      <c r="B598" s="14" t="s">
        <v>4530</v>
      </c>
      <c r="C598" s="5" t="str">
        <f>IFERROR(__xludf.DUMMYFUNCTION("REGEXREPLACE(B598,""\D"","""")"),"5883791148")</f>
        <v>5883791148</v>
      </c>
      <c r="D598" s="12">
        <v>5.883791148E9</v>
      </c>
      <c r="E598" s="5" t="s">
        <v>4531</v>
      </c>
      <c r="F598" s="5" t="str">
        <f t="shared" si="1"/>
        <v>paul.watson@hotmail.com</v>
      </c>
      <c r="G598" s="5" t="s">
        <v>5285</v>
      </c>
      <c r="H598" s="9">
        <v>45967.0</v>
      </c>
      <c r="I598" s="11"/>
    </row>
    <row r="599" ht="22.5" customHeight="1">
      <c r="A599" s="5" t="s">
        <v>2280</v>
      </c>
      <c r="B599" s="5" t="s">
        <v>4532</v>
      </c>
      <c r="C599" s="5" t="str">
        <f>IFERROR(__xludf.DUMMYFUNCTION("REGEXREPLACE(B599,""\D"","""")"),"2088692917")</f>
        <v>2088692917</v>
      </c>
      <c r="D599" s="12">
        <v>2.088692917E9</v>
      </c>
      <c r="E599" s="5" t="s">
        <v>4533</v>
      </c>
      <c r="F599" s="5" t="str">
        <f t="shared" si="1"/>
        <v>barbara.torres@gmail.com</v>
      </c>
      <c r="G599" s="5" t="s">
        <v>4533</v>
      </c>
      <c r="H599" s="9">
        <v>45757.0</v>
      </c>
      <c r="I599" s="9">
        <v>45785.0</v>
      </c>
    </row>
    <row r="600" ht="22.5" customHeight="1">
      <c r="A600" s="5" t="s">
        <v>2284</v>
      </c>
      <c r="B600" s="5" t="s">
        <v>4534</v>
      </c>
      <c r="C600" s="5" t="str">
        <f>IFERROR(__xludf.DUMMYFUNCTION("REGEXREPLACE(B600,""\D"","""")"),"2545697744")</f>
        <v>2545697744</v>
      </c>
      <c r="D600" s="12">
        <v>2.545697744E9</v>
      </c>
      <c r="E600" s="5" t="s">
        <v>4535</v>
      </c>
      <c r="F600" s="5" t="str">
        <f t="shared" si="1"/>
        <v>donna.richardson@outlook.com</v>
      </c>
      <c r="G600" s="5" t="s">
        <v>4535</v>
      </c>
      <c r="H600" s="9">
        <v>46117.0</v>
      </c>
      <c r="I600" s="9">
        <v>46128.0</v>
      </c>
    </row>
    <row r="601" ht="22.5" customHeight="1">
      <c r="A601" s="5" t="s">
        <v>2288</v>
      </c>
      <c r="B601" s="5" t="s">
        <v>4536</v>
      </c>
      <c r="C601" s="5" t="str">
        <f>IFERROR(__xludf.DUMMYFUNCTION("REGEXREPLACE(B601,""\D"","""")"),"5612025661")</f>
        <v>5612025661</v>
      </c>
      <c r="D601" s="12">
        <v>5.612025661E9</v>
      </c>
      <c r="E601" s="5" t="s">
        <v>3680</v>
      </c>
      <c r="F601" s="5" t="str">
        <f t="shared" si="1"/>
        <v>joshua.brown@gmail.com</v>
      </c>
      <c r="G601" s="5" t="s">
        <v>3680</v>
      </c>
      <c r="H601" s="9">
        <v>46245.0</v>
      </c>
      <c r="I601" s="9">
        <v>46250.0</v>
      </c>
    </row>
    <row r="602" ht="22.5" customHeight="1">
      <c r="A602" s="5" t="s">
        <v>2290</v>
      </c>
      <c r="B602" s="14" t="s">
        <v>4538</v>
      </c>
      <c r="C602" s="5" t="str">
        <f>IFERROR(__xludf.DUMMYFUNCTION("REGEXREPLACE(B602,""\D"","""")"),"2004376937")</f>
        <v>2004376937</v>
      </c>
      <c r="D602" s="12">
        <v>2.004376937E9</v>
      </c>
      <c r="E602" s="5" t="s">
        <v>4539</v>
      </c>
      <c r="F602" s="5" t="str">
        <f t="shared" si="1"/>
        <v>elizabeth.reyes@yahoo.com</v>
      </c>
      <c r="G602" s="5" t="s">
        <v>4539</v>
      </c>
      <c r="H602" s="9">
        <v>45875.0</v>
      </c>
      <c r="I602" s="9">
        <v>45900.0</v>
      </c>
    </row>
    <row r="603" ht="22.5" customHeight="1">
      <c r="A603" s="5" t="s">
        <v>2295</v>
      </c>
      <c r="B603" s="5" t="s">
        <v>4540</v>
      </c>
      <c r="C603" s="5" t="str">
        <f>IFERROR(__xludf.DUMMYFUNCTION("REGEXREPLACE(B603,""\D"","""")"),"4757282999")</f>
        <v>4757282999</v>
      </c>
      <c r="D603" s="12">
        <v>4.757282999E9</v>
      </c>
      <c r="E603" s="5" t="s">
        <v>4541</v>
      </c>
      <c r="F603" s="5" t="str">
        <f t="shared" si="1"/>
        <v>anna.miller@hotmail.com</v>
      </c>
      <c r="G603" s="5" t="s">
        <v>5286</v>
      </c>
      <c r="H603" s="9">
        <v>46041.0</v>
      </c>
      <c r="I603" s="9">
        <v>46049.0</v>
      </c>
    </row>
    <row r="604" ht="22.5" customHeight="1">
      <c r="A604" s="5" t="s">
        <v>2298</v>
      </c>
      <c r="B604" s="5" t="s">
        <v>4542</v>
      </c>
      <c r="C604" s="5" t="str">
        <f>IFERROR(__xludf.DUMMYFUNCTION("REGEXREPLACE(B604,""\D"","""")"),"4019273780")</f>
        <v>4019273780</v>
      </c>
      <c r="D604" s="12">
        <v>4.01927378E9</v>
      </c>
      <c r="E604" s="5" t="s">
        <v>4543</v>
      </c>
      <c r="F604" s="5" t="str">
        <f t="shared" si="1"/>
        <v>barbara.moore@aol.com</v>
      </c>
      <c r="G604" s="5" t="s">
        <v>4543</v>
      </c>
      <c r="H604" s="9">
        <v>45820.0</v>
      </c>
      <c r="I604" s="11"/>
    </row>
    <row r="605" ht="22.5" customHeight="1">
      <c r="A605" s="5" t="s">
        <v>2301</v>
      </c>
      <c r="B605" s="5" t="s">
        <v>4544</v>
      </c>
      <c r="C605" s="5" t="str">
        <f>IFERROR(__xludf.DUMMYFUNCTION("REGEXREPLACE(B605,""\D"","""")"),"9127077079")</f>
        <v>9127077079</v>
      </c>
      <c r="D605" s="12">
        <v>9.127077079E9</v>
      </c>
      <c r="E605" s="5" t="s">
        <v>4545</v>
      </c>
      <c r="F605" s="5" t="str">
        <f t="shared" si="1"/>
        <v>amanda.harris@gmail.com</v>
      </c>
      <c r="G605" s="5" t="s">
        <v>5287</v>
      </c>
      <c r="H605" s="9">
        <v>45747.0</v>
      </c>
      <c r="I605" s="9">
        <v>45747.0</v>
      </c>
    </row>
    <row r="606" ht="22.5" customHeight="1">
      <c r="A606" s="5" t="s">
        <v>2305</v>
      </c>
      <c r="B606" s="5" t="s">
        <v>4546</v>
      </c>
      <c r="C606" s="5" t="str">
        <f>IFERROR(__xludf.DUMMYFUNCTION("REGEXREPLACE(B606,""\D"","""")"),"8968093302")</f>
        <v>8968093302</v>
      </c>
      <c r="D606" s="12">
        <v>8.968093302E9</v>
      </c>
      <c r="E606" s="5" t="s">
        <v>4547</v>
      </c>
      <c r="F606" s="5" t="str">
        <f t="shared" si="1"/>
        <v>gregory.hall@gmail.com</v>
      </c>
      <c r="G606" s="5" t="s">
        <v>5288</v>
      </c>
      <c r="H606" s="9">
        <v>45964.0</v>
      </c>
      <c r="I606" s="9">
        <v>45968.0</v>
      </c>
    </row>
    <row r="607" ht="22.5" customHeight="1">
      <c r="A607" s="5" t="s">
        <v>2309</v>
      </c>
      <c r="B607" s="5" t="s">
        <v>4548</v>
      </c>
      <c r="C607" s="5" t="str">
        <f>IFERROR(__xludf.DUMMYFUNCTION("REGEXREPLACE(B607,""\D"","""")"),"7314414599")</f>
        <v>7314414599</v>
      </c>
      <c r="D607" s="12">
        <v>7.314414599E9</v>
      </c>
      <c r="E607" s="5" t="s">
        <v>4549</v>
      </c>
      <c r="F607" s="5" t="str">
        <f t="shared" si="1"/>
        <v>thomas.hill@aol.com</v>
      </c>
      <c r="G607" s="5" t="s">
        <v>5289</v>
      </c>
      <c r="H607" s="9">
        <v>46192.0</v>
      </c>
      <c r="I607" s="9">
        <v>46195.0</v>
      </c>
    </row>
    <row r="608" ht="22.5" customHeight="1">
      <c r="A608" s="5" t="s">
        <v>2311</v>
      </c>
      <c r="B608" s="5" t="s">
        <v>4550</v>
      </c>
      <c r="C608" s="5" t="str">
        <f>IFERROR(__xludf.DUMMYFUNCTION("REGEXREPLACE(B608,""\D"","""")"),"8978377852")</f>
        <v>8978377852</v>
      </c>
      <c r="D608" s="12">
        <v>8.978377852E9</v>
      </c>
      <c r="E608" s="5" t="s">
        <v>4551</v>
      </c>
      <c r="F608" s="5" t="str">
        <f t="shared" si="1"/>
        <v>gary.phillips@yahoo.com</v>
      </c>
      <c r="G608" s="5" t="s">
        <v>5290</v>
      </c>
      <c r="H608" s="9">
        <v>46066.0</v>
      </c>
      <c r="I608" s="9">
        <v>46073.0</v>
      </c>
    </row>
    <row r="609" ht="22.5" customHeight="1">
      <c r="A609" s="5" t="s">
        <v>2315</v>
      </c>
      <c r="B609" s="5" t="s">
        <v>4552</v>
      </c>
      <c r="C609" s="5" t="str">
        <f>IFERROR(__xludf.DUMMYFUNCTION("REGEXREPLACE(B609,""\D"","""")"),"4313219249")</f>
        <v>4313219249</v>
      </c>
      <c r="D609" s="12">
        <v>4.313219249E9</v>
      </c>
      <c r="E609" s="5" t="s">
        <v>4553</v>
      </c>
      <c r="F609" s="5" t="str">
        <f t="shared" si="1"/>
        <v>amy.king@outlook.com</v>
      </c>
      <c r="G609" s="5" t="s">
        <v>4553</v>
      </c>
      <c r="H609" s="9">
        <v>45878.0</v>
      </c>
      <c r="I609" s="9">
        <v>45884.0</v>
      </c>
    </row>
    <row r="610" ht="22.5" customHeight="1">
      <c r="A610" s="5" t="s">
        <v>2319</v>
      </c>
      <c r="B610" s="5" t="s">
        <v>4554</v>
      </c>
      <c r="C610" s="5" t="str">
        <f>IFERROR(__xludf.DUMMYFUNCTION("REGEXREPLACE(B610,""\D"","""")"),"8403035313")</f>
        <v>8403035313</v>
      </c>
      <c r="D610" s="12">
        <v>8.403035313E9</v>
      </c>
      <c r="E610" s="5" t="s">
        <v>4555</v>
      </c>
      <c r="F610" s="5" t="str">
        <f t="shared" si="1"/>
        <v>benjamin.moore@gmail.com</v>
      </c>
      <c r="G610" s="5" t="s">
        <v>5291</v>
      </c>
      <c r="H610" s="9">
        <v>45741.0</v>
      </c>
      <c r="I610" s="9">
        <v>45745.0</v>
      </c>
    </row>
    <row r="611" ht="22.5" customHeight="1">
      <c r="A611" s="5" t="s">
        <v>2321</v>
      </c>
      <c r="B611" s="5" t="s">
        <v>4556</v>
      </c>
      <c r="C611" s="5" t="str">
        <f>IFERROR(__xludf.DUMMYFUNCTION("REGEXREPLACE(B611,""\D"","""")"),"6087455242")</f>
        <v>6087455242</v>
      </c>
      <c r="D611" s="12">
        <v>6.087455242E9</v>
      </c>
      <c r="E611" s="5" t="s">
        <v>4557</v>
      </c>
      <c r="F611" s="5" t="str">
        <f t="shared" si="1"/>
        <v>linda.anderson@outlook.com</v>
      </c>
      <c r="G611" s="5" t="s">
        <v>4557</v>
      </c>
      <c r="H611" s="9">
        <v>46210.0</v>
      </c>
      <c r="I611" s="9">
        <v>46235.0</v>
      </c>
    </row>
    <row r="612" ht="22.5" customHeight="1">
      <c r="A612" s="5" t="s">
        <v>2323</v>
      </c>
      <c r="B612" s="5" t="s">
        <v>4558</v>
      </c>
      <c r="C612" s="5" t="str">
        <f>IFERROR(__xludf.DUMMYFUNCTION("REGEXREPLACE(B612,""\D"","""")"),"5695687354")</f>
        <v>5695687354</v>
      </c>
      <c r="D612" s="12">
        <v>5.695687354E9</v>
      </c>
      <c r="E612" s="5" t="s">
        <v>4559</v>
      </c>
      <c r="F612" s="5" t="str">
        <f t="shared" si="1"/>
        <v>sandra.young@gmail.com</v>
      </c>
      <c r="G612" s="5" t="s">
        <v>5292</v>
      </c>
      <c r="H612" s="9">
        <v>46063.0</v>
      </c>
      <c r="I612" s="9">
        <v>46080.0</v>
      </c>
    </row>
    <row r="613" ht="22.5" customHeight="1">
      <c r="A613" s="5" t="s">
        <v>2325</v>
      </c>
      <c r="B613" s="5" t="s">
        <v>4561</v>
      </c>
      <c r="C613" s="5" t="str">
        <f>IFERROR(__xludf.DUMMYFUNCTION("REGEXREPLACE(B613,""\D"","""")"),"8613415561")</f>
        <v>8613415561</v>
      </c>
      <c r="D613" s="12">
        <v>8.613415561E9</v>
      </c>
      <c r="E613" s="5" t="s">
        <v>4562</v>
      </c>
      <c r="F613" s="5" t="str">
        <f t="shared" si="1"/>
        <v>stephanie.gutierrez@aol.com</v>
      </c>
      <c r="G613" s="5" t="s">
        <v>4562</v>
      </c>
      <c r="H613" s="9">
        <v>45747.0</v>
      </c>
      <c r="I613" s="9">
        <v>45770.0</v>
      </c>
    </row>
    <row r="614" ht="22.5" customHeight="1">
      <c r="A614" s="5" t="s">
        <v>2327</v>
      </c>
      <c r="B614" s="5" t="s">
        <v>4563</v>
      </c>
      <c r="C614" s="5" t="str">
        <f>IFERROR(__xludf.DUMMYFUNCTION("REGEXREPLACE(B614,""\D"","""")"),"5003632628")</f>
        <v>5003632628</v>
      </c>
      <c r="D614" s="12">
        <v>5.003632628E9</v>
      </c>
      <c r="E614" s="5" t="s">
        <v>4564</v>
      </c>
      <c r="F614" s="5" t="str">
        <f t="shared" si="1"/>
        <v>brenda.ward@yahoo.com</v>
      </c>
      <c r="G614" s="5" t="s">
        <v>5293</v>
      </c>
      <c r="H614" s="9">
        <v>45943.0</v>
      </c>
      <c r="I614" s="11"/>
    </row>
    <row r="615" ht="22.5" customHeight="1">
      <c r="A615" s="5" t="s">
        <v>2329</v>
      </c>
      <c r="C615" s="10" t="str">
        <f>IFERROR(__xludf.DUMMYFUNCTION("REGEXREPLACE(B615,""\D"","""")"),"")</f>
        <v/>
      </c>
      <c r="D615" s="13" t="s">
        <v>4964</v>
      </c>
      <c r="E615" s="5" t="s">
        <v>4565</v>
      </c>
      <c r="F615" s="5" t="str">
        <f t="shared" si="1"/>
        <v>laura.wilson@aol.com</v>
      </c>
      <c r="G615" s="5" t="s">
        <v>4565</v>
      </c>
      <c r="H615" s="9">
        <v>45990.0</v>
      </c>
      <c r="I615" s="9">
        <v>45994.0</v>
      </c>
    </row>
    <row r="616" ht="22.5" customHeight="1">
      <c r="A616" s="5" t="s">
        <v>2331</v>
      </c>
      <c r="B616" s="14" t="s">
        <v>4566</v>
      </c>
      <c r="C616" s="5" t="str">
        <f>IFERROR(__xludf.DUMMYFUNCTION("REGEXREPLACE(B616,""\D"","""")"),"6998636357")</f>
        <v>6998636357</v>
      </c>
      <c r="D616" s="12">
        <v>6.998636357E9</v>
      </c>
      <c r="E616" s="5" t="s">
        <v>4567</v>
      </c>
      <c r="F616" s="5" t="str">
        <f t="shared" si="1"/>
        <v>rachel.morales@gmail.com</v>
      </c>
      <c r="G616" s="5" t="s">
        <v>4567</v>
      </c>
      <c r="H616" s="9">
        <v>46149.0</v>
      </c>
      <c r="I616" s="11"/>
    </row>
    <row r="617" ht="22.5" customHeight="1">
      <c r="A617" s="5" t="s">
        <v>2335</v>
      </c>
      <c r="B617" s="5" t="s">
        <v>4568</v>
      </c>
      <c r="C617" s="5" t="str">
        <f>IFERROR(__xludf.DUMMYFUNCTION("REGEXREPLACE(B617,""\D"","""")"),"6519976720")</f>
        <v>6519976720</v>
      </c>
      <c r="D617" s="12">
        <v>6.51997672E9</v>
      </c>
      <c r="E617" s="5" t="s">
        <v>4569</v>
      </c>
      <c r="F617" s="5" t="str">
        <f t="shared" si="1"/>
        <v>nancy.cook@gmail.com</v>
      </c>
      <c r="G617" s="5" t="s">
        <v>5294</v>
      </c>
      <c r="H617" s="9">
        <v>46156.0</v>
      </c>
      <c r="I617" s="11"/>
    </row>
    <row r="618" ht="22.5" customHeight="1">
      <c r="A618" s="5" t="s">
        <v>2337</v>
      </c>
      <c r="B618" s="5" t="s">
        <v>4571</v>
      </c>
      <c r="C618" s="5" t="str">
        <f>IFERROR(__xludf.DUMMYFUNCTION("REGEXREPLACE(B618,""\D"","""")"),"5352082220")</f>
        <v>5352082220</v>
      </c>
      <c r="D618" s="12">
        <v>5.35208222E9</v>
      </c>
      <c r="E618" s="5" t="s">
        <v>4572</v>
      </c>
      <c r="F618" s="5" t="str">
        <f t="shared" si="1"/>
        <v>steven.bennett@gmail.com</v>
      </c>
      <c r="G618" s="5" t="s">
        <v>5295</v>
      </c>
      <c r="H618" s="11"/>
      <c r="I618" s="11"/>
    </row>
    <row r="619" ht="22.5" customHeight="1">
      <c r="A619" s="5" t="s">
        <v>2340</v>
      </c>
      <c r="B619" s="5" t="s">
        <v>4573</v>
      </c>
      <c r="C619" s="5" t="str">
        <f>IFERROR(__xludf.DUMMYFUNCTION("REGEXREPLACE(B619,""\D"","""")"),"5415425000")</f>
        <v>5415425000</v>
      </c>
      <c r="D619" s="12">
        <v>5.415425E9</v>
      </c>
      <c r="E619" s="5" t="s">
        <v>4574</v>
      </c>
      <c r="F619" s="5" t="str">
        <f t="shared" si="1"/>
        <v>debra.rodriguez@outlook.com</v>
      </c>
      <c r="G619" s="5" t="s">
        <v>4574</v>
      </c>
      <c r="H619" s="9">
        <v>46234.0</v>
      </c>
      <c r="I619" s="9">
        <v>46249.0</v>
      </c>
    </row>
    <row r="620" ht="22.5" customHeight="1">
      <c r="A620" s="5" t="s">
        <v>2344</v>
      </c>
      <c r="C620" s="10" t="str">
        <f>IFERROR(__xludf.DUMMYFUNCTION("REGEXREPLACE(B620,""\D"","""")"),"")</f>
        <v/>
      </c>
      <c r="D620" s="13" t="s">
        <v>4964</v>
      </c>
      <c r="E620" s="5" t="s">
        <v>4576</v>
      </c>
      <c r="F620" s="5" t="str">
        <f t="shared" si="1"/>
        <v>deborah.myers@gmail.com</v>
      </c>
      <c r="G620" s="5" t="s">
        <v>5296</v>
      </c>
      <c r="H620" s="9">
        <v>45794.0</v>
      </c>
      <c r="I620" s="11"/>
    </row>
    <row r="621" ht="22.5" customHeight="1">
      <c r="A621" s="5" t="s">
        <v>2346</v>
      </c>
      <c r="B621" s="5" t="s">
        <v>4577</v>
      </c>
      <c r="C621" s="5" t="str">
        <f>IFERROR(__xludf.DUMMYFUNCTION("REGEXREPLACE(B621,""\D"","""")"),"5843111628")</f>
        <v>5843111628</v>
      </c>
      <c r="D621" s="12">
        <v>5.843111628E9</v>
      </c>
      <c r="E621" s="5" t="s">
        <v>4578</v>
      </c>
      <c r="F621" s="5" t="str">
        <f t="shared" si="1"/>
        <v>kimberly.ward@hotmail.com</v>
      </c>
      <c r="G621" s="5" t="s">
        <v>5297</v>
      </c>
      <c r="H621" s="9">
        <v>46228.0</v>
      </c>
      <c r="I621" s="11"/>
    </row>
    <row r="622" ht="22.5" customHeight="1">
      <c r="A622" s="5" t="s">
        <v>2349</v>
      </c>
      <c r="B622" s="5" t="s">
        <v>4579</v>
      </c>
      <c r="C622" s="5" t="str">
        <f>IFERROR(__xludf.DUMMYFUNCTION("REGEXREPLACE(B622,""\D"","""")"),"6285324351")</f>
        <v>6285324351</v>
      </c>
      <c r="D622" s="12">
        <v>6.285324351E9</v>
      </c>
      <c r="E622" s="5" t="s">
        <v>4580</v>
      </c>
      <c r="F622" s="5" t="str">
        <f t="shared" si="1"/>
        <v>donald.ramos@aol.com</v>
      </c>
      <c r="G622" s="5" t="s">
        <v>5298</v>
      </c>
      <c r="H622" s="9">
        <v>45955.0</v>
      </c>
      <c r="I622" s="9">
        <v>45978.0</v>
      </c>
    </row>
    <row r="623" ht="22.5" customHeight="1">
      <c r="A623" s="5" t="s">
        <v>2353</v>
      </c>
      <c r="B623" s="5" t="s">
        <v>4582</v>
      </c>
      <c r="C623" s="5" t="str">
        <f>IFERROR(__xludf.DUMMYFUNCTION("REGEXREPLACE(B623,""\D"","""")"),"9817999715")</f>
        <v>9817999715</v>
      </c>
      <c r="D623" s="12">
        <v>9.817999715E9</v>
      </c>
      <c r="E623" s="5" t="s">
        <v>4583</v>
      </c>
      <c r="F623" s="5" t="str">
        <f t="shared" si="1"/>
        <v>sandra.cooper@hotmail.com</v>
      </c>
      <c r="G623" s="5" t="s">
        <v>5299</v>
      </c>
      <c r="H623" s="9">
        <v>45875.0</v>
      </c>
      <c r="I623" s="11"/>
    </row>
    <row r="624" ht="22.5" customHeight="1">
      <c r="A624" s="5" t="s">
        <v>2356</v>
      </c>
      <c r="B624" s="5" t="s">
        <v>4584</v>
      </c>
      <c r="C624" s="5" t="str">
        <f>IFERROR(__xludf.DUMMYFUNCTION("REGEXREPLACE(B624,""\D"","""")"),"9125911763")</f>
        <v>9125911763</v>
      </c>
      <c r="D624" s="12">
        <v>9.125911763E9</v>
      </c>
      <c r="E624" s="5" t="s">
        <v>4585</v>
      </c>
      <c r="F624" s="5" t="str">
        <f t="shared" si="1"/>
        <v>nicole.clark@yahoo.com</v>
      </c>
      <c r="G624" s="5" t="s">
        <v>5300</v>
      </c>
      <c r="H624" s="9">
        <v>45889.0</v>
      </c>
      <c r="I624" s="9">
        <v>45910.0</v>
      </c>
    </row>
    <row r="625" ht="22.5" customHeight="1">
      <c r="A625" s="5" t="s">
        <v>2360</v>
      </c>
      <c r="B625" s="14" t="s">
        <v>4586</v>
      </c>
      <c r="C625" s="5" t="str">
        <f>IFERROR(__xludf.DUMMYFUNCTION("REGEXREPLACE(B625,""\D"","""")"),"2525527124")</f>
        <v>2525527124</v>
      </c>
      <c r="D625" s="12">
        <v>2.525527124E9</v>
      </c>
      <c r="F625" s="10" t="str">
        <f t="shared" si="1"/>
        <v/>
      </c>
      <c r="G625" s="10" t="s">
        <v>4964</v>
      </c>
      <c r="H625" s="9">
        <v>45763.0</v>
      </c>
      <c r="I625" s="9">
        <v>45788.0</v>
      </c>
    </row>
    <row r="626" ht="22.5" customHeight="1">
      <c r="A626" s="5" t="s">
        <v>2362</v>
      </c>
      <c r="B626" s="5" t="s">
        <v>4587</v>
      </c>
      <c r="C626" s="5" t="str">
        <f>IFERROR(__xludf.DUMMYFUNCTION("REGEXREPLACE(B626,""\D"","""")"),"2417305214")</f>
        <v>2417305214</v>
      </c>
      <c r="D626" s="12">
        <v>2.417305214E9</v>
      </c>
      <c r="E626" s="5" t="s">
        <v>4588</v>
      </c>
      <c r="F626" s="5" t="str">
        <f t="shared" si="1"/>
        <v>susan.harris@aol.com</v>
      </c>
      <c r="G626" s="5" t="s">
        <v>4588</v>
      </c>
      <c r="H626" s="9">
        <v>45867.0</v>
      </c>
      <c r="I626" s="11"/>
    </row>
    <row r="627" ht="22.5" customHeight="1">
      <c r="A627" s="5" t="s">
        <v>2366</v>
      </c>
      <c r="B627" s="5" t="s">
        <v>4589</v>
      </c>
      <c r="C627" s="5" t="str">
        <f>IFERROR(__xludf.DUMMYFUNCTION("REGEXREPLACE(B627,""\D"","""")"),"4382414815")</f>
        <v>4382414815</v>
      </c>
      <c r="D627" s="12">
        <v>4.382414815E9</v>
      </c>
      <c r="E627" s="5" t="s">
        <v>4590</v>
      </c>
      <c r="F627" s="5" t="str">
        <f t="shared" si="1"/>
        <v>heather.evans@outlook.com</v>
      </c>
      <c r="G627" s="5" t="s">
        <v>4590</v>
      </c>
      <c r="H627" s="9">
        <v>45959.0</v>
      </c>
      <c r="I627" s="9">
        <v>45972.0</v>
      </c>
    </row>
    <row r="628" ht="22.5" customHeight="1">
      <c r="A628" s="5" t="s">
        <v>2370</v>
      </c>
      <c r="B628" s="5" t="s">
        <v>4591</v>
      </c>
      <c r="C628" s="5" t="str">
        <f>IFERROR(__xludf.DUMMYFUNCTION("REGEXREPLACE(B628,""\D"","""")"),"6298029527")</f>
        <v>6298029527</v>
      </c>
      <c r="D628" s="12">
        <v>6.298029527E9</v>
      </c>
      <c r="E628" s="5" t="s">
        <v>4592</v>
      </c>
      <c r="F628" s="5" t="str">
        <f t="shared" si="1"/>
        <v>gregory.walker@yahoo.com</v>
      </c>
      <c r="G628" s="5" t="s">
        <v>5301</v>
      </c>
      <c r="H628" s="11"/>
      <c r="I628" s="11"/>
    </row>
    <row r="629" ht="22.5" customHeight="1">
      <c r="A629" s="5" t="s">
        <v>2373</v>
      </c>
      <c r="B629" s="5" t="s">
        <v>4593</v>
      </c>
      <c r="C629" s="5" t="str">
        <f>IFERROR(__xludf.DUMMYFUNCTION("REGEXREPLACE(B629,""\D"","""")"),"9666706187")</f>
        <v>9666706187</v>
      </c>
      <c r="D629" s="12">
        <v>9.666706187E9</v>
      </c>
      <c r="E629" s="5" t="s">
        <v>4594</v>
      </c>
      <c r="F629" s="5" t="str">
        <f t="shared" si="1"/>
        <v>barbara.gomez@outlook.com</v>
      </c>
      <c r="G629" s="5" t="s">
        <v>5302</v>
      </c>
      <c r="H629" s="9">
        <v>45979.0</v>
      </c>
      <c r="I629" s="9">
        <v>46001.0</v>
      </c>
    </row>
    <row r="630" ht="22.5" customHeight="1">
      <c r="A630" s="5" t="s">
        <v>2376</v>
      </c>
      <c r="B630" s="5" t="s">
        <v>4595</v>
      </c>
      <c r="C630" s="5" t="str">
        <f>IFERROR(__xludf.DUMMYFUNCTION("REGEXREPLACE(B630,""\D"","""")"),"6209756389")</f>
        <v>6209756389</v>
      </c>
      <c r="D630" s="12">
        <v>6.209756389E9</v>
      </c>
      <c r="E630" s="5" t="s">
        <v>4596</v>
      </c>
      <c r="F630" s="5" t="str">
        <f t="shared" si="1"/>
        <v>amanda.lewis@aol.com</v>
      </c>
      <c r="G630" s="5" t="s">
        <v>4596</v>
      </c>
      <c r="H630" s="9">
        <v>46187.0</v>
      </c>
      <c r="I630" s="11"/>
    </row>
    <row r="631" ht="22.5" customHeight="1">
      <c r="A631" s="5" t="s">
        <v>2379</v>
      </c>
      <c r="B631" s="5" t="s">
        <v>4597</v>
      </c>
      <c r="C631" s="5" t="str">
        <f>IFERROR(__xludf.DUMMYFUNCTION("REGEXREPLACE(B631,""\D"","""")"),"9192992302")</f>
        <v>9192992302</v>
      </c>
      <c r="D631" s="12">
        <v>9.192992302E9</v>
      </c>
      <c r="E631" s="5" t="s">
        <v>4598</v>
      </c>
      <c r="F631" s="5" t="str">
        <f t="shared" si="1"/>
        <v>thomas.flores@aol.com</v>
      </c>
      <c r="G631" s="5" t="s">
        <v>5303</v>
      </c>
      <c r="H631" s="9">
        <v>46213.0</v>
      </c>
      <c r="I631" s="11"/>
    </row>
    <row r="632" ht="22.5" customHeight="1">
      <c r="A632" s="5" t="s">
        <v>2381</v>
      </c>
      <c r="B632" s="5" t="s">
        <v>4599</v>
      </c>
      <c r="C632" s="5" t="str">
        <f>IFERROR(__xludf.DUMMYFUNCTION("REGEXREPLACE(B632,""\D"","""")"),"6064273632")</f>
        <v>6064273632</v>
      </c>
      <c r="D632" s="12">
        <v>6.064273632E9</v>
      </c>
      <c r="E632" s="5" t="s">
        <v>4600</v>
      </c>
      <c r="F632" s="5" t="str">
        <f t="shared" si="1"/>
        <v>kathleen.flores@hotmail.com</v>
      </c>
      <c r="G632" s="5" t="s">
        <v>4600</v>
      </c>
      <c r="H632" s="9">
        <v>45741.0</v>
      </c>
      <c r="I632" s="11"/>
    </row>
    <row r="633" ht="22.5" customHeight="1">
      <c r="A633" s="5" t="s">
        <v>2383</v>
      </c>
      <c r="B633" s="14" t="s">
        <v>4601</v>
      </c>
      <c r="C633" s="5" t="str">
        <f>IFERROR(__xludf.DUMMYFUNCTION("REGEXREPLACE(B633,""\D"","""")"),"4003143270")</f>
        <v>4003143270</v>
      </c>
      <c r="D633" s="12">
        <v>4.00314327E9</v>
      </c>
      <c r="E633" s="5" t="s">
        <v>4602</v>
      </c>
      <c r="F633" s="5" t="str">
        <f t="shared" si="1"/>
        <v>alexander.ruiz@gmail.com</v>
      </c>
      <c r="G633" s="5" t="s">
        <v>5304</v>
      </c>
      <c r="H633" s="9">
        <v>46217.0</v>
      </c>
      <c r="I633" s="9">
        <v>46237.0</v>
      </c>
    </row>
    <row r="634" ht="22.5" customHeight="1">
      <c r="A634" s="5" t="s">
        <v>2385</v>
      </c>
      <c r="B634" s="5" t="s">
        <v>4603</v>
      </c>
      <c r="C634" s="5" t="str">
        <f>IFERROR(__xludf.DUMMYFUNCTION("REGEXREPLACE(B634,""\D"","""")"),"7116288265")</f>
        <v>7116288265</v>
      </c>
      <c r="D634" s="12">
        <v>7.116288265E9</v>
      </c>
      <c r="E634" s="5" t="s">
        <v>4604</v>
      </c>
      <c r="F634" s="5" t="str">
        <f t="shared" si="1"/>
        <v>scott.ortiz@hotmail.com</v>
      </c>
      <c r="G634" s="5" t="s">
        <v>5252</v>
      </c>
      <c r="H634" s="9">
        <v>46149.0</v>
      </c>
      <c r="I634" s="11"/>
    </row>
    <row r="635" ht="22.5" customHeight="1">
      <c r="A635" s="5" t="s">
        <v>2388</v>
      </c>
      <c r="B635" s="14" t="s">
        <v>4605</v>
      </c>
      <c r="C635" s="5" t="str">
        <f>IFERROR(__xludf.DUMMYFUNCTION("REGEXREPLACE(B635,""\D"","""")"),"8145088617")</f>
        <v>8145088617</v>
      </c>
      <c r="D635" s="12">
        <v>8.145088617E9</v>
      </c>
      <c r="E635" s="5" t="s">
        <v>4606</v>
      </c>
      <c r="F635" s="5" t="str">
        <f t="shared" si="1"/>
        <v>lisa.white@outlook.com</v>
      </c>
      <c r="G635" s="5" t="s">
        <v>5305</v>
      </c>
      <c r="H635" s="9">
        <v>46229.0</v>
      </c>
      <c r="I635" s="11"/>
    </row>
    <row r="636" ht="22.5" customHeight="1">
      <c r="A636" s="5" t="s">
        <v>2389</v>
      </c>
      <c r="B636" s="14" t="s">
        <v>4608</v>
      </c>
      <c r="C636" s="5" t="str">
        <f>IFERROR(__xludf.DUMMYFUNCTION("REGEXREPLACE(B636,""\D"","""")"),"5455432513")</f>
        <v>5455432513</v>
      </c>
      <c r="D636" s="12">
        <v>5.455432513E9</v>
      </c>
      <c r="E636" s="5" t="s">
        <v>4609</v>
      </c>
      <c r="F636" s="5" t="str">
        <f t="shared" si="1"/>
        <v>jack.cox@hotmail.com</v>
      </c>
      <c r="G636" s="5" t="s">
        <v>5306</v>
      </c>
      <c r="H636" s="9">
        <v>45916.0</v>
      </c>
      <c r="I636" s="11"/>
    </row>
    <row r="637" ht="22.5" customHeight="1">
      <c r="A637" s="5" t="s">
        <v>2392</v>
      </c>
      <c r="B637" s="5" t="s">
        <v>4610</v>
      </c>
      <c r="C637" s="5" t="str">
        <f>IFERROR(__xludf.DUMMYFUNCTION("REGEXREPLACE(B637,""\D"","""")"),"7744942723")</f>
        <v>7744942723</v>
      </c>
      <c r="D637" s="12">
        <v>7.744942723E9</v>
      </c>
      <c r="E637" s="5" t="s">
        <v>4611</v>
      </c>
      <c r="F637" s="5" t="str">
        <f t="shared" si="1"/>
        <v>heather.patel@hotmail.com</v>
      </c>
      <c r="G637" s="5" t="s">
        <v>4611</v>
      </c>
      <c r="H637" s="9">
        <v>46109.0</v>
      </c>
      <c r="I637" s="11"/>
    </row>
    <row r="638" ht="22.5" customHeight="1">
      <c r="A638" s="5" t="s">
        <v>2396</v>
      </c>
      <c r="B638" s="14" t="s">
        <v>4612</v>
      </c>
      <c r="C638" s="5" t="str">
        <f>IFERROR(__xludf.DUMMYFUNCTION("REGEXREPLACE(B638,""\D"","""")"),"8247182105")</f>
        <v>8247182105</v>
      </c>
      <c r="D638" s="12">
        <v>8.247182105E9</v>
      </c>
      <c r="E638" s="5" t="s">
        <v>4613</v>
      </c>
      <c r="F638" s="5" t="str">
        <f t="shared" si="1"/>
        <v>barbara.ramos@outlook.com</v>
      </c>
      <c r="G638" s="5" t="s">
        <v>5307</v>
      </c>
      <c r="H638" s="9">
        <v>46106.0</v>
      </c>
      <c r="I638" s="9">
        <v>46110.0</v>
      </c>
    </row>
    <row r="639" ht="22.5" customHeight="1">
      <c r="A639" s="5" t="s">
        <v>2399</v>
      </c>
      <c r="B639" s="14" t="s">
        <v>4614</v>
      </c>
      <c r="C639" s="5" t="str">
        <f>IFERROR(__xludf.DUMMYFUNCTION("REGEXREPLACE(B639,""\D"","""")"),"3397351994")</f>
        <v>3397351994</v>
      </c>
      <c r="D639" s="12">
        <v>3.397351994E9</v>
      </c>
      <c r="E639" s="5" t="s">
        <v>4615</v>
      </c>
      <c r="F639" s="5" t="str">
        <f t="shared" si="1"/>
        <v>ruth.martinez@yahoo.com</v>
      </c>
      <c r="G639" s="5" t="s">
        <v>5308</v>
      </c>
      <c r="H639" s="9">
        <v>46025.0</v>
      </c>
      <c r="I639" s="9">
        <v>46047.0</v>
      </c>
    </row>
    <row r="640" ht="22.5" customHeight="1">
      <c r="A640" s="5" t="s">
        <v>2402</v>
      </c>
      <c r="B640" s="5" t="s">
        <v>4616</v>
      </c>
      <c r="C640" s="5" t="str">
        <f>IFERROR(__xludf.DUMMYFUNCTION("REGEXREPLACE(B640,""\D"","""")"),"5752157612")</f>
        <v>5752157612</v>
      </c>
      <c r="D640" s="12">
        <v>5.752157612E9</v>
      </c>
      <c r="E640" s="5" t="s">
        <v>4617</v>
      </c>
      <c r="F640" s="5" t="str">
        <f t="shared" si="1"/>
        <v>anna.reyes@outlook.com</v>
      </c>
      <c r="G640" s="5" t="s">
        <v>5309</v>
      </c>
      <c r="H640" s="9">
        <v>46112.0</v>
      </c>
      <c r="I640" s="9">
        <v>46124.0</v>
      </c>
    </row>
    <row r="641" ht="22.5" customHeight="1">
      <c r="A641" s="5" t="s">
        <v>2404</v>
      </c>
      <c r="B641" s="5" t="s">
        <v>4618</v>
      </c>
      <c r="C641" s="5" t="str">
        <f>IFERROR(__xludf.DUMMYFUNCTION("REGEXREPLACE(B641,""\D"","""")"),"7446649246")</f>
        <v>7446649246</v>
      </c>
      <c r="D641" s="12">
        <v>7.446649246E9</v>
      </c>
      <c r="E641" s="5" t="s">
        <v>4619</v>
      </c>
      <c r="F641" s="5" t="str">
        <f t="shared" si="1"/>
        <v>michelle.edwards@outlook.com</v>
      </c>
      <c r="G641" s="5" t="s">
        <v>5310</v>
      </c>
      <c r="H641" s="9">
        <v>46212.0</v>
      </c>
      <c r="I641" s="9">
        <v>46233.0</v>
      </c>
    </row>
    <row r="642" ht="22.5" customHeight="1">
      <c r="A642" s="5" t="s">
        <v>2406</v>
      </c>
      <c r="B642" s="14" t="s">
        <v>4622</v>
      </c>
      <c r="C642" s="5" t="str">
        <f>IFERROR(__xludf.DUMMYFUNCTION("REGEXREPLACE(B642,""\D"","""")"),"5103626470")</f>
        <v>5103626470</v>
      </c>
      <c r="D642" s="12">
        <v>5.10362647E9</v>
      </c>
      <c r="E642" s="5" t="s">
        <v>4623</v>
      </c>
      <c r="F642" s="5" t="str">
        <f t="shared" si="1"/>
        <v>kenneth.morales@yahoo.com</v>
      </c>
      <c r="G642" s="5" t="s">
        <v>4623</v>
      </c>
      <c r="H642" s="9">
        <v>45801.0</v>
      </c>
      <c r="I642" s="11"/>
    </row>
    <row r="643" ht="22.5" customHeight="1">
      <c r="A643" s="5" t="s">
        <v>2409</v>
      </c>
      <c r="B643" s="5" t="s">
        <v>4624</v>
      </c>
      <c r="C643" s="5" t="str">
        <f>IFERROR(__xludf.DUMMYFUNCTION("REGEXREPLACE(B643,""\D"","""")"),"9252881086")</f>
        <v>9252881086</v>
      </c>
      <c r="D643" s="12">
        <v>9.252881086E9</v>
      </c>
      <c r="E643" s="5" t="s">
        <v>4625</v>
      </c>
      <c r="F643" s="5" t="str">
        <f t="shared" si="1"/>
        <v>andrew.robinson@gmail.com</v>
      </c>
      <c r="G643" s="5" t="s">
        <v>5311</v>
      </c>
      <c r="H643" s="9">
        <v>45907.0</v>
      </c>
      <c r="I643" s="9">
        <v>45912.0</v>
      </c>
    </row>
    <row r="644" ht="22.5" customHeight="1">
      <c r="A644" s="5" t="s">
        <v>2412</v>
      </c>
      <c r="C644" s="10" t="str">
        <f>IFERROR(__xludf.DUMMYFUNCTION("REGEXREPLACE(B644,""\D"","""")"),"")</f>
        <v/>
      </c>
      <c r="D644" s="13" t="s">
        <v>4964</v>
      </c>
      <c r="F644" s="10" t="str">
        <f t="shared" si="1"/>
        <v/>
      </c>
      <c r="G644" s="10" t="s">
        <v>4964</v>
      </c>
      <c r="H644" s="9">
        <v>45874.0</v>
      </c>
      <c r="I644" s="9">
        <v>45882.0</v>
      </c>
    </row>
    <row r="645" ht="22.5" customHeight="1">
      <c r="A645" s="5" t="s">
        <v>2414</v>
      </c>
      <c r="B645" s="5" t="s">
        <v>4626</v>
      </c>
      <c r="C645" s="5" t="str">
        <f>IFERROR(__xludf.DUMMYFUNCTION("REGEXREPLACE(B645,""\D"","""")"),"4406529989")</f>
        <v>4406529989</v>
      </c>
      <c r="D645" s="12">
        <v>4.406529989E9</v>
      </c>
      <c r="E645" s="5" t="s">
        <v>4627</v>
      </c>
      <c r="F645" s="5" t="str">
        <f t="shared" si="1"/>
        <v>benjamin.gonzalez@gmail.com</v>
      </c>
      <c r="G645" s="5" t="s">
        <v>4627</v>
      </c>
      <c r="H645" s="9">
        <v>45969.0</v>
      </c>
      <c r="I645" s="9">
        <v>45974.0</v>
      </c>
    </row>
    <row r="646" ht="22.5" customHeight="1">
      <c r="A646" s="5" t="s">
        <v>2418</v>
      </c>
      <c r="B646" s="5" t="s">
        <v>4628</v>
      </c>
      <c r="C646" s="5" t="str">
        <f>IFERROR(__xludf.DUMMYFUNCTION("REGEXREPLACE(B646,""\D"","""")"),"4929641005")</f>
        <v>4929641005</v>
      </c>
      <c r="D646" s="12">
        <v>4.929641005E9</v>
      </c>
      <c r="E646" s="5" t="s">
        <v>4629</v>
      </c>
      <c r="F646" s="5" t="str">
        <f t="shared" si="1"/>
        <v>donald.richardson@gmail.com</v>
      </c>
      <c r="G646" s="5" t="s">
        <v>5312</v>
      </c>
      <c r="H646" s="9">
        <v>45782.0</v>
      </c>
      <c r="I646" s="9">
        <v>45810.0</v>
      </c>
    </row>
    <row r="647" ht="22.5" customHeight="1">
      <c r="A647" s="5" t="s">
        <v>2421</v>
      </c>
      <c r="B647" s="5" t="s">
        <v>4630</v>
      </c>
      <c r="C647" s="5" t="str">
        <f>IFERROR(__xludf.DUMMYFUNCTION("REGEXREPLACE(B647,""\D"","""")"),"7405925849")</f>
        <v>7405925849</v>
      </c>
      <c r="D647" s="12">
        <v>7.405925849E9</v>
      </c>
      <c r="E647" s="5" t="s">
        <v>4631</v>
      </c>
      <c r="F647" s="5" t="str">
        <f t="shared" si="1"/>
        <v>amy.white@gmail.com</v>
      </c>
      <c r="G647" s="5" t="s">
        <v>5313</v>
      </c>
      <c r="H647" s="9">
        <v>45788.0</v>
      </c>
      <c r="I647" s="9">
        <v>45789.0</v>
      </c>
    </row>
    <row r="648" ht="22.5" customHeight="1">
      <c r="A648" s="5" t="s">
        <v>2423</v>
      </c>
      <c r="B648" s="5" t="s">
        <v>4632</v>
      </c>
      <c r="C648" s="5" t="str">
        <f>IFERROR(__xludf.DUMMYFUNCTION("REGEXREPLACE(B648,""\D"","""")"),"7207579403")</f>
        <v>7207579403</v>
      </c>
      <c r="D648" s="12">
        <v>7.207579403E9</v>
      </c>
      <c r="E648" s="5" t="s">
        <v>4633</v>
      </c>
      <c r="F648" s="5" t="str">
        <f t="shared" si="1"/>
        <v>thomas.nelson@aol.com</v>
      </c>
      <c r="G648" s="5" t="s">
        <v>5314</v>
      </c>
      <c r="H648" s="11"/>
      <c r="I648" s="11"/>
    </row>
    <row r="649" ht="22.5" customHeight="1">
      <c r="A649" s="5" t="s">
        <v>2427</v>
      </c>
      <c r="B649" s="5" t="s">
        <v>4634</v>
      </c>
      <c r="C649" s="5" t="str">
        <f>IFERROR(__xludf.DUMMYFUNCTION("REGEXREPLACE(B649,""\D"","""")"),"8698812603")</f>
        <v>8698812603</v>
      </c>
      <c r="D649" s="12">
        <v>8.698812603E9</v>
      </c>
      <c r="F649" s="10" t="str">
        <f t="shared" si="1"/>
        <v/>
      </c>
      <c r="G649" s="10" t="s">
        <v>4964</v>
      </c>
      <c r="H649" s="9">
        <v>45795.0</v>
      </c>
      <c r="I649" s="9">
        <v>45798.0</v>
      </c>
    </row>
    <row r="650" ht="22.5" customHeight="1">
      <c r="A650" s="5" t="s">
        <v>2431</v>
      </c>
      <c r="B650" s="14" t="s">
        <v>4635</v>
      </c>
      <c r="C650" s="5" t="str">
        <f>IFERROR(__xludf.DUMMYFUNCTION("REGEXREPLACE(B650,""\D"","""")"),"3482554871")</f>
        <v>3482554871</v>
      </c>
      <c r="D650" s="12">
        <v>3.482554871E9</v>
      </c>
      <c r="E650" s="5" t="s">
        <v>4636</v>
      </c>
      <c r="F650" s="5" t="str">
        <f t="shared" si="1"/>
        <v>emily.james@hotmail.com</v>
      </c>
      <c r="G650" s="5" t="s">
        <v>5315</v>
      </c>
      <c r="H650" s="9">
        <v>46023.0</v>
      </c>
      <c r="I650" s="9">
        <v>46043.0</v>
      </c>
    </row>
    <row r="651" ht="22.5" customHeight="1">
      <c r="A651" s="5" t="s">
        <v>2434</v>
      </c>
      <c r="B651" s="5" t="s">
        <v>4637</v>
      </c>
      <c r="C651" s="5" t="str">
        <f>IFERROR(__xludf.DUMMYFUNCTION("REGEXREPLACE(B651,""\D"","""")"),"3067232784")</f>
        <v>3067232784</v>
      </c>
      <c r="D651" s="12">
        <v>3.067232784E9</v>
      </c>
      <c r="E651" s="5" t="s">
        <v>4638</v>
      </c>
      <c r="F651" s="5" t="str">
        <f t="shared" si="1"/>
        <v>gregory.green@yahoo.com</v>
      </c>
      <c r="G651" s="5" t="s">
        <v>4638</v>
      </c>
      <c r="H651" s="9">
        <v>45893.0</v>
      </c>
      <c r="I651" s="9">
        <v>45921.0</v>
      </c>
    </row>
    <row r="652" ht="22.5" customHeight="1">
      <c r="A652" s="5" t="s">
        <v>2438</v>
      </c>
      <c r="B652" s="5" t="s">
        <v>4639</v>
      </c>
      <c r="C652" s="5" t="str">
        <f>IFERROR(__xludf.DUMMYFUNCTION("REGEXREPLACE(B652,""\D"","""")"),"2379486753")</f>
        <v>2379486753</v>
      </c>
      <c r="D652" s="12">
        <v>2.379486753E9</v>
      </c>
      <c r="E652" s="5" t="s">
        <v>4640</v>
      </c>
      <c r="F652" s="5" t="str">
        <f t="shared" si="1"/>
        <v>maria.richardson@aol.com</v>
      </c>
      <c r="G652" s="5" t="s">
        <v>5316</v>
      </c>
      <c r="H652" s="9">
        <v>46221.0</v>
      </c>
      <c r="I652" s="9">
        <v>46232.0</v>
      </c>
    </row>
    <row r="653" ht="22.5" customHeight="1">
      <c r="A653" s="5" t="s">
        <v>2441</v>
      </c>
      <c r="B653" s="5" t="s">
        <v>4642</v>
      </c>
      <c r="C653" s="5" t="str">
        <f>IFERROR(__xludf.DUMMYFUNCTION("REGEXREPLACE(B653,""\D"","""")"),"7975425184")</f>
        <v>7975425184</v>
      </c>
      <c r="D653" s="12">
        <v>7.975425184E9</v>
      </c>
      <c r="E653" s="5" t="s">
        <v>4643</v>
      </c>
      <c r="F653" s="5" t="str">
        <f t="shared" si="1"/>
        <v>frank.castillo@aol.com</v>
      </c>
      <c r="G653" s="5" t="s">
        <v>4643</v>
      </c>
      <c r="H653" s="9">
        <v>45770.0</v>
      </c>
      <c r="I653" s="9">
        <v>45776.0</v>
      </c>
    </row>
    <row r="654" ht="22.5" customHeight="1">
      <c r="A654" s="5" t="s">
        <v>2444</v>
      </c>
      <c r="B654" s="14" t="s">
        <v>4644</v>
      </c>
      <c r="C654" s="5" t="str">
        <f>IFERROR(__xludf.DUMMYFUNCTION("REGEXREPLACE(B654,""\D"","""")"),"8703067841")</f>
        <v>8703067841</v>
      </c>
      <c r="D654" s="12">
        <v>8.703067841E9</v>
      </c>
      <c r="E654" s="5" t="s">
        <v>4645</v>
      </c>
      <c r="F654" s="5" t="str">
        <f t="shared" si="1"/>
        <v>gary.ortiz@aol.com</v>
      </c>
      <c r="G654" s="5" t="s">
        <v>5317</v>
      </c>
      <c r="H654" s="9">
        <v>46057.0</v>
      </c>
      <c r="I654" s="9">
        <v>46068.0</v>
      </c>
    </row>
    <row r="655" ht="22.5" customHeight="1">
      <c r="A655" s="5" t="s">
        <v>2446</v>
      </c>
      <c r="B655" s="14" t="s">
        <v>4646</v>
      </c>
      <c r="C655" s="5" t="str">
        <f>IFERROR(__xludf.DUMMYFUNCTION("REGEXREPLACE(B655,""\D"","""")"),"5457547757")</f>
        <v>5457547757</v>
      </c>
      <c r="D655" s="12">
        <v>5.457547757E9</v>
      </c>
      <c r="E655" s="5" t="s">
        <v>4647</v>
      </c>
      <c r="F655" s="5" t="str">
        <f t="shared" si="1"/>
        <v>carol.wilson@aol.com</v>
      </c>
      <c r="G655" s="5" t="s">
        <v>5318</v>
      </c>
      <c r="H655" s="9">
        <v>45791.0</v>
      </c>
      <c r="I655" s="11"/>
    </row>
    <row r="656" ht="22.5" customHeight="1">
      <c r="A656" s="5" t="s">
        <v>2449</v>
      </c>
      <c r="B656" s="14" t="s">
        <v>4648</v>
      </c>
      <c r="C656" s="5" t="str">
        <f>IFERROR(__xludf.DUMMYFUNCTION("REGEXREPLACE(B656,""\D"","""")"),"6558311380")</f>
        <v>6558311380</v>
      </c>
      <c r="D656" s="12">
        <v>6.55831138E9</v>
      </c>
      <c r="E656" s="5" t="s">
        <v>4649</v>
      </c>
      <c r="F656" s="5" t="str">
        <f t="shared" si="1"/>
        <v>david.anderson@aol.com</v>
      </c>
      <c r="G656" s="5" t="s">
        <v>5319</v>
      </c>
      <c r="H656" s="9">
        <v>45967.0</v>
      </c>
      <c r="I656" s="11"/>
    </row>
    <row r="657" ht="22.5" customHeight="1">
      <c r="A657" s="5" t="s">
        <v>2452</v>
      </c>
      <c r="B657" s="5" t="s">
        <v>4650</v>
      </c>
      <c r="C657" s="5" t="str">
        <f>IFERROR(__xludf.DUMMYFUNCTION("REGEXREPLACE(B657,""\D"","""")"),"4905402812")</f>
        <v>4905402812</v>
      </c>
      <c r="D657" s="12">
        <v>4.905402812E9</v>
      </c>
      <c r="E657" s="5" t="s">
        <v>4651</v>
      </c>
      <c r="F657" s="5" t="str">
        <f t="shared" si="1"/>
        <v>gregory.white@outlook.com</v>
      </c>
      <c r="G657" s="5" t="s">
        <v>5320</v>
      </c>
      <c r="H657" s="11"/>
      <c r="I657" s="11"/>
    </row>
    <row r="658" ht="22.5" customHeight="1">
      <c r="A658" s="5" t="s">
        <v>2454</v>
      </c>
      <c r="B658" s="5" t="s">
        <v>4652</v>
      </c>
      <c r="C658" s="5" t="str">
        <f>IFERROR(__xludf.DUMMYFUNCTION("REGEXREPLACE(B658,""\D"","""")"),"3895396385")</f>
        <v>3895396385</v>
      </c>
      <c r="D658" s="12">
        <v>3.895396385E9</v>
      </c>
      <c r="E658" s="5" t="s">
        <v>4653</v>
      </c>
      <c r="F658" s="5" t="str">
        <f t="shared" si="1"/>
        <v>jennifer.morris@hotmail.com</v>
      </c>
      <c r="G658" s="5" t="s">
        <v>4653</v>
      </c>
      <c r="H658" s="9">
        <v>45820.0</v>
      </c>
      <c r="I658" s="11"/>
    </row>
    <row r="659" ht="22.5" customHeight="1">
      <c r="A659" s="5" t="s">
        <v>2458</v>
      </c>
      <c r="B659" s="5" t="s">
        <v>4654</v>
      </c>
      <c r="C659" s="5" t="str">
        <f>IFERROR(__xludf.DUMMYFUNCTION("REGEXREPLACE(B659,""\D"","""")"),"6155452238")</f>
        <v>6155452238</v>
      </c>
      <c r="D659" s="12">
        <v>6.155452238E9</v>
      </c>
      <c r="F659" s="10" t="str">
        <f t="shared" si="1"/>
        <v/>
      </c>
      <c r="G659" s="10" t="s">
        <v>4964</v>
      </c>
      <c r="H659" s="9">
        <v>45947.0</v>
      </c>
      <c r="I659" s="9">
        <v>45949.0</v>
      </c>
    </row>
    <row r="660" ht="22.5" customHeight="1">
      <c r="A660" s="5" t="s">
        <v>2460</v>
      </c>
      <c r="B660" s="5" t="s">
        <v>4655</v>
      </c>
      <c r="C660" s="5" t="str">
        <f>IFERROR(__xludf.DUMMYFUNCTION("REGEXREPLACE(B660,""\D"","""")"),"2564447202")</f>
        <v>2564447202</v>
      </c>
      <c r="D660" s="12">
        <v>2.564447202E9</v>
      </c>
      <c r="F660" s="10" t="str">
        <f t="shared" si="1"/>
        <v/>
      </c>
      <c r="G660" s="10" t="s">
        <v>4964</v>
      </c>
      <c r="H660" s="9">
        <v>45812.0</v>
      </c>
      <c r="I660" s="9">
        <v>45823.0</v>
      </c>
    </row>
    <row r="661" ht="22.5" customHeight="1">
      <c r="A661" s="5" t="s">
        <v>2463</v>
      </c>
      <c r="C661" s="10" t="str">
        <f>IFERROR(__xludf.DUMMYFUNCTION("REGEXREPLACE(B661,""\D"","""")"),"")</f>
        <v/>
      </c>
      <c r="D661" s="13" t="s">
        <v>4964</v>
      </c>
      <c r="E661" s="5" t="s">
        <v>4656</v>
      </c>
      <c r="F661" s="5" t="str">
        <f t="shared" si="1"/>
        <v>helen.thomas@outlook.com</v>
      </c>
      <c r="G661" s="5" t="s">
        <v>5321</v>
      </c>
      <c r="H661" s="9">
        <v>45909.0</v>
      </c>
      <c r="I661" s="11"/>
    </row>
    <row r="662" ht="22.5" customHeight="1">
      <c r="A662" s="5" t="s">
        <v>2467</v>
      </c>
      <c r="B662" s="14" t="s">
        <v>4657</v>
      </c>
      <c r="C662" s="5" t="str">
        <f>IFERROR(__xludf.DUMMYFUNCTION("REGEXREPLACE(B662,""\D"","""")"),"3242836662")</f>
        <v>3242836662</v>
      </c>
      <c r="D662" s="12">
        <v>3.242836662E9</v>
      </c>
      <c r="E662" s="5" t="s">
        <v>4658</v>
      </c>
      <c r="F662" s="5" t="str">
        <f t="shared" si="1"/>
        <v>samantha.ruiz@outlook.com</v>
      </c>
      <c r="G662" s="5" t="s">
        <v>5322</v>
      </c>
      <c r="H662" s="9">
        <v>45727.0</v>
      </c>
      <c r="I662" s="11"/>
    </row>
    <row r="663" ht="22.5" customHeight="1">
      <c r="A663" s="5" t="s">
        <v>2470</v>
      </c>
      <c r="B663" s="5" t="s">
        <v>4659</v>
      </c>
      <c r="C663" s="5" t="str">
        <f>IFERROR(__xludf.DUMMYFUNCTION("REGEXREPLACE(B663,""\D"","""")"),"4176557976")</f>
        <v>4176557976</v>
      </c>
      <c r="D663" s="12">
        <v>4.176557976E9</v>
      </c>
      <c r="E663" s="5" t="s">
        <v>4660</v>
      </c>
      <c r="F663" s="5" t="str">
        <f t="shared" si="1"/>
        <v>eric.nelson@aol.com</v>
      </c>
      <c r="G663" s="5" t="s">
        <v>4660</v>
      </c>
      <c r="H663" s="9">
        <v>46011.0</v>
      </c>
      <c r="I663" s="9">
        <v>46040.0</v>
      </c>
    </row>
    <row r="664" ht="22.5" customHeight="1">
      <c r="A664" s="5" t="s">
        <v>2474</v>
      </c>
      <c r="B664" s="5" t="s">
        <v>4662</v>
      </c>
      <c r="C664" s="5" t="str">
        <f>IFERROR(__xludf.DUMMYFUNCTION("REGEXREPLACE(B664,""\D"","""")"),"4287232134")</f>
        <v>4287232134</v>
      </c>
      <c r="D664" s="12">
        <v>4.287232134E9</v>
      </c>
      <c r="E664" s="5" t="s">
        <v>4663</v>
      </c>
      <c r="F664" s="5" t="str">
        <f t="shared" si="1"/>
        <v>george.thomas@yahoo.com</v>
      </c>
      <c r="G664" s="5" t="s">
        <v>5323</v>
      </c>
      <c r="H664" s="9">
        <v>46019.0</v>
      </c>
      <c r="I664" s="9">
        <v>46030.0</v>
      </c>
    </row>
    <row r="665" ht="22.5" customHeight="1">
      <c r="A665" s="5" t="s">
        <v>2477</v>
      </c>
      <c r="B665" s="14" t="s">
        <v>4665</v>
      </c>
      <c r="C665" s="5" t="str">
        <f>IFERROR(__xludf.DUMMYFUNCTION("REGEXREPLACE(B665,""\D"","""")"),"7049683187")</f>
        <v>7049683187</v>
      </c>
      <c r="D665" s="12">
        <v>7.049683187E9</v>
      </c>
      <c r="E665" s="5" t="s">
        <v>4666</v>
      </c>
      <c r="F665" s="5" t="str">
        <f t="shared" si="1"/>
        <v>joseph.hughes@hotmail.com</v>
      </c>
      <c r="G665" s="5" t="s">
        <v>5324</v>
      </c>
      <c r="H665" s="9">
        <v>45916.0</v>
      </c>
      <c r="I665" s="9">
        <v>45921.0</v>
      </c>
    </row>
    <row r="666" ht="22.5" customHeight="1">
      <c r="A666" s="5" t="s">
        <v>2481</v>
      </c>
      <c r="B666" s="5" t="s">
        <v>4667</v>
      </c>
      <c r="C666" s="5" t="str">
        <f>IFERROR(__xludf.DUMMYFUNCTION("REGEXREPLACE(B666,""\D"","""")"),"8638697030")</f>
        <v>8638697030</v>
      </c>
      <c r="D666" s="12">
        <v>8.63869703E9</v>
      </c>
      <c r="E666" s="5" t="s">
        <v>4668</v>
      </c>
      <c r="F666" s="5" t="str">
        <f t="shared" si="1"/>
        <v>ashley.evans@yahoo.com</v>
      </c>
      <c r="G666" s="5" t="s">
        <v>4668</v>
      </c>
      <c r="H666" s="9">
        <v>45949.0</v>
      </c>
      <c r="I666" s="9">
        <v>45976.0</v>
      </c>
    </row>
    <row r="667" ht="22.5" customHeight="1">
      <c r="A667" s="5" t="s">
        <v>2483</v>
      </c>
      <c r="B667" s="5" t="s">
        <v>4669</v>
      </c>
      <c r="C667" s="5" t="str">
        <f>IFERROR(__xludf.DUMMYFUNCTION("REGEXREPLACE(B667,""\D"","""")"),"7053119390")</f>
        <v>7053119390</v>
      </c>
      <c r="D667" s="12">
        <v>7.05311939E9</v>
      </c>
      <c r="E667" s="5" t="s">
        <v>4670</v>
      </c>
      <c r="F667" s="5" t="str">
        <f t="shared" si="1"/>
        <v>frank.moore@hotmail.com</v>
      </c>
      <c r="G667" s="5" t="s">
        <v>5325</v>
      </c>
      <c r="H667" s="9">
        <v>46228.0</v>
      </c>
      <c r="I667" s="9">
        <v>46234.0</v>
      </c>
    </row>
    <row r="668" ht="22.5" customHeight="1">
      <c r="A668" s="5" t="s">
        <v>2485</v>
      </c>
      <c r="B668" s="5" t="s">
        <v>4671</v>
      </c>
      <c r="C668" s="5" t="str">
        <f>IFERROR(__xludf.DUMMYFUNCTION("REGEXREPLACE(B668,""\D"","""")"),"4309254002")</f>
        <v>4309254002</v>
      </c>
      <c r="D668" s="12">
        <v>4.309254002E9</v>
      </c>
      <c r="E668" s="5" t="s">
        <v>4672</v>
      </c>
      <c r="F668" s="5" t="str">
        <f t="shared" si="1"/>
        <v>james.jimenez@gmail.com</v>
      </c>
      <c r="G668" s="5" t="s">
        <v>5326</v>
      </c>
      <c r="H668" s="9">
        <v>46032.0</v>
      </c>
      <c r="I668" s="11"/>
    </row>
    <row r="669" ht="22.5" customHeight="1">
      <c r="A669" s="5" t="s">
        <v>2489</v>
      </c>
      <c r="B669" s="5" t="s">
        <v>4674</v>
      </c>
      <c r="C669" s="5" t="str">
        <f>IFERROR(__xludf.DUMMYFUNCTION("REGEXREPLACE(B669,""\D"","""")"),"7392583829")</f>
        <v>7392583829</v>
      </c>
      <c r="D669" s="12">
        <v>7.392583829E9</v>
      </c>
      <c r="E669" s="5" t="s">
        <v>4675</v>
      </c>
      <c r="F669" s="5" t="str">
        <f t="shared" si="1"/>
        <v>michelle.brown@gmail.com</v>
      </c>
      <c r="G669" s="5" t="s">
        <v>4675</v>
      </c>
      <c r="H669" s="9">
        <v>46091.0</v>
      </c>
      <c r="I669" s="11"/>
    </row>
    <row r="670" ht="22.5" customHeight="1">
      <c r="A670" s="5" t="s">
        <v>2491</v>
      </c>
      <c r="B670" s="5" t="s">
        <v>4676</v>
      </c>
      <c r="C670" s="5" t="str">
        <f>IFERROR(__xludf.DUMMYFUNCTION("REGEXREPLACE(B670,""\D"","""")"),"6698831213")</f>
        <v>6698831213</v>
      </c>
      <c r="D670" s="12">
        <v>6.698831213E9</v>
      </c>
      <c r="E670" s="5" t="s">
        <v>4677</v>
      </c>
      <c r="F670" s="5" t="str">
        <f t="shared" si="1"/>
        <v>justin.scott@gmail.com</v>
      </c>
      <c r="G670" s="5" t="s">
        <v>5327</v>
      </c>
      <c r="H670" s="9">
        <v>45869.0</v>
      </c>
      <c r="I670" s="9">
        <v>45888.0</v>
      </c>
    </row>
    <row r="671" ht="22.5" customHeight="1">
      <c r="A671" s="5" t="s">
        <v>2495</v>
      </c>
      <c r="B671" s="14" t="s">
        <v>4679</v>
      </c>
      <c r="C671" s="5" t="str">
        <f>IFERROR(__xludf.DUMMYFUNCTION("REGEXREPLACE(B671,""\D"","""")"),"5739392140")</f>
        <v>5739392140</v>
      </c>
      <c r="D671" s="12">
        <v>5.73939214E9</v>
      </c>
      <c r="E671" s="5" t="s">
        <v>4680</v>
      </c>
      <c r="F671" s="5" t="str">
        <f t="shared" si="1"/>
        <v>benjamin.robinson@hotmail.com</v>
      </c>
      <c r="G671" s="5" t="s">
        <v>5328</v>
      </c>
      <c r="H671" s="9">
        <v>45894.0</v>
      </c>
      <c r="I671" s="9">
        <v>45897.0</v>
      </c>
    </row>
    <row r="672" ht="22.5" customHeight="1">
      <c r="A672" s="5" t="s">
        <v>2497</v>
      </c>
      <c r="B672" s="5" t="s">
        <v>4682</v>
      </c>
      <c r="C672" s="5" t="str">
        <f>IFERROR(__xludf.DUMMYFUNCTION("REGEXREPLACE(B672,""\D"","""")"),"3865696261")</f>
        <v>3865696261</v>
      </c>
      <c r="D672" s="12">
        <v>3.865696261E9</v>
      </c>
      <c r="E672" s="5" t="s">
        <v>4683</v>
      </c>
      <c r="F672" s="5" t="str">
        <f t="shared" si="1"/>
        <v>jack.williams@gmail.com</v>
      </c>
      <c r="G672" s="5" t="s">
        <v>4683</v>
      </c>
      <c r="H672" s="9">
        <v>46217.0</v>
      </c>
      <c r="I672" s="11"/>
    </row>
    <row r="673" ht="22.5" customHeight="1">
      <c r="A673" s="5" t="s">
        <v>2500</v>
      </c>
      <c r="C673" s="10" t="str">
        <f>IFERROR(__xludf.DUMMYFUNCTION("REGEXREPLACE(B673,""\D"","""")"),"")</f>
        <v/>
      </c>
      <c r="D673" s="13" t="s">
        <v>4964</v>
      </c>
      <c r="E673" s="5" t="s">
        <v>4684</v>
      </c>
      <c r="F673" s="5" t="str">
        <f t="shared" si="1"/>
        <v>kathleen.chavez@yahoo.com</v>
      </c>
      <c r="G673" s="5" t="s">
        <v>5329</v>
      </c>
      <c r="H673" s="9">
        <v>45994.0</v>
      </c>
      <c r="I673" s="11"/>
    </row>
    <row r="674" ht="22.5" customHeight="1">
      <c r="A674" s="5" t="s">
        <v>2502</v>
      </c>
      <c r="B674" s="5" t="s">
        <v>4685</v>
      </c>
      <c r="C674" s="5" t="str">
        <f>IFERROR(__xludf.DUMMYFUNCTION("REGEXREPLACE(B674,""\D"","""")"),"9589224685")</f>
        <v>9589224685</v>
      </c>
      <c r="D674" s="12">
        <v>9.589224685E9</v>
      </c>
      <c r="E674" s="5" t="s">
        <v>4686</v>
      </c>
      <c r="F674" s="5" t="str">
        <f t="shared" si="1"/>
        <v>linda.chavez@yahoo.com</v>
      </c>
      <c r="G674" s="5" t="s">
        <v>4686</v>
      </c>
      <c r="H674" s="9">
        <v>46203.0</v>
      </c>
      <c r="I674" s="11"/>
    </row>
    <row r="675" ht="22.5" customHeight="1">
      <c r="A675" s="5" t="s">
        <v>2505</v>
      </c>
      <c r="B675" s="5" t="s">
        <v>4687</v>
      </c>
      <c r="C675" s="5" t="str">
        <f>IFERROR(__xludf.DUMMYFUNCTION("REGEXREPLACE(B675,""\D"","""")"),"5208985815")</f>
        <v>5208985815</v>
      </c>
      <c r="D675" s="12">
        <v>5.208985815E9</v>
      </c>
      <c r="E675" s="5" t="s">
        <v>4688</v>
      </c>
      <c r="F675" s="5" t="str">
        <f t="shared" si="1"/>
        <v>patricia.roberts@gmail.com</v>
      </c>
      <c r="G675" s="5" t="s">
        <v>5330</v>
      </c>
      <c r="H675" s="9">
        <v>46169.0</v>
      </c>
      <c r="I675" s="9">
        <v>46178.0</v>
      </c>
    </row>
    <row r="676" ht="22.5" customHeight="1">
      <c r="A676" s="5" t="s">
        <v>2506</v>
      </c>
      <c r="B676" s="5" t="s">
        <v>4689</v>
      </c>
      <c r="C676" s="5" t="str">
        <f>IFERROR(__xludf.DUMMYFUNCTION("REGEXREPLACE(B676,""\D"","""")"),"2592161446")</f>
        <v>2592161446</v>
      </c>
      <c r="D676" s="12">
        <v>2.592161446E9</v>
      </c>
      <c r="E676" s="5" t="s">
        <v>4690</v>
      </c>
      <c r="F676" s="5" t="str">
        <f t="shared" si="1"/>
        <v>samuel.reed@aol.com</v>
      </c>
      <c r="G676" s="5" t="s">
        <v>5331</v>
      </c>
      <c r="H676" s="9">
        <v>45837.0</v>
      </c>
      <c r="I676" s="9">
        <v>45843.0</v>
      </c>
    </row>
    <row r="677" ht="22.5" customHeight="1">
      <c r="A677" s="5" t="s">
        <v>2511</v>
      </c>
      <c r="B677" s="5" t="s">
        <v>4691</v>
      </c>
      <c r="C677" s="5" t="str">
        <f>IFERROR(__xludf.DUMMYFUNCTION("REGEXREPLACE(B677,""\D"","""")"),"5703092291")</f>
        <v>5703092291</v>
      </c>
      <c r="D677" s="12">
        <v>5.703092291E9</v>
      </c>
      <c r="E677" s="5" t="s">
        <v>4692</v>
      </c>
      <c r="F677" s="5" t="str">
        <f t="shared" si="1"/>
        <v>edward.morgan@yahoo.com</v>
      </c>
      <c r="G677" s="5" t="s">
        <v>4692</v>
      </c>
      <c r="H677" s="9">
        <v>46042.0</v>
      </c>
      <c r="I677" s="11"/>
    </row>
    <row r="678" ht="22.5" customHeight="1">
      <c r="A678" s="5" t="s">
        <v>2513</v>
      </c>
      <c r="B678" s="14" t="s">
        <v>4693</v>
      </c>
      <c r="C678" s="5" t="str">
        <f>IFERROR(__xludf.DUMMYFUNCTION("REGEXREPLACE(B678,""\D"","""")"),"6719301946")</f>
        <v>6719301946</v>
      </c>
      <c r="D678" s="12">
        <v>6.719301946E9</v>
      </c>
      <c r="E678" s="5" t="s">
        <v>4694</v>
      </c>
      <c r="F678" s="5" t="str">
        <f t="shared" si="1"/>
        <v>samuel.thomas@yahoo.com</v>
      </c>
      <c r="G678" s="5" t="s">
        <v>5332</v>
      </c>
      <c r="H678" s="9">
        <v>45873.0</v>
      </c>
      <c r="I678" s="9">
        <v>45874.0</v>
      </c>
    </row>
    <row r="679" ht="22.5" customHeight="1">
      <c r="A679" s="5" t="s">
        <v>2516</v>
      </c>
      <c r="B679" s="5" t="s">
        <v>4695</v>
      </c>
      <c r="C679" s="5" t="str">
        <f>IFERROR(__xludf.DUMMYFUNCTION("REGEXREPLACE(B679,""\D"","""")"),"7335129616")</f>
        <v>7335129616</v>
      </c>
      <c r="D679" s="12">
        <v>7.335129616E9</v>
      </c>
      <c r="E679" s="5" t="s">
        <v>4696</v>
      </c>
      <c r="F679" s="5" t="str">
        <f t="shared" si="1"/>
        <v>sarah.hernandez@outlook.com</v>
      </c>
      <c r="G679" s="5" t="s">
        <v>5333</v>
      </c>
      <c r="H679" s="9">
        <v>45830.0</v>
      </c>
      <c r="I679" s="9">
        <v>45850.0</v>
      </c>
    </row>
    <row r="680" ht="22.5" customHeight="1">
      <c r="A680" s="5" t="s">
        <v>2521</v>
      </c>
      <c r="B680" s="5" t="s">
        <v>4697</v>
      </c>
      <c r="C680" s="5" t="str">
        <f>IFERROR(__xludf.DUMMYFUNCTION("REGEXREPLACE(B680,""\D"","""")"),"2944282313")</f>
        <v>2944282313</v>
      </c>
      <c r="D680" s="12">
        <v>2.944282313E9</v>
      </c>
      <c r="F680" s="10" t="str">
        <f t="shared" si="1"/>
        <v/>
      </c>
      <c r="G680" s="10" t="s">
        <v>4964</v>
      </c>
      <c r="H680" s="9">
        <v>45977.0</v>
      </c>
      <c r="I680" s="9">
        <v>45993.0</v>
      </c>
    </row>
    <row r="681" ht="22.5" customHeight="1">
      <c r="A681" s="5" t="s">
        <v>2523</v>
      </c>
      <c r="B681" s="5" t="s">
        <v>4698</v>
      </c>
      <c r="C681" s="5" t="str">
        <f>IFERROR(__xludf.DUMMYFUNCTION("REGEXREPLACE(B681,""\D"","""")"),"2639739302")</f>
        <v>2639739302</v>
      </c>
      <c r="D681" s="12">
        <v>2.639739302E9</v>
      </c>
      <c r="E681" s="5" t="s">
        <v>4699</v>
      </c>
      <c r="F681" s="5" t="str">
        <f t="shared" si="1"/>
        <v>edward.evans@outlook.com</v>
      </c>
      <c r="G681" s="5" t="s">
        <v>4699</v>
      </c>
      <c r="H681" s="9">
        <v>46138.0</v>
      </c>
      <c r="I681" s="11"/>
    </row>
    <row r="682" ht="22.5" customHeight="1">
      <c r="A682" s="5" t="s">
        <v>2526</v>
      </c>
      <c r="B682" s="5" t="s">
        <v>4700</v>
      </c>
      <c r="C682" s="5" t="str">
        <f>IFERROR(__xludf.DUMMYFUNCTION("REGEXREPLACE(B682,""\D"","""")"),"4103569965")</f>
        <v>4103569965</v>
      </c>
      <c r="D682" s="12">
        <v>4.103569965E9</v>
      </c>
      <c r="E682" s="5" t="s">
        <v>4701</v>
      </c>
      <c r="F682" s="5" t="str">
        <f t="shared" si="1"/>
        <v>mary.white@outlook.com</v>
      </c>
      <c r="G682" s="5" t="s">
        <v>5334</v>
      </c>
      <c r="H682" s="9">
        <v>46022.0</v>
      </c>
      <c r="I682" s="9">
        <v>46041.0</v>
      </c>
    </row>
    <row r="683" ht="22.5" customHeight="1">
      <c r="A683" s="5" t="s">
        <v>2527</v>
      </c>
      <c r="B683" s="14" t="s">
        <v>4702</v>
      </c>
      <c r="C683" s="5" t="str">
        <f>IFERROR(__xludf.DUMMYFUNCTION("REGEXREPLACE(B683,""\D"","""")"),"6992099278")</f>
        <v>6992099278</v>
      </c>
      <c r="D683" s="12">
        <v>6.992099278E9</v>
      </c>
      <c r="E683" s="5" t="s">
        <v>4703</v>
      </c>
      <c r="F683" s="5" t="str">
        <f t="shared" si="1"/>
        <v>melissa.chavez@gmail.com</v>
      </c>
      <c r="G683" s="5" t="s">
        <v>4703</v>
      </c>
      <c r="H683" s="9">
        <v>46005.0</v>
      </c>
      <c r="I683" s="9">
        <v>46025.0</v>
      </c>
    </row>
    <row r="684" ht="22.5" customHeight="1">
      <c r="A684" s="5" t="s">
        <v>2531</v>
      </c>
      <c r="B684" s="5" t="s">
        <v>4704</v>
      </c>
      <c r="C684" s="5" t="str">
        <f>IFERROR(__xludf.DUMMYFUNCTION("REGEXREPLACE(B684,""\D"","""")"),"8149616232")</f>
        <v>8149616232</v>
      </c>
      <c r="D684" s="12">
        <v>8.149616232E9</v>
      </c>
      <c r="E684" s="5" t="s">
        <v>4705</v>
      </c>
      <c r="F684" s="5" t="str">
        <f t="shared" si="1"/>
        <v>catherine.peterson@gmail.com</v>
      </c>
      <c r="G684" s="5" t="s">
        <v>5335</v>
      </c>
      <c r="H684" s="9">
        <v>45966.0</v>
      </c>
      <c r="I684" s="11"/>
    </row>
    <row r="685" ht="22.5" customHeight="1">
      <c r="A685" s="5" t="s">
        <v>2534</v>
      </c>
      <c r="B685" s="5" t="s">
        <v>4706</v>
      </c>
      <c r="C685" s="5" t="str">
        <f>IFERROR(__xludf.DUMMYFUNCTION("REGEXREPLACE(B685,""\D"","""")"),"8815396242")</f>
        <v>8815396242</v>
      </c>
      <c r="D685" s="12">
        <v>8.815396242E9</v>
      </c>
      <c r="E685" s="5" t="s">
        <v>4707</v>
      </c>
      <c r="F685" s="5" t="str">
        <f t="shared" si="1"/>
        <v>alexander.ruiz@outlook.com</v>
      </c>
      <c r="G685" s="5" t="s">
        <v>5336</v>
      </c>
      <c r="H685" s="9">
        <v>46065.0</v>
      </c>
      <c r="I685" s="9">
        <v>46066.0</v>
      </c>
    </row>
    <row r="686" ht="22.5" customHeight="1">
      <c r="A686" s="5" t="s">
        <v>2536</v>
      </c>
      <c r="B686" s="5" t="s">
        <v>4708</v>
      </c>
      <c r="C686" s="5" t="str">
        <f>IFERROR(__xludf.DUMMYFUNCTION("REGEXREPLACE(B686,""\D"","""")"),"9243232053")</f>
        <v>9243232053</v>
      </c>
      <c r="D686" s="12">
        <v>9.243232053E9</v>
      </c>
      <c r="E686" s="5" t="s">
        <v>4709</v>
      </c>
      <c r="F686" s="5" t="str">
        <f t="shared" si="1"/>
        <v>alexander.taylor@outlook.com</v>
      </c>
      <c r="G686" s="5" t="s">
        <v>5337</v>
      </c>
      <c r="H686" s="11"/>
      <c r="I686" s="11"/>
    </row>
    <row r="687" ht="22.5" customHeight="1">
      <c r="A687" s="5" t="s">
        <v>2538</v>
      </c>
      <c r="B687" s="5" t="s">
        <v>4710</v>
      </c>
      <c r="C687" s="5" t="str">
        <f>IFERROR(__xludf.DUMMYFUNCTION("REGEXREPLACE(B687,""\D"","""")"),"2138258785")</f>
        <v>2138258785</v>
      </c>
      <c r="D687" s="12">
        <v>2.138258785E9</v>
      </c>
      <c r="E687" s="5" t="s">
        <v>4711</v>
      </c>
      <c r="F687" s="5" t="str">
        <f t="shared" si="1"/>
        <v>sharon.harris@outlook.com</v>
      </c>
      <c r="G687" s="5" t="s">
        <v>4711</v>
      </c>
      <c r="H687" s="9">
        <v>46120.0</v>
      </c>
      <c r="I687" s="9">
        <v>46142.0</v>
      </c>
    </row>
    <row r="688" ht="22.5" customHeight="1">
      <c r="A688" s="5" t="s">
        <v>2541</v>
      </c>
      <c r="B688" s="5" t="s">
        <v>4713</v>
      </c>
      <c r="C688" s="5" t="str">
        <f>IFERROR(__xludf.DUMMYFUNCTION("REGEXREPLACE(B688,""\D"","""")"),"3707602201")</f>
        <v>3707602201</v>
      </c>
      <c r="D688" s="12">
        <v>3.707602201E9</v>
      </c>
      <c r="E688" s="5" t="s">
        <v>4714</v>
      </c>
      <c r="F688" s="5" t="str">
        <f t="shared" si="1"/>
        <v>jennifer.james@hotmail.com</v>
      </c>
      <c r="G688" s="5" t="s">
        <v>4714</v>
      </c>
      <c r="H688" s="9">
        <v>45921.0</v>
      </c>
      <c r="I688" s="9">
        <v>45936.0</v>
      </c>
    </row>
    <row r="689" ht="22.5" customHeight="1">
      <c r="A689" s="5" t="s">
        <v>2543</v>
      </c>
      <c r="B689" s="5" t="s">
        <v>4715</v>
      </c>
      <c r="C689" s="5" t="str">
        <f>IFERROR(__xludf.DUMMYFUNCTION("REGEXREPLACE(B689,""\D"","""")"),"8649693614")</f>
        <v>8649693614</v>
      </c>
      <c r="D689" s="12">
        <v>8.649693614E9</v>
      </c>
      <c r="E689" s="5" t="s">
        <v>4716</v>
      </c>
      <c r="F689" s="5" t="str">
        <f t="shared" si="1"/>
        <v>cynthia.hall@aol.com</v>
      </c>
      <c r="G689" s="5" t="s">
        <v>4716</v>
      </c>
      <c r="H689" s="9">
        <v>46024.0</v>
      </c>
      <c r="I689" s="11"/>
    </row>
    <row r="690" ht="22.5" customHeight="1">
      <c r="A690" s="5" t="s">
        <v>2547</v>
      </c>
      <c r="B690" s="5" t="s">
        <v>4717</v>
      </c>
      <c r="C690" s="5" t="str">
        <f>IFERROR(__xludf.DUMMYFUNCTION("REGEXREPLACE(B690,""\D"","""")"),"4824834001")</f>
        <v>4824834001</v>
      </c>
      <c r="D690" s="12">
        <v>4.824834001E9</v>
      </c>
      <c r="E690" s="5" t="s">
        <v>4718</v>
      </c>
      <c r="F690" s="5" t="str">
        <f t="shared" si="1"/>
        <v>pamela.smith@hotmail.com</v>
      </c>
      <c r="G690" s="5" t="s">
        <v>4718</v>
      </c>
      <c r="H690" s="9">
        <v>46262.0</v>
      </c>
      <c r="I690" s="11"/>
    </row>
    <row r="691" ht="22.5" customHeight="1">
      <c r="A691" s="5" t="s">
        <v>2549</v>
      </c>
      <c r="B691" s="14" t="s">
        <v>4720</v>
      </c>
      <c r="C691" s="5" t="str">
        <f>IFERROR(__xludf.DUMMYFUNCTION("REGEXREPLACE(B691,""\D"","""")"),"6427532990")</f>
        <v>6427532990</v>
      </c>
      <c r="D691" s="12">
        <v>6.42753299E9</v>
      </c>
      <c r="E691" s="5" t="s">
        <v>4721</v>
      </c>
      <c r="F691" s="5" t="str">
        <f t="shared" si="1"/>
        <v>ashley.martin@gmail.com</v>
      </c>
      <c r="G691" s="5" t="s">
        <v>5338</v>
      </c>
      <c r="H691" s="11"/>
      <c r="I691" s="11"/>
    </row>
    <row r="692" ht="22.5" customHeight="1">
      <c r="A692" s="5" t="s">
        <v>2551</v>
      </c>
      <c r="B692" s="5" t="s">
        <v>4722</v>
      </c>
      <c r="C692" s="5" t="str">
        <f>IFERROR(__xludf.DUMMYFUNCTION("REGEXREPLACE(B692,""\D"","""")"),"7566067414")</f>
        <v>7566067414</v>
      </c>
      <c r="D692" s="12">
        <v>7.566067414E9</v>
      </c>
      <c r="E692" s="5" t="s">
        <v>4723</v>
      </c>
      <c r="F692" s="5" t="str">
        <f t="shared" si="1"/>
        <v>william.torres@hotmail.com</v>
      </c>
      <c r="G692" s="5" t="s">
        <v>4723</v>
      </c>
      <c r="H692" s="9">
        <v>45832.0</v>
      </c>
      <c r="I692" s="9">
        <v>45849.0</v>
      </c>
    </row>
    <row r="693" ht="22.5" customHeight="1">
      <c r="A693" s="5" t="s">
        <v>2554</v>
      </c>
      <c r="B693" s="5" t="s">
        <v>4724</v>
      </c>
      <c r="C693" s="5" t="str">
        <f>IFERROR(__xludf.DUMMYFUNCTION("REGEXREPLACE(B693,""\D"","""")"),"2384882254")</f>
        <v>2384882254</v>
      </c>
      <c r="D693" s="12">
        <v>2.384882254E9</v>
      </c>
      <c r="E693" s="5" t="s">
        <v>4725</v>
      </c>
      <c r="F693" s="5" t="str">
        <f t="shared" si="1"/>
        <v>jonathan.nelson@aol.com</v>
      </c>
      <c r="G693" s="5" t="s">
        <v>4725</v>
      </c>
      <c r="H693" s="9">
        <v>45735.0</v>
      </c>
      <c r="I693" s="9">
        <v>45756.0</v>
      </c>
    </row>
    <row r="694" ht="22.5" customHeight="1">
      <c r="A694" s="5" t="s">
        <v>2558</v>
      </c>
      <c r="B694" s="5" t="s">
        <v>4726</v>
      </c>
      <c r="C694" s="5" t="str">
        <f>IFERROR(__xludf.DUMMYFUNCTION("REGEXREPLACE(B694,""\D"","""")"),"9939751110")</f>
        <v>9939751110</v>
      </c>
      <c r="D694" s="12">
        <v>9.93975111E9</v>
      </c>
      <c r="E694" s="5" t="s">
        <v>4727</v>
      </c>
      <c r="F694" s="5" t="str">
        <f t="shared" si="1"/>
        <v>amanda.clark@hotmail.com</v>
      </c>
      <c r="G694" s="5" t="s">
        <v>5339</v>
      </c>
      <c r="H694" s="9">
        <v>46197.0</v>
      </c>
      <c r="I694" s="9">
        <v>46200.0</v>
      </c>
    </row>
    <row r="695" ht="22.5" customHeight="1">
      <c r="A695" s="5" t="s">
        <v>2560</v>
      </c>
      <c r="B695" s="5" t="s">
        <v>4728</v>
      </c>
      <c r="C695" s="5" t="str">
        <f>IFERROR(__xludf.DUMMYFUNCTION("REGEXREPLACE(B695,""\D"","""")"),"4944212905")</f>
        <v>4944212905</v>
      </c>
      <c r="D695" s="12">
        <v>4.944212905E9</v>
      </c>
      <c r="E695" s="5" t="s">
        <v>4729</v>
      </c>
      <c r="F695" s="5" t="str">
        <f t="shared" si="1"/>
        <v>larry.hernandez@outlook.com</v>
      </c>
      <c r="G695" s="5" t="s">
        <v>4729</v>
      </c>
      <c r="H695" s="9">
        <v>45933.0</v>
      </c>
      <c r="I695" s="9">
        <v>45959.0</v>
      </c>
    </row>
    <row r="696" ht="22.5" customHeight="1">
      <c r="A696" s="5" t="s">
        <v>2563</v>
      </c>
      <c r="B696" s="5" t="s">
        <v>4730</v>
      </c>
      <c r="C696" s="5" t="str">
        <f>IFERROR(__xludf.DUMMYFUNCTION("REGEXREPLACE(B696,""\D"","""")"),"8082735899")</f>
        <v>8082735899</v>
      </c>
      <c r="D696" s="12">
        <v>8.082735899E9</v>
      </c>
      <c r="E696" s="5" t="s">
        <v>4731</v>
      </c>
      <c r="F696" s="5" t="str">
        <f t="shared" si="1"/>
        <v>brian.howard@outlook.com</v>
      </c>
      <c r="G696" s="5" t="s">
        <v>5340</v>
      </c>
      <c r="H696" s="9">
        <v>45865.0</v>
      </c>
      <c r="I696" s="9">
        <v>45866.0</v>
      </c>
    </row>
    <row r="697" ht="22.5" customHeight="1">
      <c r="A697" s="5" t="s">
        <v>2567</v>
      </c>
      <c r="B697" s="5" t="s">
        <v>4733</v>
      </c>
      <c r="C697" s="5" t="str">
        <f>IFERROR(__xludf.DUMMYFUNCTION("REGEXREPLACE(B697,""\D"","""")"),"3067162088")</f>
        <v>3067162088</v>
      </c>
      <c r="D697" s="12">
        <v>3.067162088E9</v>
      </c>
      <c r="E697" s="5" t="s">
        <v>4734</v>
      </c>
      <c r="F697" s="5" t="str">
        <f t="shared" si="1"/>
        <v>nicole.roberts@aol.com</v>
      </c>
      <c r="G697" s="5" t="s">
        <v>5341</v>
      </c>
      <c r="H697" s="9">
        <v>46244.0</v>
      </c>
      <c r="I697" s="9">
        <v>46254.0</v>
      </c>
    </row>
    <row r="698" ht="22.5" customHeight="1">
      <c r="A698" s="5" t="s">
        <v>2569</v>
      </c>
      <c r="B698" s="5" t="s">
        <v>4735</v>
      </c>
      <c r="C698" s="5" t="str">
        <f>IFERROR(__xludf.DUMMYFUNCTION("REGEXREPLACE(B698,""\D"","""")"),"9344384196")</f>
        <v>9344384196</v>
      </c>
      <c r="D698" s="12">
        <v>9.344384196E9</v>
      </c>
      <c r="E698" s="5" t="s">
        <v>4736</v>
      </c>
      <c r="F698" s="5" t="str">
        <f t="shared" si="1"/>
        <v>steven.garcia@aol.com</v>
      </c>
      <c r="G698" s="5" t="s">
        <v>5342</v>
      </c>
      <c r="H698" s="9">
        <v>45887.0</v>
      </c>
      <c r="I698" s="9">
        <v>45908.0</v>
      </c>
    </row>
    <row r="699" ht="22.5" customHeight="1">
      <c r="A699" s="5" t="s">
        <v>2571</v>
      </c>
      <c r="B699" s="5" t="s">
        <v>4737</v>
      </c>
      <c r="C699" s="5" t="str">
        <f>IFERROR(__xludf.DUMMYFUNCTION("REGEXREPLACE(B699,""\D"","""")"),"5016708093")</f>
        <v>5016708093</v>
      </c>
      <c r="D699" s="12">
        <v>5.016708093E9</v>
      </c>
      <c r="E699" s="5" t="s">
        <v>4738</v>
      </c>
      <c r="F699" s="5" t="str">
        <f t="shared" si="1"/>
        <v>edward.mitchell@gmail.com</v>
      </c>
      <c r="G699" s="5" t="s">
        <v>5343</v>
      </c>
      <c r="H699" s="9">
        <v>45990.0</v>
      </c>
      <c r="I699" s="9">
        <v>45998.0</v>
      </c>
    </row>
    <row r="700" ht="22.5" customHeight="1">
      <c r="A700" s="5" t="s">
        <v>2575</v>
      </c>
      <c r="B700" s="5" t="s">
        <v>4739</v>
      </c>
      <c r="C700" s="5" t="str">
        <f>IFERROR(__xludf.DUMMYFUNCTION("REGEXREPLACE(B700,""\D"","""")"),"5396535579")</f>
        <v>5396535579</v>
      </c>
      <c r="D700" s="12">
        <v>5.396535579E9</v>
      </c>
      <c r="E700" s="5" t="s">
        <v>4740</v>
      </c>
      <c r="F700" s="5" t="str">
        <f t="shared" si="1"/>
        <v>amanda.harris@yahoo.com</v>
      </c>
      <c r="G700" s="5" t="s">
        <v>4740</v>
      </c>
      <c r="H700" s="9">
        <v>46192.0</v>
      </c>
      <c r="I700" s="9">
        <v>46204.0</v>
      </c>
    </row>
    <row r="701" ht="22.5" customHeight="1">
      <c r="A701" s="5" t="s">
        <v>2578</v>
      </c>
      <c r="B701" s="14" t="s">
        <v>4741</v>
      </c>
      <c r="C701" s="5" t="str">
        <f>IFERROR(__xludf.DUMMYFUNCTION("REGEXREPLACE(B701,""\D"","""")"),"7168008948")</f>
        <v>7168008948</v>
      </c>
      <c r="D701" s="12">
        <v>7.168008948E9</v>
      </c>
      <c r="E701" s="5" t="s">
        <v>4742</v>
      </c>
      <c r="F701" s="5" t="str">
        <f t="shared" si="1"/>
        <v>ashley.flores@yahoo.com</v>
      </c>
      <c r="G701" s="5" t="s">
        <v>5344</v>
      </c>
      <c r="H701" s="9">
        <v>46127.0</v>
      </c>
      <c r="I701" s="9">
        <v>46155.0</v>
      </c>
    </row>
    <row r="702" ht="22.5" customHeight="1">
      <c r="A702" s="5" t="s">
        <v>2579</v>
      </c>
      <c r="B702" s="5" t="s">
        <v>4744</v>
      </c>
      <c r="C702" s="5" t="str">
        <f>IFERROR(__xludf.DUMMYFUNCTION("REGEXREPLACE(B702,""\D"","""")"),"9519276260")</f>
        <v>9519276260</v>
      </c>
      <c r="D702" s="12">
        <v>9.51927626E9</v>
      </c>
      <c r="E702" s="5" t="s">
        <v>4745</v>
      </c>
      <c r="F702" s="5" t="str">
        <f t="shared" si="1"/>
        <v>stephanie.white@hotmail.com</v>
      </c>
      <c r="G702" s="5" t="s">
        <v>5345</v>
      </c>
      <c r="H702" s="9">
        <v>46012.0</v>
      </c>
      <c r="I702" s="9">
        <v>46021.0</v>
      </c>
    </row>
    <row r="703" ht="22.5" customHeight="1">
      <c r="A703" s="5" t="s">
        <v>2582</v>
      </c>
      <c r="B703" s="5" t="s">
        <v>4746</v>
      </c>
      <c r="C703" s="5" t="str">
        <f>IFERROR(__xludf.DUMMYFUNCTION("REGEXREPLACE(B703,""\D"","""")"),"9545549368")</f>
        <v>9545549368</v>
      </c>
      <c r="D703" s="12">
        <v>9.545549368E9</v>
      </c>
      <c r="E703" s="5" t="s">
        <v>4747</v>
      </c>
      <c r="F703" s="5" t="str">
        <f t="shared" si="1"/>
        <v>justin.nelson@hotmail.com</v>
      </c>
      <c r="G703" s="5" t="s">
        <v>5346</v>
      </c>
      <c r="H703" s="9">
        <v>46130.0</v>
      </c>
      <c r="I703" s="9">
        <v>46142.0</v>
      </c>
    </row>
    <row r="704" ht="22.5" customHeight="1">
      <c r="A704" s="5" t="s">
        <v>2584</v>
      </c>
      <c r="B704" s="5" t="s">
        <v>4749</v>
      </c>
      <c r="C704" s="5" t="str">
        <f>IFERROR(__xludf.DUMMYFUNCTION("REGEXREPLACE(B704,""\D"","""")"),"4419636980")</f>
        <v>4419636980</v>
      </c>
      <c r="D704" s="12">
        <v>4.41963698E9</v>
      </c>
      <c r="E704" s="5" t="s">
        <v>4750</v>
      </c>
      <c r="F704" s="5" t="str">
        <f t="shared" si="1"/>
        <v>nancy.garcia@yahoo.com</v>
      </c>
      <c r="G704" s="5" t="s">
        <v>5347</v>
      </c>
      <c r="H704" s="9">
        <v>45797.0</v>
      </c>
      <c r="I704" s="11"/>
    </row>
    <row r="705" ht="22.5" customHeight="1">
      <c r="A705" s="5" t="s">
        <v>2588</v>
      </c>
      <c r="B705" s="14" t="s">
        <v>4751</v>
      </c>
      <c r="C705" s="5" t="str">
        <f>IFERROR(__xludf.DUMMYFUNCTION("REGEXREPLACE(B705,""\D"","""")"),"2463179033")</f>
        <v>2463179033</v>
      </c>
      <c r="D705" s="12">
        <v>2.463179033E9</v>
      </c>
      <c r="E705" s="5" t="s">
        <v>4752</v>
      </c>
      <c r="F705" s="5" t="str">
        <f t="shared" si="1"/>
        <v>kimberly.anderson@hotmail.com</v>
      </c>
      <c r="G705" s="5" t="s">
        <v>4752</v>
      </c>
      <c r="H705" s="9">
        <v>46210.0</v>
      </c>
      <c r="I705" s="9">
        <v>46211.0</v>
      </c>
    </row>
    <row r="706" ht="22.5" customHeight="1">
      <c r="A706" s="5" t="s">
        <v>2592</v>
      </c>
      <c r="B706" s="14" t="s">
        <v>4753</v>
      </c>
      <c r="C706" s="5" t="str">
        <f>IFERROR(__xludf.DUMMYFUNCTION("REGEXREPLACE(B706,""\D"","""")"),"2932152729")</f>
        <v>2932152729</v>
      </c>
      <c r="D706" s="12">
        <v>2.932152729E9</v>
      </c>
      <c r="E706" s="5" t="s">
        <v>4754</v>
      </c>
      <c r="F706" s="5" t="str">
        <f t="shared" si="1"/>
        <v>rebecca.gomez@gmail.com</v>
      </c>
      <c r="G706" s="5" t="s">
        <v>5348</v>
      </c>
      <c r="H706" s="9">
        <v>45858.0</v>
      </c>
      <c r="I706" s="11"/>
    </row>
    <row r="707" ht="22.5" customHeight="1">
      <c r="A707" s="5" t="s">
        <v>2594</v>
      </c>
      <c r="B707" s="5" t="s">
        <v>4755</v>
      </c>
      <c r="C707" s="5" t="str">
        <f>IFERROR(__xludf.DUMMYFUNCTION("REGEXREPLACE(B707,""\D"","""")"),"5698359987")</f>
        <v>5698359987</v>
      </c>
      <c r="D707" s="12">
        <v>5.698359987E9</v>
      </c>
      <c r="E707" s="5" t="s">
        <v>4756</v>
      </c>
      <c r="F707" s="5" t="str">
        <f t="shared" si="1"/>
        <v>ronald.kim@outlook.com</v>
      </c>
      <c r="G707" s="5" t="s">
        <v>5349</v>
      </c>
      <c r="H707" s="9">
        <v>45878.0</v>
      </c>
      <c r="I707" s="9">
        <v>45888.0</v>
      </c>
    </row>
    <row r="708" ht="22.5" customHeight="1">
      <c r="A708" s="5" t="s">
        <v>2598</v>
      </c>
      <c r="B708" s="14" t="s">
        <v>4757</v>
      </c>
      <c r="C708" s="5" t="str">
        <f>IFERROR(__xludf.DUMMYFUNCTION("REGEXREPLACE(B708,""\D"","""")"),"6478656850")</f>
        <v>6478656850</v>
      </c>
      <c r="D708" s="12">
        <v>6.47865685E9</v>
      </c>
      <c r="F708" s="10" t="str">
        <f t="shared" si="1"/>
        <v/>
      </c>
      <c r="G708" s="10" t="s">
        <v>4964</v>
      </c>
      <c r="H708" s="9">
        <v>46205.0</v>
      </c>
      <c r="I708" s="9">
        <v>46222.0</v>
      </c>
    </row>
    <row r="709" ht="22.5" customHeight="1">
      <c r="A709" s="5" t="s">
        <v>2601</v>
      </c>
      <c r="B709" s="5" t="s">
        <v>4759</v>
      </c>
      <c r="C709" s="5" t="str">
        <f>IFERROR(__xludf.DUMMYFUNCTION("REGEXREPLACE(B709,""\D"","""")"),"3229501913")</f>
        <v>3229501913</v>
      </c>
      <c r="D709" s="12">
        <v>3.229501913E9</v>
      </c>
      <c r="E709" s="5" t="s">
        <v>4760</v>
      </c>
      <c r="F709" s="5" t="str">
        <f t="shared" si="1"/>
        <v>gregory.gomez@gmail.com</v>
      </c>
      <c r="G709" s="5" t="s">
        <v>5350</v>
      </c>
      <c r="H709" s="9">
        <v>45914.0</v>
      </c>
      <c r="I709" s="9">
        <v>45932.0</v>
      </c>
    </row>
    <row r="710" ht="22.5" customHeight="1">
      <c r="A710" s="5" t="s">
        <v>2602</v>
      </c>
      <c r="B710" s="14" t="s">
        <v>4761</v>
      </c>
      <c r="C710" s="5" t="str">
        <f>IFERROR(__xludf.DUMMYFUNCTION("REGEXREPLACE(B710,""\D"","""")"),"7124522161")</f>
        <v>7124522161</v>
      </c>
      <c r="D710" s="12">
        <v>7.124522161E9</v>
      </c>
      <c r="E710" s="5" t="s">
        <v>4762</v>
      </c>
      <c r="F710" s="5" t="str">
        <f t="shared" si="1"/>
        <v>joshua.lee@aol.com</v>
      </c>
      <c r="G710" s="5" t="s">
        <v>5351</v>
      </c>
      <c r="H710" s="9">
        <v>46041.0</v>
      </c>
      <c r="I710" s="9">
        <v>46063.0</v>
      </c>
    </row>
    <row r="711" ht="22.5" customHeight="1">
      <c r="A711" s="5" t="s">
        <v>2603</v>
      </c>
      <c r="B711" s="5" t="s">
        <v>4763</v>
      </c>
      <c r="C711" s="5" t="str">
        <f>IFERROR(__xludf.DUMMYFUNCTION("REGEXREPLACE(B711,""\D"","""")"),"2317911751")</f>
        <v>2317911751</v>
      </c>
      <c r="D711" s="12">
        <v>2.317911751E9</v>
      </c>
      <c r="E711" s="5" t="s">
        <v>4764</v>
      </c>
      <c r="F711" s="5" t="str">
        <f t="shared" si="1"/>
        <v>steven.baker@gmail.com</v>
      </c>
      <c r="G711" s="5" t="s">
        <v>4764</v>
      </c>
      <c r="H711" s="11"/>
      <c r="I711" s="11"/>
    </row>
    <row r="712" ht="22.5" customHeight="1">
      <c r="A712" s="5" t="s">
        <v>2605</v>
      </c>
      <c r="B712" s="5" t="s">
        <v>4765</v>
      </c>
      <c r="C712" s="5" t="str">
        <f>IFERROR(__xludf.DUMMYFUNCTION("REGEXREPLACE(B712,""\D"","""")"),"8245931027")</f>
        <v>8245931027</v>
      </c>
      <c r="D712" s="12">
        <v>8.245931027E9</v>
      </c>
      <c r="E712" s="5" t="s">
        <v>4766</v>
      </c>
      <c r="F712" s="5" t="str">
        <f t="shared" si="1"/>
        <v>ruth.allen@outlook.com</v>
      </c>
      <c r="G712" s="5" t="s">
        <v>5352</v>
      </c>
      <c r="H712" s="9">
        <v>45783.0</v>
      </c>
      <c r="I712" s="11"/>
    </row>
    <row r="713" ht="22.5" customHeight="1">
      <c r="A713" s="5" t="s">
        <v>2607</v>
      </c>
      <c r="B713" s="5" t="s">
        <v>4768</v>
      </c>
      <c r="C713" s="5" t="str">
        <f>IFERROR(__xludf.DUMMYFUNCTION("REGEXREPLACE(B713,""\D"","""")"),"6184801602")</f>
        <v>6184801602</v>
      </c>
      <c r="D713" s="12">
        <v>6.184801602E9</v>
      </c>
      <c r="F713" s="10" t="str">
        <f t="shared" si="1"/>
        <v/>
      </c>
      <c r="G713" s="10" t="s">
        <v>4964</v>
      </c>
      <c r="H713" s="9">
        <v>45882.0</v>
      </c>
      <c r="I713" s="9">
        <v>45903.0</v>
      </c>
    </row>
    <row r="714" ht="22.5" customHeight="1">
      <c r="A714" s="5" t="s">
        <v>2611</v>
      </c>
      <c r="B714" s="5" t="s">
        <v>4769</v>
      </c>
      <c r="C714" s="5" t="str">
        <f>IFERROR(__xludf.DUMMYFUNCTION("REGEXREPLACE(B714,""\D"","""")"),"9878384572")</f>
        <v>9878384572</v>
      </c>
      <c r="D714" s="12">
        <v>9.878384572E9</v>
      </c>
      <c r="E714" s="5" t="s">
        <v>4770</v>
      </c>
      <c r="F714" s="5" t="str">
        <f t="shared" si="1"/>
        <v>william.morgan@hotmail.com</v>
      </c>
      <c r="G714" s="5" t="s">
        <v>5353</v>
      </c>
      <c r="H714" s="9">
        <v>45943.0</v>
      </c>
      <c r="I714" s="9">
        <v>45949.0</v>
      </c>
    </row>
    <row r="715" ht="22.5" customHeight="1">
      <c r="A715" s="5" t="s">
        <v>2613</v>
      </c>
      <c r="C715" s="10" t="str">
        <f>IFERROR(__xludf.DUMMYFUNCTION("REGEXREPLACE(B715,""\D"","""")"),"")</f>
        <v/>
      </c>
      <c r="D715" s="13" t="s">
        <v>4964</v>
      </c>
      <c r="E715" s="5" t="s">
        <v>4729</v>
      </c>
      <c r="F715" s="5" t="str">
        <f t="shared" si="1"/>
        <v>larry.hernandez@outlook.com</v>
      </c>
      <c r="G715" s="5" t="s">
        <v>4729</v>
      </c>
      <c r="H715" s="9">
        <v>46093.0</v>
      </c>
      <c r="I715" s="9">
        <v>46116.0</v>
      </c>
    </row>
    <row r="716" ht="22.5" customHeight="1">
      <c r="A716" s="5" t="s">
        <v>2616</v>
      </c>
      <c r="B716" s="5" t="s">
        <v>4771</v>
      </c>
      <c r="C716" s="5" t="str">
        <f>IFERROR(__xludf.DUMMYFUNCTION("REGEXREPLACE(B716,""\D"","""")"),"7657059851")</f>
        <v>7657059851</v>
      </c>
      <c r="D716" s="12">
        <v>7.657059851E9</v>
      </c>
      <c r="E716" s="5" t="s">
        <v>4772</v>
      </c>
      <c r="F716" s="5" t="str">
        <f t="shared" si="1"/>
        <v>john.campbell@yahoo.com</v>
      </c>
      <c r="G716" s="5" t="s">
        <v>5354</v>
      </c>
      <c r="H716" s="9">
        <v>46109.0</v>
      </c>
      <c r="I716" s="9">
        <v>46113.0</v>
      </c>
    </row>
    <row r="717" ht="22.5" customHeight="1">
      <c r="A717" s="5" t="s">
        <v>2617</v>
      </c>
      <c r="B717" s="5" t="s">
        <v>4773</v>
      </c>
      <c r="C717" s="5" t="str">
        <f>IFERROR(__xludf.DUMMYFUNCTION("REGEXREPLACE(B717,""\D"","""")"),"7152521940")</f>
        <v>7152521940</v>
      </c>
      <c r="D717" s="12">
        <v>7.15252194E9</v>
      </c>
      <c r="E717" s="5" t="s">
        <v>4774</v>
      </c>
      <c r="F717" s="5" t="str">
        <f t="shared" si="1"/>
        <v>jeffrey.taylor@outlook.com</v>
      </c>
      <c r="G717" s="5" t="s">
        <v>4774</v>
      </c>
      <c r="H717" s="9">
        <v>46133.0</v>
      </c>
      <c r="I717" s="9">
        <v>46143.0</v>
      </c>
    </row>
    <row r="718" ht="22.5" customHeight="1">
      <c r="A718" s="5" t="s">
        <v>2620</v>
      </c>
      <c r="B718" s="5" t="s">
        <v>4775</v>
      </c>
      <c r="C718" s="5" t="str">
        <f>IFERROR(__xludf.DUMMYFUNCTION("REGEXREPLACE(B718,""\D"","""")"),"8927917649")</f>
        <v>8927917649</v>
      </c>
      <c r="D718" s="12">
        <v>8.927917649E9</v>
      </c>
      <c r="E718" s="5" t="s">
        <v>4776</v>
      </c>
      <c r="F718" s="5" t="str">
        <f t="shared" si="1"/>
        <v>justin.allen@hotmail.com</v>
      </c>
      <c r="G718" s="5" t="s">
        <v>5355</v>
      </c>
      <c r="H718" s="9">
        <v>46223.0</v>
      </c>
      <c r="I718" s="11"/>
    </row>
    <row r="719" ht="22.5" customHeight="1">
      <c r="A719" s="5" t="s">
        <v>2623</v>
      </c>
      <c r="B719" s="5" t="s">
        <v>4777</v>
      </c>
      <c r="C719" s="5" t="str">
        <f>IFERROR(__xludf.DUMMYFUNCTION("REGEXREPLACE(B719,""\D"","""")"),"6707521256")</f>
        <v>6707521256</v>
      </c>
      <c r="D719" s="12">
        <v>6.707521256E9</v>
      </c>
      <c r="E719" s="5" t="s">
        <v>4778</v>
      </c>
      <c r="F719" s="5" t="str">
        <f t="shared" si="1"/>
        <v>edward.sanders@aol.com</v>
      </c>
      <c r="G719" s="5" t="s">
        <v>5356</v>
      </c>
      <c r="H719" s="9">
        <v>46015.0</v>
      </c>
      <c r="I719" s="11"/>
    </row>
    <row r="720" ht="22.5" customHeight="1">
      <c r="A720" s="5" t="s">
        <v>2626</v>
      </c>
      <c r="B720" s="5" t="s">
        <v>4779</v>
      </c>
      <c r="C720" s="5" t="str">
        <f>IFERROR(__xludf.DUMMYFUNCTION("REGEXREPLACE(B720,""\D"","""")"),"5805571700")</f>
        <v>5805571700</v>
      </c>
      <c r="D720" s="12">
        <v>5.8055717E9</v>
      </c>
      <c r="E720" s="5" t="s">
        <v>4780</v>
      </c>
      <c r="F720" s="5" t="str">
        <f t="shared" si="1"/>
        <v>carolyn.foster@outlook.com</v>
      </c>
      <c r="G720" s="5" t="s">
        <v>5357</v>
      </c>
      <c r="H720" s="9">
        <v>45735.0</v>
      </c>
      <c r="I720" s="9">
        <v>45735.0</v>
      </c>
    </row>
    <row r="721" ht="22.5" customHeight="1">
      <c r="A721" s="5" t="s">
        <v>2630</v>
      </c>
      <c r="B721" s="5" t="s">
        <v>4781</v>
      </c>
      <c r="C721" s="5" t="str">
        <f>IFERROR(__xludf.DUMMYFUNCTION("REGEXREPLACE(B721,""\D"","""")"),"6048399204")</f>
        <v>6048399204</v>
      </c>
      <c r="D721" s="12">
        <v>6.048399204E9</v>
      </c>
      <c r="E721" s="5" t="s">
        <v>4782</v>
      </c>
      <c r="F721" s="5" t="str">
        <f t="shared" si="1"/>
        <v>maria.hernandez@hotmail.com</v>
      </c>
      <c r="G721" s="5" t="s">
        <v>4782</v>
      </c>
      <c r="H721" s="9">
        <v>45803.0</v>
      </c>
      <c r="I721" s="9">
        <v>45804.0</v>
      </c>
    </row>
    <row r="722" ht="22.5" customHeight="1">
      <c r="A722" s="5" t="s">
        <v>2632</v>
      </c>
      <c r="B722" s="5" t="s">
        <v>4783</v>
      </c>
      <c r="C722" s="5" t="str">
        <f>IFERROR(__xludf.DUMMYFUNCTION("REGEXREPLACE(B722,""\D"","""")"),"6877592399")</f>
        <v>6877592399</v>
      </c>
      <c r="D722" s="12">
        <v>6.877592399E9</v>
      </c>
      <c r="E722" s="5" t="s">
        <v>4784</v>
      </c>
      <c r="F722" s="5" t="str">
        <f t="shared" si="1"/>
        <v>jeffrey.richardson@hotmail.com</v>
      </c>
      <c r="G722" s="5" t="s">
        <v>5358</v>
      </c>
      <c r="H722" s="11"/>
      <c r="I722" s="11"/>
    </row>
    <row r="723" ht="22.5" customHeight="1">
      <c r="A723" s="5" t="s">
        <v>2634</v>
      </c>
      <c r="B723" s="14" t="s">
        <v>4785</v>
      </c>
      <c r="C723" s="5" t="str">
        <f>IFERROR(__xludf.DUMMYFUNCTION("REGEXREPLACE(B723,""\D"","""")"),"2215147761")</f>
        <v>2215147761</v>
      </c>
      <c r="D723" s="12">
        <v>2.215147761E9</v>
      </c>
      <c r="E723" s="5" t="s">
        <v>4786</v>
      </c>
      <c r="F723" s="5" t="str">
        <f t="shared" si="1"/>
        <v>donald.hill@aol.com</v>
      </c>
      <c r="G723" s="5" t="s">
        <v>4786</v>
      </c>
      <c r="H723" s="9">
        <v>46199.0</v>
      </c>
      <c r="I723" s="11"/>
    </row>
    <row r="724" ht="22.5" customHeight="1">
      <c r="A724" s="5" t="s">
        <v>2637</v>
      </c>
      <c r="B724" s="5" t="s">
        <v>4787</v>
      </c>
      <c r="C724" s="5" t="str">
        <f>IFERROR(__xludf.DUMMYFUNCTION("REGEXREPLACE(B724,""\D"","""")"),"8443316458")</f>
        <v>8443316458</v>
      </c>
      <c r="D724" s="12">
        <v>8.443316458E9</v>
      </c>
      <c r="E724" s="5" t="s">
        <v>4788</v>
      </c>
      <c r="F724" s="5" t="str">
        <f t="shared" si="1"/>
        <v>nicole.lopez@aol.com</v>
      </c>
      <c r="G724" s="5" t="s">
        <v>4788</v>
      </c>
      <c r="H724" s="9">
        <v>46239.0</v>
      </c>
      <c r="I724" s="9">
        <v>46242.0</v>
      </c>
    </row>
    <row r="725" ht="22.5" customHeight="1">
      <c r="A725" s="5" t="s">
        <v>2639</v>
      </c>
      <c r="B725" s="5" t="s">
        <v>4789</v>
      </c>
      <c r="C725" s="5" t="str">
        <f>IFERROR(__xludf.DUMMYFUNCTION("REGEXREPLACE(B725,""\D"","""")"),"9194382705")</f>
        <v>9194382705</v>
      </c>
      <c r="D725" s="12">
        <v>9.194382705E9</v>
      </c>
      <c r="E725" s="5" t="s">
        <v>4790</v>
      </c>
      <c r="F725" s="5" t="str">
        <f t="shared" si="1"/>
        <v>richard.white@aol.com</v>
      </c>
      <c r="G725" s="5" t="s">
        <v>5359</v>
      </c>
      <c r="H725" s="9">
        <v>46203.0</v>
      </c>
      <c r="I725" s="9">
        <v>46212.0</v>
      </c>
    </row>
    <row r="726" ht="22.5" customHeight="1">
      <c r="A726" s="5" t="s">
        <v>2643</v>
      </c>
      <c r="B726" s="5" t="s">
        <v>4791</v>
      </c>
      <c r="C726" s="5" t="str">
        <f>IFERROR(__xludf.DUMMYFUNCTION("REGEXREPLACE(B726,""\D"","""")"),"4242732615")</f>
        <v>4242732615</v>
      </c>
      <c r="D726" s="12">
        <v>4.242732615E9</v>
      </c>
      <c r="E726" s="5" t="s">
        <v>4792</v>
      </c>
      <c r="F726" s="5" t="str">
        <f t="shared" si="1"/>
        <v>kathleen.miller@gmail.com</v>
      </c>
      <c r="G726" s="5" t="s">
        <v>5360</v>
      </c>
      <c r="H726" s="9">
        <v>46140.0</v>
      </c>
      <c r="I726" s="9">
        <v>46166.0</v>
      </c>
    </row>
    <row r="727" ht="22.5" customHeight="1">
      <c r="A727" s="5" t="s">
        <v>2646</v>
      </c>
      <c r="B727" s="5" t="s">
        <v>4793</v>
      </c>
      <c r="C727" s="5" t="str">
        <f>IFERROR(__xludf.DUMMYFUNCTION("REGEXREPLACE(B727,""\D"","""")"),"2648332400")</f>
        <v>2648332400</v>
      </c>
      <c r="D727" s="12">
        <v>2.6483324E9</v>
      </c>
      <c r="E727" s="5" t="s">
        <v>4794</v>
      </c>
      <c r="F727" s="5" t="str">
        <f t="shared" si="1"/>
        <v>joseph.roberts@outlook.com</v>
      </c>
      <c r="G727" s="5" t="s">
        <v>4794</v>
      </c>
      <c r="H727" s="9">
        <v>45941.0</v>
      </c>
      <c r="I727" s="11"/>
    </row>
    <row r="728" ht="22.5" customHeight="1">
      <c r="A728" s="5" t="s">
        <v>2649</v>
      </c>
      <c r="B728" s="14" t="s">
        <v>4795</v>
      </c>
      <c r="C728" s="5" t="str">
        <f>IFERROR(__xludf.DUMMYFUNCTION("REGEXREPLACE(B728,""\D"","""")"),"6146093380")</f>
        <v>6146093380</v>
      </c>
      <c r="D728" s="12">
        <v>6.14609338E9</v>
      </c>
      <c r="E728" s="5" t="s">
        <v>4796</v>
      </c>
      <c r="F728" s="5" t="str">
        <f t="shared" si="1"/>
        <v>carolyn.taylor@gmail.com</v>
      </c>
      <c r="G728" s="5" t="s">
        <v>4796</v>
      </c>
      <c r="H728" s="9">
        <v>46049.0</v>
      </c>
      <c r="I728" s="11"/>
    </row>
    <row r="729" ht="22.5" customHeight="1">
      <c r="A729" s="5" t="s">
        <v>2651</v>
      </c>
      <c r="B729" s="5" t="s">
        <v>4797</v>
      </c>
      <c r="C729" s="5" t="str">
        <f>IFERROR(__xludf.DUMMYFUNCTION("REGEXREPLACE(B729,""\D"","""")"),"9964732429")</f>
        <v>9964732429</v>
      </c>
      <c r="D729" s="12">
        <v>9.964732429E9</v>
      </c>
      <c r="E729" s="5" t="s">
        <v>4798</v>
      </c>
      <c r="F729" s="5" t="str">
        <f t="shared" si="1"/>
        <v>susan.ward@yahoo.com</v>
      </c>
      <c r="G729" s="5" t="s">
        <v>4798</v>
      </c>
      <c r="H729" s="9">
        <v>45918.0</v>
      </c>
      <c r="I729" s="11"/>
    </row>
    <row r="730" ht="22.5" customHeight="1">
      <c r="A730" s="5" t="s">
        <v>2654</v>
      </c>
      <c r="B730" s="5" t="s">
        <v>4799</v>
      </c>
      <c r="C730" s="5" t="str">
        <f>IFERROR(__xludf.DUMMYFUNCTION("REGEXREPLACE(B730,""\D"","""")"),"7153863935")</f>
        <v>7153863935</v>
      </c>
      <c r="D730" s="12">
        <v>7.153863935E9</v>
      </c>
      <c r="E730" s="5" t="s">
        <v>4800</v>
      </c>
      <c r="F730" s="5" t="str">
        <f t="shared" si="1"/>
        <v>donald.long@gmail.com</v>
      </c>
      <c r="G730" s="5" t="s">
        <v>5361</v>
      </c>
      <c r="H730" s="9">
        <v>45725.0</v>
      </c>
      <c r="I730" s="9">
        <v>45745.0</v>
      </c>
    </row>
    <row r="731" ht="22.5" customHeight="1">
      <c r="A731" s="5" t="s">
        <v>2659</v>
      </c>
      <c r="B731" s="5" t="s">
        <v>4801</v>
      </c>
      <c r="C731" s="5" t="str">
        <f>IFERROR(__xludf.DUMMYFUNCTION("REGEXREPLACE(B731,""\D"","""")"),"3766088588")</f>
        <v>3766088588</v>
      </c>
      <c r="D731" s="12">
        <v>3.766088588E9</v>
      </c>
      <c r="E731" s="5" t="s">
        <v>4802</v>
      </c>
      <c r="F731" s="5" t="str">
        <f t="shared" si="1"/>
        <v>carolyn.morales@yahoo.com</v>
      </c>
      <c r="G731" s="5" t="s">
        <v>5362</v>
      </c>
      <c r="H731" s="9">
        <v>45750.0</v>
      </c>
      <c r="I731" s="9">
        <v>45770.0</v>
      </c>
    </row>
    <row r="732" ht="22.5" customHeight="1">
      <c r="A732" s="5" t="s">
        <v>2661</v>
      </c>
      <c r="B732" s="5" t="s">
        <v>4803</v>
      </c>
      <c r="C732" s="5" t="str">
        <f>IFERROR(__xludf.DUMMYFUNCTION("REGEXREPLACE(B732,""\D"","""")"),"2786733781")</f>
        <v>2786733781</v>
      </c>
      <c r="D732" s="12">
        <v>2.786733781E9</v>
      </c>
      <c r="E732" s="5" t="s">
        <v>4804</v>
      </c>
      <c r="F732" s="5" t="str">
        <f t="shared" si="1"/>
        <v>mark.reed@aol.com</v>
      </c>
      <c r="G732" s="5" t="s">
        <v>5363</v>
      </c>
      <c r="H732" s="9">
        <v>46229.0</v>
      </c>
      <c r="I732" s="9">
        <v>46255.0</v>
      </c>
    </row>
    <row r="733" ht="22.5" customHeight="1">
      <c r="A733" s="5" t="s">
        <v>2664</v>
      </c>
      <c r="B733" s="5" t="s">
        <v>4806</v>
      </c>
      <c r="C733" s="5" t="str">
        <f>IFERROR(__xludf.DUMMYFUNCTION("REGEXREPLACE(B733,""\D"","""")"),"9259954522")</f>
        <v>9259954522</v>
      </c>
      <c r="D733" s="12">
        <v>9.259954522E9</v>
      </c>
      <c r="E733" s="5" t="s">
        <v>4807</v>
      </c>
      <c r="F733" s="5" t="str">
        <f t="shared" si="1"/>
        <v>cynthia.adams@yahoo.com</v>
      </c>
      <c r="G733" s="5" t="s">
        <v>4807</v>
      </c>
      <c r="H733" s="9">
        <v>46120.0</v>
      </c>
      <c r="I733" s="9">
        <v>46129.0</v>
      </c>
    </row>
    <row r="734" ht="22.5" customHeight="1">
      <c r="A734" s="5" t="s">
        <v>2666</v>
      </c>
      <c r="B734" s="5" t="s">
        <v>4808</v>
      </c>
      <c r="C734" s="5" t="str">
        <f>IFERROR(__xludf.DUMMYFUNCTION("REGEXREPLACE(B734,""\D"","""")"),"5208587510")</f>
        <v>5208587510</v>
      </c>
      <c r="D734" s="12">
        <v>5.20858751E9</v>
      </c>
      <c r="E734" s="5" t="s">
        <v>4809</v>
      </c>
      <c r="F734" s="5" t="str">
        <f t="shared" si="1"/>
        <v>justin.mendoza@outlook.com</v>
      </c>
      <c r="G734" s="5" t="s">
        <v>5364</v>
      </c>
      <c r="H734" s="9">
        <v>46112.0</v>
      </c>
      <c r="I734" s="11"/>
    </row>
    <row r="735" ht="22.5" customHeight="1">
      <c r="A735" s="5" t="s">
        <v>2669</v>
      </c>
      <c r="B735" s="14" t="s">
        <v>4810</v>
      </c>
      <c r="C735" s="5" t="str">
        <f>IFERROR(__xludf.DUMMYFUNCTION("REGEXREPLACE(B735,""\D"","""")"),"6624973474")</f>
        <v>6624973474</v>
      </c>
      <c r="D735" s="12">
        <v>6.624973474E9</v>
      </c>
      <c r="E735" s="5" t="s">
        <v>4811</v>
      </c>
      <c r="F735" s="5" t="str">
        <f t="shared" si="1"/>
        <v>donald.cook@yahoo.com</v>
      </c>
      <c r="G735" s="5" t="s">
        <v>5365</v>
      </c>
      <c r="H735" s="9">
        <v>45977.0</v>
      </c>
      <c r="I735" s="11"/>
    </row>
    <row r="736" ht="22.5" customHeight="1">
      <c r="A736" s="5" t="s">
        <v>2672</v>
      </c>
      <c r="B736" s="5" t="s">
        <v>4812</v>
      </c>
      <c r="C736" s="5" t="str">
        <f>IFERROR(__xludf.DUMMYFUNCTION("REGEXREPLACE(B736,""\D"","""")"),"8327043167")</f>
        <v>8327043167</v>
      </c>
      <c r="D736" s="12">
        <v>8.327043167E9</v>
      </c>
      <c r="E736" s="5" t="s">
        <v>4813</v>
      </c>
      <c r="F736" s="5" t="str">
        <f t="shared" si="1"/>
        <v>samuel.bennett@hotmail.com</v>
      </c>
      <c r="G736" s="5" t="s">
        <v>4813</v>
      </c>
      <c r="H736" s="9">
        <v>46159.0</v>
      </c>
      <c r="I736" s="9">
        <v>46159.0</v>
      </c>
    </row>
    <row r="737" ht="22.5" customHeight="1">
      <c r="A737" s="5" t="s">
        <v>2675</v>
      </c>
      <c r="B737" s="5" t="s">
        <v>4814</v>
      </c>
      <c r="C737" s="5" t="str">
        <f>IFERROR(__xludf.DUMMYFUNCTION("REGEXREPLACE(B737,""\D"","""")"),"3278554672")</f>
        <v>3278554672</v>
      </c>
      <c r="D737" s="12">
        <v>3.278554672E9</v>
      </c>
      <c r="E737" s="5" t="s">
        <v>4815</v>
      </c>
      <c r="F737" s="5" t="str">
        <f t="shared" si="1"/>
        <v>rebecca.anderson@gmail.com</v>
      </c>
      <c r="G737" s="5" t="s">
        <v>5366</v>
      </c>
      <c r="H737" s="9">
        <v>46188.0</v>
      </c>
      <c r="I737" s="9">
        <v>46195.0</v>
      </c>
    </row>
    <row r="738" ht="22.5" customHeight="1">
      <c r="A738" s="5" t="s">
        <v>2677</v>
      </c>
      <c r="B738" s="5" t="s">
        <v>4816</v>
      </c>
      <c r="C738" s="5" t="str">
        <f>IFERROR(__xludf.DUMMYFUNCTION("REGEXREPLACE(B738,""\D"","""")"),"8859364008")</f>
        <v>8859364008</v>
      </c>
      <c r="D738" s="12">
        <v>8.859364008E9</v>
      </c>
      <c r="E738" s="5" t="s">
        <v>4817</v>
      </c>
      <c r="F738" s="5" t="str">
        <f t="shared" si="1"/>
        <v>charles.robinson@outlook.com</v>
      </c>
      <c r="G738" s="5" t="s">
        <v>4817</v>
      </c>
      <c r="H738" s="9">
        <v>46055.0</v>
      </c>
      <c r="I738" s="11"/>
    </row>
    <row r="739" ht="22.5" customHeight="1">
      <c r="A739" s="5" t="s">
        <v>2680</v>
      </c>
      <c r="B739" s="5" t="s">
        <v>4818</v>
      </c>
      <c r="C739" s="5" t="str">
        <f>IFERROR(__xludf.DUMMYFUNCTION("REGEXREPLACE(B739,""\D"","""")"),"9412298691")</f>
        <v>9412298691</v>
      </c>
      <c r="D739" s="12">
        <v>9.412298691E9</v>
      </c>
      <c r="E739" s="5" t="s">
        <v>4819</v>
      </c>
      <c r="F739" s="5" t="str">
        <f t="shared" si="1"/>
        <v>raymond.chavez@outlook.com</v>
      </c>
      <c r="G739" s="5" t="s">
        <v>5367</v>
      </c>
      <c r="H739" s="9">
        <v>45848.0</v>
      </c>
      <c r="I739" s="9">
        <v>45863.0</v>
      </c>
    </row>
    <row r="740" ht="22.5" customHeight="1">
      <c r="A740" s="5" t="s">
        <v>2683</v>
      </c>
      <c r="B740" s="14" t="s">
        <v>4820</v>
      </c>
      <c r="C740" s="5" t="str">
        <f>IFERROR(__xludf.DUMMYFUNCTION("REGEXREPLACE(B740,""\D"","""")"),"4628436684")</f>
        <v>4628436684</v>
      </c>
      <c r="D740" s="12">
        <v>4.628436684E9</v>
      </c>
      <c r="E740" s="5" t="s">
        <v>4821</v>
      </c>
      <c r="F740" s="5" t="str">
        <f t="shared" si="1"/>
        <v>carolyn.nguyen@outlook.com</v>
      </c>
      <c r="G740" s="5" t="s">
        <v>5368</v>
      </c>
      <c r="H740" s="9">
        <v>46030.0</v>
      </c>
      <c r="I740" s="11"/>
    </row>
    <row r="741" ht="22.5" customHeight="1">
      <c r="A741" s="5" t="s">
        <v>2687</v>
      </c>
      <c r="B741" s="14" t="s">
        <v>4822</v>
      </c>
      <c r="C741" s="5" t="str">
        <f>IFERROR(__xludf.DUMMYFUNCTION("REGEXREPLACE(B741,""\D"","""")"),"9189559679")</f>
        <v>9189559679</v>
      </c>
      <c r="D741" s="12">
        <v>9.189559679E9</v>
      </c>
      <c r="E741" s="5" t="s">
        <v>4823</v>
      </c>
      <c r="F741" s="5" t="str">
        <f t="shared" si="1"/>
        <v>steven.mendoza@outlook.com</v>
      </c>
      <c r="G741" s="5" t="s">
        <v>5369</v>
      </c>
      <c r="H741" s="9">
        <v>45800.0</v>
      </c>
      <c r="I741" s="9">
        <v>45808.0</v>
      </c>
    </row>
    <row r="742" ht="22.5" customHeight="1">
      <c r="A742" s="5" t="s">
        <v>2689</v>
      </c>
      <c r="B742" s="5" t="s">
        <v>4824</v>
      </c>
      <c r="C742" s="5" t="str">
        <f>IFERROR(__xludf.DUMMYFUNCTION("REGEXREPLACE(B742,""\D"","""")"),"2877673752")</f>
        <v>2877673752</v>
      </c>
      <c r="D742" s="12">
        <v>2.877673752E9</v>
      </c>
      <c r="E742" s="5" t="s">
        <v>4825</v>
      </c>
      <c r="F742" s="5" t="str">
        <f t="shared" si="1"/>
        <v>rebecca.cook@outlook.com</v>
      </c>
      <c r="G742" s="5" t="s">
        <v>4825</v>
      </c>
      <c r="H742" s="9">
        <v>45966.0</v>
      </c>
      <c r="I742" s="9">
        <v>45982.0</v>
      </c>
    </row>
    <row r="743" ht="22.5" customHeight="1">
      <c r="A743" s="5" t="s">
        <v>2692</v>
      </c>
      <c r="C743" s="10" t="str">
        <f>IFERROR(__xludf.DUMMYFUNCTION("REGEXREPLACE(B743,""\D"","""")"),"")</f>
        <v/>
      </c>
      <c r="D743" s="13" t="s">
        <v>4964</v>
      </c>
      <c r="E743" s="5" t="s">
        <v>4826</v>
      </c>
      <c r="F743" s="5" t="str">
        <f t="shared" si="1"/>
        <v>kimberly.watson@aol.com</v>
      </c>
      <c r="G743" s="5" t="s">
        <v>5370</v>
      </c>
      <c r="H743" s="11"/>
      <c r="I743" s="11"/>
    </row>
    <row r="744" ht="22.5" customHeight="1">
      <c r="A744" s="5" t="s">
        <v>2694</v>
      </c>
      <c r="B744" s="5" t="s">
        <v>4827</v>
      </c>
      <c r="C744" s="5" t="str">
        <f>IFERROR(__xludf.DUMMYFUNCTION("REGEXREPLACE(B744,""\D"","""")"),"5407399580")</f>
        <v>5407399580</v>
      </c>
      <c r="D744" s="12">
        <v>5.40739958E9</v>
      </c>
      <c r="E744" s="5" t="s">
        <v>4828</v>
      </c>
      <c r="F744" s="5" t="str">
        <f t="shared" si="1"/>
        <v>stephanie.gonzalez@gmail.com</v>
      </c>
      <c r="G744" s="5" t="s">
        <v>5371</v>
      </c>
      <c r="H744" s="11"/>
      <c r="I744" s="11"/>
    </row>
    <row r="745" ht="22.5" customHeight="1">
      <c r="A745" s="5" t="s">
        <v>2695</v>
      </c>
      <c r="B745" s="5" t="s">
        <v>4829</v>
      </c>
      <c r="C745" s="5" t="str">
        <f>IFERROR(__xludf.DUMMYFUNCTION("REGEXREPLACE(B745,""\D"","""")"),"2965486247")</f>
        <v>2965486247</v>
      </c>
      <c r="D745" s="12">
        <v>2.965486247E9</v>
      </c>
      <c r="E745" s="5" t="s">
        <v>4830</v>
      </c>
      <c r="F745" s="5" t="str">
        <f t="shared" si="1"/>
        <v>gary.wilson@gmail.com</v>
      </c>
      <c r="G745" s="5" t="s">
        <v>5372</v>
      </c>
      <c r="H745" s="9">
        <v>45921.0</v>
      </c>
      <c r="I745" s="9">
        <v>45933.0</v>
      </c>
    </row>
    <row r="746" ht="22.5" customHeight="1">
      <c r="A746" s="5" t="s">
        <v>2697</v>
      </c>
      <c r="B746" s="14" t="s">
        <v>4831</v>
      </c>
      <c r="C746" s="5" t="str">
        <f>IFERROR(__xludf.DUMMYFUNCTION("REGEXREPLACE(B746,""\D"","""")"),"3762741471")</f>
        <v>3762741471</v>
      </c>
      <c r="D746" s="12">
        <v>3.762741471E9</v>
      </c>
      <c r="E746" s="5" t="s">
        <v>4832</v>
      </c>
      <c r="F746" s="5" t="str">
        <f t="shared" si="1"/>
        <v>deborah.hughes@outlook.com</v>
      </c>
      <c r="G746" s="5" t="s">
        <v>5373</v>
      </c>
      <c r="H746" s="9">
        <v>46184.0</v>
      </c>
      <c r="I746" s="9">
        <v>46202.0</v>
      </c>
    </row>
    <row r="747" ht="22.5" customHeight="1">
      <c r="A747" s="5" t="s">
        <v>2698</v>
      </c>
      <c r="B747" s="14" t="s">
        <v>4833</v>
      </c>
      <c r="C747" s="5" t="str">
        <f>IFERROR(__xludf.DUMMYFUNCTION("REGEXREPLACE(B747,""\D"","""")"),"8116581250")</f>
        <v>8116581250</v>
      </c>
      <c r="D747" s="12">
        <v>8.11658125E9</v>
      </c>
      <c r="E747" s="5" t="s">
        <v>4834</v>
      </c>
      <c r="F747" s="5" t="str">
        <f t="shared" si="1"/>
        <v>catherine.lewis@yahoo.com</v>
      </c>
      <c r="G747" s="5" t="s">
        <v>5374</v>
      </c>
      <c r="H747" s="9">
        <v>45756.0</v>
      </c>
      <c r="I747" s="9">
        <v>45771.0</v>
      </c>
    </row>
    <row r="748" ht="22.5" customHeight="1">
      <c r="A748" s="5" t="s">
        <v>2700</v>
      </c>
      <c r="B748" s="14" t="s">
        <v>4836</v>
      </c>
      <c r="C748" s="5" t="str">
        <f>IFERROR(__xludf.DUMMYFUNCTION("REGEXREPLACE(B748,""\D"","""")"),"5286293564")</f>
        <v>5286293564</v>
      </c>
      <c r="D748" s="12">
        <v>5.286293564E9</v>
      </c>
      <c r="E748" s="5" t="s">
        <v>4837</v>
      </c>
      <c r="F748" s="5" t="str">
        <f t="shared" si="1"/>
        <v>christopher.evans@gmail.com</v>
      </c>
      <c r="G748" s="5" t="s">
        <v>5375</v>
      </c>
      <c r="H748" s="9">
        <v>46186.0</v>
      </c>
      <c r="I748" s="9">
        <v>46213.0</v>
      </c>
    </row>
    <row r="749" ht="22.5" customHeight="1">
      <c r="A749" s="5" t="s">
        <v>2703</v>
      </c>
      <c r="B749" s="5" t="s">
        <v>4838</v>
      </c>
      <c r="C749" s="5" t="str">
        <f>IFERROR(__xludf.DUMMYFUNCTION("REGEXREPLACE(B749,""\D"","""")"),"2109244413")</f>
        <v>2109244413</v>
      </c>
      <c r="D749" s="12">
        <v>2.109244413E9</v>
      </c>
      <c r="E749" s="5" t="s">
        <v>4839</v>
      </c>
      <c r="F749" s="5" t="str">
        <f t="shared" si="1"/>
        <v>barbara.rogers@yahoo.com</v>
      </c>
      <c r="G749" s="5" t="s">
        <v>5376</v>
      </c>
      <c r="H749" s="9">
        <v>46027.0</v>
      </c>
      <c r="I749" s="9">
        <v>46028.0</v>
      </c>
    </row>
    <row r="750" ht="22.5" customHeight="1">
      <c r="A750" s="5" t="s">
        <v>2705</v>
      </c>
      <c r="B750" s="5" t="s">
        <v>4840</v>
      </c>
      <c r="C750" s="5" t="str">
        <f>IFERROR(__xludf.DUMMYFUNCTION("REGEXREPLACE(B750,""\D"","""")"),"7212677980")</f>
        <v>7212677980</v>
      </c>
      <c r="D750" s="12">
        <v>7.21267798E9</v>
      </c>
      <c r="E750" s="5" t="s">
        <v>4841</v>
      </c>
      <c r="F750" s="5" t="str">
        <f t="shared" si="1"/>
        <v>anthony.adams@aol.com</v>
      </c>
      <c r="G750" s="5" t="s">
        <v>5377</v>
      </c>
      <c r="H750" s="9">
        <v>46180.0</v>
      </c>
      <c r="I750" s="11"/>
    </row>
    <row r="751" ht="22.5" customHeight="1">
      <c r="A751" s="5" t="s">
        <v>2707</v>
      </c>
      <c r="B751" s="5" t="s">
        <v>4842</v>
      </c>
      <c r="C751" s="5" t="str">
        <f>IFERROR(__xludf.DUMMYFUNCTION("REGEXREPLACE(B751,""\D"","""")"),"4095406325")</f>
        <v>4095406325</v>
      </c>
      <c r="D751" s="12">
        <v>4.095406325E9</v>
      </c>
      <c r="E751" s="5" t="s">
        <v>4843</v>
      </c>
      <c r="F751" s="5" t="str">
        <f t="shared" si="1"/>
        <v>sarah.kelly@hotmail.com</v>
      </c>
      <c r="G751" s="5" t="s">
        <v>5378</v>
      </c>
      <c r="H751" s="9">
        <v>46050.0</v>
      </c>
      <c r="I751" s="9">
        <v>46065.0</v>
      </c>
    </row>
    <row r="752" ht="22.5" customHeight="1">
      <c r="A752" s="5" t="s">
        <v>2708</v>
      </c>
      <c r="B752" s="5" t="s">
        <v>4844</v>
      </c>
      <c r="C752" s="5" t="str">
        <f>IFERROR(__xludf.DUMMYFUNCTION("REGEXREPLACE(B752,""\D"","""")"),"6226987198")</f>
        <v>6226987198</v>
      </c>
      <c r="D752" s="12">
        <v>6.226987198E9</v>
      </c>
      <c r="E752" s="5" t="s">
        <v>4845</v>
      </c>
      <c r="F752" s="5" t="str">
        <f t="shared" si="1"/>
        <v>charles.young@hotmail.com</v>
      </c>
      <c r="G752" s="5" t="s">
        <v>5379</v>
      </c>
      <c r="H752" s="9">
        <v>46227.0</v>
      </c>
      <c r="I752" s="9">
        <v>46237.0</v>
      </c>
    </row>
    <row r="753" ht="22.5" customHeight="1">
      <c r="A753" s="5" t="s">
        <v>2710</v>
      </c>
      <c r="B753" s="5" t="s">
        <v>4846</v>
      </c>
      <c r="C753" s="5" t="str">
        <f>IFERROR(__xludf.DUMMYFUNCTION("REGEXREPLACE(B753,""\D"","""")"),"9548124230")</f>
        <v>9548124230</v>
      </c>
      <c r="D753" s="12">
        <v>9.54812423E9</v>
      </c>
      <c r="E753" s="5" t="s">
        <v>4847</v>
      </c>
      <c r="F753" s="5" t="str">
        <f t="shared" si="1"/>
        <v>eric.evans@hotmail.com</v>
      </c>
      <c r="G753" s="5" t="s">
        <v>5380</v>
      </c>
      <c r="H753" s="9">
        <v>46232.0</v>
      </c>
      <c r="I753" s="9">
        <v>46241.0</v>
      </c>
    </row>
    <row r="754" ht="22.5" customHeight="1">
      <c r="A754" s="5" t="s">
        <v>2712</v>
      </c>
      <c r="B754" s="14" t="s">
        <v>4848</v>
      </c>
      <c r="C754" s="5" t="str">
        <f>IFERROR(__xludf.DUMMYFUNCTION("REGEXREPLACE(B754,""\D"","""")"),"9575987584")</f>
        <v>9575987584</v>
      </c>
      <c r="D754" s="12">
        <v>9.575987584E9</v>
      </c>
      <c r="E754" s="5" t="s">
        <v>4849</v>
      </c>
      <c r="F754" s="5" t="str">
        <f t="shared" si="1"/>
        <v>michael.richardson@gmail.com</v>
      </c>
      <c r="G754" s="5" t="s">
        <v>5381</v>
      </c>
      <c r="H754" s="9">
        <v>45878.0</v>
      </c>
      <c r="I754" s="9">
        <v>45888.0</v>
      </c>
    </row>
    <row r="755" ht="22.5" customHeight="1">
      <c r="A755" s="5" t="s">
        <v>2715</v>
      </c>
      <c r="B755" s="5" t="s">
        <v>4850</v>
      </c>
      <c r="C755" s="5" t="str">
        <f>IFERROR(__xludf.DUMMYFUNCTION("REGEXREPLACE(B755,""\D"","""")"),"4985783881")</f>
        <v>4985783881</v>
      </c>
      <c r="D755" s="12">
        <v>4.985783881E9</v>
      </c>
      <c r="E755" s="5" t="s">
        <v>4851</v>
      </c>
      <c r="F755" s="5" t="str">
        <f t="shared" si="1"/>
        <v>brenda.gutierrez@aol.com</v>
      </c>
      <c r="G755" s="5" t="s">
        <v>5382</v>
      </c>
      <c r="H755" s="9">
        <v>45988.0</v>
      </c>
      <c r="I755" s="9">
        <v>46017.0</v>
      </c>
    </row>
    <row r="756" ht="22.5" customHeight="1">
      <c r="A756" s="5" t="s">
        <v>2717</v>
      </c>
      <c r="B756" s="14" t="s">
        <v>4852</v>
      </c>
      <c r="C756" s="5" t="str">
        <f>IFERROR(__xludf.DUMMYFUNCTION("REGEXREPLACE(B756,""\D"","""")"),"8377788745")</f>
        <v>8377788745</v>
      </c>
      <c r="D756" s="12">
        <v>8.377788745E9</v>
      </c>
      <c r="E756" s="5" t="s">
        <v>4853</v>
      </c>
      <c r="F756" s="5" t="str">
        <f t="shared" si="1"/>
        <v>richard.gutierrez@yahoo.com</v>
      </c>
      <c r="G756" s="5" t="s">
        <v>5383</v>
      </c>
      <c r="H756" s="9">
        <v>45968.0</v>
      </c>
      <c r="I756" s="9">
        <v>45997.0</v>
      </c>
    </row>
    <row r="757" ht="22.5" customHeight="1">
      <c r="A757" s="5" t="s">
        <v>2720</v>
      </c>
      <c r="B757" s="5" t="s">
        <v>4854</v>
      </c>
      <c r="C757" s="5" t="str">
        <f>IFERROR(__xludf.DUMMYFUNCTION("REGEXREPLACE(B757,""\D"","""")"),"6764998073")</f>
        <v>6764998073</v>
      </c>
      <c r="D757" s="12">
        <v>6.764998073E9</v>
      </c>
      <c r="E757" s="5" t="s">
        <v>4855</v>
      </c>
      <c r="F757" s="5" t="str">
        <f t="shared" si="1"/>
        <v>jerry.watson@yahoo.com</v>
      </c>
      <c r="G757" s="5" t="s">
        <v>5384</v>
      </c>
      <c r="H757" s="9">
        <v>45913.0</v>
      </c>
      <c r="I757" s="11"/>
    </row>
    <row r="758" ht="22.5" customHeight="1">
      <c r="A758" s="5" t="s">
        <v>2724</v>
      </c>
      <c r="B758" s="5" t="s">
        <v>4856</v>
      </c>
      <c r="C758" s="5" t="str">
        <f>IFERROR(__xludf.DUMMYFUNCTION("REGEXREPLACE(B758,""\D"","""")"),"5915878910")</f>
        <v>5915878910</v>
      </c>
      <c r="D758" s="12">
        <v>5.91587891E9</v>
      </c>
      <c r="E758" s="5" t="s">
        <v>4857</v>
      </c>
      <c r="F758" s="5" t="str">
        <f t="shared" si="1"/>
        <v>anna.gonzalez@yahoo.com</v>
      </c>
      <c r="G758" s="5" t="s">
        <v>4857</v>
      </c>
      <c r="H758" s="9">
        <v>46066.0</v>
      </c>
      <c r="I758" s="11"/>
    </row>
    <row r="759" ht="22.5" customHeight="1">
      <c r="A759" s="5" t="s">
        <v>2726</v>
      </c>
      <c r="B759" s="14" t="s">
        <v>4858</v>
      </c>
      <c r="C759" s="5" t="str">
        <f>IFERROR(__xludf.DUMMYFUNCTION("REGEXREPLACE(B759,""\D"","""")"),"7937808338")</f>
        <v>7937808338</v>
      </c>
      <c r="D759" s="12">
        <v>7.937808338E9</v>
      </c>
      <c r="E759" s="5" t="s">
        <v>4859</v>
      </c>
      <c r="F759" s="5" t="str">
        <f t="shared" si="1"/>
        <v>brian.rodriguez@yahoo.com</v>
      </c>
      <c r="G759" s="5" t="s">
        <v>4859</v>
      </c>
      <c r="H759" s="9">
        <v>46049.0</v>
      </c>
      <c r="I759" s="9">
        <v>46062.0</v>
      </c>
    </row>
    <row r="760" ht="22.5" customHeight="1">
      <c r="A760" s="5" t="s">
        <v>2729</v>
      </c>
      <c r="B760" s="14" t="s">
        <v>4860</v>
      </c>
      <c r="C760" s="5" t="str">
        <f>IFERROR(__xludf.DUMMYFUNCTION("REGEXREPLACE(B760,""\D"","""")"),"7753599758")</f>
        <v>7753599758</v>
      </c>
      <c r="D760" s="12">
        <v>7.753599758E9</v>
      </c>
      <c r="E760" s="5" t="s">
        <v>4861</v>
      </c>
      <c r="F760" s="5" t="str">
        <f t="shared" si="1"/>
        <v>sandra.hall@hotmail.com</v>
      </c>
      <c r="G760" s="5" t="s">
        <v>4861</v>
      </c>
      <c r="H760" s="9">
        <v>45832.0</v>
      </c>
      <c r="I760" s="9">
        <v>45861.0</v>
      </c>
    </row>
    <row r="761" ht="22.5" customHeight="1">
      <c r="A761" s="5" t="s">
        <v>2731</v>
      </c>
      <c r="C761" s="10" t="str">
        <f>IFERROR(__xludf.DUMMYFUNCTION("REGEXREPLACE(B761,""\D"","""")"),"")</f>
        <v/>
      </c>
      <c r="D761" s="13" t="s">
        <v>4964</v>
      </c>
      <c r="E761" s="5" t="s">
        <v>4862</v>
      </c>
      <c r="F761" s="5" t="str">
        <f t="shared" si="1"/>
        <v>sharon.bailey@gmail.com</v>
      </c>
      <c r="G761" s="5" t="s">
        <v>4862</v>
      </c>
      <c r="H761" s="9">
        <v>46258.0</v>
      </c>
      <c r="I761" s="9">
        <v>46266.0</v>
      </c>
    </row>
    <row r="762" ht="22.5" customHeight="1">
      <c r="A762" s="5" t="s">
        <v>2734</v>
      </c>
      <c r="B762" s="5" t="s">
        <v>4864</v>
      </c>
      <c r="C762" s="5" t="str">
        <f>IFERROR(__xludf.DUMMYFUNCTION("REGEXREPLACE(B762,""\D"","""")"),"6935537226")</f>
        <v>6935537226</v>
      </c>
      <c r="D762" s="12">
        <v>6.935537226E9</v>
      </c>
      <c r="E762" s="5" t="s">
        <v>4865</v>
      </c>
      <c r="F762" s="5" t="str">
        <f t="shared" si="1"/>
        <v>christopher.jones@outlook.com</v>
      </c>
      <c r="G762" s="5" t="s">
        <v>5385</v>
      </c>
      <c r="H762" s="9">
        <v>45727.0</v>
      </c>
      <c r="I762" s="9">
        <v>45746.0</v>
      </c>
    </row>
    <row r="763" ht="22.5" customHeight="1">
      <c r="A763" s="5" t="s">
        <v>2736</v>
      </c>
      <c r="B763" s="5" t="s">
        <v>4866</v>
      </c>
      <c r="C763" s="5" t="str">
        <f>IFERROR(__xludf.DUMMYFUNCTION("REGEXREPLACE(B763,""\D"","""")"),"7129326465")</f>
        <v>7129326465</v>
      </c>
      <c r="D763" s="12">
        <v>7.129326465E9</v>
      </c>
      <c r="E763" s="5" t="s">
        <v>4867</v>
      </c>
      <c r="F763" s="5" t="str">
        <f t="shared" si="1"/>
        <v>george.phillips@gmail.com</v>
      </c>
      <c r="G763" s="5" t="s">
        <v>5386</v>
      </c>
      <c r="H763" s="9">
        <v>45825.0</v>
      </c>
      <c r="I763" s="9">
        <v>45850.0</v>
      </c>
    </row>
    <row r="764" ht="22.5" customHeight="1">
      <c r="A764" s="5" t="s">
        <v>2739</v>
      </c>
      <c r="C764" s="10" t="str">
        <f>IFERROR(__xludf.DUMMYFUNCTION("REGEXREPLACE(B764,""\D"","""")"),"")</f>
        <v/>
      </c>
      <c r="D764" s="13" t="s">
        <v>4964</v>
      </c>
      <c r="F764" s="10" t="str">
        <f t="shared" si="1"/>
        <v/>
      </c>
      <c r="G764" s="10" t="s">
        <v>4964</v>
      </c>
      <c r="H764" s="9">
        <v>45734.0</v>
      </c>
      <c r="I764" s="9">
        <v>45752.0</v>
      </c>
    </row>
    <row r="765" ht="22.5" customHeight="1">
      <c r="A765" s="5" t="s">
        <v>2743</v>
      </c>
      <c r="B765" s="5" t="s">
        <v>4868</v>
      </c>
      <c r="C765" s="5" t="str">
        <f>IFERROR(__xludf.DUMMYFUNCTION("REGEXREPLACE(B765,""\D"","""")"),"2578493590")</f>
        <v>2578493590</v>
      </c>
      <c r="D765" s="12">
        <v>2.57849359E9</v>
      </c>
      <c r="E765" s="5" t="s">
        <v>4869</v>
      </c>
      <c r="F765" s="5" t="str">
        <f t="shared" si="1"/>
        <v>thomas.gonzalez@aol.com</v>
      </c>
      <c r="G765" s="5" t="s">
        <v>4869</v>
      </c>
      <c r="H765" s="9">
        <v>46263.0</v>
      </c>
      <c r="I765" s="9">
        <v>46266.0</v>
      </c>
    </row>
    <row r="766" ht="22.5" customHeight="1">
      <c r="A766" s="5" t="s">
        <v>2746</v>
      </c>
      <c r="B766" s="5" t="s">
        <v>4870</v>
      </c>
      <c r="C766" s="5" t="str">
        <f>IFERROR(__xludf.DUMMYFUNCTION("REGEXREPLACE(B766,""\D"","""")"),"3363923101")</f>
        <v>3363923101</v>
      </c>
      <c r="D766" s="12">
        <v>3.363923101E9</v>
      </c>
      <c r="E766" s="5" t="s">
        <v>4871</v>
      </c>
      <c r="F766" s="5" t="str">
        <f t="shared" si="1"/>
        <v>kenneth.gomez@gmail.com</v>
      </c>
      <c r="G766" s="5" t="s">
        <v>4871</v>
      </c>
      <c r="H766" s="9">
        <v>45803.0</v>
      </c>
      <c r="I766" s="9">
        <v>45829.0</v>
      </c>
    </row>
    <row r="767" ht="22.5" customHeight="1">
      <c r="A767" s="5" t="s">
        <v>2747</v>
      </c>
      <c r="B767" s="14" t="s">
        <v>4872</v>
      </c>
      <c r="C767" s="5" t="str">
        <f>IFERROR(__xludf.DUMMYFUNCTION("REGEXREPLACE(B767,""\D"","""")"),"4447769499")</f>
        <v>4447769499</v>
      </c>
      <c r="D767" s="12">
        <v>4.447769499E9</v>
      </c>
      <c r="E767" s="5" t="s">
        <v>4873</v>
      </c>
      <c r="F767" s="5" t="str">
        <f t="shared" si="1"/>
        <v>nicole.garcia@aol.com</v>
      </c>
      <c r="G767" s="5" t="s">
        <v>5387</v>
      </c>
      <c r="H767" s="9">
        <v>46079.0</v>
      </c>
      <c r="I767" s="9">
        <v>46108.0</v>
      </c>
    </row>
    <row r="768" ht="22.5" customHeight="1">
      <c r="A768" s="5" t="s">
        <v>2750</v>
      </c>
      <c r="B768" s="5" t="s">
        <v>4874</v>
      </c>
      <c r="C768" s="5" t="str">
        <f>IFERROR(__xludf.DUMMYFUNCTION("REGEXREPLACE(B768,""\D"","""")"),"4715057557")</f>
        <v>4715057557</v>
      </c>
      <c r="D768" s="12">
        <v>4.715057557E9</v>
      </c>
      <c r="E768" s="5" t="s">
        <v>4875</v>
      </c>
      <c r="F768" s="5" t="str">
        <f t="shared" si="1"/>
        <v>amy.sanders@yahoo.com</v>
      </c>
      <c r="G768" s="5" t="s">
        <v>4875</v>
      </c>
      <c r="H768" s="9">
        <v>46132.0</v>
      </c>
      <c r="I768" s="11"/>
    </row>
    <row r="769" ht="22.5" customHeight="1">
      <c r="A769" s="5" t="s">
        <v>2752</v>
      </c>
      <c r="B769" s="5" t="s">
        <v>4876</v>
      </c>
      <c r="C769" s="5" t="str">
        <f>IFERROR(__xludf.DUMMYFUNCTION("REGEXREPLACE(B769,""\D"","""")"),"2835816061")</f>
        <v>2835816061</v>
      </c>
      <c r="D769" s="12">
        <v>2.835816061E9</v>
      </c>
      <c r="E769" s="5" t="s">
        <v>4877</v>
      </c>
      <c r="F769" s="5" t="str">
        <f t="shared" si="1"/>
        <v>scott.brooks@gmail.com</v>
      </c>
      <c r="G769" s="5" t="s">
        <v>5388</v>
      </c>
      <c r="H769" s="9">
        <v>45988.0</v>
      </c>
      <c r="I769" s="9">
        <v>45996.0</v>
      </c>
    </row>
    <row r="770" ht="22.5" customHeight="1">
      <c r="A770" s="5" t="s">
        <v>2755</v>
      </c>
      <c r="B770" s="5" t="s">
        <v>4878</v>
      </c>
      <c r="C770" s="5" t="str">
        <f>IFERROR(__xludf.DUMMYFUNCTION("REGEXREPLACE(B770,""\D"","""")"),"6546699048")</f>
        <v>6546699048</v>
      </c>
      <c r="D770" s="12">
        <v>6.546699048E9</v>
      </c>
      <c r="E770" s="5" t="s">
        <v>4879</v>
      </c>
      <c r="F770" s="5" t="str">
        <f t="shared" si="1"/>
        <v>barbara.moore@aol.com</v>
      </c>
      <c r="G770" s="5" t="s">
        <v>4543</v>
      </c>
      <c r="H770" s="9">
        <v>46133.0</v>
      </c>
      <c r="I770" s="11"/>
    </row>
    <row r="771" ht="22.5" customHeight="1">
      <c r="A771" s="5" t="s">
        <v>2757</v>
      </c>
      <c r="B771" s="14" t="s">
        <v>4880</v>
      </c>
      <c r="C771" s="5" t="str">
        <f>IFERROR(__xludf.DUMMYFUNCTION("REGEXREPLACE(B771,""\D"","""")"),"5677446272")</f>
        <v>5677446272</v>
      </c>
      <c r="D771" s="12">
        <v>5.677446272E9</v>
      </c>
      <c r="E771" s="5" t="s">
        <v>4881</v>
      </c>
      <c r="F771" s="5" t="str">
        <f t="shared" si="1"/>
        <v>emma.ramos@hotmail.com</v>
      </c>
      <c r="G771" s="5" t="s">
        <v>5389</v>
      </c>
      <c r="H771" s="9">
        <v>45954.0</v>
      </c>
      <c r="I771" s="9">
        <v>45983.0</v>
      </c>
    </row>
    <row r="772" ht="22.5" customHeight="1">
      <c r="A772" s="5" t="s">
        <v>2760</v>
      </c>
      <c r="B772" s="5" t="s">
        <v>4883</v>
      </c>
      <c r="C772" s="5" t="str">
        <f>IFERROR(__xludf.DUMMYFUNCTION("REGEXREPLACE(B772,""\D"","""")"),"7265823554")</f>
        <v>7265823554</v>
      </c>
      <c r="D772" s="12">
        <v>7.265823554E9</v>
      </c>
      <c r="E772" s="5" t="s">
        <v>4884</v>
      </c>
      <c r="F772" s="5" t="str">
        <f t="shared" si="1"/>
        <v>rebecca.stewart@outlook.com</v>
      </c>
      <c r="G772" s="5" t="s">
        <v>5390</v>
      </c>
      <c r="H772" s="9">
        <v>46027.0</v>
      </c>
      <c r="I772" s="9">
        <v>46035.0</v>
      </c>
    </row>
    <row r="773" ht="22.5" customHeight="1">
      <c r="A773" s="5" t="s">
        <v>2763</v>
      </c>
      <c r="B773" s="14" t="s">
        <v>4886</v>
      </c>
      <c r="C773" s="5" t="str">
        <f>IFERROR(__xludf.DUMMYFUNCTION("REGEXREPLACE(B773,""\D"","""")"),"8165262454")</f>
        <v>8165262454</v>
      </c>
      <c r="D773" s="12">
        <v>8.165262454E9</v>
      </c>
      <c r="E773" s="5" t="s">
        <v>4887</v>
      </c>
      <c r="F773" s="5" t="str">
        <f t="shared" si="1"/>
        <v>alexander.brooks@gmail.com</v>
      </c>
      <c r="G773" s="5" t="s">
        <v>5391</v>
      </c>
      <c r="H773" s="9">
        <v>45803.0</v>
      </c>
      <c r="I773" s="9">
        <v>45807.0</v>
      </c>
    </row>
    <row r="774" ht="22.5" customHeight="1">
      <c r="A774" s="5" t="s">
        <v>2766</v>
      </c>
      <c r="B774" s="14" t="s">
        <v>4888</v>
      </c>
      <c r="C774" s="5" t="str">
        <f>IFERROR(__xludf.DUMMYFUNCTION("REGEXREPLACE(B774,""\D"","""")"),"2196329912")</f>
        <v>2196329912</v>
      </c>
      <c r="D774" s="12">
        <v>2.196329912E9</v>
      </c>
      <c r="E774" s="5" t="s">
        <v>4889</v>
      </c>
      <c r="F774" s="5" t="str">
        <f t="shared" si="1"/>
        <v>betty.jimenez@yahoo.com</v>
      </c>
      <c r="G774" s="5" t="s">
        <v>4889</v>
      </c>
      <c r="H774" s="9">
        <v>45771.0</v>
      </c>
      <c r="I774" s="9">
        <v>45800.0</v>
      </c>
    </row>
    <row r="775" ht="22.5" customHeight="1">
      <c r="A775" s="5" t="s">
        <v>2769</v>
      </c>
      <c r="B775" s="14" t="s">
        <v>4890</v>
      </c>
      <c r="C775" s="5" t="str">
        <f>IFERROR(__xludf.DUMMYFUNCTION("REGEXREPLACE(B775,""\D"","""")"),"2349904878")</f>
        <v>2349904878</v>
      </c>
      <c r="D775" s="12">
        <v>2.349904878E9</v>
      </c>
      <c r="E775" s="5" t="s">
        <v>4891</v>
      </c>
      <c r="F775" s="5" t="str">
        <f t="shared" si="1"/>
        <v>joshua.martinez@hotmail.com</v>
      </c>
      <c r="G775" s="5" t="s">
        <v>5392</v>
      </c>
      <c r="H775" s="9">
        <v>45991.0</v>
      </c>
      <c r="I775" s="9">
        <v>46002.0</v>
      </c>
    </row>
    <row r="776" ht="22.5" customHeight="1">
      <c r="A776" s="5" t="s">
        <v>2771</v>
      </c>
      <c r="B776" s="5" t="s">
        <v>4892</v>
      </c>
      <c r="C776" s="5" t="str">
        <f>IFERROR(__xludf.DUMMYFUNCTION("REGEXREPLACE(B776,""\D"","""")"),"3367993134")</f>
        <v>3367993134</v>
      </c>
      <c r="D776" s="12">
        <v>3.367993134E9</v>
      </c>
      <c r="E776" s="5" t="s">
        <v>4893</v>
      </c>
      <c r="F776" s="5" t="str">
        <f t="shared" si="1"/>
        <v>jacob.ramos@yahoo.com</v>
      </c>
      <c r="G776" s="5" t="s">
        <v>5393</v>
      </c>
      <c r="H776" s="11"/>
      <c r="I776" s="11"/>
    </row>
    <row r="777" ht="22.5" customHeight="1">
      <c r="A777" s="5" t="s">
        <v>2774</v>
      </c>
      <c r="B777" s="5" t="s">
        <v>4894</v>
      </c>
      <c r="C777" s="5" t="str">
        <f>IFERROR(__xludf.DUMMYFUNCTION("REGEXREPLACE(B777,""\D"","""")"),"2055136530")</f>
        <v>2055136530</v>
      </c>
      <c r="D777" s="12">
        <v>2.05513653E9</v>
      </c>
      <c r="E777" s="5" t="s">
        <v>4895</v>
      </c>
      <c r="F777" s="5" t="str">
        <f t="shared" si="1"/>
        <v>kathleen.harris@outlook.com</v>
      </c>
      <c r="G777" s="5" t="s">
        <v>4895</v>
      </c>
      <c r="H777" s="9">
        <v>46246.0</v>
      </c>
      <c r="I777" s="11"/>
    </row>
    <row r="778" ht="22.5" customHeight="1">
      <c r="A778" s="5" t="s">
        <v>2776</v>
      </c>
      <c r="B778" s="5" t="s">
        <v>4896</v>
      </c>
      <c r="C778" s="5" t="str">
        <f>IFERROR(__xludf.DUMMYFUNCTION("REGEXREPLACE(B778,""\D"","""")"),"2726793641")</f>
        <v>2726793641</v>
      </c>
      <c r="D778" s="12">
        <v>2.726793641E9</v>
      </c>
      <c r="E778" s="5" t="s">
        <v>4897</v>
      </c>
      <c r="F778" s="5" t="str">
        <f t="shared" si="1"/>
        <v>rachel.mendoza@yahoo.com</v>
      </c>
      <c r="G778" s="5" t="s">
        <v>5394</v>
      </c>
      <c r="H778" s="9">
        <v>45859.0</v>
      </c>
      <c r="I778" s="9">
        <v>45884.0</v>
      </c>
    </row>
    <row r="779" ht="22.5" customHeight="1">
      <c r="A779" s="5" t="s">
        <v>2777</v>
      </c>
      <c r="B779" s="5" t="s">
        <v>4898</v>
      </c>
      <c r="C779" s="5" t="str">
        <f>IFERROR(__xludf.DUMMYFUNCTION("REGEXREPLACE(B779,""\D"","""")"),"8406743322")</f>
        <v>8406743322</v>
      </c>
      <c r="D779" s="12">
        <v>8.406743322E9</v>
      </c>
      <c r="E779" s="5" t="s">
        <v>4899</v>
      </c>
      <c r="F779" s="5" t="str">
        <f t="shared" si="1"/>
        <v>larry.nguyen@gmail.com</v>
      </c>
      <c r="G779" s="5" t="s">
        <v>4899</v>
      </c>
      <c r="H779" s="9">
        <v>46047.0</v>
      </c>
      <c r="I779" s="11"/>
    </row>
    <row r="780" ht="22.5" customHeight="1">
      <c r="A780" s="5" t="s">
        <v>2779</v>
      </c>
      <c r="C780" s="10" t="str">
        <f>IFERROR(__xludf.DUMMYFUNCTION("REGEXREPLACE(B780,""\D"","""")"),"")</f>
        <v/>
      </c>
      <c r="D780" s="13" t="s">
        <v>4964</v>
      </c>
      <c r="E780" s="5" t="s">
        <v>4900</v>
      </c>
      <c r="F780" s="5" t="str">
        <f t="shared" si="1"/>
        <v>stephen.hill@outlook.com</v>
      </c>
      <c r="G780" s="5" t="s">
        <v>5395</v>
      </c>
      <c r="H780" s="9">
        <v>46017.0</v>
      </c>
      <c r="I780" s="9">
        <v>46038.0</v>
      </c>
    </row>
    <row r="781" ht="22.5" customHeight="1">
      <c r="A781" s="5" t="s">
        <v>2783</v>
      </c>
      <c r="B781" s="14" t="s">
        <v>4902</v>
      </c>
      <c r="C781" s="5" t="str">
        <f>IFERROR(__xludf.DUMMYFUNCTION("REGEXREPLACE(B781,""\D"","""")"),"3179066148")</f>
        <v>3179066148</v>
      </c>
      <c r="D781" s="12">
        <v>3.179066148E9</v>
      </c>
      <c r="E781" s="5" t="s">
        <v>4903</v>
      </c>
      <c r="F781" s="5" t="str">
        <f t="shared" si="1"/>
        <v>joseph.bennett@outlook.com</v>
      </c>
      <c r="G781" s="5" t="s">
        <v>4903</v>
      </c>
      <c r="H781" s="9">
        <v>46111.0</v>
      </c>
      <c r="I781" s="9">
        <v>46136.0</v>
      </c>
    </row>
    <row r="782" ht="22.5" customHeight="1">
      <c r="A782" s="5" t="s">
        <v>2785</v>
      </c>
      <c r="B782" s="5" t="s">
        <v>4904</v>
      </c>
      <c r="C782" s="5" t="str">
        <f>IFERROR(__xludf.DUMMYFUNCTION("REGEXREPLACE(B782,""\D"","""")"),"7802727591")</f>
        <v>7802727591</v>
      </c>
      <c r="D782" s="12">
        <v>7.802727591E9</v>
      </c>
      <c r="E782" s="5" t="s">
        <v>4905</v>
      </c>
      <c r="F782" s="5" t="str">
        <f t="shared" si="1"/>
        <v>andrew.green@outlook.com</v>
      </c>
      <c r="G782" s="5" t="s">
        <v>5396</v>
      </c>
      <c r="H782" s="9">
        <v>46222.0</v>
      </c>
      <c r="I782" s="9">
        <v>46234.0</v>
      </c>
    </row>
    <row r="783" ht="22.5" customHeight="1">
      <c r="A783" s="5" t="s">
        <v>2787</v>
      </c>
      <c r="B783" s="14" t="s">
        <v>4906</v>
      </c>
      <c r="C783" s="5" t="str">
        <f>IFERROR(__xludf.DUMMYFUNCTION("REGEXREPLACE(B783,""\D"","""")"),"4016104037")</f>
        <v>4016104037</v>
      </c>
      <c r="D783" s="12">
        <v>4.016104037E9</v>
      </c>
      <c r="E783" s="5" t="s">
        <v>4907</v>
      </c>
      <c r="F783" s="5" t="str">
        <f t="shared" si="1"/>
        <v>angela.morales@yahoo.com</v>
      </c>
      <c r="G783" s="5" t="s">
        <v>4907</v>
      </c>
      <c r="H783" s="9">
        <v>46180.0</v>
      </c>
      <c r="I783" s="9">
        <v>46188.0</v>
      </c>
    </row>
    <row r="784" ht="22.5" customHeight="1">
      <c r="A784" s="5" t="s">
        <v>2789</v>
      </c>
      <c r="B784" s="5" t="s">
        <v>4908</v>
      </c>
      <c r="C784" s="5" t="str">
        <f>IFERROR(__xludf.DUMMYFUNCTION("REGEXREPLACE(B784,""\D"","""")"),"2354512877")</f>
        <v>2354512877</v>
      </c>
      <c r="D784" s="12">
        <v>2.354512877E9</v>
      </c>
      <c r="F784" s="10" t="str">
        <f t="shared" si="1"/>
        <v/>
      </c>
      <c r="G784" s="10" t="s">
        <v>4964</v>
      </c>
      <c r="H784" s="9">
        <v>46175.0</v>
      </c>
      <c r="I784" s="9">
        <v>46185.0</v>
      </c>
    </row>
    <row r="785" ht="22.5" customHeight="1">
      <c r="A785" s="5" t="s">
        <v>2792</v>
      </c>
      <c r="B785" s="14" t="s">
        <v>4909</v>
      </c>
      <c r="C785" s="5" t="str">
        <f>IFERROR(__xludf.DUMMYFUNCTION("REGEXREPLACE(B785,""\D"","""")"),"4022494149")</f>
        <v>4022494149</v>
      </c>
      <c r="D785" s="12">
        <v>4.022494149E9</v>
      </c>
      <c r="E785" s="5" t="s">
        <v>4910</v>
      </c>
      <c r="F785" s="5" t="str">
        <f t="shared" si="1"/>
        <v>kathleen.rodriguez@outlook.com</v>
      </c>
      <c r="G785" s="5" t="s">
        <v>5397</v>
      </c>
      <c r="H785" s="9">
        <v>46116.0</v>
      </c>
      <c r="I785" s="11"/>
    </row>
    <row r="786" ht="22.5" customHeight="1">
      <c r="A786" s="5" t="s">
        <v>2795</v>
      </c>
      <c r="B786" s="5" t="s">
        <v>4911</v>
      </c>
      <c r="C786" s="5" t="str">
        <f>IFERROR(__xludf.DUMMYFUNCTION("REGEXREPLACE(B786,""\D"","""")"),"4889921617")</f>
        <v>4889921617</v>
      </c>
      <c r="D786" s="12">
        <v>4.889921617E9</v>
      </c>
      <c r="E786" s="5" t="s">
        <v>4912</v>
      </c>
      <c r="F786" s="5" t="str">
        <f t="shared" si="1"/>
        <v>thomas.jones@outlook.com</v>
      </c>
      <c r="G786" s="5" t="s">
        <v>4912</v>
      </c>
      <c r="H786" s="9">
        <v>46180.0</v>
      </c>
      <c r="I786" s="11"/>
    </row>
    <row r="787" ht="22.5" customHeight="1">
      <c r="A787" s="5" t="s">
        <v>2797</v>
      </c>
      <c r="B787" s="5" t="s">
        <v>4913</v>
      </c>
      <c r="C787" s="5" t="str">
        <f>IFERROR(__xludf.DUMMYFUNCTION("REGEXREPLACE(B787,""\D"","""")"),"4454502077")</f>
        <v>4454502077</v>
      </c>
      <c r="D787" s="12">
        <v>4.454502077E9</v>
      </c>
      <c r="E787" s="5" t="s">
        <v>4914</v>
      </c>
      <c r="F787" s="5" t="str">
        <f t="shared" si="1"/>
        <v>pamela.diaz@outlook.com</v>
      </c>
      <c r="G787" s="5" t="s">
        <v>5398</v>
      </c>
      <c r="H787" s="9">
        <v>45741.0</v>
      </c>
      <c r="I787" s="11"/>
    </row>
    <row r="788" ht="22.5" customHeight="1">
      <c r="A788" s="5" t="s">
        <v>2800</v>
      </c>
      <c r="B788" s="5" t="s">
        <v>4915</v>
      </c>
      <c r="C788" s="5" t="str">
        <f>IFERROR(__xludf.DUMMYFUNCTION("REGEXREPLACE(B788,""\D"","""")"),"9466173055")</f>
        <v>9466173055</v>
      </c>
      <c r="D788" s="12">
        <v>9.466173055E9</v>
      </c>
      <c r="E788" s="5" t="s">
        <v>4916</v>
      </c>
      <c r="F788" s="5" t="str">
        <f t="shared" si="1"/>
        <v>ryan.morgan@gmail.com</v>
      </c>
      <c r="G788" s="5" t="s">
        <v>4916</v>
      </c>
      <c r="H788" s="9">
        <v>45895.0</v>
      </c>
      <c r="I788" s="11"/>
    </row>
    <row r="789" ht="22.5" customHeight="1">
      <c r="A789" s="5" t="s">
        <v>2801</v>
      </c>
      <c r="B789" s="5" t="s">
        <v>4917</v>
      </c>
      <c r="C789" s="5" t="str">
        <f>IFERROR(__xludf.DUMMYFUNCTION("REGEXREPLACE(B789,""\D"","""")"),"7368038153")</f>
        <v>7368038153</v>
      </c>
      <c r="D789" s="12">
        <v>7.368038153E9</v>
      </c>
      <c r="E789" s="5" t="s">
        <v>4918</v>
      </c>
      <c r="F789" s="5" t="str">
        <f t="shared" si="1"/>
        <v>charles.morales@aol.com</v>
      </c>
      <c r="G789" s="5" t="s">
        <v>5399</v>
      </c>
      <c r="H789" s="9">
        <v>46147.0</v>
      </c>
      <c r="I789" s="11"/>
    </row>
    <row r="790" ht="22.5" customHeight="1">
      <c r="A790" s="5" t="s">
        <v>2803</v>
      </c>
      <c r="B790" s="5" t="s">
        <v>4919</v>
      </c>
      <c r="C790" s="5" t="str">
        <f>IFERROR(__xludf.DUMMYFUNCTION("REGEXREPLACE(B790,""\D"","""")"),"3993463591")</f>
        <v>3993463591</v>
      </c>
      <c r="D790" s="12">
        <v>3.993463591E9</v>
      </c>
      <c r="E790" s="5" t="s">
        <v>4920</v>
      </c>
      <c r="F790" s="5" t="str">
        <f t="shared" si="1"/>
        <v>andrew.walker@gmail.com</v>
      </c>
      <c r="G790" s="5" t="s">
        <v>5400</v>
      </c>
      <c r="H790" s="9">
        <v>45771.0</v>
      </c>
      <c r="I790" s="11"/>
    </row>
    <row r="791" ht="22.5" customHeight="1">
      <c r="A791" s="5" t="s">
        <v>2806</v>
      </c>
      <c r="B791" s="5" t="s">
        <v>4921</v>
      </c>
      <c r="C791" s="5" t="str">
        <f>IFERROR(__xludf.DUMMYFUNCTION("REGEXREPLACE(B791,""\D"","""")"),"7193377534")</f>
        <v>7193377534</v>
      </c>
      <c r="D791" s="12">
        <v>7.193377534E9</v>
      </c>
      <c r="E791" s="5" t="s">
        <v>4922</v>
      </c>
      <c r="F791" s="5" t="str">
        <f t="shared" si="1"/>
        <v>lisa.evans@outlook.com</v>
      </c>
      <c r="G791" s="5" t="s">
        <v>4922</v>
      </c>
      <c r="H791" s="9">
        <v>46260.0</v>
      </c>
      <c r="I791" s="9">
        <v>46266.0</v>
      </c>
    </row>
    <row r="792" ht="22.5" customHeight="1">
      <c r="A792" s="5" t="s">
        <v>2809</v>
      </c>
      <c r="B792" s="5" t="s">
        <v>4924</v>
      </c>
      <c r="C792" s="5" t="str">
        <f>IFERROR(__xludf.DUMMYFUNCTION("REGEXREPLACE(B792,""\D"","""")"),"3279365943")</f>
        <v>3279365943</v>
      </c>
      <c r="D792" s="12">
        <v>3.279365943E9</v>
      </c>
      <c r="E792" s="5" t="s">
        <v>4925</v>
      </c>
      <c r="F792" s="5" t="str">
        <f t="shared" si="1"/>
        <v>lisa.bennett@hotmail.com</v>
      </c>
      <c r="G792" s="5" t="s">
        <v>5401</v>
      </c>
      <c r="H792" s="9">
        <v>46165.0</v>
      </c>
      <c r="I792" s="9">
        <v>46169.0</v>
      </c>
    </row>
    <row r="793" ht="22.5" customHeight="1">
      <c r="A793" s="5" t="s">
        <v>2811</v>
      </c>
      <c r="B793" s="5" t="s">
        <v>4926</v>
      </c>
      <c r="C793" s="5" t="str">
        <f>IFERROR(__xludf.DUMMYFUNCTION("REGEXREPLACE(B793,""\D"","""")"),"2424653131")</f>
        <v>2424653131</v>
      </c>
      <c r="D793" s="12">
        <v>2.424653131E9</v>
      </c>
      <c r="E793" s="5" t="s">
        <v>4927</v>
      </c>
      <c r="F793" s="5" t="str">
        <f t="shared" si="1"/>
        <v>elizabeth.parker@aol.com</v>
      </c>
      <c r="G793" s="5" t="s">
        <v>4927</v>
      </c>
      <c r="H793" s="9">
        <v>46220.0</v>
      </c>
      <c r="I793" s="11"/>
    </row>
    <row r="794" ht="22.5" customHeight="1">
      <c r="A794" s="5" t="s">
        <v>2814</v>
      </c>
      <c r="C794" s="10" t="str">
        <f>IFERROR(__xludf.DUMMYFUNCTION("REGEXREPLACE(B794,""\D"","""")"),"")</f>
        <v/>
      </c>
      <c r="D794" s="13" t="s">
        <v>4964</v>
      </c>
      <c r="E794" s="5" t="s">
        <v>4928</v>
      </c>
      <c r="F794" s="5" t="str">
        <f t="shared" si="1"/>
        <v>donald.jimenez@aol.com</v>
      </c>
      <c r="G794" s="5" t="s">
        <v>5402</v>
      </c>
      <c r="H794" s="9">
        <v>45854.0</v>
      </c>
      <c r="I794" s="9">
        <v>45866.0</v>
      </c>
    </row>
    <row r="795" ht="22.5" customHeight="1">
      <c r="A795" s="5" t="s">
        <v>2817</v>
      </c>
      <c r="B795" s="14" t="s">
        <v>4929</v>
      </c>
      <c r="C795" s="5" t="str">
        <f>IFERROR(__xludf.DUMMYFUNCTION("REGEXREPLACE(B795,""\D"","""")"),"5106869411")</f>
        <v>5106869411</v>
      </c>
      <c r="D795" s="12">
        <v>5.106869411E9</v>
      </c>
      <c r="E795" s="5" t="s">
        <v>4930</v>
      </c>
      <c r="F795" s="5" t="str">
        <f t="shared" si="1"/>
        <v>maria.rodriguez@outlook.com</v>
      </c>
      <c r="G795" s="5" t="s">
        <v>5403</v>
      </c>
      <c r="H795" s="9">
        <v>46052.0</v>
      </c>
      <c r="I795" s="9">
        <v>46079.0</v>
      </c>
    </row>
    <row r="796" ht="22.5" customHeight="1">
      <c r="A796" s="5" t="s">
        <v>2819</v>
      </c>
      <c r="B796" s="5" t="s">
        <v>4931</v>
      </c>
      <c r="C796" s="5" t="str">
        <f>IFERROR(__xludf.DUMMYFUNCTION("REGEXREPLACE(B796,""\D"","""")"),"8074634663")</f>
        <v>8074634663</v>
      </c>
      <c r="D796" s="12">
        <v>8.074634663E9</v>
      </c>
      <c r="E796" s="5" t="s">
        <v>4932</v>
      </c>
      <c r="F796" s="5" t="str">
        <f t="shared" si="1"/>
        <v>william.edwards@gmail.com</v>
      </c>
      <c r="G796" s="5" t="s">
        <v>4932</v>
      </c>
      <c r="H796" s="11"/>
      <c r="I796" s="11"/>
    </row>
    <row r="797" ht="22.5" customHeight="1">
      <c r="A797" s="5" t="s">
        <v>2822</v>
      </c>
      <c r="B797" s="5" t="s">
        <v>4933</v>
      </c>
      <c r="C797" s="5" t="str">
        <f>IFERROR(__xludf.DUMMYFUNCTION("REGEXREPLACE(B797,""\D"","""")"),"4982971898")</f>
        <v>4982971898</v>
      </c>
      <c r="D797" s="12">
        <v>4.982971898E9</v>
      </c>
      <c r="E797" s="5" t="s">
        <v>4934</v>
      </c>
      <c r="F797" s="5" t="str">
        <f t="shared" si="1"/>
        <v>nicole.bennett@aol.com</v>
      </c>
      <c r="G797" s="5" t="s">
        <v>5404</v>
      </c>
      <c r="H797" s="9">
        <v>45825.0</v>
      </c>
      <c r="I797" s="11"/>
    </row>
    <row r="798" ht="22.5" customHeight="1">
      <c r="A798" s="5" t="s">
        <v>2823</v>
      </c>
      <c r="B798" s="5" t="s">
        <v>4935</v>
      </c>
      <c r="C798" s="5" t="str">
        <f>IFERROR(__xludf.DUMMYFUNCTION("REGEXREPLACE(B798,""\D"","""")"),"6229664322")</f>
        <v>6229664322</v>
      </c>
      <c r="D798" s="12">
        <v>6.229664322E9</v>
      </c>
      <c r="E798" s="5" t="s">
        <v>4936</v>
      </c>
      <c r="F798" s="5" t="str">
        <f t="shared" si="1"/>
        <v>michelle.wright@aol.com</v>
      </c>
      <c r="G798" s="5" t="s">
        <v>4936</v>
      </c>
      <c r="H798" s="9">
        <v>45837.0</v>
      </c>
      <c r="I798" s="9">
        <v>45855.0</v>
      </c>
    </row>
    <row r="799" ht="22.5" customHeight="1">
      <c r="A799" s="5" t="s">
        <v>2826</v>
      </c>
      <c r="B799" s="14" t="s">
        <v>4938</v>
      </c>
      <c r="C799" s="5" t="str">
        <f>IFERROR(__xludf.DUMMYFUNCTION("REGEXREPLACE(B799,""\D"","""")"),"5777065853")</f>
        <v>5777065853</v>
      </c>
      <c r="D799" s="12">
        <v>5.777065853E9</v>
      </c>
      <c r="E799" s="5" t="s">
        <v>4939</v>
      </c>
      <c r="F799" s="5" t="str">
        <f t="shared" si="1"/>
        <v>emma.cook@aol.com</v>
      </c>
      <c r="G799" s="5" t="s">
        <v>4939</v>
      </c>
      <c r="H799" s="9">
        <v>46240.0</v>
      </c>
      <c r="I799" s="9">
        <v>46255.0</v>
      </c>
    </row>
    <row r="800" ht="22.5" customHeight="1">
      <c r="A800" s="5" t="s">
        <v>2829</v>
      </c>
      <c r="B800" s="5" t="s">
        <v>4940</v>
      </c>
      <c r="C800" s="5" t="str">
        <f>IFERROR(__xludf.DUMMYFUNCTION("REGEXREPLACE(B800,""\D"","""")"),"6687554710")</f>
        <v>6687554710</v>
      </c>
      <c r="D800" s="12">
        <v>6.68755471E9</v>
      </c>
      <c r="E800" s="5" t="s">
        <v>4941</v>
      </c>
      <c r="F800" s="5" t="str">
        <f t="shared" si="1"/>
        <v>stephanie.hill@yahoo.com</v>
      </c>
      <c r="G800" s="5" t="s">
        <v>5405</v>
      </c>
      <c r="H800" s="9">
        <v>46006.0</v>
      </c>
      <c r="I800" s="11"/>
    </row>
    <row r="801" ht="22.5" customHeight="1">
      <c r="A801" s="5" t="s">
        <v>2831</v>
      </c>
      <c r="B801" s="5" t="s">
        <v>4942</v>
      </c>
      <c r="C801" s="5" t="str">
        <f>IFERROR(__xludf.DUMMYFUNCTION("REGEXREPLACE(B801,""\D"","""")"),"4658287685")</f>
        <v>4658287685</v>
      </c>
      <c r="D801" s="12">
        <v>4.658287685E9</v>
      </c>
      <c r="E801" s="5" t="s">
        <v>4943</v>
      </c>
      <c r="F801" s="5" t="str">
        <f t="shared" si="1"/>
        <v>nicholas.robinson@outlook.com</v>
      </c>
      <c r="G801" s="5" t="s">
        <v>4943</v>
      </c>
      <c r="H801" s="9">
        <v>46239.0</v>
      </c>
      <c r="I801" s="11"/>
    </row>
    <row r="802" ht="22.5" customHeight="1">
      <c r="A802" s="5" t="s">
        <v>2833</v>
      </c>
      <c r="B802" s="5" t="s">
        <v>4944</v>
      </c>
      <c r="C802" s="5" t="str">
        <f>IFERROR(__xludf.DUMMYFUNCTION("REGEXREPLACE(B802,""\D"","""")"),"5368722624")</f>
        <v>5368722624</v>
      </c>
      <c r="D802" s="12">
        <v>5.368722624E9</v>
      </c>
      <c r="E802" s="5" t="s">
        <v>4945</v>
      </c>
      <c r="F802" s="5" t="str">
        <f t="shared" si="1"/>
        <v>jeffrey.bailey@hotmail.com</v>
      </c>
      <c r="G802" s="5" t="s">
        <v>4945</v>
      </c>
      <c r="H802" s="9">
        <v>45897.0</v>
      </c>
      <c r="I802" s="11"/>
    </row>
    <row r="803" ht="22.5" customHeight="1">
      <c r="A803" s="5" t="s">
        <v>2835</v>
      </c>
      <c r="B803" s="5" t="s">
        <v>4946</v>
      </c>
      <c r="C803" s="5" t="str">
        <f>IFERROR(__xludf.DUMMYFUNCTION("REGEXREPLACE(B803,""\D"","""")"),"8187088300")</f>
        <v>8187088300</v>
      </c>
      <c r="D803" s="12">
        <v>8.1870883E9</v>
      </c>
      <c r="E803" s="5" t="s">
        <v>4947</v>
      </c>
      <c r="F803" s="5" t="str">
        <f t="shared" si="1"/>
        <v>brenda.white@gmail.com</v>
      </c>
      <c r="G803" s="5" t="s">
        <v>4947</v>
      </c>
      <c r="H803" s="9">
        <v>45745.0</v>
      </c>
      <c r="I803" s="11"/>
    </row>
    <row r="804" ht="22.5" customHeight="1">
      <c r="A804" s="5" t="s">
        <v>2837</v>
      </c>
      <c r="B804" s="5" t="s">
        <v>4948</v>
      </c>
      <c r="C804" s="5" t="str">
        <f>IFERROR(__xludf.DUMMYFUNCTION("REGEXREPLACE(B804,""\D"","""")"),"4075067302")</f>
        <v>4075067302</v>
      </c>
      <c r="D804" s="12">
        <v>4.075067302E9</v>
      </c>
      <c r="E804" s="5" t="s">
        <v>4949</v>
      </c>
      <c r="F804" s="5" t="str">
        <f t="shared" si="1"/>
        <v>james.ruiz@outlook.com</v>
      </c>
      <c r="G804" s="5" t="s">
        <v>4949</v>
      </c>
      <c r="H804" s="9">
        <v>46014.0</v>
      </c>
      <c r="I804" s="9">
        <v>46032.0</v>
      </c>
    </row>
    <row r="805" ht="22.5" customHeight="1">
      <c r="A805" s="5" t="s">
        <v>2838</v>
      </c>
      <c r="B805" s="5" t="s">
        <v>4950</v>
      </c>
      <c r="C805" s="5" t="str">
        <f>IFERROR(__xludf.DUMMYFUNCTION("REGEXREPLACE(B805,""\D"","""")"),"9142419310")</f>
        <v>9142419310</v>
      </c>
      <c r="D805" s="12">
        <v>9.14241931E9</v>
      </c>
      <c r="E805" s="5" t="s">
        <v>4951</v>
      </c>
      <c r="F805" s="5" t="str">
        <f t="shared" si="1"/>
        <v>raymond.anderson@gmail.com</v>
      </c>
      <c r="G805" s="5" t="s">
        <v>5406</v>
      </c>
      <c r="H805" s="9">
        <v>46190.0</v>
      </c>
      <c r="I805" s="9">
        <v>46202.0</v>
      </c>
    </row>
    <row r="806" ht="22.5" customHeight="1">
      <c r="A806" s="5" t="s">
        <v>2840</v>
      </c>
      <c r="B806" s="5" t="s">
        <v>4952</v>
      </c>
      <c r="C806" s="5" t="str">
        <f>IFERROR(__xludf.DUMMYFUNCTION("REGEXREPLACE(B806,""\D"","""")"),"4012293099")</f>
        <v>4012293099</v>
      </c>
      <c r="D806" s="12">
        <v>4.012293099E9</v>
      </c>
      <c r="E806" s="5" t="s">
        <v>4953</v>
      </c>
      <c r="F806" s="5" t="str">
        <f t="shared" si="1"/>
        <v>jennifer.gutierrez@gmail.com</v>
      </c>
      <c r="G806" s="5" t="s">
        <v>5407</v>
      </c>
      <c r="H806" s="9">
        <v>46200.0</v>
      </c>
      <c r="I806" s="9">
        <v>46212.0</v>
      </c>
    </row>
  </sheetData>
  <dataValidations>
    <dataValidation type="custom" allowBlank="1" showDropDown="1" sqref="H2:I806">
      <formula1>OR(NOT(ISERROR(DATEVALUE(H2))), AND(ISNUMBER(H2), LEFT(CELL("format", H2))="D"))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6.88"/>
    <col customWidth="1" min="3" max="3" width="26.88"/>
    <col customWidth="1" min="4" max="4" width="29.63"/>
    <col customWidth="1" min="5" max="5" width="30.25"/>
  </cols>
  <sheetData>
    <row r="1" ht="22.5" customHeight="1">
      <c r="A1" s="3" t="s">
        <v>0</v>
      </c>
      <c r="B1" s="3" t="s">
        <v>4954</v>
      </c>
      <c r="C1" s="3" t="s">
        <v>4957</v>
      </c>
      <c r="D1" s="3" t="s">
        <v>4960</v>
      </c>
      <c r="E1" s="3" t="s">
        <v>4961</v>
      </c>
    </row>
    <row r="2" ht="22.5" customHeight="1">
      <c r="A2" s="5" t="s">
        <v>21</v>
      </c>
      <c r="B2" s="12">
        <v>7.377026699E9</v>
      </c>
      <c r="C2" s="5" t="s">
        <v>4962</v>
      </c>
      <c r="D2" s="9">
        <v>45887.0</v>
      </c>
      <c r="E2" s="9">
        <v>45895.0</v>
      </c>
    </row>
    <row r="3" ht="22.5" customHeight="1">
      <c r="A3" s="5" t="s">
        <v>40</v>
      </c>
      <c r="B3" s="12">
        <v>2.686327015E9</v>
      </c>
      <c r="C3" s="5" t="s">
        <v>4963</v>
      </c>
      <c r="D3" s="9">
        <v>45928.0</v>
      </c>
      <c r="E3" s="9">
        <v>45951.0</v>
      </c>
    </row>
    <row r="4" ht="22.5" customHeight="1">
      <c r="A4" s="5" t="s">
        <v>57</v>
      </c>
      <c r="B4" s="13" t="s">
        <v>4964</v>
      </c>
      <c r="C4" s="5" t="s">
        <v>4965</v>
      </c>
      <c r="D4" s="9">
        <v>46034.0</v>
      </c>
      <c r="E4" s="11"/>
    </row>
    <row r="5" ht="22.5" customHeight="1">
      <c r="A5" s="5" t="s">
        <v>72</v>
      </c>
      <c r="B5" s="12">
        <v>9.872336406E9</v>
      </c>
      <c r="C5" s="5" t="s">
        <v>4966</v>
      </c>
      <c r="D5" s="9">
        <v>45851.0</v>
      </c>
      <c r="E5" s="9">
        <v>45854.0</v>
      </c>
    </row>
    <row r="6" ht="22.5" customHeight="1">
      <c r="A6" s="5" t="s">
        <v>87</v>
      </c>
      <c r="B6" s="12">
        <v>2.479847668E9</v>
      </c>
      <c r="C6" s="5" t="s">
        <v>4967</v>
      </c>
      <c r="D6" s="9">
        <v>45977.0</v>
      </c>
      <c r="E6" s="9">
        <v>45992.0</v>
      </c>
    </row>
    <row r="7" ht="22.5" customHeight="1">
      <c r="A7" s="5" t="s">
        <v>99</v>
      </c>
      <c r="B7" s="12">
        <v>4.606566594E9</v>
      </c>
      <c r="C7" s="5" t="s">
        <v>4968</v>
      </c>
      <c r="D7" s="9">
        <v>45793.0</v>
      </c>
      <c r="E7" s="11"/>
    </row>
    <row r="8" ht="22.5" customHeight="1">
      <c r="A8" s="5" t="s">
        <v>119</v>
      </c>
      <c r="B8" s="12">
        <v>8.785733758E9</v>
      </c>
      <c r="C8" s="5" t="s">
        <v>3132</v>
      </c>
      <c r="D8" s="9">
        <v>46073.0</v>
      </c>
      <c r="E8" s="9">
        <v>46102.0</v>
      </c>
    </row>
    <row r="9" ht="22.5" customHeight="1">
      <c r="A9" s="5" t="s">
        <v>126</v>
      </c>
      <c r="B9" s="12">
        <v>9.643901726E9</v>
      </c>
      <c r="C9" s="5" t="s">
        <v>4969</v>
      </c>
      <c r="D9" s="9">
        <v>45756.0</v>
      </c>
      <c r="E9" s="9">
        <v>45766.0</v>
      </c>
    </row>
    <row r="10" ht="22.5" customHeight="1">
      <c r="A10" s="5" t="s">
        <v>134</v>
      </c>
      <c r="B10" s="12">
        <v>2.496386452E9</v>
      </c>
      <c r="C10" s="5" t="s">
        <v>4970</v>
      </c>
      <c r="D10" s="9">
        <v>46092.0</v>
      </c>
      <c r="E10" s="9">
        <v>46112.0</v>
      </c>
    </row>
    <row r="11" ht="22.5" customHeight="1">
      <c r="A11" s="5" t="s">
        <v>145</v>
      </c>
      <c r="B11" s="12">
        <v>2.452423912E9</v>
      </c>
      <c r="C11" s="10" t="s">
        <v>4964</v>
      </c>
      <c r="D11" s="9">
        <v>45988.0</v>
      </c>
      <c r="E11" s="9">
        <v>46009.0</v>
      </c>
    </row>
    <row r="12" ht="22.5" customHeight="1">
      <c r="A12" s="5" t="s">
        <v>156</v>
      </c>
      <c r="B12" s="12">
        <v>4.874082006E9</v>
      </c>
      <c r="C12" s="5" t="s">
        <v>4971</v>
      </c>
      <c r="D12" s="9">
        <v>46184.0</v>
      </c>
      <c r="E12" s="9">
        <v>46213.0</v>
      </c>
    </row>
    <row r="13" ht="22.5" customHeight="1">
      <c r="A13" s="5" t="s">
        <v>169</v>
      </c>
      <c r="B13" s="12">
        <v>5.666903484E9</v>
      </c>
      <c r="C13" s="5" t="s">
        <v>3145</v>
      </c>
      <c r="D13" s="9">
        <v>45792.0</v>
      </c>
      <c r="E13" s="11"/>
    </row>
    <row r="14" ht="22.5" customHeight="1">
      <c r="A14" s="5" t="s">
        <v>182</v>
      </c>
      <c r="B14" s="12">
        <v>2.677618658E9</v>
      </c>
      <c r="C14" s="5" t="s">
        <v>3147</v>
      </c>
      <c r="D14" s="9">
        <v>46175.0</v>
      </c>
      <c r="E14" s="9">
        <v>46187.0</v>
      </c>
    </row>
    <row r="15" ht="22.5" customHeight="1">
      <c r="A15" s="5" t="s">
        <v>192</v>
      </c>
      <c r="B15" s="12">
        <v>8.346104937E9</v>
      </c>
      <c r="C15" s="5" t="s">
        <v>4972</v>
      </c>
      <c r="D15" s="9">
        <v>46209.0</v>
      </c>
      <c r="E15" s="11"/>
    </row>
    <row r="16" ht="22.5" customHeight="1">
      <c r="A16" s="5" t="s">
        <v>202</v>
      </c>
      <c r="B16" s="12">
        <v>4.743848574E9</v>
      </c>
      <c r="C16" s="5" t="s">
        <v>4973</v>
      </c>
      <c r="D16" s="9">
        <v>46015.0</v>
      </c>
      <c r="E16" s="9">
        <v>46017.0</v>
      </c>
    </row>
    <row r="17" ht="22.5" customHeight="1">
      <c r="A17" s="5" t="s">
        <v>214</v>
      </c>
      <c r="B17" s="12">
        <v>2.882914088E9</v>
      </c>
      <c r="C17" s="5" t="s">
        <v>4974</v>
      </c>
      <c r="D17" s="11"/>
      <c r="E17" s="11"/>
    </row>
    <row r="18" ht="22.5" customHeight="1">
      <c r="A18" s="5" t="s">
        <v>225</v>
      </c>
      <c r="B18" s="12">
        <v>5.867495438E9</v>
      </c>
      <c r="C18" s="5" t="s">
        <v>3157</v>
      </c>
      <c r="D18" s="9">
        <v>45785.0</v>
      </c>
      <c r="E18" s="11"/>
    </row>
    <row r="19" ht="22.5" customHeight="1">
      <c r="A19" s="5" t="s">
        <v>233</v>
      </c>
      <c r="B19" s="12">
        <v>4.675034211E9</v>
      </c>
      <c r="C19" s="5" t="s">
        <v>4975</v>
      </c>
      <c r="D19" s="9">
        <v>46026.0</v>
      </c>
      <c r="E19" s="9">
        <v>46027.0</v>
      </c>
    </row>
    <row r="20" ht="22.5" customHeight="1">
      <c r="A20" s="5" t="s">
        <v>242</v>
      </c>
      <c r="B20" s="12">
        <v>9.199863491E9</v>
      </c>
      <c r="C20" s="5" t="s">
        <v>3162</v>
      </c>
      <c r="D20" s="9">
        <v>46027.0</v>
      </c>
      <c r="E20" s="9">
        <v>46027.0</v>
      </c>
    </row>
    <row r="21" ht="22.5" customHeight="1">
      <c r="A21" s="5" t="s">
        <v>253</v>
      </c>
      <c r="B21" s="12">
        <v>9.153291496E9</v>
      </c>
      <c r="C21" s="5" t="s">
        <v>3164</v>
      </c>
      <c r="D21" s="11"/>
      <c r="E21" s="11"/>
    </row>
    <row r="22" ht="22.5" customHeight="1">
      <c r="A22" s="5" t="s">
        <v>262</v>
      </c>
      <c r="B22" s="12">
        <v>2.845139446E9</v>
      </c>
      <c r="C22" s="5" t="s">
        <v>3166</v>
      </c>
      <c r="D22" s="9">
        <v>46174.0</v>
      </c>
      <c r="E22" s="9">
        <v>46180.0</v>
      </c>
    </row>
    <row r="23" ht="22.5" customHeight="1">
      <c r="A23" s="5" t="s">
        <v>274</v>
      </c>
      <c r="B23" s="12">
        <v>2.414921424E9</v>
      </c>
      <c r="C23" s="5" t="s">
        <v>4976</v>
      </c>
      <c r="D23" s="9">
        <v>46167.0</v>
      </c>
      <c r="E23" s="9">
        <v>46171.0</v>
      </c>
    </row>
    <row r="24" ht="22.5" customHeight="1">
      <c r="A24" s="5" t="s">
        <v>281</v>
      </c>
      <c r="B24" s="12">
        <v>5.644939535E9</v>
      </c>
      <c r="C24" s="5" t="s">
        <v>4977</v>
      </c>
      <c r="D24" s="9">
        <v>46058.0</v>
      </c>
      <c r="E24" s="11"/>
    </row>
    <row r="25" ht="22.5" customHeight="1">
      <c r="A25" s="5" t="s">
        <v>291</v>
      </c>
      <c r="B25" s="12">
        <v>8.244587951E9</v>
      </c>
      <c r="C25" s="5" t="s">
        <v>3175</v>
      </c>
      <c r="D25" s="9">
        <v>45721.0</v>
      </c>
      <c r="E25" s="9">
        <v>45746.0</v>
      </c>
    </row>
    <row r="26" ht="22.5" customHeight="1">
      <c r="A26" s="5" t="s">
        <v>298</v>
      </c>
      <c r="B26" s="12">
        <v>7.615687814E9</v>
      </c>
      <c r="C26" s="5" t="s">
        <v>3179</v>
      </c>
      <c r="D26" s="9">
        <v>46027.0</v>
      </c>
      <c r="E26" s="9">
        <v>46049.0</v>
      </c>
    </row>
    <row r="27" ht="22.5" customHeight="1">
      <c r="A27" s="5" t="s">
        <v>306</v>
      </c>
      <c r="B27" s="12">
        <v>3.736443262E9</v>
      </c>
      <c r="C27" s="5" t="s">
        <v>4978</v>
      </c>
      <c r="D27" s="9">
        <v>46164.0</v>
      </c>
      <c r="E27" s="9">
        <v>46185.0</v>
      </c>
    </row>
    <row r="28" ht="22.5" customHeight="1">
      <c r="A28" s="5" t="s">
        <v>314</v>
      </c>
      <c r="B28" s="13" t="s">
        <v>4964</v>
      </c>
      <c r="C28" s="5" t="s">
        <v>3184</v>
      </c>
      <c r="D28" s="9">
        <v>46221.0</v>
      </c>
      <c r="E28" s="9">
        <v>46223.0</v>
      </c>
    </row>
    <row r="29" ht="22.5" customHeight="1">
      <c r="A29" s="5" t="s">
        <v>321</v>
      </c>
      <c r="B29" s="12">
        <v>8.757502988E9</v>
      </c>
      <c r="C29" s="5" t="s">
        <v>3188</v>
      </c>
      <c r="D29" s="9">
        <v>45966.0</v>
      </c>
      <c r="E29" s="9">
        <v>45994.0</v>
      </c>
    </row>
    <row r="30" ht="22.5" customHeight="1">
      <c r="A30" s="5" t="s">
        <v>329</v>
      </c>
      <c r="B30" s="12">
        <v>8.159869727E9</v>
      </c>
      <c r="C30" s="5" t="s">
        <v>3191</v>
      </c>
      <c r="D30" s="9">
        <v>46206.0</v>
      </c>
      <c r="E30" s="9">
        <v>46207.0</v>
      </c>
    </row>
    <row r="31" ht="22.5" customHeight="1">
      <c r="A31" s="5" t="s">
        <v>335</v>
      </c>
      <c r="B31" s="12">
        <v>5.438868707E9</v>
      </c>
      <c r="C31" s="5" t="s">
        <v>3195</v>
      </c>
      <c r="D31" s="9">
        <v>45711.0</v>
      </c>
      <c r="E31" s="11"/>
    </row>
    <row r="32" ht="22.5" customHeight="1">
      <c r="A32" s="5" t="s">
        <v>341</v>
      </c>
      <c r="B32" s="12">
        <v>9.614489635E9</v>
      </c>
      <c r="C32" s="5" t="s">
        <v>4979</v>
      </c>
      <c r="D32" s="9">
        <v>46198.0</v>
      </c>
      <c r="E32" s="9">
        <v>46217.0</v>
      </c>
    </row>
    <row r="33" ht="22.5" customHeight="1">
      <c r="A33" s="5" t="s">
        <v>349</v>
      </c>
      <c r="B33" s="12">
        <v>9.298611236E9</v>
      </c>
      <c r="C33" s="5" t="s">
        <v>4980</v>
      </c>
      <c r="D33" s="9">
        <v>46134.0</v>
      </c>
      <c r="E33" s="9">
        <v>46145.0</v>
      </c>
    </row>
    <row r="34" ht="22.5" customHeight="1">
      <c r="A34" s="5" t="s">
        <v>356</v>
      </c>
      <c r="B34" s="12">
        <v>3.368311323E9</v>
      </c>
      <c r="C34" s="5" t="s">
        <v>4981</v>
      </c>
      <c r="D34" s="9">
        <v>46251.0</v>
      </c>
      <c r="E34" s="9">
        <v>46253.0</v>
      </c>
    </row>
    <row r="35" ht="22.5" customHeight="1">
      <c r="A35" s="5" t="s">
        <v>362</v>
      </c>
      <c r="B35" s="12">
        <v>5.333914264E9</v>
      </c>
      <c r="C35" s="5" t="s">
        <v>4982</v>
      </c>
      <c r="D35" s="9">
        <v>45834.0</v>
      </c>
      <c r="E35" s="9">
        <v>45838.0</v>
      </c>
    </row>
    <row r="36" ht="22.5" customHeight="1">
      <c r="A36" s="5" t="s">
        <v>367</v>
      </c>
      <c r="B36" s="12">
        <v>2.657327402E9</v>
      </c>
      <c r="C36" s="5" t="s">
        <v>3518</v>
      </c>
      <c r="D36" s="9">
        <v>45836.0</v>
      </c>
      <c r="E36" s="9">
        <v>45847.0</v>
      </c>
    </row>
    <row r="37" ht="22.5" customHeight="1">
      <c r="A37" s="5" t="s">
        <v>373</v>
      </c>
      <c r="B37" s="12">
        <v>4.65933799E9</v>
      </c>
      <c r="C37" s="5" t="s">
        <v>3214</v>
      </c>
      <c r="D37" s="9">
        <v>46172.0</v>
      </c>
      <c r="E37" s="9">
        <v>46199.0</v>
      </c>
    </row>
    <row r="38" ht="22.5" customHeight="1">
      <c r="A38" s="5" t="s">
        <v>380</v>
      </c>
      <c r="B38" s="12">
        <v>2.503428288E9</v>
      </c>
      <c r="C38" s="5" t="s">
        <v>4983</v>
      </c>
      <c r="D38" s="9">
        <v>45709.0</v>
      </c>
      <c r="E38" s="9">
        <v>45723.0</v>
      </c>
    </row>
    <row r="39" ht="22.5" customHeight="1">
      <c r="A39" s="5" t="s">
        <v>389</v>
      </c>
      <c r="B39" s="12">
        <v>2.397395531E9</v>
      </c>
      <c r="C39" s="5" t="s">
        <v>3222</v>
      </c>
      <c r="D39" s="9">
        <v>46011.0</v>
      </c>
      <c r="E39" s="9">
        <v>46020.0</v>
      </c>
    </row>
    <row r="40" ht="22.5" customHeight="1">
      <c r="A40" s="5" t="s">
        <v>398</v>
      </c>
      <c r="B40" s="12">
        <v>5.01812295E9</v>
      </c>
      <c r="C40" s="5" t="s">
        <v>3226</v>
      </c>
      <c r="D40" s="9">
        <v>45794.0</v>
      </c>
      <c r="E40" s="9">
        <v>45795.0</v>
      </c>
    </row>
    <row r="41" ht="22.5" customHeight="1">
      <c r="A41" s="5" t="s">
        <v>404</v>
      </c>
      <c r="B41" s="12">
        <v>8.006224193E9</v>
      </c>
      <c r="C41" s="5" t="s">
        <v>3229</v>
      </c>
      <c r="D41" s="9">
        <v>45893.0</v>
      </c>
      <c r="E41" s="9">
        <v>45900.0</v>
      </c>
    </row>
    <row r="42" ht="22.5" customHeight="1">
      <c r="A42" s="5" t="s">
        <v>410</v>
      </c>
      <c r="B42" s="12">
        <v>7.278853809E9</v>
      </c>
      <c r="C42" s="5" t="s">
        <v>3231</v>
      </c>
      <c r="D42" s="9">
        <v>45896.0</v>
      </c>
      <c r="E42" s="9">
        <v>45922.0</v>
      </c>
    </row>
    <row r="43" ht="22.5" customHeight="1">
      <c r="A43" s="5" t="s">
        <v>415</v>
      </c>
      <c r="B43" s="12">
        <v>3.779507528E9</v>
      </c>
      <c r="C43" s="5" t="s">
        <v>3235</v>
      </c>
      <c r="D43" s="11"/>
      <c r="E43" s="11"/>
    </row>
    <row r="44" ht="22.5" customHeight="1">
      <c r="A44" s="5" t="s">
        <v>421</v>
      </c>
      <c r="B44" s="12">
        <v>6.043923875E9</v>
      </c>
      <c r="C44" s="5" t="s">
        <v>3237</v>
      </c>
      <c r="D44" s="9">
        <v>46007.0</v>
      </c>
      <c r="E44" s="11"/>
    </row>
    <row r="45" ht="22.5" customHeight="1">
      <c r="A45" s="5" t="s">
        <v>426</v>
      </c>
      <c r="B45" s="12">
        <v>5.033484729E9</v>
      </c>
      <c r="C45" s="5" t="s">
        <v>3240</v>
      </c>
      <c r="D45" s="11"/>
      <c r="E45" s="11"/>
    </row>
    <row r="46" ht="22.5" customHeight="1">
      <c r="A46" s="5" t="s">
        <v>431</v>
      </c>
      <c r="B46" s="12">
        <v>5.686487549E9</v>
      </c>
      <c r="C46" s="5" t="s">
        <v>3242</v>
      </c>
      <c r="D46" s="9">
        <v>46237.0</v>
      </c>
      <c r="E46" s="9">
        <v>46247.0</v>
      </c>
    </row>
    <row r="47" ht="22.5" customHeight="1">
      <c r="A47" s="5" t="s">
        <v>438</v>
      </c>
      <c r="B47" s="12">
        <v>2.3521966E9</v>
      </c>
      <c r="C47" s="5" t="s">
        <v>3246</v>
      </c>
      <c r="D47" s="9">
        <v>45814.0</v>
      </c>
      <c r="E47" s="11"/>
    </row>
    <row r="48" ht="22.5" customHeight="1">
      <c r="A48" s="5" t="s">
        <v>443</v>
      </c>
      <c r="B48" s="12">
        <v>8.892066386E9</v>
      </c>
      <c r="C48" s="5" t="s">
        <v>3249</v>
      </c>
      <c r="D48" s="9">
        <v>46036.0</v>
      </c>
      <c r="E48" s="11"/>
    </row>
    <row r="49" ht="22.5" customHeight="1">
      <c r="A49" s="5" t="s">
        <v>450</v>
      </c>
      <c r="B49" s="12">
        <v>7.907698139E9</v>
      </c>
      <c r="C49" s="5" t="s">
        <v>4984</v>
      </c>
      <c r="D49" s="9">
        <v>46028.0</v>
      </c>
      <c r="E49" s="9">
        <v>46042.0</v>
      </c>
    </row>
    <row r="50" ht="22.5" customHeight="1">
      <c r="A50" s="5" t="s">
        <v>455</v>
      </c>
      <c r="B50" s="12">
        <v>8.462868607E9</v>
      </c>
      <c r="C50" s="5" t="s">
        <v>3255</v>
      </c>
      <c r="D50" s="9">
        <v>46217.0</v>
      </c>
      <c r="E50" s="9">
        <v>46225.0</v>
      </c>
    </row>
    <row r="51" ht="22.5" customHeight="1">
      <c r="A51" s="5" t="s">
        <v>467</v>
      </c>
      <c r="B51" s="12">
        <v>7.085354994E9</v>
      </c>
      <c r="C51" s="5" t="s">
        <v>4985</v>
      </c>
      <c r="D51" s="9">
        <v>46228.0</v>
      </c>
      <c r="E51" s="11"/>
    </row>
    <row r="52" ht="22.5" customHeight="1">
      <c r="A52" s="5" t="s">
        <v>472</v>
      </c>
      <c r="B52" s="12">
        <v>5.917365694E9</v>
      </c>
      <c r="C52" s="5" t="s">
        <v>3260</v>
      </c>
      <c r="D52" s="9">
        <v>45982.0</v>
      </c>
      <c r="E52" s="11"/>
    </row>
    <row r="53" ht="22.5" customHeight="1">
      <c r="A53" s="5" t="s">
        <v>479</v>
      </c>
      <c r="B53" s="13" t="s">
        <v>4964</v>
      </c>
      <c r="C53" s="5" t="s">
        <v>3261</v>
      </c>
      <c r="D53" s="9">
        <v>46204.0</v>
      </c>
      <c r="E53" s="9">
        <v>46224.0</v>
      </c>
    </row>
    <row r="54" ht="22.5" customHeight="1">
      <c r="A54" s="5" t="s">
        <v>484</v>
      </c>
      <c r="B54" s="13" t="s">
        <v>4964</v>
      </c>
      <c r="C54" s="5" t="s">
        <v>3264</v>
      </c>
      <c r="D54" s="9">
        <v>45845.0</v>
      </c>
      <c r="E54" s="11"/>
    </row>
    <row r="55" ht="22.5" customHeight="1">
      <c r="A55" s="5" t="s">
        <v>493</v>
      </c>
      <c r="B55" s="12">
        <v>5.062384646E9</v>
      </c>
      <c r="C55" s="5" t="s">
        <v>4986</v>
      </c>
      <c r="D55" s="9">
        <v>46159.0</v>
      </c>
      <c r="E55" s="9">
        <v>46175.0</v>
      </c>
    </row>
    <row r="56" ht="22.5" customHeight="1">
      <c r="A56" s="5" t="s">
        <v>502</v>
      </c>
      <c r="B56" s="12">
        <v>2.749761168E9</v>
      </c>
      <c r="C56" s="5" t="s">
        <v>4987</v>
      </c>
      <c r="D56" s="9">
        <v>46022.0</v>
      </c>
      <c r="E56" s="9">
        <v>46027.0</v>
      </c>
    </row>
    <row r="57" ht="22.5" customHeight="1">
      <c r="A57" s="5" t="s">
        <v>507</v>
      </c>
      <c r="B57" s="12">
        <v>3.767649925E9</v>
      </c>
      <c r="C57" s="5" t="s">
        <v>4988</v>
      </c>
      <c r="D57" s="9">
        <v>45718.0</v>
      </c>
      <c r="E57" s="9">
        <v>45727.0</v>
      </c>
    </row>
    <row r="58" ht="22.5" customHeight="1">
      <c r="A58" s="5" t="s">
        <v>513</v>
      </c>
      <c r="B58" s="12">
        <v>2.937389649E9</v>
      </c>
      <c r="C58" s="5" t="s">
        <v>3276</v>
      </c>
      <c r="D58" s="9">
        <v>46174.0</v>
      </c>
      <c r="E58" s="9">
        <v>46184.0</v>
      </c>
    </row>
    <row r="59" ht="22.5" customHeight="1">
      <c r="A59" s="5" t="s">
        <v>519</v>
      </c>
      <c r="B59" s="12">
        <v>5.999836515E9</v>
      </c>
      <c r="C59" s="5" t="s">
        <v>4989</v>
      </c>
      <c r="D59" s="9">
        <v>46058.0</v>
      </c>
      <c r="E59" s="9">
        <v>46081.0</v>
      </c>
    </row>
    <row r="60" ht="22.5" customHeight="1">
      <c r="A60" s="5" t="s">
        <v>524</v>
      </c>
      <c r="B60" s="12">
        <v>4.219817448E9</v>
      </c>
      <c r="C60" s="5" t="s">
        <v>4990</v>
      </c>
      <c r="D60" s="9">
        <v>46170.0</v>
      </c>
      <c r="E60" s="9">
        <v>46175.0</v>
      </c>
    </row>
    <row r="61" ht="22.5" customHeight="1">
      <c r="A61" s="5" t="s">
        <v>530</v>
      </c>
      <c r="B61" s="12">
        <v>2.407574855E9</v>
      </c>
      <c r="C61" s="5" t="s">
        <v>3283</v>
      </c>
      <c r="D61" s="9">
        <v>45777.0</v>
      </c>
      <c r="E61" s="11"/>
    </row>
    <row r="62" ht="22.5" customHeight="1">
      <c r="A62" s="5" t="s">
        <v>535</v>
      </c>
      <c r="B62" s="12">
        <v>9.325688125E9</v>
      </c>
      <c r="C62" s="5" t="s">
        <v>4991</v>
      </c>
      <c r="D62" s="9">
        <v>45948.0</v>
      </c>
      <c r="E62" s="9">
        <v>45949.0</v>
      </c>
    </row>
    <row r="63" ht="22.5" customHeight="1">
      <c r="A63" s="5" t="s">
        <v>541</v>
      </c>
      <c r="B63" s="12">
        <v>6.722614584E9</v>
      </c>
      <c r="C63" s="5" t="s">
        <v>3289</v>
      </c>
      <c r="D63" s="9">
        <v>45735.0</v>
      </c>
      <c r="E63" s="9">
        <v>45755.0</v>
      </c>
    </row>
    <row r="64" ht="22.5" customHeight="1">
      <c r="A64" s="5" t="s">
        <v>548</v>
      </c>
      <c r="B64" s="12">
        <v>2.062522867E9</v>
      </c>
      <c r="C64" s="5" t="s">
        <v>4992</v>
      </c>
      <c r="D64" s="9">
        <v>46008.0</v>
      </c>
      <c r="E64" s="11"/>
    </row>
    <row r="65" ht="22.5" customHeight="1">
      <c r="A65" s="5" t="s">
        <v>554</v>
      </c>
      <c r="B65" s="12">
        <v>3.574832967E9</v>
      </c>
      <c r="C65" s="5" t="s">
        <v>3296</v>
      </c>
      <c r="D65" s="9">
        <v>46173.0</v>
      </c>
      <c r="E65" s="9">
        <v>46189.0</v>
      </c>
    </row>
    <row r="66" ht="22.5" customHeight="1">
      <c r="A66" s="5" t="s">
        <v>563</v>
      </c>
      <c r="B66" s="12">
        <v>4.402775346E9</v>
      </c>
      <c r="C66" s="5" t="s">
        <v>3300</v>
      </c>
      <c r="D66" s="9">
        <v>45775.0</v>
      </c>
      <c r="E66" s="9">
        <v>45777.0</v>
      </c>
    </row>
    <row r="67" ht="22.5" customHeight="1">
      <c r="A67" s="5" t="s">
        <v>568</v>
      </c>
      <c r="B67" s="12">
        <v>9.063528934E9</v>
      </c>
      <c r="C67" s="5" t="s">
        <v>3302</v>
      </c>
      <c r="D67" s="9">
        <v>45846.0</v>
      </c>
      <c r="E67" s="9">
        <v>45848.0</v>
      </c>
    </row>
    <row r="68" ht="22.5" customHeight="1">
      <c r="A68" s="5" t="s">
        <v>574</v>
      </c>
      <c r="B68" s="12">
        <v>9.253812672E9</v>
      </c>
      <c r="C68" s="5" t="s">
        <v>4993</v>
      </c>
      <c r="D68" s="9">
        <v>46185.0</v>
      </c>
      <c r="E68" s="9">
        <v>46201.0</v>
      </c>
    </row>
    <row r="69" ht="22.5" customHeight="1">
      <c r="A69" s="5" t="s">
        <v>580</v>
      </c>
      <c r="B69" s="12">
        <v>2.328059906E9</v>
      </c>
      <c r="C69" s="5" t="s">
        <v>4994</v>
      </c>
      <c r="D69" s="9">
        <v>45916.0</v>
      </c>
      <c r="E69" s="9">
        <v>45922.0</v>
      </c>
    </row>
    <row r="70" ht="22.5" customHeight="1">
      <c r="A70" s="5" t="s">
        <v>586</v>
      </c>
      <c r="B70" s="13" t="s">
        <v>4964</v>
      </c>
      <c r="C70" s="5" t="s">
        <v>3310</v>
      </c>
      <c r="D70" s="9">
        <v>46092.0</v>
      </c>
      <c r="E70" s="11"/>
    </row>
    <row r="71" ht="22.5" customHeight="1">
      <c r="A71" s="5" t="s">
        <v>589</v>
      </c>
      <c r="B71" s="12">
        <v>4.584829453E9</v>
      </c>
      <c r="C71" s="5" t="s">
        <v>3312</v>
      </c>
      <c r="D71" s="9">
        <v>46077.0</v>
      </c>
      <c r="E71" s="9">
        <v>46084.0</v>
      </c>
    </row>
    <row r="72" ht="22.5" customHeight="1">
      <c r="A72" s="5" t="s">
        <v>595</v>
      </c>
      <c r="B72" s="12">
        <v>8.216913812E9</v>
      </c>
      <c r="C72" s="5" t="s">
        <v>4995</v>
      </c>
      <c r="D72" s="9">
        <v>46076.0</v>
      </c>
      <c r="E72" s="11"/>
    </row>
    <row r="73" ht="22.5" customHeight="1">
      <c r="A73" s="5" t="s">
        <v>600</v>
      </c>
      <c r="B73" s="12">
        <v>9.979549116E9</v>
      </c>
      <c r="C73" s="5" t="s">
        <v>4996</v>
      </c>
      <c r="D73" s="9">
        <v>45717.0</v>
      </c>
      <c r="E73" s="11"/>
    </row>
    <row r="74" ht="22.5" customHeight="1">
      <c r="A74" s="5" t="s">
        <v>603</v>
      </c>
      <c r="B74" s="12">
        <v>7.315521963E9</v>
      </c>
      <c r="C74" s="5" t="s">
        <v>4997</v>
      </c>
      <c r="D74" s="9">
        <v>46230.0</v>
      </c>
      <c r="E74" s="9">
        <v>46244.0</v>
      </c>
    </row>
    <row r="75" ht="22.5" customHeight="1">
      <c r="A75" s="5" t="s">
        <v>606</v>
      </c>
      <c r="B75" s="12">
        <v>2.599221923E9</v>
      </c>
      <c r="C75" s="5" t="s">
        <v>4998</v>
      </c>
      <c r="D75" s="9">
        <v>45816.0</v>
      </c>
      <c r="E75" s="11"/>
    </row>
    <row r="76" ht="22.5" customHeight="1">
      <c r="A76" s="5" t="s">
        <v>610</v>
      </c>
      <c r="B76" s="12">
        <v>7.387711302E9</v>
      </c>
      <c r="C76" s="5" t="s">
        <v>4999</v>
      </c>
      <c r="D76" s="9">
        <v>46027.0</v>
      </c>
      <c r="E76" s="11"/>
    </row>
    <row r="77" ht="22.5" customHeight="1">
      <c r="A77" s="5" t="s">
        <v>615</v>
      </c>
      <c r="B77" s="12">
        <v>7.858326386E9</v>
      </c>
      <c r="C77" s="5" t="s">
        <v>5000</v>
      </c>
      <c r="D77" s="9">
        <v>46203.0</v>
      </c>
      <c r="E77" s="11"/>
    </row>
    <row r="78" ht="22.5" customHeight="1">
      <c r="A78" s="5" t="s">
        <v>619</v>
      </c>
      <c r="B78" s="12">
        <v>2.273897064E9</v>
      </c>
      <c r="C78" s="5" t="s">
        <v>3329</v>
      </c>
      <c r="D78" s="11"/>
      <c r="E78" s="11"/>
    </row>
    <row r="79" ht="22.5" customHeight="1">
      <c r="A79" s="5" t="s">
        <v>623</v>
      </c>
      <c r="B79" s="12">
        <v>5.02494685E9</v>
      </c>
      <c r="C79" s="5" t="s">
        <v>5001</v>
      </c>
      <c r="D79" s="9">
        <v>45755.0</v>
      </c>
      <c r="E79" s="11"/>
    </row>
    <row r="80" ht="22.5" customHeight="1">
      <c r="A80" s="5" t="s">
        <v>628</v>
      </c>
      <c r="B80" s="12">
        <v>4.884439356E9</v>
      </c>
      <c r="C80" s="5" t="s">
        <v>5002</v>
      </c>
      <c r="D80" s="9">
        <v>45748.0</v>
      </c>
      <c r="E80" s="9">
        <v>45774.0</v>
      </c>
    </row>
    <row r="81" ht="22.5" customHeight="1">
      <c r="A81" s="5" t="s">
        <v>633</v>
      </c>
      <c r="B81" s="12">
        <v>5.487656631E9</v>
      </c>
      <c r="C81" s="5" t="s">
        <v>3337</v>
      </c>
      <c r="D81" s="9">
        <v>46165.0</v>
      </c>
      <c r="E81" s="11"/>
    </row>
    <row r="82" ht="22.5" customHeight="1">
      <c r="A82" s="5" t="s">
        <v>636</v>
      </c>
      <c r="B82" s="12">
        <v>6.486668538E9</v>
      </c>
      <c r="C82" s="5" t="s">
        <v>3340</v>
      </c>
      <c r="D82" s="9">
        <v>46141.0</v>
      </c>
      <c r="E82" s="9">
        <v>46153.0</v>
      </c>
    </row>
    <row r="83" ht="22.5" customHeight="1">
      <c r="A83" s="5" t="s">
        <v>640</v>
      </c>
      <c r="B83" s="12">
        <v>7.757014069E9</v>
      </c>
      <c r="C83" s="10" t="s">
        <v>4964</v>
      </c>
      <c r="D83" s="9">
        <v>46066.0</v>
      </c>
      <c r="E83" s="11"/>
    </row>
    <row r="84" ht="22.5" customHeight="1">
      <c r="A84" s="5" t="s">
        <v>644</v>
      </c>
      <c r="B84" s="13" t="s">
        <v>4964</v>
      </c>
      <c r="C84" s="5" t="s">
        <v>3344</v>
      </c>
      <c r="D84" s="9">
        <v>45798.0</v>
      </c>
      <c r="E84" s="9">
        <v>45800.0</v>
      </c>
    </row>
    <row r="85" ht="22.5" customHeight="1">
      <c r="A85" s="5" t="s">
        <v>649</v>
      </c>
      <c r="B85" s="12">
        <v>4.488992566E9</v>
      </c>
      <c r="C85" s="5" t="s">
        <v>5003</v>
      </c>
      <c r="D85" s="9">
        <v>45872.0</v>
      </c>
      <c r="E85" s="9">
        <v>45885.0</v>
      </c>
    </row>
    <row r="86" ht="22.5" customHeight="1">
      <c r="A86" s="5" t="s">
        <v>653</v>
      </c>
      <c r="B86" s="12">
        <v>4.244904887E9</v>
      </c>
      <c r="C86" s="5" t="s">
        <v>3350</v>
      </c>
      <c r="D86" s="9">
        <v>46197.0</v>
      </c>
      <c r="E86" s="9">
        <v>46222.0</v>
      </c>
    </row>
    <row r="87" ht="22.5" customHeight="1">
      <c r="A87" s="5" t="s">
        <v>657</v>
      </c>
      <c r="B87" s="12">
        <v>8.045378322E9</v>
      </c>
      <c r="C87" s="5" t="s">
        <v>3352</v>
      </c>
      <c r="D87" s="9">
        <v>46125.0</v>
      </c>
      <c r="E87" s="9">
        <v>46141.0</v>
      </c>
    </row>
    <row r="88" ht="22.5" customHeight="1">
      <c r="A88" s="5" t="s">
        <v>661</v>
      </c>
      <c r="B88" s="12">
        <v>7.743342273E9</v>
      </c>
      <c r="C88" s="5" t="s">
        <v>5004</v>
      </c>
      <c r="D88" s="9">
        <v>45922.0</v>
      </c>
      <c r="E88" s="11"/>
    </row>
    <row r="89" ht="22.5" customHeight="1">
      <c r="A89" s="5" t="s">
        <v>665</v>
      </c>
      <c r="B89" s="12">
        <v>2.222176958E9</v>
      </c>
      <c r="C89" s="5" t="s">
        <v>5005</v>
      </c>
      <c r="D89" s="9">
        <v>46051.0</v>
      </c>
      <c r="E89" s="9">
        <v>46068.0</v>
      </c>
    </row>
    <row r="90" ht="22.5" customHeight="1">
      <c r="A90" s="5" t="s">
        <v>671</v>
      </c>
      <c r="B90" s="12">
        <v>4.87513502E9</v>
      </c>
      <c r="C90" s="5" t="s">
        <v>5006</v>
      </c>
      <c r="D90" s="9">
        <v>46144.0</v>
      </c>
      <c r="E90" s="11"/>
    </row>
    <row r="91" ht="22.5" customHeight="1">
      <c r="A91" s="5" t="s">
        <v>674</v>
      </c>
      <c r="B91" s="12">
        <v>6.357574482E9</v>
      </c>
      <c r="C91" s="5" t="s">
        <v>5007</v>
      </c>
      <c r="D91" s="9">
        <v>45711.0</v>
      </c>
      <c r="E91" s="9">
        <v>45715.0</v>
      </c>
    </row>
    <row r="92" ht="22.5" customHeight="1">
      <c r="A92" s="5" t="s">
        <v>679</v>
      </c>
      <c r="B92" s="12">
        <v>8.416789414E9</v>
      </c>
      <c r="C92" s="5" t="s">
        <v>5008</v>
      </c>
      <c r="D92" s="9">
        <v>46087.0</v>
      </c>
      <c r="E92" s="11"/>
    </row>
    <row r="93" ht="22.5" customHeight="1">
      <c r="A93" s="5" t="s">
        <v>683</v>
      </c>
      <c r="B93" s="12">
        <v>6.357332247E9</v>
      </c>
      <c r="C93" s="5" t="s">
        <v>3367</v>
      </c>
      <c r="D93" s="9">
        <v>45813.0</v>
      </c>
      <c r="E93" s="9">
        <v>45842.0</v>
      </c>
    </row>
    <row r="94" ht="22.5" customHeight="1">
      <c r="A94" s="5" t="s">
        <v>687</v>
      </c>
      <c r="B94" s="12">
        <v>5.432234497E9</v>
      </c>
      <c r="C94" s="5" t="s">
        <v>5009</v>
      </c>
      <c r="D94" s="9">
        <v>45936.0</v>
      </c>
      <c r="E94" s="9">
        <v>45948.0</v>
      </c>
    </row>
    <row r="95" ht="22.5" customHeight="1">
      <c r="A95" s="5" t="s">
        <v>693</v>
      </c>
      <c r="B95" s="12">
        <v>4.643364494E9</v>
      </c>
      <c r="C95" s="5" t="s">
        <v>3372</v>
      </c>
      <c r="D95" s="9">
        <v>46107.0</v>
      </c>
      <c r="E95" s="9">
        <v>46117.0</v>
      </c>
    </row>
    <row r="96" ht="22.5" customHeight="1">
      <c r="A96" s="5" t="s">
        <v>695</v>
      </c>
      <c r="B96" s="12">
        <v>8.635266008E9</v>
      </c>
      <c r="C96" s="5" t="s">
        <v>5010</v>
      </c>
      <c r="D96" s="9">
        <v>45992.0</v>
      </c>
      <c r="E96" s="9">
        <v>45996.0</v>
      </c>
    </row>
    <row r="97" ht="22.5" customHeight="1">
      <c r="A97" s="5" t="s">
        <v>701</v>
      </c>
      <c r="B97" s="12">
        <v>6.176935788E9</v>
      </c>
      <c r="C97" s="5" t="s">
        <v>5011</v>
      </c>
      <c r="D97" s="9">
        <v>46189.0</v>
      </c>
      <c r="E97" s="9">
        <v>46210.0</v>
      </c>
    </row>
    <row r="98" ht="22.5" customHeight="1">
      <c r="A98" s="5" t="s">
        <v>704</v>
      </c>
      <c r="B98" s="13" t="s">
        <v>4964</v>
      </c>
      <c r="C98" s="5" t="s">
        <v>4996</v>
      </c>
      <c r="D98" s="9">
        <v>46022.0</v>
      </c>
      <c r="E98" s="11"/>
    </row>
    <row r="99" ht="22.5" customHeight="1">
      <c r="A99" s="5" t="s">
        <v>707</v>
      </c>
      <c r="B99" s="12">
        <v>6.527014246E9</v>
      </c>
      <c r="C99" s="5" t="s">
        <v>3381</v>
      </c>
      <c r="D99" s="9">
        <v>46243.0</v>
      </c>
      <c r="E99" s="9">
        <v>46248.0</v>
      </c>
    </row>
    <row r="100" ht="22.5" customHeight="1">
      <c r="A100" s="5" t="s">
        <v>712</v>
      </c>
      <c r="B100" s="13" t="s">
        <v>4964</v>
      </c>
      <c r="C100" s="5" t="s">
        <v>3384</v>
      </c>
      <c r="D100" s="9">
        <v>45972.0</v>
      </c>
      <c r="E100" s="11"/>
    </row>
    <row r="101" ht="22.5" customHeight="1">
      <c r="A101" s="5" t="s">
        <v>717</v>
      </c>
      <c r="B101" s="12">
        <v>3.499941957E9</v>
      </c>
      <c r="C101" s="5" t="s">
        <v>5012</v>
      </c>
      <c r="D101" s="9">
        <v>45947.0</v>
      </c>
      <c r="E101" s="9">
        <v>45962.0</v>
      </c>
    </row>
    <row r="102" ht="22.5" customHeight="1">
      <c r="A102" s="5" t="s">
        <v>722</v>
      </c>
      <c r="B102" s="12">
        <v>8.277215226E9</v>
      </c>
      <c r="C102" s="5" t="s">
        <v>3390</v>
      </c>
      <c r="D102" s="9">
        <v>45804.0</v>
      </c>
      <c r="E102" s="9">
        <v>45816.0</v>
      </c>
    </row>
    <row r="103" ht="22.5" customHeight="1">
      <c r="A103" s="5" t="s">
        <v>727</v>
      </c>
      <c r="B103" s="12">
        <v>3.079267785E9</v>
      </c>
      <c r="C103" s="5" t="s">
        <v>5013</v>
      </c>
      <c r="D103" s="9">
        <v>45967.0</v>
      </c>
      <c r="E103" s="9">
        <v>45980.0</v>
      </c>
    </row>
    <row r="104" ht="22.5" customHeight="1">
      <c r="A104" s="5" t="s">
        <v>730</v>
      </c>
      <c r="B104" s="12">
        <v>4.296878357E9</v>
      </c>
      <c r="C104" s="5" t="s">
        <v>3396</v>
      </c>
      <c r="D104" s="9">
        <v>45873.0</v>
      </c>
      <c r="E104" s="9">
        <v>45893.0</v>
      </c>
    </row>
    <row r="105" ht="22.5" customHeight="1">
      <c r="A105" s="5" t="s">
        <v>737</v>
      </c>
      <c r="B105" s="12">
        <v>6.392565861E9</v>
      </c>
      <c r="C105" s="5" t="s">
        <v>4969</v>
      </c>
      <c r="D105" s="9">
        <v>46179.0</v>
      </c>
      <c r="E105" s="11"/>
    </row>
    <row r="106" ht="22.5" customHeight="1">
      <c r="A106" s="5" t="s">
        <v>741</v>
      </c>
      <c r="B106" s="12">
        <v>7.346686097E9</v>
      </c>
      <c r="C106" s="5" t="s">
        <v>5014</v>
      </c>
      <c r="D106" s="9">
        <v>45953.0</v>
      </c>
      <c r="E106" s="9">
        <v>45961.0</v>
      </c>
    </row>
    <row r="107" ht="22.5" customHeight="1">
      <c r="A107" s="5" t="s">
        <v>744</v>
      </c>
      <c r="B107" s="12">
        <v>3.343494095E9</v>
      </c>
      <c r="C107" s="5" t="s">
        <v>5015</v>
      </c>
      <c r="D107" s="9">
        <v>45842.0</v>
      </c>
      <c r="E107" s="9">
        <v>45850.0</v>
      </c>
    </row>
    <row r="108" ht="22.5" customHeight="1">
      <c r="A108" s="5" t="s">
        <v>749</v>
      </c>
      <c r="B108" s="12">
        <v>7.948859195E9</v>
      </c>
      <c r="C108" s="5" t="s">
        <v>5016</v>
      </c>
      <c r="D108" s="9">
        <v>45926.0</v>
      </c>
      <c r="E108" s="9">
        <v>45952.0</v>
      </c>
    </row>
    <row r="109" ht="22.5" customHeight="1">
      <c r="A109" s="5" t="s">
        <v>751</v>
      </c>
      <c r="B109" s="12">
        <v>6.91814451E9</v>
      </c>
      <c r="C109" s="5" t="s">
        <v>5017</v>
      </c>
      <c r="D109" s="9">
        <v>46244.0</v>
      </c>
      <c r="E109" s="9">
        <v>46253.0</v>
      </c>
    </row>
    <row r="110" ht="22.5" customHeight="1">
      <c r="A110" s="5" t="s">
        <v>756</v>
      </c>
      <c r="B110" s="12">
        <v>4.077917541E9</v>
      </c>
      <c r="C110" s="5" t="s">
        <v>5018</v>
      </c>
      <c r="D110" s="9">
        <v>45829.0</v>
      </c>
      <c r="E110" s="11"/>
    </row>
    <row r="111" ht="22.5" customHeight="1">
      <c r="A111" s="5" t="s">
        <v>762</v>
      </c>
      <c r="B111" s="12">
        <v>3.145157391E9</v>
      </c>
      <c r="C111" s="10" t="s">
        <v>4964</v>
      </c>
      <c r="D111" s="9">
        <v>46162.0</v>
      </c>
      <c r="E111" s="9">
        <v>46182.0</v>
      </c>
    </row>
    <row r="112" ht="22.5" customHeight="1">
      <c r="A112" s="5" t="s">
        <v>766</v>
      </c>
      <c r="B112" s="12">
        <v>2.04701827E9</v>
      </c>
      <c r="C112" s="5" t="s">
        <v>5019</v>
      </c>
      <c r="D112" s="9">
        <v>45776.0</v>
      </c>
      <c r="E112" s="11"/>
    </row>
    <row r="113" ht="22.5" customHeight="1">
      <c r="A113" s="5" t="s">
        <v>768</v>
      </c>
      <c r="B113" s="12">
        <v>2.822094794E9</v>
      </c>
      <c r="C113" s="5" t="s">
        <v>3420</v>
      </c>
      <c r="D113" s="9">
        <v>45806.0</v>
      </c>
      <c r="E113" s="11"/>
    </row>
    <row r="114" ht="22.5" customHeight="1">
      <c r="A114" s="5" t="s">
        <v>771</v>
      </c>
      <c r="B114" s="12">
        <v>3.975817308E9</v>
      </c>
      <c r="C114" s="5" t="s">
        <v>5020</v>
      </c>
      <c r="D114" s="9">
        <v>45886.0</v>
      </c>
      <c r="E114" s="11"/>
    </row>
    <row r="115" ht="22.5" customHeight="1">
      <c r="A115" s="5" t="s">
        <v>775</v>
      </c>
      <c r="B115" s="12">
        <v>7.796694206E9</v>
      </c>
      <c r="C115" s="5" t="s">
        <v>3426</v>
      </c>
      <c r="D115" s="9">
        <v>45786.0</v>
      </c>
      <c r="E115" s="11"/>
    </row>
    <row r="116" ht="22.5" customHeight="1">
      <c r="A116" s="5" t="s">
        <v>780</v>
      </c>
      <c r="B116" s="12">
        <v>5.214751029E9</v>
      </c>
      <c r="C116" s="5" t="s">
        <v>3429</v>
      </c>
      <c r="D116" s="9">
        <v>45796.0</v>
      </c>
      <c r="E116" s="9">
        <v>45817.0</v>
      </c>
    </row>
    <row r="117" ht="22.5" customHeight="1">
      <c r="A117" s="5" t="s">
        <v>783</v>
      </c>
      <c r="B117" s="12">
        <v>4.662544761E9</v>
      </c>
      <c r="C117" s="5" t="s">
        <v>3432</v>
      </c>
      <c r="D117" s="9">
        <v>46016.0</v>
      </c>
      <c r="E117" s="9">
        <v>46043.0</v>
      </c>
    </row>
    <row r="118" ht="22.5" customHeight="1">
      <c r="A118" s="5" t="s">
        <v>786</v>
      </c>
      <c r="B118" s="12">
        <v>6.179872821E9</v>
      </c>
      <c r="C118" s="5" t="s">
        <v>5021</v>
      </c>
      <c r="D118" s="9">
        <v>46188.0</v>
      </c>
      <c r="E118" s="9">
        <v>46206.0</v>
      </c>
    </row>
    <row r="119" ht="22.5" customHeight="1">
      <c r="A119" s="5" t="s">
        <v>791</v>
      </c>
      <c r="B119" s="12">
        <v>7.532443096E9</v>
      </c>
      <c r="C119" s="5" t="s">
        <v>3439</v>
      </c>
      <c r="D119" s="9">
        <v>46071.0</v>
      </c>
      <c r="E119" s="9">
        <v>46098.0</v>
      </c>
    </row>
    <row r="120" ht="22.5" customHeight="1">
      <c r="A120" s="5" t="s">
        <v>795</v>
      </c>
      <c r="B120" s="13" t="s">
        <v>4964</v>
      </c>
      <c r="C120" s="5" t="s">
        <v>5022</v>
      </c>
      <c r="D120" s="9">
        <v>45778.0</v>
      </c>
      <c r="E120" s="9">
        <v>45807.0</v>
      </c>
    </row>
    <row r="121" ht="22.5" customHeight="1">
      <c r="A121" s="5" t="s">
        <v>798</v>
      </c>
      <c r="B121" s="12">
        <v>6.21671659E9</v>
      </c>
      <c r="C121" s="5" t="s">
        <v>3444</v>
      </c>
      <c r="D121" s="9">
        <v>46003.0</v>
      </c>
      <c r="E121" s="9">
        <v>46010.0</v>
      </c>
    </row>
    <row r="122" ht="22.5" customHeight="1">
      <c r="A122" s="5" t="s">
        <v>801</v>
      </c>
      <c r="B122" s="12">
        <v>2.19339265E9</v>
      </c>
      <c r="C122" s="5" t="s">
        <v>5023</v>
      </c>
      <c r="D122" s="9">
        <v>45735.0</v>
      </c>
      <c r="E122" s="9">
        <v>45752.0</v>
      </c>
    </row>
    <row r="123" ht="22.5" customHeight="1">
      <c r="A123" s="5" t="s">
        <v>805</v>
      </c>
      <c r="B123" s="12">
        <v>9.687915618E9</v>
      </c>
      <c r="C123" s="5" t="s">
        <v>3819</v>
      </c>
      <c r="D123" s="9">
        <v>46085.0</v>
      </c>
      <c r="E123" s="11"/>
    </row>
    <row r="124" ht="22.5" customHeight="1">
      <c r="A124" s="5" t="s">
        <v>811</v>
      </c>
      <c r="B124" s="12">
        <v>9.492206152E9</v>
      </c>
      <c r="C124" s="5" t="s">
        <v>5024</v>
      </c>
      <c r="D124" s="9">
        <v>46101.0</v>
      </c>
      <c r="E124" s="11"/>
    </row>
    <row r="125" ht="22.5" customHeight="1">
      <c r="A125" s="5" t="s">
        <v>815</v>
      </c>
      <c r="B125" s="12">
        <v>5.378055041E9</v>
      </c>
      <c r="C125" s="5" t="s">
        <v>5025</v>
      </c>
      <c r="D125" s="9">
        <v>46053.0</v>
      </c>
      <c r="E125" s="9">
        <v>46064.0</v>
      </c>
    </row>
    <row r="126" ht="22.5" customHeight="1">
      <c r="A126" s="5" t="s">
        <v>819</v>
      </c>
      <c r="B126" s="12">
        <v>2.102278571E9</v>
      </c>
      <c r="C126" s="5" t="s">
        <v>3458</v>
      </c>
      <c r="D126" s="11"/>
      <c r="E126" s="11"/>
    </row>
    <row r="127" ht="22.5" customHeight="1">
      <c r="A127" s="5" t="s">
        <v>822</v>
      </c>
      <c r="B127" s="13" t="s">
        <v>4964</v>
      </c>
      <c r="C127" s="5" t="s">
        <v>3459</v>
      </c>
      <c r="D127" s="9">
        <v>46145.0</v>
      </c>
      <c r="E127" s="9">
        <v>46174.0</v>
      </c>
    </row>
    <row r="128" ht="22.5" customHeight="1">
      <c r="A128" s="5" t="s">
        <v>826</v>
      </c>
      <c r="B128" s="12">
        <v>8.356056666E9</v>
      </c>
      <c r="C128" s="5" t="s">
        <v>5026</v>
      </c>
      <c r="D128" s="9">
        <v>45725.0</v>
      </c>
      <c r="E128" s="11"/>
    </row>
    <row r="129" ht="22.5" customHeight="1">
      <c r="A129" s="5" t="s">
        <v>830</v>
      </c>
      <c r="B129" s="12">
        <v>6.114151501E9</v>
      </c>
      <c r="C129" s="5" t="s">
        <v>3464</v>
      </c>
      <c r="D129" s="9">
        <v>45961.0</v>
      </c>
      <c r="E129" s="9">
        <v>45986.0</v>
      </c>
    </row>
    <row r="130" ht="22.5" customHeight="1">
      <c r="A130" s="5" t="s">
        <v>834</v>
      </c>
      <c r="B130" s="12">
        <v>2.945959453E9</v>
      </c>
      <c r="C130" s="5" t="s">
        <v>3467</v>
      </c>
      <c r="D130" s="9">
        <v>45734.0</v>
      </c>
      <c r="E130" s="11"/>
    </row>
    <row r="131" ht="22.5" customHeight="1">
      <c r="A131" s="5" t="s">
        <v>837</v>
      </c>
      <c r="B131" s="12">
        <v>3.604666995E9</v>
      </c>
      <c r="C131" s="5" t="s">
        <v>5027</v>
      </c>
      <c r="D131" s="11"/>
      <c r="E131" s="11"/>
    </row>
    <row r="132" ht="22.5" customHeight="1">
      <c r="A132" s="5" t="s">
        <v>841</v>
      </c>
      <c r="B132" s="12">
        <v>5.515802541E9</v>
      </c>
      <c r="C132" s="5" t="s">
        <v>5028</v>
      </c>
      <c r="D132" s="9">
        <v>45886.0</v>
      </c>
      <c r="E132" s="9">
        <v>45893.0</v>
      </c>
    </row>
    <row r="133" ht="22.5" customHeight="1">
      <c r="A133" s="5" t="s">
        <v>845</v>
      </c>
      <c r="B133" s="12">
        <v>5.099659361E9</v>
      </c>
      <c r="C133" s="10" t="s">
        <v>4964</v>
      </c>
      <c r="D133" s="9">
        <v>46247.0</v>
      </c>
      <c r="E133" s="9">
        <v>46250.0</v>
      </c>
    </row>
    <row r="134" ht="22.5" customHeight="1">
      <c r="A134" s="5" t="s">
        <v>849</v>
      </c>
      <c r="B134" s="13" t="s">
        <v>4964</v>
      </c>
      <c r="C134" s="5" t="s">
        <v>5029</v>
      </c>
      <c r="D134" s="9">
        <v>46060.0</v>
      </c>
      <c r="E134" s="11"/>
    </row>
    <row r="135" ht="22.5" customHeight="1">
      <c r="A135" s="5" t="s">
        <v>854</v>
      </c>
      <c r="B135" s="12">
        <v>3.30214856E9</v>
      </c>
      <c r="C135" s="5" t="s">
        <v>5030</v>
      </c>
      <c r="D135" s="9">
        <v>45801.0</v>
      </c>
      <c r="E135" s="9">
        <v>45807.0</v>
      </c>
    </row>
    <row r="136" ht="22.5" customHeight="1">
      <c r="A136" s="5" t="s">
        <v>857</v>
      </c>
      <c r="B136" s="12">
        <v>4.174925612E9</v>
      </c>
      <c r="C136" s="5" t="s">
        <v>5031</v>
      </c>
      <c r="D136" s="11"/>
      <c r="E136" s="11"/>
    </row>
    <row r="137" ht="22.5" customHeight="1">
      <c r="A137" s="5" t="s">
        <v>861</v>
      </c>
      <c r="B137" s="12">
        <v>6.896532068E9</v>
      </c>
      <c r="C137" s="5" t="s">
        <v>5032</v>
      </c>
      <c r="D137" s="9">
        <v>46007.0</v>
      </c>
      <c r="E137" s="9">
        <v>46033.0</v>
      </c>
    </row>
    <row r="138" ht="22.5" customHeight="1">
      <c r="A138" s="5" t="s">
        <v>864</v>
      </c>
      <c r="B138" s="12">
        <v>2.494887741E9</v>
      </c>
      <c r="C138" s="5" t="s">
        <v>3485</v>
      </c>
      <c r="D138" s="9">
        <v>46046.0</v>
      </c>
      <c r="E138" s="9">
        <v>46067.0</v>
      </c>
    </row>
    <row r="139" ht="22.5" customHeight="1">
      <c r="A139" s="5" t="s">
        <v>871</v>
      </c>
      <c r="B139" s="12">
        <v>9.654721879E9</v>
      </c>
      <c r="C139" s="5" t="s">
        <v>3488</v>
      </c>
      <c r="D139" s="9">
        <v>45781.0</v>
      </c>
      <c r="E139" s="9">
        <v>45794.0</v>
      </c>
    </row>
    <row r="140" ht="22.5" customHeight="1">
      <c r="A140" s="5" t="s">
        <v>876</v>
      </c>
      <c r="B140" s="12">
        <v>7.508557523E9</v>
      </c>
      <c r="C140" s="5" t="s">
        <v>5033</v>
      </c>
      <c r="D140" s="9">
        <v>46041.0</v>
      </c>
      <c r="E140" s="9">
        <v>46048.0</v>
      </c>
    </row>
    <row r="141" ht="22.5" customHeight="1">
      <c r="A141" s="5" t="s">
        <v>881</v>
      </c>
      <c r="B141" s="12">
        <v>2.439528378E9</v>
      </c>
      <c r="C141" s="5" t="s">
        <v>3493</v>
      </c>
      <c r="D141" s="9">
        <v>46190.0</v>
      </c>
      <c r="E141" s="9">
        <v>46219.0</v>
      </c>
    </row>
    <row r="142" ht="22.5" customHeight="1">
      <c r="A142" s="5" t="s">
        <v>884</v>
      </c>
      <c r="B142" s="12">
        <v>7.762514882E9</v>
      </c>
      <c r="C142" s="5" t="s">
        <v>5034</v>
      </c>
      <c r="D142" s="9">
        <v>46062.0</v>
      </c>
      <c r="E142" s="9">
        <v>46083.0</v>
      </c>
    </row>
    <row r="143" ht="22.5" customHeight="1">
      <c r="A143" s="5" t="s">
        <v>889</v>
      </c>
      <c r="B143" s="12">
        <v>8.228833795E9</v>
      </c>
      <c r="C143" s="5" t="s">
        <v>3501</v>
      </c>
      <c r="D143" s="9">
        <v>45725.0</v>
      </c>
      <c r="E143" s="9">
        <v>45747.0</v>
      </c>
    </row>
    <row r="144" ht="22.5" customHeight="1">
      <c r="A144" s="5" t="s">
        <v>892</v>
      </c>
      <c r="B144" s="12">
        <v>2.532465391E9</v>
      </c>
      <c r="C144" s="5" t="s">
        <v>3503</v>
      </c>
      <c r="D144" s="9">
        <v>46228.0</v>
      </c>
      <c r="E144" s="9">
        <v>46241.0</v>
      </c>
    </row>
    <row r="145" ht="22.5" customHeight="1">
      <c r="A145" s="5" t="s">
        <v>897</v>
      </c>
      <c r="B145" s="12">
        <v>2.469626405E9</v>
      </c>
      <c r="C145" s="5" t="s">
        <v>5035</v>
      </c>
      <c r="D145" s="9">
        <v>46034.0</v>
      </c>
      <c r="E145" s="11"/>
    </row>
    <row r="146" ht="22.5" customHeight="1">
      <c r="A146" s="5" t="s">
        <v>901</v>
      </c>
      <c r="B146" s="12">
        <v>4.095443041E9</v>
      </c>
      <c r="C146" s="5" t="s">
        <v>3507</v>
      </c>
      <c r="D146" s="9">
        <v>45825.0</v>
      </c>
      <c r="E146" s="9">
        <v>45842.0</v>
      </c>
    </row>
    <row r="147" ht="22.5" customHeight="1">
      <c r="A147" s="5" t="s">
        <v>906</v>
      </c>
      <c r="B147" s="12">
        <v>9.739551579E9</v>
      </c>
      <c r="C147" s="5" t="s">
        <v>5036</v>
      </c>
      <c r="D147" s="9">
        <v>46193.0</v>
      </c>
      <c r="E147" s="9">
        <v>46211.0</v>
      </c>
    </row>
    <row r="148" ht="22.5" customHeight="1">
      <c r="A148" s="5" t="s">
        <v>910</v>
      </c>
      <c r="B148" s="12">
        <v>5.203495349E9</v>
      </c>
      <c r="C148" s="5" t="s">
        <v>5037</v>
      </c>
      <c r="D148" s="9">
        <v>46054.0</v>
      </c>
      <c r="E148" s="9">
        <v>46058.0</v>
      </c>
    </row>
    <row r="149" ht="22.5" customHeight="1">
      <c r="A149" s="5" t="s">
        <v>915</v>
      </c>
      <c r="B149" s="12">
        <v>9.535535672E9</v>
      </c>
      <c r="C149" s="5" t="s">
        <v>5038</v>
      </c>
      <c r="D149" s="9">
        <v>46182.0</v>
      </c>
      <c r="E149" s="9">
        <v>46182.0</v>
      </c>
    </row>
    <row r="150" ht="22.5" customHeight="1">
      <c r="A150" s="5" t="s">
        <v>919</v>
      </c>
      <c r="B150" s="12">
        <v>9.275949377E9</v>
      </c>
      <c r="C150" s="5" t="s">
        <v>3518</v>
      </c>
      <c r="D150" s="9">
        <v>45912.0</v>
      </c>
      <c r="E150" s="9">
        <v>45916.0</v>
      </c>
    </row>
    <row r="151" ht="22.5" customHeight="1">
      <c r="A151" s="5" t="s">
        <v>922</v>
      </c>
      <c r="B151" s="12">
        <v>2.652104761E9</v>
      </c>
      <c r="C151" s="5" t="s">
        <v>5039</v>
      </c>
      <c r="D151" s="9">
        <v>46052.0</v>
      </c>
      <c r="E151" s="9">
        <v>46054.0</v>
      </c>
    </row>
    <row r="152" ht="22.5" customHeight="1">
      <c r="A152" s="5" t="s">
        <v>924</v>
      </c>
      <c r="B152" s="12">
        <v>8.819171166E9</v>
      </c>
      <c r="C152" s="5" t="s">
        <v>3523</v>
      </c>
      <c r="D152" s="9">
        <v>45875.0</v>
      </c>
      <c r="E152" s="9">
        <v>45903.0</v>
      </c>
    </row>
    <row r="153" ht="22.5" customHeight="1">
      <c r="A153" s="5" t="s">
        <v>928</v>
      </c>
      <c r="B153" s="13" t="s">
        <v>4964</v>
      </c>
      <c r="C153" s="5" t="s">
        <v>5040</v>
      </c>
      <c r="D153" s="9">
        <v>46251.0</v>
      </c>
      <c r="E153" s="9">
        <v>46253.0</v>
      </c>
    </row>
    <row r="154" ht="22.5" customHeight="1">
      <c r="A154" s="5" t="s">
        <v>931</v>
      </c>
      <c r="B154" s="12">
        <v>5.823756699E9</v>
      </c>
      <c r="C154" s="5" t="s">
        <v>3527</v>
      </c>
      <c r="D154" s="9">
        <v>45802.0</v>
      </c>
      <c r="E154" s="9">
        <v>45814.0</v>
      </c>
    </row>
    <row r="155" ht="22.5" customHeight="1">
      <c r="A155" s="5" t="s">
        <v>934</v>
      </c>
      <c r="B155" s="12">
        <v>8.889492653E9</v>
      </c>
      <c r="C155" s="5" t="s">
        <v>3529</v>
      </c>
      <c r="D155" s="9">
        <v>45810.0</v>
      </c>
      <c r="E155" s="11"/>
    </row>
    <row r="156" ht="22.5" customHeight="1">
      <c r="A156" s="5" t="s">
        <v>936</v>
      </c>
      <c r="B156" s="12">
        <v>6.424936082E9</v>
      </c>
      <c r="C156" s="5" t="s">
        <v>3532</v>
      </c>
      <c r="D156" s="9">
        <v>45717.0</v>
      </c>
      <c r="E156" s="9">
        <v>45738.0</v>
      </c>
    </row>
    <row r="157" ht="22.5" customHeight="1">
      <c r="A157" s="5" t="s">
        <v>940</v>
      </c>
      <c r="B157" s="12">
        <v>9.215493807E9</v>
      </c>
      <c r="C157" s="5" t="s">
        <v>3534</v>
      </c>
      <c r="D157" s="9">
        <v>46238.0</v>
      </c>
      <c r="E157" s="11"/>
    </row>
    <row r="158" ht="22.5" customHeight="1">
      <c r="A158" s="5" t="s">
        <v>943</v>
      </c>
      <c r="B158" s="12">
        <v>3.187604461E9</v>
      </c>
      <c r="C158" s="5" t="s">
        <v>3537</v>
      </c>
      <c r="D158" s="9">
        <v>46234.0</v>
      </c>
      <c r="E158" s="11"/>
    </row>
    <row r="159" ht="22.5" customHeight="1">
      <c r="A159" s="5" t="s">
        <v>947</v>
      </c>
      <c r="B159" s="12">
        <v>3.464559682E9</v>
      </c>
      <c r="C159" s="5" t="s">
        <v>5041</v>
      </c>
      <c r="D159" s="9">
        <v>46246.0</v>
      </c>
      <c r="E159" s="9">
        <v>46252.0</v>
      </c>
    </row>
    <row r="160" ht="22.5" customHeight="1">
      <c r="A160" s="5" t="s">
        <v>950</v>
      </c>
      <c r="B160" s="12">
        <v>2.493523603E9</v>
      </c>
      <c r="C160" s="5" t="s">
        <v>5042</v>
      </c>
      <c r="D160" s="9">
        <v>46046.0</v>
      </c>
      <c r="E160" s="11"/>
    </row>
    <row r="161" ht="22.5" customHeight="1">
      <c r="A161" s="5" t="s">
        <v>954</v>
      </c>
      <c r="B161" s="12">
        <v>2.582715065E9</v>
      </c>
      <c r="C161" s="5" t="s">
        <v>3545</v>
      </c>
      <c r="D161" s="9">
        <v>46001.0</v>
      </c>
      <c r="E161" s="9">
        <v>46006.0</v>
      </c>
    </row>
    <row r="162" ht="22.5" customHeight="1">
      <c r="A162" s="5" t="s">
        <v>957</v>
      </c>
      <c r="B162" s="12">
        <v>2.669301523E9</v>
      </c>
      <c r="C162" s="5" t="s">
        <v>3548</v>
      </c>
      <c r="D162" s="9">
        <v>45777.0</v>
      </c>
      <c r="E162" s="11"/>
    </row>
    <row r="163" ht="22.5" customHeight="1">
      <c r="A163" s="5" t="s">
        <v>962</v>
      </c>
      <c r="B163" s="12">
        <v>8.285862655E9</v>
      </c>
      <c r="C163" s="10" t="s">
        <v>4964</v>
      </c>
      <c r="D163" s="9">
        <v>46106.0</v>
      </c>
      <c r="E163" s="9">
        <v>46109.0</v>
      </c>
    </row>
    <row r="164" ht="22.5" customHeight="1">
      <c r="A164" s="5" t="s">
        <v>965</v>
      </c>
      <c r="B164" s="12">
        <v>8.566893874E9</v>
      </c>
      <c r="C164" s="5" t="s">
        <v>3552</v>
      </c>
      <c r="D164" s="9">
        <v>46043.0</v>
      </c>
      <c r="E164" s="9">
        <v>46071.0</v>
      </c>
    </row>
    <row r="165" ht="22.5" customHeight="1">
      <c r="A165" s="5" t="s">
        <v>969</v>
      </c>
      <c r="B165" s="13" t="s">
        <v>4964</v>
      </c>
      <c r="C165" s="10" t="s">
        <v>4964</v>
      </c>
      <c r="D165" s="9">
        <v>46006.0</v>
      </c>
      <c r="E165" s="11"/>
    </row>
    <row r="166" ht="22.5" customHeight="1">
      <c r="A166" s="5" t="s">
        <v>975</v>
      </c>
      <c r="B166" s="12">
        <v>4.267372131E9</v>
      </c>
      <c r="C166" s="5" t="s">
        <v>3554</v>
      </c>
      <c r="D166" s="9">
        <v>45810.0</v>
      </c>
      <c r="E166" s="9">
        <v>45832.0</v>
      </c>
    </row>
    <row r="167" ht="22.5" customHeight="1">
      <c r="A167" s="5" t="s">
        <v>979</v>
      </c>
      <c r="B167" s="12">
        <v>3.547247783E9</v>
      </c>
      <c r="C167" s="5" t="s">
        <v>5043</v>
      </c>
      <c r="D167" s="9">
        <v>46153.0</v>
      </c>
      <c r="E167" s="11"/>
    </row>
    <row r="168" ht="22.5" customHeight="1">
      <c r="A168" s="5" t="s">
        <v>982</v>
      </c>
      <c r="B168" s="12">
        <v>7.196855443E9</v>
      </c>
      <c r="C168" s="5" t="s">
        <v>5044</v>
      </c>
      <c r="D168" s="9">
        <v>45930.0</v>
      </c>
      <c r="E168" s="9">
        <v>45930.0</v>
      </c>
    </row>
    <row r="169" ht="22.5" customHeight="1">
      <c r="A169" s="5" t="s">
        <v>986</v>
      </c>
      <c r="B169" s="12">
        <v>4.402031114E9</v>
      </c>
      <c r="C169" s="5" t="s">
        <v>5045</v>
      </c>
      <c r="D169" s="9">
        <v>45970.0</v>
      </c>
      <c r="E169" s="11"/>
    </row>
    <row r="170" ht="22.5" customHeight="1">
      <c r="A170" s="5" t="s">
        <v>989</v>
      </c>
      <c r="B170" s="12">
        <v>5.145543835E9</v>
      </c>
      <c r="C170" s="5" t="s">
        <v>3565</v>
      </c>
      <c r="D170" s="9">
        <v>45850.0</v>
      </c>
      <c r="E170" s="9">
        <v>45857.0</v>
      </c>
    </row>
    <row r="171" ht="22.5" customHeight="1">
      <c r="A171" s="5" t="s">
        <v>992</v>
      </c>
      <c r="B171" s="12">
        <v>9.10503405E9</v>
      </c>
      <c r="C171" s="5" t="s">
        <v>3568</v>
      </c>
      <c r="D171" s="9">
        <v>45730.0</v>
      </c>
      <c r="E171" s="11"/>
    </row>
    <row r="172" ht="22.5" customHeight="1">
      <c r="A172" s="5" t="s">
        <v>995</v>
      </c>
      <c r="B172" s="12">
        <v>7.632926134E9</v>
      </c>
      <c r="C172" s="5" t="s">
        <v>5046</v>
      </c>
      <c r="D172" s="9">
        <v>45723.0</v>
      </c>
      <c r="E172" s="11"/>
    </row>
    <row r="173" ht="22.5" customHeight="1">
      <c r="A173" s="5" t="s">
        <v>998</v>
      </c>
      <c r="B173" s="12">
        <v>7.446508605E9</v>
      </c>
      <c r="C173" s="5" t="s">
        <v>5047</v>
      </c>
      <c r="D173" s="9">
        <v>46196.0</v>
      </c>
      <c r="E173" s="11"/>
    </row>
    <row r="174" ht="22.5" customHeight="1">
      <c r="A174" s="5" t="s">
        <v>1002</v>
      </c>
      <c r="B174" s="12">
        <v>2.216042304E9</v>
      </c>
      <c r="C174" s="5" t="s">
        <v>5048</v>
      </c>
      <c r="D174" s="9">
        <v>45975.0</v>
      </c>
      <c r="E174" s="11"/>
    </row>
    <row r="175" ht="22.5" customHeight="1">
      <c r="A175" s="5" t="s">
        <v>1003</v>
      </c>
      <c r="B175" s="12">
        <v>6.51349533E9</v>
      </c>
      <c r="C175" s="5" t="s">
        <v>5049</v>
      </c>
      <c r="D175" s="9">
        <v>45997.0</v>
      </c>
      <c r="E175" s="11"/>
    </row>
    <row r="176" ht="22.5" customHeight="1">
      <c r="A176" s="5" t="s">
        <v>1006</v>
      </c>
      <c r="B176" s="12">
        <v>6.808439444E9</v>
      </c>
      <c r="C176" s="5" t="s">
        <v>5050</v>
      </c>
      <c r="D176" s="9">
        <v>46060.0</v>
      </c>
      <c r="E176" s="9">
        <v>46072.0</v>
      </c>
    </row>
    <row r="177" ht="22.5" customHeight="1">
      <c r="A177" s="5" t="s">
        <v>1010</v>
      </c>
      <c r="B177" s="12">
        <v>6.292557829E9</v>
      </c>
      <c r="C177" s="5" t="s">
        <v>5051</v>
      </c>
      <c r="D177" s="9">
        <v>45755.0</v>
      </c>
      <c r="E177" s="11"/>
    </row>
    <row r="178" ht="22.5" customHeight="1">
      <c r="A178" s="5" t="s">
        <v>1012</v>
      </c>
      <c r="B178" s="12">
        <v>8.399529338E9</v>
      </c>
      <c r="C178" s="5" t="s">
        <v>5052</v>
      </c>
      <c r="D178" s="9">
        <v>46118.0</v>
      </c>
      <c r="E178" s="9">
        <v>46134.0</v>
      </c>
    </row>
    <row r="179" ht="22.5" customHeight="1">
      <c r="A179" s="5" t="s">
        <v>1016</v>
      </c>
      <c r="B179" s="12">
        <v>4.844631719E9</v>
      </c>
      <c r="C179" s="5" t="s">
        <v>5053</v>
      </c>
      <c r="D179" s="9">
        <v>46133.0</v>
      </c>
      <c r="E179" s="11"/>
    </row>
    <row r="180" ht="22.5" customHeight="1">
      <c r="A180" s="5" t="s">
        <v>1019</v>
      </c>
      <c r="B180" s="12">
        <v>4.968469657E9</v>
      </c>
      <c r="C180" s="5" t="s">
        <v>3592</v>
      </c>
      <c r="D180" s="9">
        <v>46006.0</v>
      </c>
      <c r="E180" s="9">
        <v>46023.0</v>
      </c>
    </row>
    <row r="181" ht="22.5" customHeight="1">
      <c r="A181" s="5" t="s">
        <v>1023</v>
      </c>
      <c r="B181" s="12">
        <v>3.665175547E9</v>
      </c>
      <c r="C181" s="5" t="s">
        <v>5054</v>
      </c>
      <c r="D181" s="9">
        <v>46240.0</v>
      </c>
      <c r="E181" s="9">
        <v>46253.0</v>
      </c>
    </row>
    <row r="182" ht="22.5" customHeight="1">
      <c r="A182" s="5" t="s">
        <v>1029</v>
      </c>
      <c r="B182" s="12">
        <v>6.615155435E9</v>
      </c>
      <c r="C182" s="5" t="s">
        <v>3597</v>
      </c>
      <c r="D182" s="9">
        <v>46244.0</v>
      </c>
      <c r="E182" s="9">
        <v>46253.0</v>
      </c>
    </row>
    <row r="183" ht="22.5" customHeight="1">
      <c r="A183" s="5" t="s">
        <v>1031</v>
      </c>
      <c r="B183" s="12">
        <v>7.797412933E9</v>
      </c>
      <c r="C183" s="5" t="s">
        <v>5055</v>
      </c>
      <c r="D183" s="9">
        <v>45931.0</v>
      </c>
      <c r="E183" s="9">
        <v>45951.0</v>
      </c>
    </row>
    <row r="184" ht="22.5" customHeight="1">
      <c r="A184" s="5" t="s">
        <v>1034</v>
      </c>
      <c r="B184" s="12">
        <v>6.848716925E9</v>
      </c>
      <c r="C184" s="5" t="s">
        <v>3602</v>
      </c>
      <c r="D184" s="9">
        <v>46109.0</v>
      </c>
      <c r="E184" s="9">
        <v>46136.0</v>
      </c>
    </row>
    <row r="185" ht="22.5" customHeight="1">
      <c r="A185" s="5" t="s">
        <v>1038</v>
      </c>
      <c r="B185" s="12">
        <v>5.928334206E9</v>
      </c>
      <c r="C185" s="5" t="s">
        <v>5056</v>
      </c>
      <c r="D185" s="9">
        <v>45879.0</v>
      </c>
      <c r="E185" s="9">
        <v>45888.0</v>
      </c>
    </row>
    <row r="186" ht="22.5" customHeight="1">
      <c r="A186" s="5" t="s">
        <v>1043</v>
      </c>
      <c r="B186" s="12">
        <v>9.788145554E9</v>
      </c>
      <c r="C186" s="5" t="s">
        <v>5057</v>
      </c>
      <c r="D186" s="9">
        <v>46112.0</v>
      </c>
      <c r="E186" s="9">
        <v>46134.0</v>
      </c>
    </row>
    <row r="187" ht="22.5" customHeight="1">
      <c r="A187" s="5" t="s">
        <v>1047</v>
      </c>
      <c r="B187" s="12">
        <v>3.16554289E9</v>
      </c>
      <c r="C187" s="5" t="s">
        <v>5058</v>
      </c>
      <c r="D187" s="11"/>
      <c r="E187" s="11"/>
    </row>
    <row r="188" ht="22.5" customHeight="1">
      <c r="A188" s="5" t="s">
        <v>1051</v>
      </c>
      <c r="B188" s="12">
        <v>7.797065868E9</v>
      </c>
      <c r="C188" s="5" t="s">
        <v>5059</v>
      </c>
      <c r="D188" s="9">
        <v>46086.0</v>
      </c>
      <c r="E188" s="9">
        <v>46095.0</v>
      </c>
    </row>
    <row r="189" ht="22.5" customHeight="1">
      <c r="A189" s="5" t="s">
        <v>1054</v>
      </c>
      <c r="B189" s="12">
        <v>5.736366337E9</v>
      </c>
      <c r="C189" s="5" t="s">
        <v>5060</v>
      </c>
      <c r="D189" s="9">
        <v>46074.0</v>
      </c>
      <c r="E189" s="11"/>
    </row>
    <row r="190" ht="22.5" customHeight="1">
      <c r="A190" s="5" t="s">
        <v>1056</v>
      </c>
      <c r="B190" s="13" t="s">
        <v>4964</v>
      </c>
      <c r="C190" s="5" t="s">
        <v>5061</v>
      </c>
      <c r="D190" s="9">
        <v>46029.0</v>
      </c>
      <c r="E190" s="11"/>
    </row>
    <row r="191" ht="22.5" customHeight="1">
      <c r="A191" s="5" t="s">
        <v>1059</v>
      </c>
      <c r="B191" s="12">
        <v>2.708733489E9</v>
      </c>
      <c r="C191" s="5" t="s">
        <v>3620</v>
      </c>
      <c r="D191" s="9">
        <v>45759.0</v>
      </c>
      <c r="E191" s="9">
        <v>45768.0</v>
      </c>
    </row>
    <row r="192" ht="22.5" customHeight="1">
      <c r="A192" s="5" t="s">
        <v>1063</v>
      </c>
      <c r="B192" s="12">
        <v>9.025523691E9</v>
      </c>
      <c r="C192" s="10" t="s">
        <v>4964</v>
      </c>
      <c r="D192" s="9">
        <v>45726.0</v>
      </c>
      <c r="E192" s="9">
        <v>45751.0</v>
      </c>
    </row>
    <row r="193" ht="22.5" customHeight="1">
      <c r="A193" s="5" t="s">
        <v>1066</v>
      </c>
      <c r="B193" s="12">
        <v>5.435595813E9</v>
      </c>
      <c r="C193" s="5" t="s">
        <v>5062</v>
      </c>
      <c r="D193" s="9">
        <v>45975.0</v>
      </c>
      <c r="E193" s="9">
        <v>45987.0</v>
      </c>
    </row>
    <row r="194" ht="22.5" customHeight="1">
      <c r="A194" s="5" t="s">
        <v>1068</v>
      </c>
      <c r="B194" s="12">
        <v>9.909205238E9</v>
      </c>
      <c r="C194" s="5" t="s">
        <v>5063</v>
      </c>
      <c r="D194" s="9">
        <v>46011.0</v>
      </c>
      <c r="E194" s="9">
        <v>46034.0</v>
      </c>
    </row>
    <row r="195" ht="22.5" customHeight="1">
      <c r="A195" s="5" t="s">
        <v>1072</v>
      </c>
      <c r="B195" s="12">
        <v>2.993868807E9</v>
      </c>
      <c r="C195" s="5" t="s">
        <v>3630</v>
      </c>
      <c r="D195" s="9">
        <v>46078.0</v>
      </c>
      <c r="E195" s="11"/>
    </row>
    <row r="196" ht="22.5" customHeight="1">
      <c r="A196" s="5" t="s">
        <v>1076</v>
      </c>
      <c r="B196" s="12">
        <v>8.362237552E9</v>
      </c>
      <c r="C196" s="5" t="s">
        <v>5064</v>
      </c>
      <c r="D196" s="9">
        <v>45867.0</v>
      </c>
      <c r="E196" s="9">
        <v>45872.0</v>
      </c>
    </row>
    <row r="197" ht="22.5" customHeight="1">
      <c r="A197" s="5" t="s">
        <v>1080</v>
      </c>
      <c r="B197" s="12">
        <v>3.308055292E9</v>
      </c>
      <c r="C197" s="5" t="s">
        <v>5065</v>
      </c>
      <c r="D197" s="9">
        <v>45947.0</v>
      </c>
      <c r="E197" s="9">
        <v>45962.0</v>
      </c>
    </row>
    <row r="198" ht="22.5" customHeight="1">
      <c r="A198" s="5" t="s">
        <v>1084</v>
      </c>
      <c r="B198" s="12">
        <v>3.056487435E9</v>
      </c>
      <c r="C198" s="5" t="s">
        <v>5066</v>
      </c>
      <c r="D198" s="9">
        <v>46238.0</v>
      </c>
      <c r="E198" s="11"/>
    </row>
    <row r="199" ht="22.5" customHeight="1">
      <c r="A199" s="5" t="s">
        <v>1087</v>
      </c>
      <c r="B199" s="12">
        <v>2.933123081E9</v>
      </c>
      <c r="C199" s="5" t="s">
        <v>5067</v>
      </c>
      <c r="D199" s="11"/>
      <c r="E199" s="11"/>
    </row>
    <row r="200" ht="22.5" customHeight="1">
      <c r="A200" s="5" t="s">
        <v>1090</v>
      </c>
      <c r="B200" s="13" t="s">
        <v>4964</v>
      </c>
      <c r="C200" s="5" t="s">
        <v>5068</v>
      </c>
      <c r="D200" s="9">
        <v>45756.0</v>
      </c>
      <c r="E200" s="9">
        <v>45777.0</v>
      </c>
    </row>
    <row r="201" ht="22.5" customHeight="1">
      <c r="A201" s="5" t="s">
        <v>1095</v>
      </c>
      <c r="B201" s="12">
        <v>3.218352367E9</v>
      </c>
      <c r="C201" s="5" t="s">
        <v>5069</v>
      </c>
      <c r="D201" s="9">
        <v>45904.0</v>
      </c>
      <c r="E201" s="9">
        <v>45924.0</v>
      </c>
    </row>
    <row r="202" ht="22.5" customHeight="1">
      <c r="A202" s="5" t="s">
        <v>1099</v>
      </c>
      <c r="B202" s="12">
        <v>4.629062635E9</v>
      </c>
      <c r="C202" s="5" t="s">
        <v>5070</v>
      </c>
      <c r="D202" s="9">
        <v>46230.0</v>
      </c>
      <c r="E202" s="9">
        <v>46243.0</v>
      </c>
    </row>
    <row r="203" ht="22.5" customHeight="1">
      <c r="A203" s="5" t="s">
        <v>1102</v>
      </c>
      <c r="B203" s="12">
        <v>7.398039531E9</v>
      </c>
      <c r="C203" s="5" t="s">
        <v>5071</v>
      </c>
      <c r="D203" s="9">
        <v>45929.0</v>
      </c>
      <c r="E203" s="11"/>
    </row>
    <row r="204" ht="22.5" customHeight="1">
      <c r="A204" s="5" t="s">
        <v>1104</v>
      </c>
      <c r="B204" s="12">
        <v>6.145823913E9</v>
      </c>
      <c r="C204" s="5" t="s">
        <v>5072</v>
      </c>
      <c r="D204" s="9">
        <v>46028.0</v>
      </c>
      <c r="E204" s="11"/>
    </row>
    <row r="205" ht="22.5" customHeight="1">
      <c r="A205" s="5" t="s">
        <v>1108</v>
      </c>
      <c r="B205" s="12">
        <v>7.268892979E9</v>
      </c>
      <c r="C205" s="5" t="s">
        <v>3653</v>
      </c>
      <c r="D205" s="9">
        <v>46076.0</v>
      </c>
      <c r="E205" s="9">
        <v>46091.0</v>
      </c>
    </row>
    <row r="206" ht="22.5" customHeight="1">
      <c r="A206" s="5" t="s">
        <v>1111</v>
      </c>
      <c r="B206" s="12">
        <v>9.823706986E9</v>
      </c>
      <c r="C206" s="5" t="s">
        <v>3656</v>
      </c>
      <c r="D206" s="9">
        <v>46113.0</v>
      </c>
      <c r="E206" s="9">
        <v>46127.0</v>
      </c>
    </row>
    <row r="207" ht="22.5" customHeight="1">
      <c r="A207" s="5" t="s">
        <v>1114</v>
      </c>
      <c r="B207" s="13" t="s">
        <v>4964</v>
      </c>
      <c r="C207" s="5" t="s">
        <v>5073</v>
      </c>
      <c r="D207" s="9">
        <v>46024.0</v>
      </c>
      <c r="E207" s="9">
        <v>46041.0</v>
      </c>
    </row>
    <row r="208" ht="22.5" customHeight="1">
      <c r="A208" s="5" t="s">
        <v>1118</v>
      </c>
      <c r="B208" s="12">
        <v>7.877176491E9</v>
      </c>
      <c r="C208" s="5" t="s">
        <v>3660</v>
      </c>
      <c r="D208" s="9">
        <v>45721.0</v>
      </c>
      <c r="E208" s="9">
        <v>45721.0</v>
      </c>
    </row>
    <row r="209" ht="22.5" customHeight="1">
      <c r="A209" s="5" t="s">
        <v>1121</v>
      </c>
      <c r="B209" s="12">
        <v>8.64842602E9</v>
      </c>
      <c r="C209" s="5" t="s">
        <v>3662</v>
      </c>
      <c r="D209" s="9">
        <v>45994.0</v>
      </c>
      <c r="E209" s="11"/>
    </row>
    <row r="210" ht="22.5" customHeight="1">
      <c r="A210" s="5" t="s">
        <v>1123</v>
      </c>
      <c r="B210" s="12">
        <v>2.769897297E9</v>
      </c>
      <c r="C210" s="5" t="s">
        <v>3664</v>
      </c>
      <c r="D210" s="9">
        <v>45945.0</v>
      </c>
      <c r="E210" s="9">
        <v>45968.0</v>
      </c>
    </row>
    <row r="211" ht="22.5" customHeight="1">
      <c r="A211" s="5" t="s">
        <v>1127</v>
      </c>
      <c r="B211" s="12">
        <v>8.12502222E9</v>
      </c>
      <c r="C211" s="5" t="s">
        <v>5074</v>
      </c>
      <c r="D211" s="9">
        <v>45829.0</v>
      </c>
      <c r="E211" s="9">
        <v>45841.0</v>
      </c>
    </row>
    <row r="212" ht="22.5" customHeight="1">
      <c r="A212" s="5" t="s">
        <v>1129</v>
      </c>
      <c r="B212" s="12">
        <v>6.298587697E9</v>
      </c>
      <c r="C212" s="5" t="s">
        <v>3671</v>
      </c>
      <c r="D212" s="9">
        <v>46238.0</v>
      </c>
      <c r="E212" s="11"/>
    </row>
    <row r="213" ht="22.5" customHeight="1">
      <c r="A213" s="5" t="s">
        <v>1132</v>
      </c>
      <c r="B213" s="12">
        <v>5.117795848E9</v>
      </c>
      <c r="C213" s="5" t="s">
        <v>3673</v>
      </c>
      <c r="D213" s="9">
        <v>45719.0</v>
      </c>
      <c r="E213" s="11"/>
    </row>
    <row r="214" ht="22.5" customHeight="1">
      <c r="A214" s="5" t="s">
        <v>1135</v>
      </c>
      <c r="B214" s="12">
        <v>6.36687595E9</v>
      </c>
      <c r="C214" s="5" t="s">
        <v>3676</v>
      </c>
      <c r="D214" s="9">
        <v>46036.0</v>
      </c>
      <c r="E214" s="9">
        <v>46065.0</v>
      </c>
    </row>
    <row r="215" ht="22.5" customHeight="1">
      <c r="A215" s="5" t="s">
        <v>1138</v>
      </c>
      <c r="B215" s="12">
        <v>2.904036838E9</v>
      </c>
      <c r="C215" s="5" t="s">
        <v>3518</v>
      </c>
      <c r="D215" s="9">
        <v>45726.0</v>
      </c>
      <c r="E215" s="9">
        <v>45730.0</v>
      </c>
    </row>
    <row r="216" ht="22.5" customHeight="1">
      <c r="A216" s="5" t="s">
        <v>1142</v>
      </c>
      <c r="B216" s="12">
        <v>7.712459208E9</v>
      </c>
      <c r="C216" s="5" t="s">
        <v>3680</v>
      </c>
      <c r="D216" s="9">
        <v>46036.0</v>
      </c>
      <c r="E216" s="9">
        <v>46047.0</v>
      </c>
    </row>
    <row r="217" ht="22.5" customHeight="1">
      <c r="A217" s="5" t="s">
        <v>1145</v>
      </c>
      <c r="B217" s="12">
        <v>9.036813696E9</v>
      </c>
      <c r="C217" s="5" t="s">
        <v>5075</v>
      </c>
      <c r="D217" s="11"/>
      <c r="E217" s="11"/>
    </row>
    <row r="218" ht="22.5" customHeight="1">
      <c r="A218" s="5" t="s">
        <v>1148</v>
      </c>
      <c r="B218" s="12">
        <v>9.022587964E9</v>
      </c>
      <c r="C218" s="5" t="s">
        <v>5076</v>
      </c>
      <c r="D218" s="9">
        <v>45810.0</v>
      </c>
      <c r="E218" s="9">
        <v>45810.0</v>
      </c>
    </row>
    <row r="219" ht="22.5" customHeight="1">
      <c r="A219" s="5" t="s">
        <v>1152</v>
      </c>
      <c r="B219" s="12">
        <v>4.715843761E9</v>
      </c>
      <c r="C219" s="5" t="s">
        <v>5077</v>
      </c>
      <c r="D219" s="9">
        <v>46047.0</v>
      </c>
      <c r="E219" s="11"/>
    </row>
    <row r="220" ht="22.5" customHeight="1">
      <c r="A220" s="5" t="s">
        <v>1155</v>
      </c>
      <c r="B220" s="12">
        <v>3.297475892E9</v>
      </c>
      <c r="C220" s="5" t="s">
        <v>3689</v>
      </c>
      <c r="D220" s="9">
        <v>45910.0</v>
      </c>
      <c r="E220" s="9">
        <v>45912.0</v>
      </c>
    </row>
    <row r="221" ht="22.5" customHeight="1">
      <c r="A221" s="5" t="s">
        <v>1158</v>
      </c>
      <c r="B221" s="12">
        <v>9.107218075E9</v>
      </c>
      <c r="C221" s="5" t="s">
        <v>3692</v>
      </c>
      <c r="D221" s="9">
        <v>45756.0</v>
      </c>
      <c r="E221" s="9">
        <v>45757.0</v>
      </c>
    </row>
    <row r="222" ht="22.5" customHeight="1">
      <c r="A222" s="5" t="s">
        <v>1163</v>
      </c>
      <c r="B222" s="12">
        <v>7.545699695E9</v>
      </c>
      <c r="C222" s="5" t="s">
        <v>3695</v>
      </c>
      <c r="D222" s="9">
        <v>45833.0</v>
      </c>
      <c r="E222" s="9">
        <v>45846.0</v>
      </c>
    </row>
    <row r="223" ht="22.5" customHeight="1">
      <c r="A223" s="5" t="s">
        <v>1165</v>
      </c>
      <c r="B223" s="12">
        <v>5.407033103E9</v>
      </c>
      <c r="C223" s="5" t="s">
        <v>5078</v>
      </c>
      <c r="D223" s="9">
        <v>45802.0</v>
      </c>
      <c r="E223" s="11"/>
    </row>
    <row r="224" ht="22.5" customHeight="1">
      <c r="A224" s="5" t="s">
        <v>1169</v>
      </c>
      <c r="B224" s="13" t="s">
        <v>4964</v>
      </c>
      <c r="C224" s="5" t="s">
        <v>5079</v>
      </c>
      <c r="D224" s="9">
        <v>45828.0</v>
      </c>
      <c r="E224" s="9">
        <v>45848.0</v>
      </c>
    </row>
    <row r="225" ht="22.5" customHeight="1">
      <c r="A225" s="5" t="s">
        <v>1173</v>
      </c>
      <c r="B225" s="12">
        <v>4.846055126E9</v>
      </c>
      <c r="C225" s="5" t="s">
        <v>5080</v>
      </c>
      <c r="D225" s="9">
        <v>45993.0</v>
      </c>
      <c r="E225" s="11"/>
    </row>
    <row r="226" ht="22.5" customHeight="1">
      <c r="A226" s="5" t="s">
        <v>1175</v>
      </c>
      <c r="B226" s="12">
        <v>2.603229262E9</v>
      </c>
      <c r="C226" s="5" t="s">
        <v>3703</v>
      </c>
      <c r="D226" s="9">
        <v>46027.0</v>
      </c>
      <c r="E226" s="11"/>
    </row>
    <row r="227" ht="22.5" customHeight="1">
      <c r="A227" s="5" t="s">
        <v>1179</v>
      </c>
      <c r="B227" s="12">
        <v>7.993269741E9</v>
      </c>
      <c r="C227" s="5" t="s">
        <v>5081</v>
      </c>
      <c r="D227" s="9">
        <v>45933.0</v>
      </c>
      <c r="E227" s="9">
        <v>45946.0</v>
      </c>
    </row>
    <row r="228" ht="22.5" customHeight="1">
      <c r="A228" s="5" t="s">
        <v>1182</v>
      </c>
      <c r="B228" s="12">
        <v>7.568334969E9</v>
      </c>
      <c r="C228" s="5" t="s">
        <v>3709</v>
      </c>
      <c r="D228" s="9">
        <v>46124.0</v>
      </c>
      <c r="E228" s="9">
        <v>46131.0</v>
      </c>
    </row>
    <row r="229" ht="22.5" customHeight="1">
      <c r="A229" s="5" t="s">
        <v>1185</v>
      </c>
      <c r="B229" s="12">
        <v>4.935318398E9</v>
      </c>
      <c r="C229" s="5" t="s">
        <v>5082</v>
      </c>
      <c r="D229" s="9">
        <v>45796.0</v>
      </c>
      <c r="E229" s="11"/>
    </row>
    <row r="230" ht="22.5" customHeight="1">
      <c r="A230" s="5" t="s">
        <v>1191</v>
      </c>
      <c r="B230" s="12">
        <v>4.436551598E9</v>
      </c>
      <c r="C230" s="5" t="s">
        <v>3714</v>
      </c>
      <c r="D230" s="9">
        <v>45741.0</v>
      </c>
      <c r="E230" s="9">
        <v>45758.0</v>
      </c>
    </row>
    <row r="231" ht="22.5" customHeight="1">
      <c r="A231" s="5" t="s">
        <v>1193</v>
      </c>
      <c r="B231" s="12">
        <v>5.345467547E9</v>
      </c>
      <c r="C231" s="5" t="s">
        <v>3718</v>
      </c>
      <c r="D231" s="9">
        <v>45967.0</v>
      </c>
      <c r="E231" s="9">
        <v>45988.0</v>
      </c>
    </row>
    <row r="232" ht="22.5" customHeight="1">
      <c r="A232" s="5" t="s">
        <v>1196</v>
      </c>
      <c r="B232" s="12">
        <v>8.28268332E9</v>
      </c>
      <c r="C232" s="5" t="s">
        <v>5083</v>
      </c>
      <c r="D232" s="9">
        <v>45874.0</v>
      </c>
      <c r="E232" s="9">
        <v>45886.0</v>
      </c>
    </row>
    <row r="233" ht="22.5" customHeight="1">
      <c r="A233" s="5" t="s">
        <v>1198</v>
      </c>
      <c r="B233" s="12">
        <v>8.004518624E9</v>
      </c>
      <c r="C233" s="5" t="s">
        <v>3723</v>
      </c>
      <c r="D233" s="9">
        <v>45839.0</v>
      </c>
      <c r="E233" s="9">
        <v>45845.0</v>
      </c>
    </row>
    <row r="234" ht="22.5" customHeight="1">
      <c r="A234" s="5" t="s">
        <v>1201</v>
      </c>
      <c r="B234" s="12">
        <v>3.689218596E9</v>
      </c>
      <c r="C234" s="5" t="s">
        <v>5084</v>
      </c>
      <c r="D234" s="9">
        <v>46014.0</v>
      </c>
      <c r="E234" s="11"/>
    </row>
    <row r="235" ht="22.5" customHeight="1">
      <c r="A235" s="5" t="s">
        <v>1204</v>
      </c>
      <c r="B235" s="12">
        <v>8.87584711E9</v>
      </c>
      <c r="C235" s="5" t="s">
        <v>3729</v>
      </c>
      <c r="D235" s="9">
        <v>46006.0</v>
      </c>
      <c r="E235" s="9">
        <v>46029.0</v>
      </c>
    </row>
    <row r="236" ht="22.5" customHeight="1">
      <c r="A236" s="5" t="s">
        <v>1206</v>
      </c>
      <c r="B236" s="12">
        <v>8.637399269E9</v>
      </c>
      <c r="C236" s="5" t="s">
        <v>5085</v>
      </c>
      <c r="D236" s="9">
        <v>45770.0</v>
      </c>
      <c r="E236" s="9">
        <v>45796.0</v>
      </c>
    </row>
    <row r="237" ht="22.5" customHeight="1">
      <c r="A237" s="5" t="s">
        <v>1210</v>
      </c>
      <c r="B237" s="12">
        <v>2.504311278E9</v>
      </c>
      <c r="C237" s="5" t="s">
        <v>5086</v>
      </c>
      <c r="D237" s="9">
        <v>45946.0</v>
      </c>
      <c r="E237" s="11"/>
    </row>
    <row r="238" ht="22.5" customHeight="1">
      <c r="A238" s="5" t="s">
        <v>1213</v>
      </c>
      <c r="B238" s="12">
        <v>4.123481299E9</v>
      </c>
      <c r="C238" s="5" t="s">
        <v>5087</v>
      </c>
      <c r="D238" s="9">
        <v>45742.0</v>
      </c>
      <c r="E238" s="9">
        <v>45752.0</v>
      </c>
    </row>
    <row r="239" ht="22.5" customHeight="1">
      <c r="A239" s="5" t="s">
        <v>1215</v>
      </c>
      <c r="B239" s="12">
        <v>8.714334806E9</v>
      </c>
      <c r="C239" s="5" t="s">
        <v>5088</v>
      </c>
      <c r="D239" s="9">
        <v>45736.0</v>
      </c>
      <c r="E239" s="9">
        <v>45757.0</v>
      </c>
    </row>
    <row r="240" ht="22.5" customHeight="1">
      <c r="A240" s="5" t="s">
        <v>1218</v>
      </c>
      <c r="B240" s="12">
        <v>7.189524804E9</v>
      </c>
      <c r="C240" s="5" t="s">
        <v>3740</v>
      </c>
      <c r="D240" s="9">
        <v>45930.0</v>
      </c>
      <c r="E240" s="9">
        <v>45931.0</v>
      </c>
    </row>
    <row r="241" ht="22.5" customHeight="1">
      <c r="A241" s="5" t="s">
        <v>1221</v>
      </c>
      <c r="B241" s="12">
        <v>3.132064837E9</v>
      </c>
      <c r="C241" s="5" t="s">
        <v>3742</v>
      </c>
      <c r="D241" s="9">
        <v>45905.0</v>
      </c>
      <c r="E241" s="9">
        <v>45906.0</v>
      </c>
    </row>
    <row r="242" ht="22.5" customHeight="1">
      <c r="A242" s="5" t="s">
        <v>1224</v>
      </c>
      <c r="B242" s="12">
        <v>8.385994847E9</v>
      </c>
      <c r="C242" s="5" t="s">
        <v>5089</v>
      </c>
      <c r="D242" s="9">
        <v>46132.0</v>
      </c>
      <c r="E242" s="9">
        <v>46140.0</v>
      </c>
    </row>
    <row r="243" ht="22.5" customHeight="1">
      <c r="A243" s="5" t="s">
        <v>1227</v>
      </c>
      <c r="B243" s="12">
        <v>4.995011356E9</v>
      </c>
      <c r="C243" s="5" t="s">
        <v>5090</v>
      </c>
      <c r="D243" s="9">
        <v>46221.0</v>
      </c>
      <c r="E243" s="11"/>
    </row>
    <row r="244" ht="22.5" customHeight="1">
      <c r="A244" s="5" t="s">
        <v>1229</v>
      </c>
      <c r="B244" s="13" t="s">
        <v>4964</v>
      </c>
      <c r="C244" s="5" t="s">
        <v>5091</v>
      </c>
      <c r="D244" s="9">
        <v>45999.0</v>
      </c>
      <c r="E244" s="9">
        <v>46027.0</v>
      </c>
    </row>
    <row r="245" ht="22.5" customHeight="1">
      <c r="A245" s="5" t="s">
        <v>1230</v>
      </c>
      <c r="B245" s="12">
        <v>3.186348289E9</v>
      </c>
      <c r="C245" s="5" t="s">
        <v>5092</v>
      </c>
      <c r="D245" s="9">
        <v>45828.0</v>
      </c>
      <c r="E245" s="9">
        <v>45835.0</v>
      </c>
    </row>
    <row r="246" ht="22.5" customHeight="1">
      <c r="A246" s="5" t="s">
        <v>1234</v>
      </c>
      <c r="B246" s="12">
        <v>6.452958579E9</v>
      </c>
      <c r="C246" s="5" t="s">
        <v>5093</v>
      </c>
      <c r="D246" s="9">
        <v>45838.0</v>
      </c>
      <c r="E246" s="9">
        <v>45844.0</v>
      </c>
    </row>
    <row r="247" ht="22.5" customHeight="1">
      <c r="A247" s="5" t="s">
        <v>1236</v>
      </c>
      <c r="B247" s="12">
        <v>5.067925984E9</v>
      </c>
      <c r="C247" s="5" t="s">
        <v>3758</v>
      </c>
      <c r="D247" s="9">
        <v>46027.0</v>
      </c>
      <c r="E247" s="11"/>
    </row>
    <row r="248" ht="22.5" customHeight="1">
      <c r="A248" s="5" t="s">
        <v>1241</v>
      </c>
      <c r="B248" s="12">
        <v>7.609631017E9</v>
      </c>
      <c r="C248" s="5" t="s">
        <v>5094</v>
      </c>
      <c r="D248" s="9">
        <v>45950.0</v>
      </c>
      <c r="E248" s="9">
        <v>45976.0</v>
      </c>
    </row>
    <row r="249" ht="22.5" customHeight="1">
      <c r="A249" s="5" t="s">
        <v>1245</v>
      </c>
      <c r="B249" s="12">
        <v>6.867402774E9</v>
      </c>
      <c r="C249" s="5" t="s">
        <v>3764</v>
      </c>
      <c r="D249" s="9">
        <v>46143.0</v>
      </c>
      <c r="E249" s="9">
        <v>46170.0</v>
      </c>
    </row>
    <row r="250" ht="22.5" customHeight="1">
      <c r="A250" s="5" t="s">
        <v>1248</v>
      </c>
      <c r="B250" s="12">
        <v>8.152224391E9</v>
      </c>
      <c r="C250" s="5" t="s">
        <v>3310</v>
      </c>
      <c r="D250" s="9">
        <v>45993.0</v>
      </c>
      <c r="E250" s="11"/>
    </row>
    <row r="251" ht="22.5" customHeight="1">
      <c r="A251" s="5" t="s">
        <v>1251</v>
      </c>
      <c r="B251" s="12">
        <v>9.686923642E9</v>
      </c>
      <c r="C251" s="5" t="s">
        <v>3769</v>
      </c>
      <c r="D251" s="9">
        <v>45929.0</v>
      </c>
      <c r="E251" s="9">
        <v>45951.0</v>
      </c>
    </row>
    <row r="252" ht="22.5" customHeight="1">
      <c r="A252" s="5" t="s">
        <v>1255</v>
      </c>
      <c r="B252" s="12">
        <v>6.946796349E9</v>
      </c>
      <c r="C252" s="5" t="s">
        <v>5095</v>
      </c>
      <c r="D252" s="9">
        <v>46220.0</v>
      </c>
      <c r="E252" s="9">
        <v>46241.0</v>
      </c>
    </row>
    <row r="253" ht="22.5" customHeight="1">
      <c r="A253" s="5" t="s">
        <v>1258</v>
      </c>
      <c r="B253" s="12">
        <v>6.218871966E9</v>
      </c>
      <c r="C253" s="5" t="s">
        <v>5096</v>
      </c>
      <c r="D253" s="9">
        <v>46239.0</v>
      </c>
      <c r="E253" s="9">
        <v>46250.0</v>
      </c>
    </row>
    <row r="254" ht="22.5" customHeight="1">
      <c r="A254" s="5" t="s">
        <v>1261</v>
      </c>
      <c r="B254" s="12">
        <v>9.49333718E9</v>
      </c>
      <c r="C254" s="5" t="s">
        <v>4056</v>
      </c>
      <c r="D254" s="9">
        <v>45792.0</v>
      </c>
      <c r="E254" s="9">
        <v>45804.0</v>
      </c>
    </row>
    <row r="255" ht="22.5" customHeight="1">
      <c r="A255" s="5" t="s">
        <v>1263</v>
      </c>
      <c r="B255" s="12">
        <v>3.462951285E9</v>
      </c>
      <c r="C255" s="5" t="s">
        <v>3529</v>
      </c>
      <c r="D255" s="9">
        <v>45815.0</v>
      </c>
      <c r="E255" s="11"/>
    </row>
    <row r="256" ht="22.5" customHeight="1">
      <c r="A256" s="5" t="s">
        <v>1266</v>
      </c>
      <c r="B256" s="12">
        <v>6.473267822E9</v>
      </c>
      <c r="C256" s="5" t="s">
        <v>5097</v>
      </c>
      <c r="D256" s="9">
        <v>45987.0</v>
      </c>
      <c r="E256" s="11"/>
    </row>
    <row r="257" ht="22.5" customHeight="1">
      <c r="A257" s="5" t="s">
        <v>1271</v>
      </c>
      <c r="B257" s="12">
        <v>7.377947965E9</v>
      </c>
      <c r="C257" s="5" t="s">
        <v>5098</v>
      </c>
      <c r="D257" s="9">
        <v>45975.0</v>
      </c>
      <c r="E257" s="11"/>
    </row>
    <row r="258" ht="22.5" customHeight="1">
      <c r="A258" s="5" t="s">
        <v>1274</v>
      </c>
      <c r="B258" s="12">
        <v>5.656272562E9</v>
      </c>
      <c r="C258" s="5" t="s">
        <v>5099</v>
      </c>
      <c r="D258" s="9">
        <v>46213.0</v>
      </c>
      <c r="E258" s="9">
        <v>46213.0</v>
      </c>
    </row>
    <row r="259" ht="22.5" customHeight="1">
      <c r="A259" s="5" t="s">
        <v>1279</v>
      </c>
      <c r="B259" s="12">
        <v>3.569743211E9</v>
      </c>
      <c r="C259" s="10" t="s">
        <v>4964</v>
      </c>
      <c r="D259" s="9">
        <v>46026.0</v>
      </c>
      <c r="E259" s="11"/>
    </row>
    <row r="260" ht="22.5" customHeight="1">
      <c r="A260" s="5" t="s">
        <v>1282</v>
      </c>
      <c r="B260" s="12">
        <v>8.688507284E9</v>
      </c>
      <c r="C260" s="5" t="s">
        <v>5100</v>
      </c>
      <c r="D260" s="9">
        <v>45746.0</v>
      </c>
      <c r="E260" s="9">
        <v>45754.0</v>
      </c>
    </row>
    <row r="261" ht="22.5" customHeight="1">
      <c r="A261" s="5" t="s">
        <v>1286</v>
      </c>
      <c r="B261" s="12">
        <v>7.273106616E9</v>
      </c>
      <c r="C261" s="5" t="s">
        <v>5101</v>
      </c>
      <c r="D261" s="9">
        <v>45725.0</v>
      </c>
      <c r="E261" s="9">
        <v>45727.0</v>
      </c>
    </row>
    <row r="262" ht="22.5" customHeight="1">
      <c r="A262" s="5" t="s">
        <v>1289</v>
      </c>
      <c r="B262" s="12">
        <v>8.42374438E9</v>
      </c>
      <c r="C262" s="5" t="s">
        <v>3793</v>
      </c>
      <c r="D262" s="9">
        <v>46192.0</v>
      </c>
      <c r="E262" s="9">
        <v>46192.0</v>
      </c>
    </row>
    <row r="263" ht="22.5" customHeight="1">
      <c r="A263" s="5" t="s">
        <v>1293</v>
      </c>
      <c r="B263" s="12">
        <v>8.445088726E9</v>
      </c>
      <c r="C263" s="5" t="s">
        <v>5102</v>
      </c>
      <c r="D263" s="9">
        <v>45916.0</v>
      </c>
      <c r="E263" s="9">
        <v>45916.0</v>
      </c>
    </row>
    <row r="264" ht="22.5" customHeight="1">
      <c r="A264" s="5" t="s">
        <v>1296</v>
      </c>
      <c r="B264" s="12">
        <v>9.287679223E9</v>
      </c>
      <c r="C264" s="5" t="s">
        <v>5103</v>
      </c>
      <c r="D264" s="9">
        <v>45967.0</v>
      </c>
      <c r="E264" s="11"/>
    </row>
    <row r="265" ht="22.5" customHeight="1">
      <c r="A265" s="5" t="s">
        <v>1299</v>
      </c>
      <c r="B265" s="12">
        <v>8.157165819E9</v>
      </c>
      <c r="C265" s="5" t="s">
        <v>3800</v>
      </c>
      <c r="D265" s="9">
        <v>45816.0</v>
      </c>
      <c r="E265" s="9">
        <v>45820.0</v>
      </c>
    </row>
    <row r="266" ht="22.5" customHeight="1">
      <c r="A266" s="5" t="s">
        <v>1302</v>
      </c>
      <c r="B266" s="12">
        <v>7.267802356E9</v>
      </c>
      <c r="C266" s="5" t="s">
        <v>5104</v>
      </c>
      <c r="D266" s="9">
        <v>46203.0</v>
      </c>
      <c r="E266" s="9">
        <v>46228.0</v>
      </c>
    </row>
    <row r="267" ht="22.5" customHeight="1">
      <c r="A267" s="5" t="s">
        <v>1305</v>
      </c>
      <c r="B267" s="12">
        <v>9.038797523E9</v>
      </c>
      <c r="C267" s="5" t="s">
        <v>5105</v>
      </c>
      <c r="D267" s="9">
        <v>45976.0</v>
      </c>
      <c r="E267" s="11"/>
    </row>
    <row r="268" ht="22.5" customHeight="1">
      <c r="A268" s="5" t="s">
        <v>1309</v>
      </c>
      <c r="B268" s="12">
        <v>8.972415727E9</v>
      </c>
      <c r="C268" s="5" t="s">
        <v>5106</v>
      </c>
      <c r="D268" s="9">
        <v>46248.0</v>
      </c>
      <c r="E268" s="9">
        <v>46253.0</v>
      </c>
    </row>
    <row r="269" ht="22.5" customHeight="1">
      <c r="A269" s="5" t="s">
        <v>1311</v>
      </c>
      <c r="B269" s="12">
        <v>5.038057291E9</v>
      </c>
      <c r="C269" s="5" t="s">
        <v>5107</v>
      </c>
      <c r="D269" s="9">
        <v>46024.0</v>
      </c>
      <c r="E269" s="9">
        <v>46045.0</v>
      </c>
    </row>
    <row r="270" ht="22.5" customHeight="1">
      <c r="A270" s="5" t="s">
        <v>1314</v>
      </c>
      <c r="B270" s="12">
        <v>4.203546991E9</v>
      </c>
      <c r="C270" s="5" t="s">
        <v>3811</v>
      </c>
      <c r="D270" s="9">
        <v>45813.0</v>
      </c>
      <c r="E270" s="11"/>
    </row>
    <row r="271" ht="22.5" customHeight="1">
      <c r="A271" s="5" t="s">
        <v>1317</v>
      </c>
      <c r="B271" s="12">
        <v>6.23576384E9</v>
      </c>
      <c r="C271" s="5" t="s">
        <v>5108</v>
      </c>
      <c r="D271" s="9">
        <v>45749.0</v>
      </c>
      <c r="E271" s="11"/>
    </row>
    <row r="272" ht="22.5" customHeight="1">
      <c r="A272" s="5" t="s">
        <v>1321</v>
      </c>
      <c r="B272" s="12">
        <v>3.38257282E9</v>
      </c>
      <c r="C272" s="5" t="s">
        <v>5109</v>
      </c>
      <c r="D272" s="11"/>
      <c r="E272" s="11"/>
    </row>
    <row r="273" ht="22.5" customHeight="1">
      <c r="A273" s="5" t="s">
        <v>1324</v>
      </c>
      <c r="B273" s="12">
        <v>4.253083384E9</v>
      </c>
      <c r="C273" s="5" t="s">
        <v>5110</v>
      </c>
      <c r="D273" s="9">
        <v>45910.0</v>
      </c>
      <c r="E273" s="11"/>
    </row>
    <row r="274" ht="22.5" customHeight="1">
      <c r="A274" s="5" t="s">
        <v>1328</v>
      </c>
      <c r="B274" s="12">
        <v>7.623135831E9</v>
      </c>
      <c r="C274" s="5" t="s">
        <v>3819</v>
      </c>
      <c r="D274" s="9">
        <v>45904.0</v>
      </c>
      <c r="E274" s="9">
        <v>45921.0</v>
      </c>
    </row>
    <row r="275" ht="22.5" customHeight="1">
      <c r="A275" s="5" t="s">
        <v>1332</v>
      </c>
      <c r="B275" s="13" t="s">
        <v>4964</v>
      </c>
      <c r="C275" s="5" t="s">
        <v>3821</v>
      </c>
      <c r="D275" s="9">
        <v>45777.0</v>
      </c>
      <c r="E275" s="9">
        <v>45801.0</v>
      </c>
    </row>
    <row r="276" ht="22.5" customHeight="1">
      <c r="A276" s="5" t="s">
        <v>1336</v>
      </c>
      <c r="B276" s="12">
        <v>4.998409636E9</v>
      </c>
      <c r="C276" s="5" t="s">
        <v>5111</v>
      </c>
      <c r="D276" s="9">
        <v>46039.0</v>
      </c>
      <c r="E276" s="11"/>
    </row>
    <row r="277" ht="22.5" customHeight="1">
      <c r="A277" s="5" t="s">
        <v>1339</v>
      </c>
      <c r="B277" s="12">
        <v>2.66901589E9</v>
      </c>
      <c r="C277" s="10" t="s">
        <v>4964</v>
      </c>
      <c r="D277" s="9">
        <v>45727.0</v>
      </c>
      <c r="E277" s="9">
        <v>45743.0</v>
      </c>
    </row>
    <row r="278" ht="22.5" customHeight="1">
      <c r="A278" s="5" t="s">
        <v>1341</v>
      </c>
      <c r="B278" s="12">
        <v>9.412323723E9</v>
      </c>
      <c r="C278" s="5" t="s">
        <v>3826</v>
      </c>
      <c r="D278" s="9">
        <v>46060.0</v>
      </c>
      <c r="E278" s="11"/>
    </row>
    <row r="279" ht="22.5" customHeight="1">
      <c r="A279" s="5" t="s">
        <v>1345</v>
      </c>
      <c r="B279" s="12">
        <v>5.975934153E9</v>
      </c>
      <c r="C279" s="5" t="s">
        <v>3828</v>
      </c>
      <c r="D279" s="9">
        <v>45914.0</v>
      </c>
      <c r="E279" s="9">
        <v>45914.0</v>
      </c>
    </row>
    <row r="280" ht="22.5" customHeight="1">
      <c r="A280" s="5" t="s">
        <v>1350</v>
      </c>
      <c r="B280" s="12">
        <v>2.797907766E9</v>
      </c>
      <c r="C280" s="5" t="s">
        <v>5112</v>
      </c>
      <c r="D280" s="9">
        <v>46058.0</v>
      </c>
      <c r="E280" s="11"/>
    </row>
    <row r="281" ht="22.5" customHeight="1">
      <c r="A281" s="5" t="s">
        <v>1352</v>
      </c>
      <c r="B281" s="13" t="s">
        <v>4964</v>
      </c>
      <c r="C281" s="5" t="s">
        <v>3832</v>
      </c>
      <c r="D281" s="9">
        <v>45968.0</v>
      </c>
      <c r="E281" s="9">
        <v>45982.0</v>
      </c>
    </row>
    <row r="282" ht="22.5" customHeight="1">
      <c r="A282" s="5" t="s">
        <v>1353</v>
      </c>
      <c r="B282" s="13" t="s">
        <v>4964</v>
      </c>
      <c r="C282" s="5" t="s">
        <v>3833</v>
      </c>
      <c r="D282" s="9">
        <v>46203.0</v>
      </c>
      <c r="E282" s="11"/>
    </row>
    <row r="283" ht="22.5" customHeight="1">
      <c r="A283" s="5" t="s">
        <v>1356</v>
      </c>
      <c r="B283" s="12">
        <v>2.417014184E9</v>
      </c>
      <c r="C283" s="5" t="s">
        <v>5113</v>
      </c>
      <c r="D283" s="9">
        <v>45778.0</v>
      </c>
      <c r="E283" s="11"/>
    </row>
    <row r="284" ht="22.5" customHeight="1">
      <c r="A284" s="5" t="s">
        <v>1357</v>
      </c>
      <c r="B284" s="12">
        <v>5.444281233E9</v>
      </c>
      <c r="C284" s="5" t="s">
        <v>5114</v>
      </c>
      <c r="D284" s="9">
        <v>46065.0</v>
      </c>
      <c r="E284" s="9">
        <v>46067.0</v>
      </c>
    </row>
    <row r="285" ht="22.5" customHeight="1">
      <c r="A285" s="5" t="s">
        <v>1358</v>
      </c>
      <c r="B285" s="12">
        <v>8.657902674E9</v>
      </c>
      <c r="C285" s="5" t="s">
        <v>5115</v>
      </c>
      <c r="D285" s="9">
        <v>46000.0</v>
      </c>
      <c r="E285" s="9">
        <v>46005.0</v>
      </c>
    </row>
    <row r="286" ht="22.5" customHeight="1">
      <c r="A286" s="5" t="s">
        <v>1360</v>
      </c>
      <c r="B286" s="12">
        <v>7.592673472E9</v>
      </c>
      <c r="C286" s="5" t="s">
        <v>3843</v>
      </c>
      <c r="D286" s="9">
        <v>45789.0</v>
      </c>
      <c r="E286" s="11"/>
    </row>
    <row r="287" ht="22.5" customHeight="1">
      <c r="A287" s="5" t="s">
        <v>1364</v>
      </c>
      <c r="B287" s="12">
        <v>9.049632379E9</v>
      </c>
      <c r="C287" s="5" t="s">
        <v>5116</v>
      </c>
      <c r="D287" s="9">
        <v>45828.0</v>
      </c>
      <c r="E287" s="11"/>
    </row>
    <row r="288" ht="22.5" customHeight="1">
      <c r="A288" s="5" t="s">
        <v>1367</v>
      </c>
      <c r="B288" s="12">
        <v>7.868179103E9</v>
      </c>
      <c r="C288" s="5" t="s">
        <v>5117</v>
      </c>
      <c r="D288" s="9">
        <v>45787.0</v>
      </c>
      <c r="E288" s="11"/>
    </row>
    <row r="289" ht="22.5" customHeight="1">
      <c r="A289" s="5" t="s">
        <v>1369</v>
      </c>
      <c r="B289" s="12">
        <v>8.516227353E9</v>
      </c>
      <c r="C289" s="5" t="s">
        <v>5118</v>
      </c>
      <c r="D289" s="9">
        <v>46180.0</v>
      </c>
      <c r="E289" s="9">
        <v>46208.0</v>
      </c>
    </row>
    <row r="290" ht="22.5" customHeight="1">
      <c r="A290" s="5" t="s">
        <v>1372</v>
      </c>
      <c r="B290" s="12">
        <v>9.673861243E9</v>
      </c>
      <c r="C290" s="5" t="s">
        <v>5119</v>
      </c>
      <c r="D290" s="9">
        <v>45764.0</v>
      </c>
      <c r="E290" s="9">
        <v>45770.0</v>
      </c>
    </row>
    <row r="291" ht="22.5" customHeight="1">
      <c r="A291" s="5" t="s">
        <v>1374</v>
      </c>
      <c r="B291" s="12">
        <v>3.54325601E9</v>
      </c>
      <c r="C291" s="5" t="s">
        <v>5120</v>
      </c>
      <c r="D291" s="9">
        <v>45901.0</v>
      </c>
      <c r="E291" s="9">
        <v>45926.0</v>
      </c>
    </row>
    <row r="292" ht="22.5" customHeight="1">
      <c r="A292" s="5" t="s">
        <v>1377</v>
      </c>
      <c r="B292" s="12">
        <v>8.36247203E9</v>
      </c>
      <c r="C292" s="5" t="s">
        <v>5121</v>
      </c>
      <c r="D292" s="9">
        <v>45741.0</v>
      </c>
      <c r="E292" s="9">
        <v>45750.0</v>
      </c>
    </row>
    <row r="293" ht="22.5" customHeight="1">
      <c r="A293" s="5" t="s">
        <v>1380</v>
      </c>
      <c r="B293" s="12">
        <v>2.506847255E9</v>
      </c>
      <c r="C293" s="5" t="s">
        <v>5122</v>
      </c>
      <c r="D293" s="11"/>
      <c r="E293" s="11"/>
    </row>
    <row r="294" ht="22.5" customHeight="1">
      <c r="A294" s="5" t="s">
        <v>1384</v>
      </c>
      <c r="B294" s="12">
        <v>2.49519152E9</v>
      </c>
      <c r="C294" s="5" t="s">
        <v>3863</v>
      </c>
      <c r="D294" s="9">
        <v>46173.0</v>
      </c>
      <c r="E294" s="11"/>
    </row>
    <row r="295" ht="22.5" customHeight="1">
      <c r="A295" s="5" t="s">
        <v>1387</v>
      </c>
      <c r="B295" s="12">
        <v>4.995912735E9</v>
      </c>
      <c r="C295" s="5" t="s">
        <v>5123</v>
      </c>
      <c r="D295" s="9">
        <v>45959.0</v>
      </c>
      <c r="E295" s="9">
        <v>45967.0</v>
      </c>
    </row>
    <row r="296" ht="22.5" customHeight="1">
      <c r="A296" s="5" t="s">
        <v>1389</v>
      </c>
      <c r="B296" s="12">
        <v>5.066328912E9</v>
      </c>
      <c r="C296" s="5" t="s">
        <v>5124</v>
      </c>
      <c r="D296" s="9">
        <v>45998.0</v>
      </c>
      <c r="E296" s="9">
        <v>46018.0</v>
      </c>
    </row>
    <row r="297" ht="22.5" customHeight="1">
      <c r="A297" s="5" t="s">
        <v>1394</v>
      </c>
      <c r="B297" s="12">
        <v>8.977432212E9</v>
      </c>
      <c r="C297" s="5" t="s">
        <v>3872</v>
      </c>
      <c r="D297" s="9">
        <v>45756.0</v>
      </c>
      <c r="E297" s="11"/>
    </row>
    <row r="298" ht="22.5" customHeight="1">
      <c r="A298" s="5" t="s">
        <v>1397</v>
      </c>
      <c r="B298" s="12">
        <v>9.888795416E9</v>
      </c>
      <c r="C298" s="5" t="s">
        <v>3874</v>
      </c>
      <c r="D298" s="9">
        <v>45921.0</v>
      </c>
      <c r="E298" s="9">
        <v>45923.0</v>
      </c>
    </row>
    <row r="299" ht="22.5" customHeight="1">
      <c r="A299" s="5" t="s">
        <v>1400</v>
      </c>
      <c r="B299" s="12">
        <v>5.189921025E9</v>
      </c>
      <c r="C299" s="5" t="s">
        <v>3876</v>
      </c>
      <c r="D299" s="9">
        <v>46219.0</v>
      </c>
      <c r="E299" s="9">
        <v>46247.0</v>
      </c>
    </row>
    <row r="300" ht="22.5" customHeight="1">
      <c r="A300" s="5" t="s">
        <v>1404</v>
      </c>
      <c r="B300" s="12">
        <v>5.487289481E9</v>
      </c>
      <c r="C300" s="5" t="s">
        <v>5125</v>
      </c>
      <c r="D300" s="9">
        <v>45807.0</v>
      </c>
      <c r="E300" s="9">
        <v>45836.0</v>
      </c>
    </row>
    <row r="301" ht="22.5" customHeight="1">
      <c r="A301" s="5" t="s">
        <v>1406</v>
      </c>
      <c r="B301" s="12">
        <v>5.58506939E9</v>
      </c>
      <c r="C301" s="5" t="s">
        <v>3880</v>
      </c>
      <c r="D301" s="9">
        <v>45917.0</v>
      </c>
      <c r="E301" s="11"/>
    </row>
    <row r="302" ht="22.5" customHeight="1">
      <c r="A302" s="5" t="s">
        <v>1408</v>
      </c>
      <c r="B302" s="12">
        <v>7.514168496E9</v>
      </c>
      <c r="C302" s="5" t="s">
        <v>5126</v>
      </c>
      <c r="D302" s="9">
        <v>46045.0</v>
      </c>
      <c r="E302" s="11"/>
    </row>
    <row r="303" ht="22.5" customHeight="1">
      <c r="A303" s="5" t="s">
        <v>1411</v>
      </c>
      <c r="B303" s="12">
        <v>2.525151755E9</v>
      </c>
      <c r="C303" s="5" t="s">
        <v>5127</v>
      </c>
      <c r="D303" s="9">
        <v>46172.0</v>
      </c>
      <c r="E303" s="11"/>
    </row>
    <row r="304" ht="22.5" customHeight="1">
      <c r="A304" s="5" t="s">
        <v>1414</v>
      </c>
      <c r="B304" s="12">
        <v>7.979163505E9</v>
      </c>
      <c r="C304" s="5" t="s">
        <v>5128</v>
      </c>
      <c r="D304" s="9">
        <v>45914.0</v>
      </c>
      <c r="E304" s="9">
        <v>45932.0</v>
      </c>
    </row>
    <row r="305" ht="22.5" customHeight="1">
      <c r="A305" s="5" t="s">
        <v>1418</v>
      </c>
      <c r="B305" s="12">
        <v>8.089443597E9</v>
      </c>
      <c r="C305" s="5" t="s">
        <v>5129</v>
      </c>
      <c r="D305" s="9">
        <v>46124.0</v>
      </c>
      <c r="E305" s="9">
        <v>46145.0</v>
      </c>
    </row>
    <row r="306" ht="22.5" customHeight="1">
      <c r="A306" s="5" t="s">
        <v>1421</v>
      </c>
      <c r="B306" s="12">
        <v>6.499988901E9</v>
      </c>
      <c r="C306" s="5" t="s">
        <v>5130</v>
      </c>
      <c r="D306" s="9">
        <v>46162.0</v>
      </c>
      <c r="E306" s="11"/>
    </row>
    <row r="307" ht="22.5" customHeight="1">
      <c r="A307" s="5" t="s">
        <v>1425</v>
      </c>
      <c r="B307" s="12">
        <v>2.147526798E9</v>
      </c>
      <c r="C307" s="5" t="s">
        <v>5013</v>
      </c>
      <c r="D307" s="9">
        <v>46225.0</v>
      </c>
      <c r="E307" s="11"/>
    </row>
    <row r="308" ht="22.5" customHeight="1">
      <c r="A308" s="5" t="s">
        <v>1427</v>
      </c>
      <c r="B308" s="12">
        <v>4.559236482E9</v>
      </c>
      <c r="C308" s="5" t="s">
        <v>5131</v>
      </c>
      <c r="D308" s="9">
        <v>46235.0</v>
      </c>
      <c r="E308" s="9">
        <v>46237.0</v>
      </c>
    </row>
    <row r="309" ht="22.5" customHeight="1">
      <c r="A309" s="5" t="s">
        <v>1430</v>
      </c>
      <c r="B309" s="12">
        <v>2.399385922E9</v>
      </c>
      <c r="C309" s="5" t="s">
        <v>5132</v>
      </c>
      <c r="D309" s="9">
        <v>46092.0</v>
      </c>
      <c r="E309" s="9">
        <v>46107.0</v>
      </c>
    </row>
    <row r="310" ht="22.5" customHeight="1">
      <c r="A310" s="5" t="s">
        <v>1432</v>
      </c>
      <c r="B310" s="12">
        <v>2.767665386E9</v>
      </c>
      <c r="C310" s="5" t="s">
        <v>5133</v>
      </c>
      <c r="D310" s="9">
        <v>46149.0</v>
      </c>
      <c r="E310" s="9">
        <v>46173.0</v>
      </c>
    </row>
    <row r="311" ht="22.5" customHeight="1">
      <c r="A311" s="5" t="s">
        <v>1435</v>
      </c>
      <c r="B311" s="12">
        <v>2.84696188E9</v>
      </c>
      <c r="C311" s="5" t="s">
        <v>5134</v>
      </c>
      <c r="D311" s="9">
        <v>45799.0</v>
      </c>
      <c r="E311" s="9">
        <v>45804.0</v>
      </c>
    </row>
    <row r="312" ht="22.5" customHeight="1">
      <c r="A312" s="5" t="s">
        <v>1438</v>
      </c>
      <c r="B312" s="13" t="s">
        <v>4964</v>
      </c>
      <c r="C312" s="5" t="s">
        <v>5135</v>
      </c>
      <c r="D312" s="9">
        <v>46181.0</v>
      </c>
      <c r="E312" s="9">
        <v>46207.0</v>
      </c>
    </row>
    <row r="313" ht="22.5" customHeight="1">
      <c r="A313" s="5" t="s">
        <v>1441</v>
      </c>
      <c r="B313" s="13" t="s">
        <v>4964</v>
      </c>
      <c r="C313" s="5" t="s">
        <v>3907</v>
      </c>
      <c r="D313" s="9">
        <v>46026.0</v>
      </c>
      <c r="E313" s="11"/>
    </row>
    <row r="314" ht="22.5" customHeight="1">
      <c r="A314" s="5" t="s">
        <v>1444</v>
      </c>
      <c r="B314" s="12">
        <v>4.035963375E9</v>
      </c>
      <c r="C314" s="5" t="s">
        <v>3909</v>
      </c>
      <c r="D314" s="9">
        <v>46096.0</v>
      </c>
      <c r="E314" s="9">
        <v>46117.0</v>
      </c>
    </row>
    <row r="315" ht="22.5" customHeight="1">
      <c r="A315" s="5" t="s">
        <v>1447</v>
      </c>
      <c r="B315" s="12">
        <v>3.936049628E9</v>
      </c>
      <c r="C315" s="5" t="s">
        <v>5136</v>
      </c>
      <c r="D315" s="9">
        <v>46050.0</v>
      </c>
      <c r="E315" s="9">
        <v>46063.0</v>
      </c>
    </row>
    <row r="316" ht="22.5" customHeight="1">
      <c r="A316" s="5" t="s">
        <v>1450</v>
      </c>
      <c r="B316" s="13" t="s">
        <v>4964</v>
      </c>
      <c r="C316" s="5" t="s">
        <v>5137</v>
      </c>
      <c r="D316" s="9">
        <v>46050.0</v>
      </c>
      <c r="E316" s="9">
        <v>46078.0</v>
      </c>
    </row>
    <row r="317" ht="22.5" customHeight="1">
      <c r="A317" s="5" t="s">
        <v>1454</v>
      </c>
      <c r="B317" s="12">
        <v>9.928521347E9</v>
      </c>
      <c r="C317" s="5" t="s">
        <v>3916</v>
      </c>
      <c r="D317" s="9">
        <v>45919.0</v>
      </c>
      <c r="E317" s="9">
        <v>45936.0</v>
      </c>
    </row>
    <row r="318" ht="22.5" customHeight="1">
      <c r="A318" s="5" t="s">
        <v>1458</v>
      </c>
      <c r="B318" s="12">
        <v>9.852069307E9</v>
      </c>
      <c r="C318" s="10" t="s">
        <v>4964</v>
      </c>
      <c r="D318" s="9">
        <v>46175.0</v>
      </c>
      <c r="E318" s="11"/>
    </row>
    <row r="319" ht="22.5" customHeight="1">
      <c r="A319" s="5" t="s">
        <v>1463</v>
      </c>
      <c r="B319" s="12">
        <v>7.322207356E9</v>
      </c>
      <c r="C319" s="5" t="s">
        <v>5138</v>
      </c>
      <c r="D319" s="9">
        <v>46094.0</v>
      </c>
      <c r="E319" s="11"/>
    </row>
    <row r="320" ht="22.5" customHeight="1">
      <c r="A320" s="5" t="s">
        <v>1465</v>
      </c>
      <c r="B320" s="12">
        <v>6.077379799E9</v>
      </c>
      <c r="C320" s="5" t="s">
        <v>5139</v>
      </c>
      <c r="D320" s="9">
        <v>45937.0</v>
      </c>
      <c r="E320" s="9">
        <v>45964.0</v>
      </c>
    </row>
    <row r="321" ht="22.5" customHeight="1">
      <c r="A321" s="5" t="s">
        <v>1467</v>
      </c>
      <c r="B321" s="12">
        <v>4.863198157E9</v>
      </c>
      <c r="C321" s="5" t="s">
        <v>5140</v>
      </c>
      <c r="D321" s="9">
        <v>45716.0</v>
      </c>
      <c r="E321" s="11"/>
    </row>
    <row r="322" ht="22.5" customHeight="1">
      <c r="A322" s="5" t="s">
        <v>1469</v>
      </c>
      <c r="B322" s="12">
        <v>5.613867645E9</v>
      </c>
      <c r="C322" s="5" t="s">
        <v>3928</v>
      </c>
      <c r="D322" s="11"/>
      <c r="E322" s="11"/>
    </row>
    <row r="323" ht="22.5" customHeight="1">
      <c r="A323" s="5" t="s">
        <v>1472</v>
      </c>
      <c r="B323" s="12">
        <v>2.997503946E9</v>
      </c>
      <c r="C323" s="5" t="s">
        <v>5141</v>
      </c>
      <c r="D323" s="9">
        <v>45922.0</v>
      </c>
      <c r="E323" s="9">
        <v>45929.0</v>
      </c>
    </row>
    <row r="324" ht="22.5" customHeight="1">
      <c r="A324" s="5" t="s">
        <v>1474</v>
      </c>
      <c r="B324" s="12">
        <v>7.253363643E9</v>
      </c>
      <c r="C324" s="10" t="s">
        <v>4964</v>
      </c>
      <c r="D324" s="9">
        <v>46203.0</v>
      </c>
      <c r="E324" s="11"/>
    </row>
    <row r="325" ht="22.5" customHeight="1">
      <c r="A325" s="5" t="s">
        <v>1477</v>
      </c>
      <c r="B325" s="12">
        <v>9.71357691E9</v>
      </c>
      <c r="C325" s="5" t="s">
        <v>5142</v>
      </c>
      <c r="D325" s="9">
        <v>46139.0</v>
      </c>
      <c r="E325" s="9">
        <v>46147.0</v>
      </c>
    </row>
    <row r="326" ht="22.5" customHeight="1">
      <c r="A326" s="5" t="s">
        <v>1480</v>
      </c>
      <c r="B326" s="12">
        <v>7.302687703E9</v>
      </c>
      <c r="C326" s="5" t="s">
        <v>4163</v>
      </c>
      <c r="D326" s="9">
        <v>46247.0</v>
      </c>
      <c r="E326" s="9">
        <v>46253.0</v>
      </c>
    </row>
    <row r="327" ht="22.5" customHeight="1">
      <c r="A327" s="5" t="s">
        <v>1482</v>
      </c>
      <c r="B327" s="12">
        <v>2.439227127E9</v>
      </c>
      <c r="C327" s="5" t="s">
        <v>5143</v>
      </c>
      <c r="D327" s="9">
        <v>45925.0</v>
      </c>
      <c r="E327" s="9">
        <v>45939.0</v>
      </c>
    </row>
    <row r="328" ht="22.5" customHeight="1">
      <c r="A328" s="5" t="s">
        <v>1484</v>
      </c>
      <c r="B328" s="12">
        <v>6.049031955E9</v>
      </c>
      <c r="C328" s="5" t="s">
        <v>5144</v>
      </c>
      <c r="D328" s="9">
        <v>45882.0</v>
      </c>
      <c r="E328" s="9">
        <v>45910.0</v>
      </c>
    </row>
    <row r="329" ht="22.5" customHeight="1">
      <c r="A329" s="5" t="s">
        <v>1488</v>
      </c>
      <c r="B329" s="12">
        <v>4.338937059E9</v>
      </c>
      <c r="C329" s="5" t="s">
        <v>5145</v>
      </c>
      <c r="D329" s="9">
        <v>45712.0</v>
      </c>
      <c r="E329" s="9">
        <v>45724.0</v>
      </c>
    </row>
    <row r="330" ht="22.5" customHeight="1">
      <c r="A330" s="5" t="s">
        <v>1490</v>
      </c>
      <c r="B330" s="12">
        <v>2.247626717E9</v>
      </c>
      <c r="C330" s="5" t="s">
        <v>3945</v>
      </c>
      <c r="D330" s="9">
        <v>46177.0</v>
      </c>
      <c r="E330" s="9">
        <v>46196.0</v>
      </c>
    </row>
    <row r="331" ht="22.5" customHeight="1">
      <c r="A331" s="5" t="s">
        <v>1494</v>
      </c>
      <c r="B331" s="12">
        <v>4.574245454E9</v>
      </c>
      <c r="C331" s="5" t="s">
        <v>5146</v>
      </c>
      <c r="D331" s="9">
        <v>46111.0</v>
      </c>
      <c r="E331" s="9">
        <v>46136.0</v>
      </c>
    </row>
    <row r="332" ht="22.5" customHeight="1">
      <c r="A332" s="5" t="s">
        <v>1498</v>
      </c>
      <c r="B332" s="12">
        <v>2.305921772E9</v>
      </c>
      <c r="C332" s="5" t="s">
        <v>3951</v>
      </c>
      <c r="D332" s="9">
        <v>45948.0</v>
      </c>
      <c r="E332" s="11"/>
    </row>
    <row r="333" ht="22.5" customHeight="1">
      <c r="A333" s="5" t="s">
        <v>1501</v>
      </c>
      <c r="B333" s="12">
        <v>5.698899224E9</v>
      </c>
      <c r="C333" s="5" t="s">
        <v>5147</v>
      </c>
      <c r="D333" s="9">
        <v>46018.0</v>
      </c>
      <c r="E333" s="11"/>
    </row>
    <row r="334" ht="22.5" customHeight="1">
      <c r="A334" s="5" t="s">
        <v>1504</v>
      </c>
      <c r="B334" s="12">
        <v>5.295332851E9</v>
      </c>
      <c r="C334" s="5" t="s">
        <v>3955</v>
      </c>
      <c r="D334" s="9">
        <v>45745.0</v>
      </c>
      <c r="E334" s="11"/>
    </row>
    <row r="335" ht="22.5" customHeight="1">
      <c r="A335" s="5" t="s">
        <v>1507</v>
      </c>
      <c r="B335" s="12">
        <v>2.123712893E9</v>
      </c>
      <c r="C335" s="5" t="s">
        <v>3958</v>
      </c>
      <c r="D335" s="9">
        <v>46077.0</v>
      </c>
      <c r="E335" s="11"/>
    </row>
    <row r="336" ht="22.5" customHeight="1">
      <c r="A336" s="5" t="s">
        <v>1510</v>
      </c>
      <c r="B336" s="12">
        <v>3.752056493E9</v>
      </c>
      <c r="C336" s="5" t="s">
        <v>3960</v>
      </c>
      <c r="D336" s="9">
        <v>45957.0</v>
      </c>
      <c r="E336" s="9">
        <v>45963.0</v>
      </c>
    </row>
    <row r="337" ht="22.5" customHeight="1">
      <c r="A337" s="5" t="s">
        <v>1513</v>
      </c>
      <c r="B337" s="12">
        <v>7.667066052E9</v>
      </c>
      <c r="C337" s="5" t="s">
        <v>3964</v>
      </c>
      <c r="D337" s="9">
        <v>46012.0</v>
      </c>
      <c r="E337" s="9">
        <v>46016.0</v>
      </c>
    </row>
    <row r="338" ht="22.5" customHeight="1">
      <c r="A338" s="5" t="s">
        <v>1515</v>
      </c>
      <c r="B338" s="12">
        <v>8.553579217E9</v>
      </c>
      <c r="C338" s="5" t="s">
        <v>5148</v>
      </c>
      <c r="D338" s="9">
        <v>45727.0</v>
      </c>
      <c r="E338" s="11"/>
    </row>
    <row r="339" ht="22.5" customHeight="1">
      <c r="A339" s="5" t="s">
        <v>1516</v>
      </c>
      <c r="B339" s="12">
        <v>6.116589936E9</v>
      </c>
      <c r="C339" s="5" t="s">
        <v>3968</v>
      </c>
      <c r="D339" s="9">
        <v>46025.0</v>
      </c>
      <c r="E339" s="9">
        <v>46054.0</v>
      </c>
    </row>
    <row r="340" ht="22.5" customHeight="1">
      <c r="A340" s="5" t="s">
        <v>1517</v>
      </c>
      <c r="B340" s="12">
        <v>3.755772621E9</v>
      </c>
      <c r="C340" s="5" t="s">
        <v>5149</v>
      </c>
      <c r="D340" s="9">
        <v>45968.0</v>
      </c>
      <c r="E340" s="11"/>
    </row>
    <row r="341" ht="22.5" customHeight="1">
      <c r="A341" s="5" t="s">
        <v>1522</v>
      </c>
      <c r="B341" s="12">
        <v>4.846668965E9</v>
      </c>
      <c r="C341" s="5" t="s">
        <v>3972</v>
      </c>
      <c r="D341" s="9">
        <v>45868.0</v>
      </c>
      <c r="E341" s="11"/>
    </row>
    <row r="342" ht="22.5" customHeight="1">
      <c r="A342" s="5" t="s">
        <v>1524</v>
      </c>
      <c r="B342" s="12">
        <v>9.085947126E9</v>
      </c>
      <c r="C342" s="5" t="s">
        <v>5150</v>
      </c>
      <c r="D342" s="9">
        <v>45946.0</v>
      </c>
      <c r="E342" s="11"/>
    </row>
    <row r="343" ht="22.5" customHeight="1">
      <c r="A343" s="5" t="s">
        <v>1528</v>
      </c>
      <c r="B343" s="12">
        <v>2.587628758E9</v>
      </c>
      <c r="C343" s="5" t="s">
        <v>3977</v>
      </c>
      <c r="D343" s="9">
        <v>46097.0</v>
      </c>
      <c r="E343" s="9">
        <v>46116.0</v>
      </c>
    </row>
    <row r="344" ht="22.5" customHeight="1">
      <c r="A344" s="5" t="s">
        <v>1530</v>
      </c>
      <c r="B344" s="12">
        <v>6.416277057E9</v>
      </c>
      <c r="C344" s="5" t="s">
        <v>5151</v>
      </c>
      <c r="D344" s="9">
        <v>45894.0</v>
      </c>
      <c r="E344" s="11"/>
    </row>
    <row r="345" ht="22.5" customHeight="1">
      <c r="A345" s="5" t="s">
        <v>1534</v>
      </c>
      <c r="B345" s="12">
        <v>9.974323355E9</v>
      </c>
      <c r="C345" s="5" t="s">
        <v>3982</v>
      </c>
      <c r="D345" s="9">
        <v>46234.0</v>
      </c>
      <c r="E345" s="9">
        <v>46239.0</v>
      </c>
    </row>
    <row r="346" ht="22.5" customHeight="1">
      <c r="A346" s="5" t="s">
        <v>1536</v>
      </c>
      <c r="B346" s="12">
        <v>3.996498964E9</v>
      </c>
      <c r="C346" s="5" t="s">
        <v>5152</v>
      </c>
      <c r="D346" s="9">
        <v>45802.0</v>
      </c>
      <c r="E346" s="9">
        <v>45815.0</v>
      </c>
    </row>
    <row r="347" ht="22.5" customHeight="1">
      <c r="A347" s="5" t="s">
        <v>1539</v>
      </c>
      <c r="B347" s="12">
        <v>5.89403223E9</v>
      </c>
      <c r="C347" s="5" t="s">
        <v>3986</v>
      </c>
      <c r="D347" s="9">
        <v>46027.0</v>
      </c>
      <c r="E347" s="11"/>
    </row>
    <row r="348" ht="22.5" customHeight="1">
      <c r="A348" s="5" t="s">
        <v>1542</v>
      </c>
      <c r="B348" s="12">
        <v>2.746646037E9</v>
      </c>
      <c r="C348" s="5" t="s">
        <v>5153</v>
      </c>
      <c r="D348" s="9">
        <v>46168.0</v>
      </c>
      <c r="E348" s="9">
        <v>46193.0</v>
      </c>
    </row>
    <row r="349" ht="22.5" customHeight="1">
      <c r="A349" s="5" t="s">
        <v>1544</v>
      </c>
      <c r="B349" s="12">
        <v>2.726357993E9</v>
      </c>
      <c r="C349" s="5" t="s">
        <v>3990</v>
      </c>
      <c r="D349" s="9">
        <v>45891.0</v>
      </c>
      <c r="E349" s="9">
        <v>45892.0</v>
      </c>
    </row>
    <row r="350" ht="22.5" customHeight="1">
      <c r="A350" s="5" t="s">
        <v>1548</v>
      </c>
      <c r="B350" s="12">
        <v>3.913299932E9</v>
      </c>
      <c r="C350" s="5" t="s">
        <v>3994</v>
      </c>
      <c r="D350" s="9">
        <v>45906.0</v>
      </c>
      <c r="E350" s="9">
        <v>45933.0</v>
      </c>
    </row>
    <row r="351" ht="22.5" customHeight="1">
      <c r="A351" s="5" t="s">
        <v>1550</v>
      </c>
      <c r="B351" s="13" t="s">
        <v>4964</v>
      </c>
      <c r="C351" s="5" t="s">
        <v>5154</v>
      </c>
      <c r="D351" s="9">
        <v>46053.0</v>
      </c>
      <c r="E351" s="9">
        <v>46059.0</v>
      </c>
    </row>
    <row r="352" ht="22.5" customHeight="1">
      <c r="A352" s="5" t="s">
        <v>1553</v>
      </c>
      <c r="B352" s="12">
        <v>4.865967908E9</v>
      </c>
      <c r="C352" s="5" t="s">
        <v>3998</v>
      </c>
      <c r="D352" s="9">
        <v>45710.0</v>
      </c>
      <c r="E352" s="11"/>
    </row>
    <row r="353" ht="22.5" customHeight="1">
      <c r="A353" s="5" t="s">
        <v>1556</v>
      </c>
      <c r="B353" s="12">
        <v>2.484413607E9</v>
      </c>
      <c r="C353" s="5" t="s">
        <v>4001</v>
      </c>
      <c r="D353" s="9">
        <v>46173.0</v>
      </c>
      <c r="E353" s="9">
        <v>46202.0</v>
      </c>
    </row>
    <row r="354" ht="22.5" customHeight="1">
      <c r="A354" s="5" t="s">
        <v>1558</v>
      </c>
      <c r="B354" s="12">
        <v>9.448203303E9</v>
      </c>
      <c r="C354" s="5" t="s">
        <v>5155</v>
      </c>
      <c r="D354" s="9">
        <v>46109.0</v>
      </c>
      <c r="E354" s="9">
        <v>46124.0</v>
      </c>
    </row>
    <row r="355" ht="22.5" customHeight="1">
      <c r="A355" s="5" t="s">
        <v>1561</v>
      </c>
      <c r="B355" s="12">
        <v>4.837887296E9</v>
      </c>
      <c r="C355" s="5" t="s">
        <v>4005</v>
      </c>
      <c r="D355" s="9">
        <v>45936.0</v>
      </c>
      <c r="E355" s="9">
        <v>45954.0</v>
      </c>
    </row>
    <row r="356" ht="22.5" customHeight="1">
      <c r="A356" s="5" t="s">
        <v>1564</v>
      </c>
      <c r="B356" s="12">
        <v>3.972886558E9</v>
      </c>
      <c r="C356" s="5" t="s">
        <v>4007</v>
      </c>
      <c r="D356" s="9">
        <v>45990.0</v>
      </c>
      <c r="E356" s="11"/>
    </row>
    <row r="357" ht="22.5" customHeight="1">
      <c r="A357" s="5" t="s">
        <v>1567</v>
      </c>
      <c r="B357" s="12">
        <v>8.372231769E9</v>
      </c>
      <c r="C357" s="5" t="s">
        <v>4010</v>
      </c>
      <c r="D357" s="9">
        <v>46090.0</v>
      </c>
      <c r="E357" s="9">
        <v>46093.0</v>
      </c>
    </row>
    <row r="358" ht="22.5" customHeight="1">
      <c r="A358" s="5" t="s">
        <v>1571</v>
      </c>
      <c r="B358" s="12">
        <v>8.822277461E9</v>
      </c>
      <c r="C358" s="5" t="s">
        <v>5156</v>
      </c>
      <c r="D358" s="9">
        <v>45812.0</v>
      </c>
      <c r="E358" s="9">
        <v>45838.0</v>
      </c>
    </row>
    <row r="359" ht="22.5" customHeight="1">
      <c r="A359" s="5" t="s">
        <v>1574</v>
      </c>
      <c r="B359" s="12">
        <v>5.848404766E9</v>
      </c>
      <c r="C359" s="5" t="s">
        <v>4015</v>
      </c>
      <c r="D359" s="9">
        <v>45894.0</v>
      </c>
      <c r="E359" s="9">
        <v>45895.0</v>
      </c>
    </row>
    <row r="360" ht="22.5" customHeight="1">
      <c r="A360" s="5" t="s">
        <v>1577</v>
      </c>
      <c r="B360" s="12">
        <v>5.65976961E9</v>
      </c>
      <c r="C360" s="5" t="s">
        <v>3537</v>
      </c>
      <c r="D360" s="9">
        <v>45968.0</v>
      </c>
      <c r="E360" s="9">
        <v>45997.0</v>
      </c>
    </row>
    <row r="361" ht="22.5" customHeight="1">
      <c r="A361" s="5" t="s">
        <v>1579</v>
      </c>
      <c r="B361" s="12">
        <v>2.826959545E9</v>
      </c>
      <c r="C361" s="5" t="s">
        <v>5157</v>
      </c>
      <c r="D361" s="9">
        <v>46138.0</v>
      </c>
      <c r="E361" s="9">
        <v>46139.0</v>
      </c>
    </row>
    <row r="362" ht="22.5" customHeight="1">
      <c r="A362" s="5" t="s">
        <v>1582</v>
      </c>
      <c r="B362" s="12">
        <v>3.728848572E9</v>
      </c>
      <c r="C362" s="5" t="s">
        <v>5158</v>
      </c>
      <c r="D362" s="9">
        <v>45984.0</v>
      </c>
      <c r="E362" s="11"/>
    </row>
    <row r="363" ht="22.5" customHeight="1">
      <c r="A363" s="5" t="s">
        <v>1585</v>
      </c>
      <c r="B363" s="12">
        <v>9.359224273E9</v>
      </c>
      <c r="C363" s="5" t="s">
        <v>4025</v>
      </c>
      <c r="D363" s="9">
        <v>46158.0</v>
      </c>
      <c r="E363" s="9">
        <v>46163.0</v>
      </c>
    </row>
    <row r="364" ht="22.5" customHeight="1">
      <c r="A364" s="5" t="s">
        <v>1588</v>
      </c>
      <c r="B364" s="12">
        <v>7.40319485E9</v>
      </c>
      <c r="C364" s="5" t="s">
        <v>4028</v>
      </c>
      <c r="D364" s="9">
        <v>45807.0</v>
      </c>
      <c r="E364" s="9">
        <v>45810.0</v>
      </c>
    </row>
    <row r="365" ht="22.5" customHeight="1">
      <c r="A365" s="5" t="s">
        <v>1591</v>
      </c>
      <c r="B365" s="12">
        <v>4.64545489E9</v>
      </c>
      <c r="C365" s="5" t="s">
        <v>5159</v>
      </c>
      <c r="D365" s="9">
        <v>45722.0</v>
      </c>
      <c r="E365" s="9">
        <v>45737.0</v>
      </c>
    </row>
    <row r="366" ht="22.5" customHeight="1">
      <c r="A366" s="5" t="s">
        <v>1594</v>
      </c>
      <c r="B366" s="12">
        <v>7.599561502E9</v>
      </c>
      <c r="C366" s="10" t="s">
        <v>4964</v>
      </c>
      <c r="D366" s="9">
        <v>46213.0</v>
      </c>
      <c r="E366" s="11"/>
    </row>
    <row r="367" ht="22.5" customHeight="1">
      <c r="A367" s="5" t="s">
        <v>1597</v>
      </c>
      <c r="B367" s="12">
        <v>6.284473469E9</v>
      </c>
      <c r="C367" s="5" t="s">
        <v>4035</v>
      </c>
      <c r="D367" s="9">
        <v>46095.0</v>
      </c>
      <c r="E367" s="11"/>
    </row>
    <row r="368" ht="22.5" customHeight="1">
      <c r="A368" s="5" t="s">
        <v>1600</v>
      </c>
      <c r="B368" s="12">
        <v>5.555707053E9</v>
      </c>
      <c r="C368" s="5" t="s">
        <v>5160</v>
      </c>
      <c r="D368" s="9">
        <v>46135.0</v>
      </c>
      <c r="E368" s="9">
        <v>46157.0</v>
      </c>
    </row>
    <row r="369" ht="22.5" customHeight="1">
      <c r="A369" s="5" t="s">
        <v>1603</v>
      </c>
      <c r="B369" s="12">
        <v>2.288128757E9</v>
      </c>
      <c r="C369" s="5" t="s">
        <v>4039</v>
      </c>
      <c r="D369" s="9">
        <v>45831.0</v>
      </c>
      <c r="E369" s="11"/>
    </row>
    <row r="370" ht="22.5" customHeight="1">
      <c r="A370" s="5" t="s">
        <v>1606</v>
      </c>
      <c r="B370" s="12">
        <v>6.967068585E9</v>
      </c>
      <c r="C370" s="5" t="s">
        <v>4041</v>
      </c>
      <c r="D370" s="9">
        <v>45789.0</v>
      </c>
      <c r="E370" s="11"/>
    </row>
    <row r="371" ht="22.5" customHeight="1">
      <c r="A371" s="5" t="s">
        <v>1608</v>
      </c>
      <c r="B371" s="12">
        <v>8.415658244E9</v>
      </c>
      <c r="C371" s="5" t="s">
        <v>5161</v>
      </c>
      <c r="D371" s="9">
        <v>46023.0</v>
      </c>
      <c r="E371" s="11"/>
    </row>
    <row r="372" ht="22.5" customHeight="1">
      <c r="A372" s="5" t="s">
        <v>1611</v>
      </c>
      <c r="B372" s="12">
        <v>4.503439976E9</v>
      </c>
      <c r="C372" s="5" t="s">
        <v>5162</v>
      </c>
      <c r="D372" s="9">
        <v>46096.0</v>
      </c>
      <c r="E372" s="9">
        <v>46100.0</v>
      </c>
    </row>
    <row r="373" ht="22.5" customHeight="1">
      <c r="A373" s="5" t="s">
        <v>1614</v>
      </c>
      <c r="B373" s="12">
        <v>8.883223042E9</v>
      </c>
      <c r="C373" s="5" t="s">
        <v>5163</v>
      </c>
      <c r="D373" s="9">
        <v>46122.0</v>
      </c>
      <c r="E373" s="9">
        <v>46146.0</v>
      </c>
    </row>
    <row r="374" ht="22.5" customHeight="1">
      <c r="A374" s="5" t="s">
        <v>1616</v>
      </c>
      <c r="B374" s="12">
        <v>7.946302106E9</v>
      </c>
      <c r="C374" s="5" t="s">
        <v>4052</v>
      </c>
      <c r="D374" s="9">
        <v>45888.0</v>
      </c>
      <c r="E374" s="9">
        <v>45893.0</v>
      </c>
    </row>
    <row r="375" ht="22.5" customHeight="1">
      <c r="A375" s="5" t="s">
        <v>1619</v>
      </c>
      <c r="B375" s="12">
        <v>3.943712403E9</v>
      </c>
      <c r="C375" s="5" t="s">
        <v>5164</v>
      </c>
      <c r="D375" s="9">
        <v>46190.0</v>
      </c>
      <c r="E375" s="11"/>
    </row>
    <row r="376" ht="22.5" customHeight="1">
      <c r="A376" s="5" t="s">
        <v>1623</v>
      </c>
      <c r="B376" s="12">
        <v>4.668783212E9</v>
      </c>
      <c r="C376" s="5" t="s">
        <v>4056</v>
      </c>
      <c r="D376" s="9">
        <v>45851.0</v>
      </c>
      <c r="E376" s="9">
        <v>45860.0</v>
      </c>
    </row>
    <row r="377" ht="22.5" customHeight="1">
      <c r="A377" s="5" t="s">
        <v>1625</v>
      </c>
      <c r="B377" s="12">
        <v>6.042003305E9</v>
      </c>
      <c r="C377" s="5" t="s">
        <v>5165</v>
      </c>
      <c r="D377" s="9">
        <v>45821.0</v>
      </c>
      <c r="E377" s="9">
        <v>45850.0</v>
      </c>
    </row>
    <row r="378" ht="22.5" customHeight="1">
      <c r="A378" s="5" t="s">
        <v>1628</v>
      </c>
      <c r="B378" s="12">
        <v>6.565502736E9</v>
      </c>
      <c r="C378" s="5" t="s">
        <v>5166</v>
      </c>
      <c r="D378" s="9">
        <v>46175.0</v>
      </c>
      <c r="E378" s="9">
        <v>46195.0</v>
      </c>
    </row>
    <row r="379" ht="22.5" customHeight="1">
      <c r="A379" s="5" t="s">
        <v>1631</v>
      </c>
      <c r="B379" s="12">
        <v>9.193115738E9</v>
      </c>
      <c r="C379" s="5" t="s">
        <v>5167</v>
      </c>
      <c r="D379" s="9">
        <v>46120.0</v>
      </c>
      <c r="E379" s="9">
        <v>46125.0</v>
      </c>
    </row>
    <row r="380" ht="22.5" customHeight="1">
      <c r="A380" s="5" t="s">
        <v>1633</v>
      </c>
      <c r="B380" s="12">
        <v>4.26963866E9</v>
      </c>
      <c r="C380" s="5" t="s">
        <v>5168</v>
      </c>
      <c r="D380" s="9">
        <v>46143.0</v>
      </c>
      <c r="E380" s="11"/>
    </row>
    <row r="381" ht="22.5" customHeight="1">
      <c r="A381" s="5" t="s">
        <v>1636</v>
      </c>
      <c r="B381" s="12">
        <v>4.814909789E9</v>
      </c>
      <c r="C381" s="5" t="s">
        <v>4069</v>
      </c>
      <c r="D381" s="9">
        <v>45956.0</v>
      </c>
      <c r="E381" s="11"/>
    </row>
    <row r="382" ht="22.5" customHeight="1">
      <c r="A382" s="5" t="s">
        <v>1639</v>
      </c>
      <c r="B382" s="12">
        <v>7.894582688E9</v>
      </c>
      <c r="C382" s="5" t="s">
        <v>4071</v>
      </c>
      <c r="D382" s="9">
        <v>46015.0</v>
      </c>
      <c r="E382" s="9">
        <v>46028.0</v>
      </c>
    </row>
    <row r="383" ht="22.5" customHeight="1">
      <c r="A383" s="5" t="s">
        <v>1642</v>
      </c>
      <c r="B383" s="12">
        <v>3.277116602E9</v>
      </c>
      <c r="C383" s="5" t="s">
        <v>5169</v>
      </c>
      <c r="D383" s="9">
        <v>46165.0</v>
      </c>
      <c r="E383" s="9">
        <v>46190.0</v>
      </c>
    </row>
    <row r="384" ht="22.5" customHeight="1">
      <c r="A384" s="5" t="s">
        <v>1644</v>
      </c>
      <c r="B384" s="12">
        <v>7.27228574E9</v>
      </c>
      <c r="C384" s="5" t="s">
        <v>5170</v>
      </c>
      <c r="D384" s="9">
        <v>46208.0</v>
      </c>
      <c r="E384" s="11"/>
    </row>
    <row r="385" ht="22.5" customHeight="1">
      <c r="A385" s="5" t="s">
        <v>1647</v>
      </c>
      <c r="B385" s="13" t="s">
        <v>4964</v>
      </c>
      <c r="C385" s="5" t="s">
        <v>5171</v>
      </c>
      <c r="D385" s="9">
        <v>46044.0</v>
      </c>
      <c r="E385" s="11"/>
    </row>
    <row r="386" ht="22.5" customHeight="1">
      <c r="A386" s="5" t="s">
        <v>1649</v>
      </c>
      <c r="B386" s="12">
        <v>6.997901429E9</v>
      </c>
      <c r="C386" s="5" t="s">
        <v>5172</v>
      </c>
      <c r="D386" s="9">
        <v>45894.0</v>
      </c>
      <c r="E386" s="9">
        <v>45919.0</v>
      </c>
    </row>
    <row r="387" ht="22.5" customHeight="1">
      <c r="A387" s="5" t="s">
        <v>1652</v>
      </c>
      <c r="B387" s="12">
        <v>6.668804851E9</v>
      </c>
      <c r="C387" s="5" t="s">
        <v>5173</v>
      </c>
      <c r="D387" s="9">
        <v>45741.0</v>
      </c>
      <c r="E387" s="11"/>
    </row>
    <row r="388" ht="22.5" customHeight="1">
      <c r="A388" s="5" t="s">
        <v>1655</v>
      </c>
      <c r="B388" s="12">
        <v>7.566901138E9</v>
      </c>
      <c r="C388" s="5" t="s">
        <v>4083</v>
      </c>
      <c r="D388" s="9">
        <v>45828.0</v>
      </c>
      <c r="E388" s="9">
        <v>45838.0</v>
      </c>
    </row>
    <row r="389" ht="22.5" customHeight="1">
      <c r="A389" s="5" t="s">
        <v>1659</v>
      </c>
      <c r="B389" s="12">
        <v>2.586465088E9</v>
      </c>
      <c r="C389" s="5" t="s">
        <v>5174</v>
      </c>
      <c r="D389" s="9">
        <v>45913.0</v>
      </c>
      <c r="E389" s="11"/>
    </row>
    <row r="390" ht="22.5" customHeight="1">
      <c r="A390" s="5" t="s">
        <v>1661</v>
      </c>
      <c r="B390" s="12">
        <v>8.326915363E9</v>
      </c>
      <c r="C390" s="5" t="s">
        <v>5175</v>
      </c>
      <c r="D390" s="9">
        <v>45799.0</v>
      </c>
      <c r="E390" s="9">
        <v>45809.0</v>
      </c>
    </row>
    <row r="391" ht="22.5" customHeight="1">
      <c r="A391" s="5" t="s">
        <v>1664</v>
      </c>
      <c r="B391" s="12">
        <v>4.006524066E9</v>
      </c>
      <c r="C391" s="5" t="s">
        <v>5176</v>
      </c>
      <c r="D391" s="9">
        <v>45851.0</v>
      </c>
      <c r="E391" s="9">
        <v>45860.0</v>
      </c>
    </row>
    <row r="392" ht="22.5" customHeight="1">
      <c r="A392" s="5" t="s">
        <v>1668</v>
      </c>
      <c r="B392" s="12">
        <v>2.337105059E9</v>
      </c>
      <c r="C392" s="5" t="s">
        <v>5177</v>
      </c>
      <c r="D392" s="9">
        <v>45882.0</v>
      </c>
      <c r="E392" s="11"/>
    </row>
    <row r="393" ht="22.5" customHeight="1">
      <c r="A393" s="5" t="s">
        <v>1670</v>
      </c>
      <c r="B393" s="12">
        <v>2.705087654E9</v>
      </c>
      <c r="C393" s="5" t="s">
        <v>4095</v>
      </c>
      <c r="D393" s="9">
        <v>45807.0</v>
      </c>
      <c r="E393" s="9">
        <v>45835.0</v>
      </c>
    </row>
    <row r="394" ht="22.5" customHeight="1">
      <c r="A394" s="5" t="s">
        <v>1673</v>
      </c>
      <c r="B394" s="12">
        <v>4.572814968E9</v>
      </c>
      <c r="C394" s="5" t="s">
        <v>5178</v>
      </c>
      <c r="D394" s="9">
        <v>46078.0</v>
      </c>
      <c r="E394" s="9">
        <v>46082.0</v>
      </c>
    </row>
    <row r="395" ht="22.5" customHeight="1">
      <c r="A395" s="5" t="s">
        <v>1675</v>
      </c>
      <c r="B395" s="13" t="s">
        <v>4964</v>
      </c>
      <c r="C395" s="5" t="s">
        <v>4098</v>
      </c>
      <c r="D395" s="9">
        <v>46203.0</v>
      </c>
      <c r="E395" s="9">
        <v>46224.0</v>
      </c>
    </row>
    <row r="396" ht="22.5" customHeight="1">
      <c r="A396" s="5" t="s">
        <v>1679</v>
      </c>
      <c r="B396" s="12">
        <v>8.343507706E9</v>
      </c>
      <c r="C396" s="5" t="s">
        <v>5179</v>
      </c>
      <c r="D396" s="9">
        <v>45883.0</v>
      </c>
      <c r="E396" s="11"/>
    </row>
    <row r="397" ht="22.5" customHeight="1">
      <c r="A397" s="5" t="s">
        <v>1682</v>
      </c>
      <c r="B397" s="12">
        <v>2.247606737E9</v>
      </c>
      <c r="C397" s="5" t="s">
        <v>4102</v>
      </c>
      <c r="D397" s="9">
        <v>46109.0</v>
      </c>
      <c r="E397" s="11"/>
    </row>
    <row r="398" ht="22.5" customHeight="1">
      <c r="A398" s="5" t="s">
        <v>1685</v>
      </c>
      <c r="B398" s="12">
        <v>2.963398808E9</v>
      </c>
      <c r="C398" s="5" t="s">
        <v>5180</v>
      </c>
      <c r="D398" s="9">
        <v>45798.0</v>
      </c>
      <c r="E398" s="9">
        <v>45809.0</v>
      </c>
    </row>
    <row r="399" ht="22.5" customHeight="1">
      <c r="A399" s="5" t="s">
        <v>1688</v>
      </c>
      <c r="B399" s="12">
        <v>8.3569799E9</v>
      </c>
      <c r="C399" s="5" t="s">
        <v>5181</v>
      </c>
      <c r="D399" s="9">
        <v>46185.0</v>
      </c>
      <c r="E399" s="9">
        <v>46209.0</v>
      </c>
    </row>
    <row r="400" ht="22.5" customHeight="1">
      <c r="A400" s="5" t="s">
        <v>1691</v>
      </c>
      <c r="B400" s="12">
        <v>7.22360523E9</v>
      </c>
      <c r="C400" s="5" t="s">
        <v>4108</v>
      </c>
      <c r="D400" s="9">
        <v>45818.0</v>
      </c>
      <c r="E400" s="9">
        <v>45841.0</v>
      </c>
    </row>
    <row r="401" ht="22.5" customHeight="1">
      <c r="A401" s="5" t="s">
        <v>1694</v>
      </c>
      <c r="B401" s="12">
        <v>4.854683E9</v>
      </c>
      <c r="C401" s="5" t="s">
        <v>5182</v>
      </c>
      <c r="D401" s="9">
        <v>45797.0</v>
      </c>
      <c r="E401" s="9">
        <v>45809.0</v>
      </c>
    </row>
    <row r="402" ht="22.5" customHeight="1">
      <c r="A402" s="5" t="s">
        <v>1697</v>
      </c>
      <c r="B402" s="12">
        <v>7.902128732E9</v>
      </c>
      <c r="C402" s="5" t="s">
        <v>5183</v>
      </c>
      <c r="D402" s="9">
        <v>46208.0</v>
      </c>
      <c r="E402" s="9">
        <v>46235.0</v>
      </c>
    </row>
    <row r="403" ht="22.5" customHeight="1">
      <c r="A403" s="5" t="s">
        <v>1699</v>
      </c>
      <c r="B403" s="12">
        <v>7.382659278E9</v>
      </c>
      <c r="C403" s="10" t="s">
        <v>4964</v>
      </c>
      <c r="D403" s="9">
        <v>45789.0</v>
      </c>
      <c r="E403" s="11"/>
    </row>
    <row r="404" ht="22.5" customHeight="1">
      <c r="A404" s="5" t="s">
        <v>1703</v>
      </c>
      <c r="B404" s="12">
        <v>2.426941193E9</v>
      </c>
      <c r="C404" s="5" t="s">
        <v>4117</v>
      </c>
      <c r="D404" s="9">
        <v>45796.0</v>
      </c>
      <c r="E404" s="9">
        <v>45813.0</v>
      </c>
    </row>
    <row r="405" ht="22.5" customHeight="1">
      <c r="A405" s="5" t="s">
        <v>1706</v>
      </c>
      <c r="B405" s="12">
        <v>5.915969935E9</v>
      </c>
      <c r="C405" s="5" t="s">
        <v>5184</v>
      </c>
      <c r="D405" s="9">
        <v>45955.0</v>
      </c>
      <c r="E405" s="9">
        <v>45980.0</v>
      </c>
    </row>
    <row r="406" ht="22.5" customHeight="1">
      <c r="A406" s="5" t="s">
        <v>1709</v>
      </c>
      <c r="B406" s="12">
        <v>2.987968843E9</v>
      </c>
      <c r="C406" s="5" t="s">
        <v>4122</v>
      </c>
      <c r="D406" s="9">
        <v>46251.0</v>
      </c>
      <c r="E406" s="11"/>
    </row>
    <row r="407" ht="22.5" customHeight="1">
      <c r="A407" s="5" t="s">
        <v>1712</v>
      </c>
      <c r="B407" s="12">
        <v>8.684174258E9</v>
      </c>
      <c r="C407" s="5" t="s">
        <v>4124</v>
      </c>
      <c r="D407" s="9">
        <v>46079.0</v>
      </c>
      <c r="E407" s="11"/>
    </row>
    <row r="408" ht="22.5" customHeight="1">
      <c r="A408" s="5" t="s">
        <v>1715</v>
      </c>
      <c r="B408" s="12">
        <v>8.076107553E9</v>
      </c>
      <c r="C408" s="5" t="s">
        <v>4127</v>
      </c>
      <c r="D408" s="9">
        <v>46213.0</v>
      </c>
      <c r="E408" s="11"/>
    </row>
    <row r="409" ht="22.5" customHeight="1">
      <c r="A409" s="5" t="s">
        <v>1718</v>
      </c>
      <c r="B409" s="12">
        <v>6.945134661E9</v>
      </c>
      <c r="C409" s="5" t="s">
        <v>4129</v>
      </c>
      <c r="D409" s="9">
        <v>45731.0</v>
      </c>
      <c r="E409" s="11"/>
    </row>
    <row r="410" ht="22.5" customHeight="1">
      <c r="A410" s="5" t="s">
        <v>1721</v>
      </c>
      <c r="B410" s="12">
        <v>2.709822431E9</v>
      </c>
      <c r="C410" s="5" t="s">
        <v>5185</v>
      </c>
      <c r="D410" s="9">
        <v>45801.0</v>
      </c>
      <c r="E410" s="9">
        <v>45823.0</v>
      </c>
    </row>
    <row r="411" ht="22.5" customHeight="1">
      <c r="A411" s="5" t="s">
        <v>1723</v>
      </c>
      <c r="B411" s="12">
        <v>7.719623154E9</v>
      </c>
      <c r="C411" s="5" t="s">
        <v>5186</v>
      </c>
      <c r="D411" s="9">
        <v>46152.0</v>
      </c>
      <c r="E411" s="11"/>
    </row>
    <row r="412" ht="22.5" customHeight="1">
      <c r="A412" s="5" t="s">
        <v>1726</v>
      </c>
      <c r="B412" s="12">
        <v>4.905658828E9</v>
      </c>
      <c r="C412" s="5" t="s">
        <v>5187</v>
      </c>
      <c r="D412" s="9">
        <v>46171.0</v>
      </c>
      <c r="E412" s="9">
        <v>46200.0</v>
      </c>
    </row>
    <row r="413" ht="22.5" customHeight="1">
      <c r="A413" s="5" t="s">
        <v>1730</v>
      </c>
      <c r="B413" s="12">
        <v>7.618328167E9</v>
      </c>
      <c r="C413" s="5" t="s">
        <v>4138</v>
      </c>
      <c r="D413" s="9">
        <v>45849.0</v>
      </c>
      <c r="E413" s="11"/>
    </row>
    <row r="414" ht="22.5" customHeight="1">
      <c r="A414" s="5" t="s">
        <v>1732</v>
      </c>
      <c r="B414" s="12">
        <v>6.173064713E9</v>
      </c>
      <c r="C414" s="5" t="s">
        <v>5188</v>
      </c>
      <c r="D414" s="9">
        <v>46001.0</v>
      </c>
      <c r="E414" s="11"/>
    </row>
    <row r="415" ht="22.5" customHeight="1">
      <c r="A415" s="5" t="s">
        <v>1735</v>
      </c>
      <c r="B415" s="12">
        <v>6.06732376E9</v>
      </c>
      <c r="C415" s="5" t="s">
        <v>5189</v>
      </c>
      <c r="D415" s="9">
        <v>46207.0</v>
      </c>
      <c r="E415" s="9">
        <v>46216.0</v>
      </c>
    </row>
    <row r="416" ht="22.5" customHeight="1">
      <c r="A416" s="5" t="s">
        <v>1738</v>
      </c>
      <c r="B416" s="12">
        <v>6.395268762E9</v>
      </c>
      <c r="C416" s="5" t="s">
        <v>5190</v>
      </c>
      <c r="D416" s="9">
        <v>46089.0</v>
      </c>
      <c r="E416" s="9">
        <v>46092.0</v>
      </c>
    </row>
    <row r="417" ht="22.5" customHeight="1">
      <c r="A417" s="5" t="s">
        <v>1741</v>
      </c>
      <c r="B417" s="12">
        <v>2.988099466E9</v>
      </c>
      <c r="C417" s="5" t="s">
        <v>4149</v>
      </c>
      <c r="D417" s="11"/>
      <c r="E417" s="11"/>
    </row>
    <row r="418" ht="22.5" customHeight="1">
      <c r="A418" s="5" t="s">
        <v>1743</v>
      </c>
      <c r="B418" s="12">
        <v>5.592384406E9</v>
      </c>
      <c r="C418" s="5" t="s">
        <v>5191</v>
      </c>
      <c r="D418" s="9">
        <v>45941.0</v>
      </c>
      <c r="E418" s="9">
        <v>45952.0</v>
      </c>
    </row>
    <row r="419" ht="22.5" customHeight="1">
      <c r="A419" s="5" t="s">
        <v>1746</v>
      </c>
      <c r="B419" s="12">
        <v>3.29540439E9</v>
      </c>
      <c r="C419" s="5" t="s">
        <v>5192</v>
      </c>
      <c r="D419" s="9">
        <v>46071.0</v>
      </c>
      <c r="E419" s="9">
        <v>46087.0</v>
      </c>
    </row>
    <row r="420" ht="22.5" customHeight="1">
      <c r="A420" s="5" t="s">
        <v>1750</v>
      </c>
      <c r="B420" s="12">
        <v>5.025872456E9</v>
      </c>
      <c r="C420" s="5" t="s">
        <v>5193</v>
      </c>
      <c r="D420" s="9">
        <v>46057.0</v>
      </c>
      <c r="E420" s="11"/>
    </row>
    <row r="421" ht="22.5" customHeight="1">
      <c r="A421" s="5" t="s">
        <v>1752</v>
      </c>
      <c r="B421" s="12">
        <v>3.996044719E9</v>
      </c>
      <c r="C421" s="5" t="s">
        <v>4159</v>
      </c>
      <c r="D421" s="9">
        <v>45817.0</v>
      </c>
      <c r="E421" s="11"/>
    </row>
    <row r="422" ht="22.5" customHeight="1">
      <c r="A422" s="5" t="s">
        <v>1755</v>
      </c>
      <c r="B422" s="12">
        <v>6.337463918E9</v>
      </c>
      <c r="C422" s="5" t="s">
        <v>5194</v>
      </c>
      <c r="D422" s="9">
        <v>46096.0</v>
      </c>
      <c r="E422" s="9">
        <v>46124.0</v>
      </c>
    </row>
    <row r="423" ht="22.5" customHeight="1">
      <c r="A423" s="5" t="s">
        <v>1757</v>
      </c>
      <c r="B423" s="12">
        <v>2.823836614E9</v>
      </c>
      <c r="C423" s="5" t="s">
        <v>4163</v>
      </c>
      <c r="D423" s="9">
        <v>46012.0</v>
      </c>
      <c r="E423" s="11"/>
    </row>
    <row r="424" ht="22.5" customHeight="1">
      <c r="A424" s="5" t="s">
        <v>1759</v>
      </c>
      <c r="B424" s="12">
        <v>5.094036848E9</v>
      </c>
      <c r="C424" s="5" t="s">
        <v>5195</v>
      </c>
      <c r="D424" s="9">
        <v>46046.0</v>
      </c>
      <c r="E424" s="9">
        <v>46070.0</v>
      </c>
    </row>
    <row r="425" ht="22.5" customHeight="1">
      <c r="A425" s="5" t="s">
        <v>1761</v>
      </c>
      <c r="B425" s="12">
        <v>2.29769124E9</v>
      </c>
      <c r="C425" s="5" t="s">
        <v>5196</v>
      </c>
      <c r="D425" s="9">
        <v>45888.0</v>
      </c>
      <c r="E425" s="11"/>
    </row>
    <row r="426" ht="22.5" customHeight="1">
      <c r="A426" s="5" t="s">
        <v>1765</v>
      </c>
      <c r="B426" s="12">
        <v>4.442995003E9</v>
      </c>
      <c r="C426" s="5" t="s">
        <v>4170</v>
      </c>
      <c r="D426" s="9">
        <v>46226.0</v>
      </c>
      <c r="E426" s="11"/>
    </row>
    <row r="427" ht="22.5" customHeight="1">
      <c r="A427" s="5" t="s">
        <v>1767</v>
      </c>
      <c r="B427" s="12">
        <v>6.673468651E9</v>
      </c>
      <c r="C427" s="5" t="s">
        <v>4172</v>
      </c>
      <c r="D427" s="9">
        <v>46061.0</v>
      </c>
      <c r="E427" s="9">
        <v>46062.0</v>
      </c>
    </row>
    <row r="428" ht="22.5" customHeight="1">
      <c r="A428" s="5" t="s">
        <v>1770</v>
      </c>
      <c r="B428" s="12">
        <v>5.523032054E9</v>
      </c>
      <c r="C428" s="5" t="s">
        <v>5060</v>
      </c>
      <c r="D428" s="9">
        <v>45904.0</v>
      </c>
      <c r="E428" s="9">
        <v>45905.0</v>
      </c>
    </row>
    <row r="429" ht="22.5" customHeight="1">
      <c r="A429" s="5" t="s">
        <v>1772</v>
      </c>
      <c r="B429" s="12">
        <v>6.084662658E9</v>
      </c>
      <c r="C429" s="5" t="s">
        <v>4176</v>
      </c>
      <c r="D429" s="9">
        <v>46236.0</v>
      </c>
      <c r="E429" s="9">
        <v>46248.0</v>
      </c>
    </row>
    <row r="430" ht="22.5" customHeight="1">
      <c r="A430" s="5" t="s">
        <v>1774</v>
      </c>
      <c r="B430" s="12">
        <v>2.729715597E9</v>
      </c>
      <c r="C430" s="10" t="s">
        <v>4964</v>
      </c>
      <c r="D430" s="9">
        <v>46058.0</v>
      </c>
      <c r="E430" s="11"/>
    </row>
    <row r="431" ht="22.5" customHeight="1">
      <c r="A431" s="5" t="s">
        <v>1777</v>
      </c>
      <c r="B431" s="12">
        <v>9.379818095E9</v>
      </c>
      <c r="C431" s="5" t="s">
        <v>4179</v>
      </c>
      <c r="D431" s="9">
        <v>45845.0</v>
      </c>
      <c r="E431" s="9">
        <v>45856.0</v>
      </c>
    </row>
    <row r="432" ht="22.5" customHeight="1">
      <c r="A432" s="5" t="s">
        <v>1780</v>
      </c>
      <c r="B432" s="12">
        <v>3.956443851E9</v>
      </c>
      <c r="C432" s="5" t="s">
        <v>4182</v>
      </c>
      <c r="D432" s="9">
        <v>46043.0</v>
      </c>
      <c r="E432" s="9">
        <v>46054.0</v>
      </c>
    </row>
    <row r="433" ht="22.5" customHeight="1">
      <c r="A433" s="5" t="s">
        <v>1781</v>
      </c>
      <c r="B433" s="13" t="s">
        <v>4964</v>
      </c>
      <c r="C433" s="5" t="s">
        <v>5197</v>
      </c>
      <c r="D433" s="11"/>
      <c r="E433" s="11"/>
    </row>
    <row r="434" ht="22.5" customHeight="1">
      <c r="A434" s="5" t="s">
        <v>1785</v>
      </c>
      <c r="B434" s="12">
        <v>4.955203274E9</v>
      </c>
      <c r="C434" s="5" t="s">
        <v>4185</v>
      </c>
      <c r="D434" s="9">
        <v>45907.0</v>
      </c>
      <c r="E434" s="9">
        <v>45932.0</v>
      </c>
    </row>
    <row r="435" ht="22.5" customHeight="1">
      <c r="A435" s="5" t="s">
        <v>1787</v>
      </c>
      <c r="B435" s="13" t="s">
        <v>4964</v>
      </c>
      <c r="C435" s="5" t="s">
        <v>4187</v>
      </c>
      <c r="D435" s="9">
        <v>45776.0</v>
      </c>
      <c r="E435" s="11"/>
    </row>
    <row r="436" ht="22.5" customHeight="1">
      <c r="A436" s="5" t="s">
        <v>1791</v>
      </c>
      <c r="B436" s="12">
        <v>4.039479329E9</v>
      </c>
      <c r="C436" s="10" t="s">
        <v>4964</v>
      </c>
      <c r="D436" s="9">
        <v>46174.0</v>
      </c>
      <c r="E436" s="11"/>
    </row>
    <row r="437" ht="22.5" customHeight="1">
      <c r="A437" s="5" t="s">
        <v>1794</v>
      </c>
      <c r="B437" s="13" t="s">
        <v>4964</v>
      </c>
      <c r="C437" s="5" t="s">
        <v>5198</v>
      </c>
      <c r="D437" s="9">
        <v>46109.0</v>
      </c>
      <c r="E437" s="9">
        <v>46116.0</v>
      </c>
    </row>
    <row r="438" ht="22.5" customHeight="1">
      <c r="A438" s="5" t="s">
        <v>1796</v>
      </c>
      <c r="B438" s="12">
        <v>9.826128404E9</v>
      </c>
      <c r="C438" s="5" t="s">
        <v>5199</v>
      </c>
      <c r="D438" s="9">
        <v>45720.0</v>
      </c>
      <c r="E438" s="11"/>
    </row>
    <row r="439" ht="22.5" customHeight="1">
      <c r="A439" s="5" t="s">
        <v>1799</v>
      </c>
      <c r="B439" s="12">
        <v>4.188456543E9</v>
      </c>
      <c r="C439" s="5" t="s">
        <v>4194</v>
      </c>
      <c r="D439" s="9">
        <v>46153.0</v>
      </c>
      <c r="E439" s="9">
        <v>46164.0</v>
      </c>
    </row>
    <row r="440" ht="22.5" customHeight="1">
      <c r="A440" s="5" t="s">
        <v>1801</v>
      </c>
      <c r="B440" s="12">
        <v>6.783039712E9</v>
      </c>
      <c r="C440" s="5" t="s">
        <v>4196</v>
      </c>
      <c r="D440" s="9">
        <v>45961.0</v>
      </c>
      <c r="E440" s="9">
        <v>45971.0</v>
      </c>
    </row>
    <row r="441" ht="22.5" customHeight="1">
      <c r="A441" s="5" t="s">
        <v>1803</v>
      </c>
      <c r="B441" s="12">
        <v>7.736588901E9</v>
      </c>
      <c r="C441" s="5" t="s">
        <v>5200</v>
      </c>
      <c r="D441" s="9">
        <v>46163.0</v>
      </c>
      <c r="E441" s="9">
        <v>46175.0</v>
      </c>
    </row>
    <row r="442" ht="22.5" customHeight="1">
      <c r="A442" s="5" t="s">
        <v>1805</v>
      </c>
      <c r="B442" s="12">
        <v>9.05943763E9</v>
      </c>
      <c r="C442" s="5" t="s">
        <v>5201</v>
      </c>
      <c r="D442" s="11"/>
      <c r="E442" s="11"/>
    </row>
    <row r="443" ht="22.5" customHeight="1">
      <c r="A443" s="5" t="s">
        <v>1808</v>
      </c>
      <c r="B443" s="12">
        <v>6.676695314E9</v>
      </c>
      <c r="C443" s="5" t="s">
        <v>5202</v>
      </c>
      <c r="D443" s="9">
        <v>46196.0</v>
      </c>
      <c r="E443" s="9">
        <v>46210.0</v>
      </c>
    </row>
    <row r="444" ht="22.5" customHeight="1">
      <c r="A444" s="5" t="s">
        <v>1812</v>
      </c>
      <c r="B444" s="13" t="s">
        <v>4964</v>
      </c>
      <c r="C444" s="5" t="s">
        <v>4204</v>
      </c>
      <c r="D444" s="9">
        <v>46014.0</v>
      </c>
      <c r="E444" s="9">
        <v>46014.0</v>
      </c>
    </row>
    <row r="445" ht="22.5" customHeight="1">
      <c r="A445" s="5" t="s">
        <v>1814</v>
      </c>
      <c r="B445" s="12">
        <v>4.458216165E9</v>
      </c>
      <c r="C445" s="5" t="s">
        <v>5203</v>
      </c>
      <c r="D445" s="9">
        <v>45930.0</v>
      </c>
      <c r="E445" s="11"/>
    </row>
    <row r="446" ht="22.5" customHeight="1">
      <c r="A446" s="5" t="s">
        <v>1817</v>
      </c>
      <c r="B446" s="12">
        <v>2.438962736E9</v>
      </c>
      <c r="C446" s="5" t="s">
        <v>5204</v>
      </c>
      <c r="D446" s="9">
        <v>45793.0</v>
      </c>
      <c r="E446" s="11"/>
    </row>
    <row r="447" ht="22.5" customHeight="1">
      <c r="A447" s="5" t="s">
        <v>1819</v>
      </c>
      <c r="B447" s="12">
        <v>8.789651702E9</v>
      </c>
      <c r="C447" s="5" t="s">
        <v>4210</v>
      </c>
      <c r="D447" s="11"/>
      <c r="E447" s="11"/>
    </row>
    <row r="448" ht="22.5" customHeight="1">
      <c r="A448" s="5" t="s">
        <v>1822</v>
      </c>
      <c r="B448" s="12">
        <v>6.729699579E9</v>
      </c>
      <c r="C448" s="5" t="s">
        <v>4212</v>
      </c>
      <c r="D448" s="9">
        <v>45969.0</v>
      </c>
      <c r="E448" s="9">
        <v>45971.0</v>
      </c>
    </row>
    <row r="449" ht="22.5" customHeight="1">
      <c r="A449" s="5" t="s">
        <v>1825</v>
      </c>
      <c r="B449" s="12">
        <v>2.51436213E9</v>
      </c>
      <c r="C449" s="5" t="s">
        <v>4214</v>
      </c>
      <c r="D449" s="9">
        <v>45884.0</v>
      </c>
      <c r="E449" s="9">
        <v>45913.0</v>
      </c>
    </row>
    <row r="450" ht="22.5" customHeight="1">
      <c r="A450" s="5" t="s">
        <v>1828</v>
      </c>
      <c r="B450" s="12">
        <v>3.024046612E9</v>
      </c>
      <c r="C450" s="5" t="s">
        <v>5205</v>
      </c>
      <c r="D450" s="9">
        <v>45902.0</v>
      </c>
      <c r="E450" s="9">
        <v>45928.0</v>
      </c>
    </row>
    <row r="451" ht="22.5" customHeight="1">
      <c r="A451" s="5" t="s">
        <v>1831</v>
      </c>
      <c r="B451" s="13" t="s">
        <v>4964</v>
      </c>
      <c r="C451" s="5" t="s">
        <v>4218</v>
      </c>
      <c r="D451" s="9">
        <v>46126.0</v>
      </c>
      <c r="E451" s="9">
        <v>46129.0</v>
      </c>
    </row>
    <row r="452" ht="22.5" customHeight="1">
      <c r="A452" s="5" t="s">
        <v>1833</v>
      </c>
      <c r="B452" s="12">
        <v>8.792033354E9</v>
      </c>
      <c r="C452" s="5" t="s">
        <v>4221</v>
      </c>
      <c r="D452" s="9">
        <v>46086.0</v>
      </c>
      <c r="E452" s="11"/>
    </row>
    <row r="453" ht="22.5" customHeight="1">
      <c r="A453" s="5" t="s">
        <v>1834</v>
      </c>
      <c r="B453" s="12">
        <v>7.533573361E9</v>
      </c>
      <c r="C453" s="5" t="s">
        <v>4223</v>
      </c>
      <c r="D453" s="9">
        <v>45947.0</v>
      </c>
      <c r="E453" s="9">
        <v>45965.0</v>
      </c>
    </row>
    <row r="454" ht="22.5" customHeight="1">
      <c r="A454" s="5" t="s">
        <v>1838</v>
      </c>
      <c r="B454" s="12">
        <v>5.446308099E9</v>
      </c>
      <c r="C454" s="10" t="s">
        <v>4964</v>
      </c>
      <c r="D454" s="9">
        <v>46008.0</v>
      </c>
      <c r="E454" s="9">
        <v>46019.0</v>
      </c>
    </row>
    <row r="455" ht="22.5" customHeight="1">
      <c r="A455" s="5" t="s">
        <v>1840</v>
      </c>
      <c r="B455" s="12">
        <v>3.677671876E9</v>
      </c>
      <c r="C455" s="5" t="s">
        <v>4227</v>
      </c>
      <c r="D455" s="9">
        <v>45757.0</v>
      </c>
      <c r="E455" s="9">
        <v>45775.0</v>
      </c>
    </row>
    <row r="456" ht="22.5" customHeight="1">
      <c r="A456" s="5" t="s">
        <v>1843</v>
      </c>
      <c r="B456" s="12">
        <v>6.495238537E9</v>
      </c>
      <c r="C456" s="5" t="s">
        <v>4229</v>
      </c>
      <c r="D456" s="9">
        <v>45788.0</v>
      </c>
      <c r="E456" s="9">
        <v>45803.0</v>
      </c>
    </row>
    <row r="457" ht="22.5" customHeight="1">
      <c r="A457" s="5" t="s">
        <v>1846</v>
      </c>
      <c r="B457" s="13" t="s">
        <v>4964</v>
      </c>
      <c r="C457" s="5" t="s">
        <v>5206</v>
      </c>
      <c r="D457" s="9">
        <v>45943.0</v>
      </c>
      <c r="E457" s="9">
        <v>45960.0</v>
      </c>
    </row>
    <row r="458" ht="22.5" customHeight="1">
      <c r="A458" s="5" t="s">
        <v>1848</v>
      </c>
      <c r="B458" s="12">
        <v>3.397235906E9</v>
      </c>
      <c r="C458" s="5" t="s">
        <v>4235</v>
      </c>
      <c r="D458" s="9">
        <v>45880.0</v>
      </c>
      <c r="E458" s="11"/>
    </row>
    <row r="459" ht="22.5" customHeight="1">
      <c r="A459" s="5" t="s">
        <v>1851</v>
      </c>
      <c r="B459" s="12">
        <v>3.187222505E9</v>
      </c>
      <c r="C459" s="5" t="s">
        <v>5207</v>
      </c>
      <c r="D459" s="11"/>
      <c r="E459" s="11"/>
    </row>
    <row r="460" ht="22.5" customHeight="1">
      <c r="A460" s="5" t="s">
        <v>1852</v>
      </c>
      <c r="B460" s="12">
        <v>5.037302394E9</v>
      </c>
      <c r="C460" s="5" t="s">
        <v>5208</v>
      </c>
      <c r="D460" s="9">
        <v>46113.0</v>
      </c>
      <c r="E460" s="11"/>
    </row>
    <row r="461" ht="22.5" customHeight="1">
      <c r="A461" s="5" t="s">
        <v>1855</v>
      </c>
      <c r="B461" s="12">
        <v>2.062854656E9</v>
      </c>
      <c r="C461" s="5" t="s">
        <v>4242</v>
      </c>
      <c r="D461" s="9">
        <v>45734.0</v>
      </c>
      <c r="E461" s="9">
        <v>45755.0</v>
      </c>
    </row>
    <row r="462" ht="22.5" customHeight="1">
      <c r="A462" s="5" t="s">
        <v>1858</v>
      </c>
      <c r="B462" s="12">
        <v>5.782743226E9</v>
      </c>
      <c r="C462" s="5" t="s">
        <v>5209</v>
      </c>
      <c r="D462" s="9">
        <v>45923.0</v>
      </c>
      <c r="E462" s="11"/>
    </row>
    <row r="463" ht="22.5" customHeight="1">
      <c r="A463" s="5" t="s">
        <v>1861</v>
      </c>
      <c r="B463" s="12">
        <v>2.056414523E9</v>
      </c>
      <c r="C463" s="5" t="s">
        <v>4246</v>
      </c>
      <c r="D463" s="9">
        <v>46017.0</v>
      </c>
      <c r="E463" s="11"/>
    </row>
    <row r="464" ht="22.5" customHeight="1">
      <c r="A464" s="5" t="s">
        <v>1864</v>
      </c>
      <c r="B464" s="13" t="s">
        <v>4964</v>
      </c>
      <c r="C464" s="5" t="s">
        <v>4247</v>
      </c>
      <c r="D464" s="9">
        <v>46169.0</v>
      </c>
      <c r="E464" s="9">
        <v>46187.0</v>
      </c>
    </row>
    <row r="465" ht="22.5" customHeight="1">
      <c r="A465" s="5" t="s">
        <v>1866</v>
      </c>
      <c r="B465" s="12">
        <v>6.577635842E9</v>
      </c>
      <c r="C465" s="5" t="s">
        <v>4250</v>
      </c>
      <c r="D465" s="9">
        <v>46081.0</v>
      </c>
      <c r="E465" s="9">
        <v>46103.0</v>
      </c>
    </row>
    <row r="466" ht="22.5" customHeight="1">
      <c r="A466" s="5" t="s">
        <v>1869</v>
      </c>
      <c r="B466" s="12">
        <v>8.61253639E9</v>
      </c>
      <c r="C466" s="5" t="s">
        <v>3229</v>
      </c>
      <c r="D466" s="9">
        <v>45764.0</v>
      </c>
      <c r="E466" s="11"/>
    </row>
    <row r="467" ht="22.5" customHeight="1">
      <c r="A467" s="5" t="s">
        <v>1870</v>
      </c>
      <c r="B467" s="12">
        <v>5.135727358E9</v>
      </c>
      <c r="C467" s="5" t="s">
        <v>5210</v>
      </c>
      <c r="D467" s="9">
        <v>45865.0</v>
      </c>
      <c r="E467" s="9">
        <v>45886.0</v>
      </c>
    </row>
    <row r="468" ht="22.5" customHeight="1">
      <c r="A468" s="5" t="s">
        <v>1874</v>
      </c>
      <c r="B468" s="12">
        <v>8.758296593E9</v>
      </c>
      <c r="C468" s="5" t="s">
        <v>4255</v>
      </c>
      <c r="D468" s="9">
        <v>46182.0</v>
      </c>
      <c r="E468" s="9">
        <v>46202.0</v>
      </c>
    </row>
    <row r="469" ht="22.5" customHeight="1">
      <c r="A469" s="5" t="s">
        <v>1878</v>
      </c>
      <c r="B469" s="12">
        <v>8.472498699E9</v>
      </c>
      <c r="C469" s="5" t="s">
        <v>5211</v>
      </c>
      <c r="D469" s="9">
        <v>46183.0</v>
      </c>
      <c r="E469" s="9">
        <v>46201.0</v>
      </c>
    </row>
    <row r="470" ht="22.5" customHeight="1">
      <c r="A470" s="5" t="s">
        <v>1880</v>
      </c>
      <c r="B470" s="12">
        <v>4.049822037E9</v>
      </c>
      <c r="C470" s="5" t="s">
        <v>5212</v>
      </c>
      <c r="D470" s="11"/>
      <c r="E470" s="11"/>
    </row>
    <row r="471" ht="22.5" customHeight="1">
      <c r="A471" s="5" t="s">
        <v>1882</v>
      </c>
      <c r="B471" s="12">
        <v>9.18252532E9</v>
      </c>
      <c r="C471" s="5" t="s">
        <v>4262</v>
      </c>
      <c r="D471" s="9">
        <v>45981.0</v>
      </c>
      <c r="E471" s="11"/>
    </row>
    <row r="472" ht="22.5" customHeight="1">
      <c r="A472" s="5" t="s">
        <v>1884</v>
      </c>
      <c r="B472" s="12">
        <v>3.167466086E9</v>
      </c>
      <c r="C472" s="5" t="s">
        <v>5213</v>
      </c>
      <c r="D472" s="9">
        <v>45970.0</v>
      </c>
      <c r="E472" s="9">
        <v>45975.0</v>
      </c>
    </row>
    <row r="473" ht="22.5" customHeight="1">
      <c r="A473" s="5" t="s">
        <v>1887</v>
      </c>
      <c r="B473" s="12">
        <v>7.01261748E9</v>
      </c>
      <c r="C473" s="5" t="s">
        <v>5214</v>
      </c>
      <c r="D473" s="9">
        <v>46107.0</v>
      </c>
      <c r="E473" s="9">
        <v>46128.0</v>
      </c>
    </row>
    <row r="474" ht="22.5" customHeight="1">
      <c r="A474" s="5" t="s">
        <v>1889</v>
      </c>
      <c r="B474" s="12">
        <v>7.657257784E9</v>
      </c>
      <c r="C474" s="5" t="s">
        <v>4270</v>
      </c>
      <c r="D474" s="9">
        <v>45920.0</v>
      </c>
      <c r="E474" s="9">
        <v>45932.0</v>
      </c>
    </row>
    <row r="475" ht="22.5" customHeight="1">
      <c r="A475" s="5" t="s">
        <v>1892</v>
      </c>
      <c r="B475" s="12">
        <v>7.315262322E9</v>
      </c>
      <c r="C475" s="5" t="s">
        <v>4273</v>
      </c>
      <c r="D475" s="9">
        <v>46169.0</v>
      </c>
      <c r="E475" s="11"/>
    </row>
    <row r="476" ht="22.5" customHeight="1">
      <c r="A476" s="5" t="s">
        <v>1895</v>
      </c>
      <c r="B476" s="12">
        <v>9.388619239E9</v>
      </c>
      <c r="C476" s="5" t="s">
        <v>5215</v>
      </c>
      <c r="D476" s="9">
        <v>45909.0</v>
      </c>
      <c r="E476" s="11"/>
    </row>
    <row r="477" ht="22.5" customHeight="1">
      <c r="A477" s="5" t="s">
        <v>1897</v>
      </c>
      <c r="B477" s="12">
        <v>5.804419155E9</v>
      </c>
      <c r="C477" s="5" t="s">
        <v>5124</v>
      </c>
      <c r="D477" s="9">
        <v>45824.0</v>
      </c>
      <c r="E477" s="9">
        <v>45847.0</v>
      </c>
    </row>
    <row r="478" ht="22.5" customHeight="1">
      <c r="A478" s="5" t="s">
        <v>1900</v>
      </c>
      <c r="B478" s="12">
        <v>3.575904859E9</v>
      </c>
      <c r="C478" s="5" t="s">
        <v>5216</v>
      </c>
      <c r="D478" s="11"/>
      <c r="E478" s="11"/>
    </row>
    <row r="479" ht="22.5" customHeight="1">
      <c r="A479" s="5" t="s">
        <v>1902</v>
      </c>
      <c r="B479" s="12">
        <v>4.127541582E9</v>
      </c>
      <c r="C479" s="5" t="s">
        <v>5217</v>
      </c>
      <c r="D479" s="9">
        <v>45971.0</v>
      </c>
      <c r="E479" s="9">
        <v>45979.0</v>
      </c>
    </row>
    <row r="480" ht="22.5" customHeight="1">
      <c r="A480" s="5" t="s">
        <v>1905</v>
      </c>
      <c r="B480" s="12">
        <v>3.669785505E9</v>
      </c>
      <c r="C480" s="5" t="s">
        <v>5218</v>
      </c>
      <c r="D480" s="9">
        <v>46081.0</v>
      </c>
      <c r="E480" s="11"/>
    </row>
    <row r="481" ht="22.5" customHeight="1">
      <c r="A481" s="5" t="s">
        <v>1906</v>
      </c>
      <c r="B481" s="13" t="s">
        <v>4964</v>
      </c>
      <c r="C481" s="5" t="s">
        <v>5219</v>
      </c>
      <c r="D481" s="9">
        <v>46181.0</v>
      </c>
      <c r="E481" s="9">
        <v>46195.0</v>
      </c>
    </row>
    <row r="482" ht="22.5" customHeight="1">
      <c r="A482" s="5" t="s">
        <v>1908</v>
      </c>
      <c r="B482" s="12">
        <v>3.474606563E9</v>
      </c>
      <c r="C482" s="5" t="s">
        <v>3703</v>
      </c>
      <c r="D482" s="9">
        <v>45751.0</v>
      </c>
      <c r="E482" s="11"/>
    </row>
    <row r="483" ht="22.5" customHeight="1">
      <c r="A483" s="5" t="s">
        <v>1911</v>
      </c>
      <c r="B483" s="12">
        <v>6.805628543E9</v>
      </c>
      <c r="C483" s="5" t="s">
        <v>5220</v>
      </c>
      <c r="D483" s="9">
        <v>46107.0</v>
      </c>
      <c r="E483" s="9">
        <v>46128.0</v>
      </c>
    </row>
    <row r="484" ht="22.5" customHeight="1">
      <c r="A484" s="5" t="s">
        <v>1913</v>
      </c>
      <c r="B484" s="12">
        <v>6.154802761E9</v>
      </c>
      <c r="C484" s="5" t="s">
        <v>5221</v>
      </c>
      <c r="D484" s="9">
        <v>46124.0</v>
      </c>
      <c r="E484" s="11"/>
    </row>
    <row r="485" ht="22.5" customHeight="1">
      <c r="A485" s="5" t="s">
        <v>1915</v>
      </c>
      <c r="B485" s="12">
        <v>6.677613029E9</v>
      </c>
      <c r="C485" s="5" t="s">
        <v>5222</v>
      </c>
      <c r="D485" s="9">
        <v>46231.0</v>
      </c>
      <c r="E485" s="11"/>
    </row>
    <row r="486" ht="22.5" customHeight="1">
      <c r="A486" s="5" t="s">
        <v>1919</v>
      </c>
      <c r="B486" s="12">
        <v>7.445916626E9</v>
      </c>
      <c r="C486" s="5" t="s">
        <v>3145</v>
      </c>
      <c r="D486" s="9">
        <v>45930.0</v>
      </c>
      <c r="E486" s="9">
        <v>45946.0</v>
      </c>
    </row>
    <row r="487" ht="22.5" customHeight="1">
      <c r="A487" s="5" t="s">
        <v>1921</v>
      </c>
      <c r="B487" s="12">
        <v>2.393047736E9</v>
      </c>
      <c r="C487" s="5" t="s">
        <v>4297</v>
      </c>
      <c r="D487" s="9">
        <v>45809.0</v>
      </c>
      <c r="E487" s="9">
        <v>45838.0</v>
      </c>
    </row>
    <row r="488" ht="22.5" customHeight="1">
      <c r="A488" s="5" t="s">
        <v>1924</v>
      </c>
      <c r="B488" s="12">
        <v>8.347351169E9</v>
      </c>
      <c r="C488" s="5" t="s">
        <v>5045</v>
      </c>
      <c r="D488" s="9">
        <v>45902.0</v>
      </c>
      <c r="E488" s="9">
        <v>45925.0</v>
      </c>
    </row>
    <row r="489" ht="22.5" customHeight="1">
      <c r="A489" s="5" t="s">
        <v>1925</v>
      </c>
      <c r="B489" s="12">
        <v>7.974953063E9</v>
      </c>
      <c r="C489" s="5" t="s">
        <v>5223</v>
      </c>
      <c r="D489" s="9">
        <v>45785.0</v>
      </c>
      <c r="E489" s="11"/>
    </row>
    <row r="490" ht="22.5" customHeight="1">
      <c r="A490" s="5" t="s">
        <v>1928</v>
      </c>
      <c r="B490" s="12">
        <v>8.29729239E9</v>
      </c>
      <c r="C490" s="5" t="s">
        <v>5224</v>
      </c>
      <c r="D490" s="9">
        <v>46241.0</v>
      </c>
      <c r="E490" s="9">
        <v>46253.0</v>
      </c>
    </row>
    <row r="491" ht="22.5" customHeight="1">
      <c r="A491" s="5" t="s">
        <v>1931</v>
      </c>
      <c r="B491" s="12">
        <v>7.17232989E9</v>
      </c>
      <c r="C491" s="5" t="s">
        <v>5225</v>
      </c>
      <c r="D491" s="9">
        <v>45954.0</v>
      </c>
      <c r="E491" s="11"/>
    </row>
    <row r="492" ht="22.5" customHeight="1">
      <c r="A492" s="5" t="s">
        <v>1933</v>
      </c>
      <c r="B492" s="12">
        <v>2.878053956E9</v>
      </c>
      <c r="C492" s="10" t="s">
        <v>4964</v>
      </c>
      <c r="D492" s="9">
        <v>46009.0</v>
      </c>
      <c r="E492" s="9">
        <v>46020.0</v>
      </c>
    </row>
    <row r="493" ht="22.5" customHeight="1">
      <c r="A493" s="5" t="s">
        <v>1935</v>
      </c>
      <c r="B493" s="12">
        <v>4.91255372E9</v>
      </c>
      <c r="C493" s="5" t="s">
        <v>5226</v>
      </c>
      <c r="D493" s="9">
        <v>45938.0</v>
      </c>
      <c r="E493" s="9">
        <v>45945.0</v>
      </c>
    </row>
    <row r="494" ht="22.5" customHeight="1">
      <c r="A494" s="5" t="s">
        <v>1938</v>
      </c>
      <c r="B494" s="12">
        <v>9.078651774E9</v>
      </c>
      <c r="C494" s="5" t="s">
        <v>4310</v>
      </c>
      <c r="D494" s="9">
        <v>45993.0</v>
      </c>
      <c r="E494" s="9">
        <v>46010.0</v>
      </c>
    </row>
    <row r="495" ht="22.5" customHeight="1">
      <c r="A495" s="5" t="s">
        <v>1942</v>
      </c>
      <c r="B495" s="12">
        <v>5.178136635E9</v>
      </c>
      <c r="C495" s="5" t="s">
        <v>5227</v>
      </c>
      <c r="D495" s="9">
        <v>45835.0</v>
      </c>
      <c r="E495" s="11"/>
    </row>
    <row r="496" ht="22.5" customHeight="1">
      <c r="A496" s="5" t="s">
        <v>1943</v>
      </c>
      <c r="B496" s="12">
        <v>6.479393053E9</v>
      </c>
      <c r="C496" s="5" t="s">
        <v>4314</v>
      </c>
      <c r="D496" s="9">
        <v>45853.0</v>
      </c>
      <c r="E496" s="9">
        <v>45864.0</v>
      </c>
    </row>
    <row r="497" ht="22.5" customHeight="1">
      <c r="A497" s="5" t="s">
        <v>1947</v>
      </c>
      <c r="B497" s="12">
        <v>6.016441848E9</v>
      </c>
      <c r="C497" s="5" t="s">
        <v>4318</v>
      </c>
      <c r="D497" s="9">
        <v>46153.0</v>
      </c>
      <c r="E497" s="11"/>
    </row>
    <row r="498" ht="22.5" customHeight="1">
      <c r="A498" s="5" t="s">
        <v>1950</v>
      </c>
      <c r="B498" s="12">
        <v>4.904492797E9</v>
      </c>
      <c r="C498" s="5" t="s">
        <v>5228</v>
      </c>
      <c r="D498" s="9">
        <v>45951.0</v>
      </c>
      <c r="E498" s="11"/>
    </row>
    <row r="499" ht="22.5" customHeight="1">
      <c r="A499" s="5" t="s">
        <v>1954</v>
      </c>
      <c r="B499" s="12">
        <v>6.10476631E9</v>
      </c>
      <c r="C499" s="5" t="s">
        <v>5229</v>
      </c>
      <c r="D499" s="9">
        <v>45984.0</v>
      </c>
      <c r="E499" s="11"/>
    </row>
    <row r="500" ht="22.5" customHeight="1">
      <c r="A500" s="5" t="s">
        <v>1957</v>
      </c>
      <c r="B500" s="12">
        <v>7.474604232E9</v>
      </c>
      <c r="C500" s="5" t="s">
        <v>5230</v>
      </c>
      <c r="D500" s="9">
        <v>46104.0</v>
      </c>
      <c r="E500" s="9">
        <v>46119.0</v>
      </c>
    </row>
    <row r="501" ht="22.5" customHeight="1">
      <c r="A501" s="5" t="s">
        <v>1959</v>
      </c>
      <c r="B501" s="12">
        <v>9.877873781E9</v>
      </c>
      <c r="C501" s="5" t="s">
        <v>5231</v>
      </c>
      <c r="D501" s="9">
        <v>46007.0</v>
      </c>
      <c r="E501" s="9">
        <v>46014.0</v>
      </c>
    </row>
    <row r="502" ht="22.5" customHeight="1">
      <c r="A502" s="5" t="s">
        <v>1962</v>
      </c>
      <c r="B502" s="12">
        <v>2.475952221E9</v>
      </c>
      <c r="C502" s="5" t="s">
        <v>5232</v>
      </c>
      <c r="D502" s="9">
        <v>45843.0</v>
      </c>
      <c r="E502" s="9">
        <v>45848.0</v>
      </c>
    </row>
    <row r="503" ht="22.5" customHeight="1">
      <c r="A503" s="5" t="s">
        <v>1964</v>
      </c>
      <c r="B503" s="12">
        <v>9.525585202E9</v>
      </c>
      <c r="C503" s="10" t="s">
        <v>4964</v>
      </c>
      <c r="D503" s="9">
        <v>46213.0</v>
      </c>
      <c r="E503" s="11"/>
    </row>
    <row r="504" ht="22.5" customHeight="1">
      <c r="A504" s="5" t="s">
        <v>1966</v>
      </c>
      <c r="B504" s="12">
        <v>3.762937461E9</v>
      </c>
      <c r="C504" s="5" t="s">
        <v>4333</v>
      </c>
      <c r="D504" s="9">
        <v>45965.0</v>
      </c>
      <c r="E504" s="9">
        <v>45972.0</v>
      </c>
    </row>
    <row r="505" ht="22.5" customHeight="1">
      <c r="A505" s="5" t="s">
        <v>1968</v>
      </c>
      <c r="B505" s="12">
        <v>5.065469669E9</v>
      </c>
      <c r="C505" s="5" t="s">
        <v>4318</v>
      </c>
      <c r="D505" s="9">
        <v>45711.0</v>
      </c>
      <c r="E505" s="9">
        <v>45712.0</v>
      </c>
    </row>
    <row r="506" ht="22.5" customHeight="1">
      <c r="A506" s="5" t="s">
        <v>1971</v>
      </c>
      <c r="B506" s="12">
        <v>8.935998197E9</v>
      </c>
      <c r="C506" s="5" t="s">
        <v>4336</v>
      </c>
      <c r="D506" s="9">
        <v>46026.0</v>
      </c>
      <c r="E506" s="9">
        <v>46039.0</v>
      </c>
    </row>
    <row r="507" ht="22.5" customHeight="1">
      <c r="A507" s="5" t="s">
        <v>1973</v>
      </c>
      <c r="B507" s="12">
        <v>4.783368225E9</v>
      </c>
      <c r="C507" s="10" t="s">
        <v>4964</v>
      </c>
      <c r="D507" s="9">
        <v>45782.0</v>
      </c>
      <c r="E507" s="11"/>
    </row>
    <row r="508" ht="22.5" customHeight="1">
      <c r="A508" s="5" t="s">
        <v>1977</v>
      </c>
      <c r="B508" s="12">
        <v>8.748555394E9</v>
      </c>
      <c r="C508" s="5" t="s">
        <v>5233</v>
      </c>
      <c r="D508" s="9">
        <v>45976.0</v>
      </c>
      <c r="E508" s="9">
        <v>46005.0</v>
      </c>
    </row>
    <row r="509" ht="22.5" customHeight="1">
      <c r="A509" s="5" t="s">
        <v>1979</v>
      </c>
      <c r="B509" s="12">
        <v>6.369522699E9</v>
      </c>
      <c r="C509" s="5" t="s">
        <v>4993</v>
      </c>
      <c r="D509" s="9">
        <v>45889.0</v>
      </c>
      <c r="E509" s="9">
        <v>45908.0</v>
      </c>
    </row>
    <row r="510" ht="22.5" customHeight="1">
      <c r="A510" s="5" t="s">
        <v>1982</v>
      </c>
      <c r="B510" s="12">
        <v>7.1578547E9</v>
      </c>
      <c r="C510" s="5" t="s">
        <v>4344</v>
      </c>
      <c r="D510" s="9">
        <v>46061.0</v>
      </c>
      <c r="E510" s="9">
        <v>46075.0</v>
      </c>
    </row>
    <row r="511" ht="22.5" customHeight="1">
      <c r="A511" s="5" t="s">
        <v>1984</v>
      </c>
      <c r="B511" s="12">
        <v>4.274215201E9</v>
      </c>
      <c r="C511" s="5" t="s">
        <v>4346</v>
      </c>
      <c r="D511" s="9">
        <v>45945.0</v>
      </c>
      <c r="E511" s="9">
        <v>45966.0</v>
      </c>
    </row>
    <row r="512" ht="22.5" customHeight="1">
      <c r="A512" s="5" t="s">
        <v>1987</v>
      </c>
      <c r="B512" s="12">
        <v>5.866529051E9</v>
      </c>
      <c r="C512" s="10" t="s">
        <v>4964</v>
      </c>
      <c r="D512" s="9">
        <v>46204.0</v>
      </c>
      <c r="E512" s="11"/>
    </row>
    <row r="513" ht="22.5" customHeight="1">
      <c r="A513" s="5" t="s">
        <v>1990</v>
      </c>
      <c r="B513" s="12">
        <v>6.264397134E9</v>
      </c>
      <c r="C513" s="5" t="s">
        <v>4349</v>
      </c>
      <c r="D513" s="9">
        <v>45900.0</v>
      </c>
      <c r="E513" s="11"/>
    </row>
    <row r="514" ht="22.5" customHeight="1">
      <c r="A514" s="5" t="s">
        <v>1994</v>
      </c>
      <c r="B514" s="12">
        <v>6.788408335E9</v>
      </c>
      <c r="C514" s="5" t="s">
        <v>4351</v>
      </c>
      <c r="D514" s="9">
        <v>45726.0</v>
      </c>
      <c r="E514" s="11"/>
    </row>
    <row r="515" ht="22.5" customHeight="1">
      <c r="A515" s="5" t="s">
        <v>1997</v>
      </c>
      <c r="B515" s="12">
        <v>3.169945737E9</v>
      </c>
      <c r="C515" s="5" t="s">
        <v>4353</v>
      </c>
      <c r="D515" s="9">
        <v>46085.0</v>
      </c>
      <c r="E515" s="11"/>
    </row>
    <row r="516" ht="22.5" customHeight="1">
      <c r="A516" s="5" t="s">
        <v>1999</v>
      </c>
      <c r="B516" s="12">
        <v>4.326656518E9</v>
      </c>
      <c r="C516" s="5" t="s">
        <v>4355</v>
      </c>
      <c r="D516" s="11"/>
      <c r="E516" s="11"/>
    </row>
    <row r="517" ht="22.5" customHeight="1">
      <c r="A517" s="5" t="s">
        <v>2001</v>
      </c>
      <c r="B517" s="12">
        <v>3.139463007E9</v>
      </c>
      <c r="C517" s="5" t="s">
        <v>4357</v>
      </c>
      <c r="D517" s="9">
        <v>46057.0</v>
      </c>
      <c r="E517" s="11"/>
    </row>
    <row r="518" ht="22.5" customHeight="1">
      <c r="A518" s="5" t="s">
        <v>2003</v>
      </c>
      <c r="B518" s="12">
        <v>4.942077585E9</v>
      </c>
      <c r="C518" s="5" t="s">
        <v>5234</v>
      </c>
      <c r="D518" s="9">
        <v>45950.0</v>
      </c>
      <c r="E518" s="9">
        <v>45965.0</v>
      </c>
    </row>
    <row r="519" ht="22.5" customHeight="1">
      <c r="A519" s="5" t="s">
        <v>2006</v>
      </c>
      <c r="B519" s="12">
        <v>6.507654777E9</v>
      </c>
      <c r="C519" s="5" t="s">
        <v>4117</v>
      </c>
      <c r="D519" s="9">
        <v>45726.0</v>
      </c>
      <c r="E519" s="11"/>
    </row>
    <row r="520" ht="22.5" customHeight="1">
      <c r="A520" s="5" t="s">
        <v>2010</v>
      </c>
      <c r="B520" s="12">
        <v>6.158484963E9</v>
      </c>
      <c r="C520" s="5" t="s">
        <v>5235</v>
      </c>
      <c r="D520" s="9">
        <v>46116.0</v>
      </c>
      <c r="E520" s="9">
        <v>46118.0</v>
      </c>
    </row>
    <row r="521" ht="22.5" customHeight="1">
      <c r="A521" s="5" t="s">
        <v>2012</v>
      </c>
      <c r="B521" s="12">
        <v>2.177451272E9</v>
      </c>
      <c r="C521" s="5" t="s">
        <v>4364</v>
      </c>
      <c r="D521" s="9">
        <v>45731.0</v>
      </c>
      <c r="E521" s="11"/>
    </row>
    <row r="522" ht="22.5" customHeight="1">
      <c r="A522" s="5" t="s">
        <v>2016</v>
      </c>
      <c r="B522" s="12">
        <v>6.288478474E9</v>
      </c>
      <c r="C522" s="5" t="s">
        <v>4366</v>
      </c>
      <c r="D522" s="9">
        <v>45712.0</v>
      </c>
      <c r="E522" s="9">
        <v>45721.0</v>
      </c>
    </row>
    <row r="523" ht="22.5" customHeight="1">
      <c r="A523" s="5" t="s">
        <v>2018</v>
      </c>
      <c r="B523" s="12">
        <v>3.554776214E9</v>
      </c>
      <c r="C523" s="5" t="s">
        <v>4368</v>
      </c>
      <c r="D523" s="9">
        <v>46219.0</v>
      </c>
      <c r="E523" s="9">
        <v>46221.0</v>
      </c>
    </row>
    <row r="524" ht="22.5" customHeight="1">
      <c r="A524" s="5" t="s">
        <v>2021</v>
      </c>
      <c r="B524" s="12">
        <v>3.294175807E9</v>
      </c>
      <c r="C524" s="5" t="s">
        <v>4370</v>
      </c>
      <c r="D524" s="9">
        <v>45927.0</v>
      </c>
      <c r="E524" s="11"/>
    </row>
    <row r="525" ht="22.5" customHeight="1">
      <c r="A525" s="5" t="s">
        <v>2023</v>
      </c>
      <c r="B525" s="12">
        <v>7.032599674E9</v>
      </c>
      <c r="C525" s="5" t="s">
        <v>5236</v>
      </c>
      <c r="D525" s="9">
        <v>45732.0</v>
      </c>
      <c r="E525" s="9">
        <v>45739.0</v>
      </c>
    </row>
    <row r="526" ht="22.5" customHeight="1">
      <c r="A526" s="5" t="s">
        <v>2025</v>
      </c>
      <c r="B526" s="12">
        <v>6.506994563E9</v>
      </c>
      <c r="C526" s="5" t="s">
        <v>5237</v>
      </c>
      <c r="D526" s="9">
        <v>46151.0</v>
      </c>
      <c r="E526" s="9">
        <v>46164.0</v>
      </c>
    </row>
    <row r="527" ht="22.5" customHeight="1">
      <c r="A527" s="5" t="s">
        <v>2028</v>
      </c>
      <c r="B527" s="12">
        <v>9.657568795E9</v>
      </c>
      <c r="C527" s="5" t="s">
        <v>5238</v>
      </c>
      <c r="D527" s="9">
        <v>45987.0</v>
      </c>
      <c r="E527" s="9">
        <v>46014.0</v>
      </c>
    </row>
    <row r="528" ht="22.5" customHeight="1">
      <c r="A528" s="5" t="s">
        <v>2029</v>
      </c>
      <c r="B528" s="12">
        <v>2.68751467E9</v>
      </c>
      <c r="C528" s="5" t="s">
        <v>5239</v>
      </c>
      <c r="D528" s="9">
        <v>45717.0</v>
      </c>
      <c r="E528" s="9">
        <v>45717.0</v>
      </c>
    </row>
    <row r="529" ht="22.5" customHeight="1">
      <c r="A529" s="5" t="s">
        <v>2030</v>
      </c>
      <c r="B529" s="12">
        <v>2.156012268E9</v>
      </c>
      <c r="C529" s="5" t="s">
        <v>5240</v>
      </c>
      <c r="D529" s="9">
        <v>45719.0</v>
      </c>
      <c r="E529" s="9">
        <v>45737.0</v>
      </c>
    </row>
    <row r="530" ht="22.5" customHeight="1">
      <c r="A530" s="5" t="s">
        <v>2033</v>
      </c>
      <c r="B530" s="12">
        <v>6.27505249E9</v>
      </c>
      <c r="C530" s="5" t="s">
        <v>5241</v>
      </c>
      <c r="D530" s="9">
        <v>45994.0</v>
      </c>
      <c r="E530" s="11"/>
    </row>
    <row r="531" ht="22.5" customHeight="1">
      <c r="A531" s="5" t="s">
        <v>2036</v>
      </c>
      <c r="B531" s="12">
        <v>4.002327614E9</v>
      </c>
      <c r="C531" s="5" t="s">
        <v>5242</v>
      </c>
      <c r="D531" s="9">
        <v>46067.0</v>
      </c>
      <c r="E531" s="9">
        <v>46088.0</v>
      </c>
    </row>
    <row r="532" ht="22.5" customHeight="1">
      <c r="A532" s="5" t="s">
        <v>2038</v>
      </c>
      <c r="B532" s="12">
        <v>4.326689245E9</v>
      </c>
      <c r="C532" s="5" t="s">
        <v>5243</v>
      </c>
      <c r="D532" s="9">
        <v>45711.0</v>
      </c>
      <c r="E532" s="9">
        <v>45715.0</v>
      </c>
    </row>
    <row r="533" ht="22.5" customHeight="1">
      <c r="A533" s="5" t="s">
        <v>2041</v>
      </c>
      <c r="B533" s="12">
        <v>6.724456395E9</v>
      </c>
      <c r="C533" s="5" t="s">
        <v>5244</v>
      </c>
      <c r="D533" s="9">
        <v>45795.0</v>
      </c>
      <c r="E533" s="11"/>
    </row>
    <row r="534" ht="22.5" customHeight="1">
      <c r="A534" s="5" t="s">
        <v>2044</v>
      </c>
      <c r="B534" s="12">
        <v>9.682535562E9</v>
      </c>
      <c r="C534" s="5" t="s">
        <v>5245</v>
      </c>
      <c r="D534" s="9">
        <v>46049.0</v>
      </c>
      <c r="E534" s="9">
        <v>46070.0</v>
      </c>
    </row>
    <row r="535" ht="22.5" customHeight="1">
      <c r="A535" s="5" t="s">
        <v>2046</v>
      </c>
      <c r="B535" s="12">
        <v>8.158614079E9</v>
      </c>
      <c r="C535" s="5" t="s">
        <v>5246</v>
      </c>
      <c r="D535" s="9">
        <v>46149.0</v>
      </c>
      <c r="E535" s="11"/>
    </row>
    <row r="536" ht="22.5" customHeight="1">
      <c r="A536" s="5" t="s">
        <v>2048</v>
      </c>
      <c r="B536" s="12">
        <v>8.455299116E9</v>
      </c>
      <c r="C536" s="5" t="s">
        <v>5247</v>
      </c>
      <c r="D536" s="9">
        <v>45926.0</v>
      </c>
      <c r="E536" s="9">
        <v>45931.0</v>
      </c>
    </row>
    <row r="537" ht="22.5" customHeight="1">
      <c r="A537" s="5" t="s">
        <v>2052</v>
      </c>
      <c r="B537" s="12">
        <v>9.027484666E9</v>
      </c>
      <c r="C537" s="5" t="s">
        <v>5248</v>
      </c>
      <c r="D537" s="9">
        <v>45980.0</v>
      </c>
      <c r="E537" s="11"/>
    </row>
    <row r="538" ht="22.5" customHeight="1">
      <c r="A538" s="5" t="s">
        <v>2055</v>
      </c>
      <c r="B538" s="13" t="s">
        <v>4964</v>
      </c>
      <c r="C538" s="5" t="s">
        <v>4401</v>
      </c>
      <c r="D538" s="9">
        <v>46067.0</v>
      </c>
      <c r="E538" s="11"/>
    </row>
    <row r="539" ht="22.5" customHeight="1">
      <c r="A539" s="5" t="s">
        <v>2057</v>
      </c>
      <c r="B539" s="12">
        <v>3.237394879E9</v>
      </c>
      <c r="C539" s="5" t="s">
        <v>5249</v>
      </c>
      <c r="D539" s="9">
        <v>46207.0</v>
      </c>
      <c r="E539" s="11"/>
    </row>
    <row r="540" ht="22.5" customHeight="1">
      <c r="A540" s="5" t="s">
        <v>2060</v>
      </c>
      <c r="B540" s="13" t="s">
        <v>4964</v>
      </c>
      <c r="C540" s="5" t="s">
        <v>4404</v>
      </c>
      <c r="D540" s="9">
        <v>45873.0</v>
      </c>
      <c r="E540" s="11"/>
    </row>
    <row r="541" ht="22.5" customHeight="1">
      <c r="A541" s="5" t="s">
        <v>2063</v>
      </c>
      <c r="B541" s="12">
        <v>2.996439052E9</v>
      </c>
      <c r="C541" s="5" t="s">
        <v>5250</v>
      </c>
      <c r="D541" s="9">
        <v>46217.0</v>
      </c>
      <c r="E541" s="9">
        <v>46242.0</v>
      </c>
    </row>
    <row r="542" ht="22.5" customHeight="1">
      <c r="A542" s="5" t="s">
        <v>2071</v>
      </c>
      <c r="B542" s="12">
        <v>4.777903526E9</v>
      </c>
      <c r="C542" s="5" t="s">
        <v>4408</v>
      </c>
      <c r="D542" s="9">
        <v>45804.0</v>
      </c>
      <c r="E542" s="11"/>
    </row>
    <row r="543" ht="22.5" customHeight="1">
      <c r="A543" s="5" t="s">
        <v>2076</v>
      </c>
      <c r="B543" s="12">
        <v>7.715073163E9</v>
      </c>
      <c r="C543" s="5" t="s">
        <v>4410</v>
      </c>
      <c r="D543" s="9">
        <v>46013.0</v>
      </c>
      <c r="E543" s="9">
        <v>46042.0</v>
      </c>
    </row>
    <row r="544" ht="22.5" customHeight="1">
      <c r="A544" s="5" t="s">
        <v>2081</v>
      </c>
      <c r="B544" s="12">
        <v>9.629321332E9</v>
      </c>
      <c r="C544" s="5" t="s">
        <v>5251</v>
      </c>
      <c r="D544" s="9">
        <v>46172.0</v>
      </c>
      <c r="E544" s="11"/>
    </row>
    <row r="545" ht="22.5" customHeight="1">
      <c r="A545" s="5" t="s">
        <v>2085</v>
      </c>
      <c r="B545" s="12">
        <v>7.862831604E9</v>
      </c>
      <c r="C545" s="10" t="s">
        <v>4964</v>
      </c>
      <c r="D545" s="9">
        <v>45839.0</v>
      </c>
      <c r="E545" s="9">
        <v>45858.0</v>
      </c>
    </row>
    <row r="546" ht="22.5" customHeight="1">
      <c r="A546" s="5" t="s">
        <v>2089</v>
      </c>
      <c r="B546" s="12">
        <v>2.909161518E9</v>
      </c>
      <c r="C546" s="5" t="s">
        <v>4417</v>
      </c>
      <c r="D546" s="9">
        <v>46227.0</v>
      </c>
      <c r="E546" s="11"/>
    </row>
    <row r="547" ht="22.5" customHeight="1">
      <c r="A547" s="5" t="s">
        <v>2093</v>
      </c>
      <c r="B547" s="12">
        <v>8.599688956E9</v>
      </c>
      <c r="C547" s="5" t="s">
        <v>4420</v>
      </c>
      <c r="D547" s="9">
        <v>46230.0</v>
      </c>
      <c r="E547" s="9">
        <v>46259.0</v>
      </c>
    </row>
    <row r="548" ht="22.5" customHeight="1">
      <c r="A548" s="5" t="s">
        <v>2098</v>
      </c>
      <c r="B548" s="12">
        <v>5.719732928E9</v>
      </c>
      <c r="C548" s="5" t="s">
        <v>4423</v>
      </c>
      <c r="D548" s="9">
        <v>46011.0</v>
      </c>
      <c r="E548" s="9">
        <v>46039.0</v>
      </c>
    </row>
    <row r="549" ht="22.5" customHeight="1">
      <c r="A549" s="5" t="s">
        <v>2102</v>
      </c>
      <c r="B549" s="12">
        <v>2.866458145E9</v>
      </c>
      <c r="C549" s="5" t="s">
        <v>5252</v>
      </c>
      <c r="D549" s="9">
        <v>46263.0</v>
      </c>
      <c r="E549" s="11"/>
    </row>
    <row r="550" ht="22.5" customHeight="1">
      <c r="A550" s="5" t="s">
        <v>2107</v>
      </c>
      <c r="B550" s="12">
        <v>8.455855975E9</v>
      </c>
      <c r="C550" s="5" t="s">
        <v>5253</v>
      </c>
      <c r="D550" s="9">
        <v>46189.0</v>
      </c>
      <c r="E550" s="9">
        <v>46207.0</v>
      </c>
    </row>
    <row r="551" ht="22.5" customHeight="1">
      <c r="A551" s="5" t="s">
        <v>2111</v>
      </c>
      <c r="B551" s="12">
        <v>9.016444659E9</v>
      </c>
      <c r="C551" s="5" t="s">
        <v>5254</v>
      </c>
      <c r="D551" s="9">
        <v>45939.0</v>
      </c>
      <c r="E551" s="11"/>
    </row>
    <row r="552" ht="22.5" customHeight="1">
      <c r="A552" s="5" t="s">
        <v>2116</v>
      </c>
      <c r="B552" s="12">
        <v>4.407412407E9</v>
      </c>
      <c r="C552" s="5" t="s">
        <v>5255</v>
      </c>
      <c r="D552" s="9">
        <v>45871.0</v>
      </c>
      <c r="E552" s="9">
        <v>45878.0</v>
      </c>
    </row>
    <row r="553" ht="22.5" customHeight="1">
      <c r="A553" s="5" t="s">
        <v>2118</v>
      </c>
      <c r="B553" s="12">
        <v>5.367389206E9</v>
      </c>
      <c r="C553" s="5" t="s">
        <v>5256</v>
      </c>
      <c r="D553" s="9">
        <v>46160.0</v>
      </c>
      <c r="E553" s="9">
        <v>46169.0</v>
      </c>
    </row>
    <row r="554" ht="22.5" customHeight="1">
      <c r="A554" s="5" t="s">
        <v>2122</v>
      </c>
      <c r="B554" s="12">
        <v>9.892586022E9</v>
      </c>
      <c r="C554" s="5" t="s">
        <v>5257</v>
      </c>
      <c r="D554" s="9">
        <v>46230.0</v>
      </c>
      <c r="E554" s="11"/>
    </row>
    <row r="555" ht="22.5" customHeight="1">
      <c r="A555" s="5" t="s">
        <v>2125</v>
      </c>
      <c r="B555" s="12">
        <v>2.63347765E9</v>
      </c>
      <c r="C555" s="5" t="s">
        <v>4440</v>
      </c>
      <c r="D555" s="9">
        <v>45726.0</v>
      </c>
      <c r="E555" s="11"/>
    </row>
    <row r="556" ht="22.5" customHeight="1">
      <c r="A556" s="5" t="s">
        <v>2128</v>
      </c>
      <c r="B556" s="12">
        <v>6.365935394E9</v>
      </c>
      <c r="C556" s="5" t="s">
        <v>5258</v>
      </c>
      <c r="D556" s="9">
        <v>46125.0</v>
      </c>
      <c r="E556" s="9">
        <v>46149.0</v>
      </c>
    </row>
    <row r="557" ht="22.5" customHeight="1">
      <c r="A557" s="5" t="s">
        <v>2132</v>
      </c>
      <c r="B557" s="12">
        <v>9.108887603E9</v>
      </c>
      <c r="C557" s="5" t="s">
        <v>4444</v>
      </c>
      <c r="D557" s="9">
        <v>45924.0</v>
      </c>
      <c r="E557" s="11"/>
    </row>
    <row r="558" ht="22.5" customHeight="1">
      <c r="A558" s="5" t="s">
        <v>2138</v>
      </c>
      <c r="B558" s="12">
        <v>5.497294774E9</v>
      </c>
      <c r="C558" s="5" t="s">
        <v>5259</v>
      </c>
      <c r="D558" s="9">
        <v>45863.0</v>
      </c>
      <c r="E558" s="9">
        <v>45886.0</v>
      </c>
    </row>
    <row r="559" ht="22.5" customHeight="1">
      <c r="A559" s="5" t="s">
        <v>2141</v>
      </c>
      <c r="B559" s="12">
        <v>4.21949114E9</v>
      </c>
      <c r="C559" s="5" t="s">
        <v>5260</v>
      </c>
      <c r="D559" s="9">
        <v>45972.0</v>
      </c>
      <c r="E559" s="9">
        <v>45989.0</v>
      </c>
    </row>
    <row r="560" ht="22.5" customHeight="1">
      <c r="A560" s="5" t="s">
        <v>2143</v>
      </c>
      <c r="B560" s="12">
        <v>4.344283017E9</v>
      </c>
      <c r="C560" s="10" t="s">
        <v>4964</v>
      </c>
      <c r="D560" s="9">
        <v>46144.0</v>
      </c>
      <c r="E560" s="9">
        <v>46169.0</v>
      </c>
    </row>
    <row r="561" ht="22.5" customHeight="1">
      <c r="A561" s="5" t="s">
        <v>2147</v>
      </c>
      <c r="B561" s="12">
        <v>9.355256014E9</v>
      </c>
      <c r="C561" s="5" t="s">
        <v>5261</v>
      </c>
      <c r="D561" s="9">
        <v>45900.0</v>
      </c>
      <c r="E561" s="9">
        <v>45926.0</v>
      </c>
    </row>
    <row r="562" ht="22.5" customHeight="1">
      <c r="A562" s="5" t="s">
        <v>2152</v>
      </c>
      <c r="B562" s="12">
        <v>6.118073448E9</v>
      </c>
      <c r="C562" s="5" t="s">
        <v>5262</v>
      </c>
      <c r="D562" s="9">
        <v>45809.0</v>
      </c>
      <c r="E562" s="11"/>
    </row>
    <row r="563" ht="22.5" customHeight="1">
      <c r="A563" s="5" t="s">
        <v>2157</v>
      </c>
      <c r="B563" s="12">
        <v>7.499071088E9</v>
      </c>
      <c r="C563" s="5" t="s">
        <v>5263</v>
      </c>
      <c r="D563" s="9">
        <v>45939.0</v>
      </c>
      <c r="E563" s="9">
        <v>45955.0</v>
      </c>
    </row>
    <row r="564" ht="22.5" customHeight="1">
      <c r="A564" s="5" t="s">
        <v>2158</v>
      </c>
      <c r="B564" s="12">
        <v>5.105845059E9</v>
      </c>
      <c r="C564" s="5" t="s">
        <v>5264</v>
      </c>
      <c r="D564" s="9">
        <v>45738.0</v>
      </c>
      <c r="E564" s="9">
        <v>45767.0</v>
      </c>
    </row>
    <row r="565" ht="22.5" customHeight="1">
      <c r="A565" s="5" t="s">
        <v>2161</v>
      </c>
      <c r="B565" s="12">
        <v>7.595808759E9</v>
      </c>
      <c r="C565" s="5" t="s">
        <v>5265</v>
      </c>
      <c r="D565" s="9">
        <v>45915.0</v>
      </c>
      <c r="E565" s="9">
        <v>45941.0</v>
      </c>
    </row>
    <row r="566" ht="22.5" customHeight="1">
      <c r="A566" s="5" t="s">
        <v>2165</v>
      </c>
      <c r="B566" s="13" t="s">
        <v>4964</v>
      </c>
      <c r="C566" s="5" t="s">
        <v>5266</v>
      </c>
      <c r="D566" s="11"/>
      <c r="E566" s="11"/>
    </row>
    <row r="567" ht="22.5" customHeight="1">
      <c r="A567" s="5" t="s">
        <v>2170</v>
      </c>
      <c r="B567" s="12">
        <v>7.827072981E9</v>
      </c>
      <c r="C567" s="5" t="s">
        <v>5267</v>
      </c>
      <c r="D567" s="9">
        <v>45880.0</v>
      </c>
      <c r="E567" s="11"/>
    </row>
    <row r="568" ht="22.5" customHeight="1">
      <c r="A568" s="5" t="s">
        <v>2172</v>
      </c>
      <c r="B568" s="12">
        <v>9.47890452E9</v>
      </c>
      <c r="C568" s="5" t="s">
        <v>5268</v>
      </c>
      <c r="D568" s="9">
        <v>45981.0</v>
      </c>
      <c r="E568" s="9">
        <v>46006.0</v>
      </c>
    </row>
    <row r="569" ht="22.5" customHeight="1">
      <c r="A569" s="5" t="s">
        <v>2174</v>
      </c>
      <c r="B569" s="12">
        <v>4.368669488E9</v>
      </c>
      <c r="C569" s="5" t="s">
        <v>5269</v>
      </c>
      <c r="D569" s="9">
        <v>46095.0</v>
      </c>
      <c r="E569" s="11"/>
    </row>
    <row r="570" ht="22.5" customHeight="1">
      <c r="A570" s="5" t="s">
        <v>2177</v>
      </c>
      <c r="B570" s="12">
        <v>3.948519906E9</v>
      </c>
      <c r="C570" s="5" t="s">
        <v>5270</v>
      </c>
      <c r="D570" s="9">
        <v>45871.0</v>
      </c>
      <c r="E570" s="11"/>
    </row>
    <row r="571" ht="22.5" customHeight="1">
      <c r="A571" s="5" t="s">
        <v>2181</v>
      </c>
      <c r="B571" s="12">
        <v>9.026026952E9</v>
      </c>
      <c r="C571" s="5" t="s">
        <v>4473</v>
      </c>
      <c r="D571" s="9">
        <v>46214.0</v>
      </c>
      <c r="E571" s="9">
        <v>46228.0</v>
      </c>
    </row>
    <row r="572" ht="22.5" customHeight="1">
      <c r="A572" s="5" t="s">
        <v>2185</v>
      </c>
      <c r="B572" s="12">
        <v>7.888568983E9</v>
      </c>
      <c r="C572" s="5" t="s">
        <v>4476</v>
      </c>
      <c r="D572" s="9">
        <v>46166.0</v>
      </c>
      <c r="E572" s="9">
        <v>46177.0</v>
      </c>
    </row>
    <row r="573" ht="22.5" customHeight="1">
      <c r="A573" s="5" t="s">
        <v>2190</v>
      </c>
      <c r="B573" s="12">
        <v>2.952112248E9</v>
      </c>
      <c r="C573" s="5" t="s">
        <v>5271</v>
      </c>
      <c r="D573" s="9">
        <v>46086.0</v>
      </c>
      <c r="E573" s="9">
        <v>46100.0</v>
      </c>
    </row>
    <row r="574" ht="22.5" customHeight="1">
      <c r="A574" s="5" t="s">
        <v>2192</v>
      </c>
      <c r="B574" s="12">
        <v>5.033646367E9</v>
      </c>
      <c r="C574" s="5" t="s">
        <v>5272</v>
      </c>
      <c r="D574" s="9">
        <v>46198.0</v>
      </c>
      <c r="E574" s="11"/>
    </row>
    <row r="575" ht="22.5" customHeight="1">
      <c r="A575" s="5" t="s">
        <v>2196</v>
      </c>
      <c r="B575" s="12">
        <v>6.126504954E9</v>
      </c>
      <c r="C575" s="10" t="s">
        <v>4964</v>
      </c>
      <c r="D575" s="9">
        <v>45864.0</v>
      </c>
      <c r="E575" s="9">
        <v>45885.0</v>
      </c>
    </row>
    <row r="576" ht="22.5" customHeight="1">
      <c r="A576" s="5" t="s">
        <v>2201</v>
      </c>
      <c r="B576" s="12">
        <v>8.166517778E9</v>
      </c>
      <c r="C576" s="5" t="s">
        <v>5273</v>
      </c>
      <c r="D576" s="9">
        <v>46039.0</v>
      </c>
      <c r="E576" s="11"/>
    </row>
    <row r="577" ht="22.5" customHeight="1">
      <c r="A577" s="5" t="s">
        <v>2205</v>
      </c>
      <c r="B577" s="12">
        <v>2.695728995E9</v>
      </c>
      <c r="C577" s="5" t="s">
        <v>5274</v>
      </c>
      <c r="D577" s="9">
        <v>46055.0</v>
      </c>
      <c r="E577" s="9">
        <v>46081.0</v>
      </c>
    </row>
    <row r="578" ht="22.5" customHeight="1">
      <c r="A578" s="5" t="s">
        <v>2209</v>
      </c>
      <c r="B578" s="12">
        <v>7.075213628E9</v>
      </c>
      <c r="C578" s="5" t="s">
        <v>4488</v>
      </c>
      <c r="D578" s="9">
        <v>45741.0</v>
      </c>
      <c r="E578" s="9">
        <v>45756.0</v>
      </c>
    </row>
    <row r="579" ht="22.5" customHeight="1">
      <c r="A579" s="5" t="s">
        <v>2212</v>
      </c>
      <c r="B579" s="12">
        <v>3.948993919E9</v>
      </c>
      <c r="C579" s="5" t="s">
        <v>4490</v>
      </c>
      <c r="D579" s="9">
        <v>45818.0</v>
      </c>
      <c r="E579" s="9">
        <v>45840.0</v>
      </c>
    </row>
    <row r="580" ht="22.5" customHeight="1">
      <c r="A580" s="5" t="s">
        <v>2216</v>
      </c>
      <c r="B580" s="13" t="s">
        <v>4964</v>
      </c>
      <c r="C580" s="5" t="s">
        <v>5275</v>
      </c>
      <c r="D580" s="9">
        <v>45824.0</v>
      </c>
      <c r="E580" s="9">
        <v>45852.0</v>
      </c>
    </row>
    <row r="581" ht="22.5" customHeight="1">
      <c r="A581" s="5" t="s">
        <v>2220</v>
      </c>
      <c r="B581" s="12">
        <v>8.487809933E9</v>
      </c>
      <c r="C581" s="5" t="s">
        <v>5276</v>
      </c>
      <c r="D581" s="9">
        <v>46100.0</v>
      </c>
      <c r="E581" s="9">
        <v>46126.0</v>
      </c>
    </row>
    <row r="582" ht="22.5" customHeight="1">
      <c r="A582" s="5" t="s">
        <v>2224</v>
      </c>
      <c r="B582" s="12">
        <v>3.797081111E9</v>
      </c>
      <c r="C582" s="5" t="s">
        <v>5277</v>
      </c>
      <c r="D582" s="9">
        <v>46029.0</v>
      </c>
      <c r="E582" s="11"/>
    </row>
    <row r="583" ht="22.5" customHeight="1">
      <c r="A583" s="5" t="s">
        <v>2229</v>
      </c>
      <c r="B583" s="12">
        <v>6.75876849E9</v>
      </c>
      <c r="C583" s="5" t="s">
        <v>5278</v>
      </c>
      <c r="D583" s="9">
        <v>45985.0</v>
      </c>
      <c r="E583" s="11"/>
    </row>
    <row r="584" ht="22.5" customHeight="1">
      <c r="A584" s="5" t="s">
        <v>2233</v>
      </c>
      <c r="B584" s="12">
        <v>3.293559924E9</v>
      </c>
      <c r="C584" s="5" t="s">
        <v>4501</v>
      </c>
      <c r="D584" s="9">
        <v>45821.0</v>
      </c>
      <c r="E584" s="11"/>
    </row>
    <row r="585" ht="22.5" customHeight="1">
      <c r="A585" s="5" t="s">
        <v>2236</v>
      </c>
      <c r="B585" s="12">
        <v>9.555732094E9</v>
      </c>
      <c r="C585" s="5" t="s">
        <v>5279</v>
      </c>
      <c r="D585" s="9">
        <v>46133.0</v>
      </c>
      <c r="E585" s="9">
        <v>46136.0</v>
      </c>
    </row>
    <row r="586" ht="22.5" customHeight="1">
      <c r="A586" s="5" t="s">
        <v>2239</v>
      </c>
      <c r="B586" s="12">
        <v>2.248073536E9</v>
      </c>
      <c r="C586" s="5" t="s">
        <v>4505</v>
      </c>
      <c r="D586" s="9">
        <v>45834.0</v>
      </c>
      <c r="E586" s="9">
        <v>45856.0</v>
      </c>
    </row>
    <row r="587" ht="22.5" customHeight="1">
      <c r="A587" s="5" t="s">
        <v>2243</v>
      </c>
      <c r="B587" s="12">
        <v>5.414988481E9</v>
      </c>
      <c r="C587" s="5" t="s">
        <v>5280</v>
      </c>
      <c r="D587" s="9">
        <v>46023.0</v>
      </c>
      <c r="E587" s="9">
        <v>46025.0</v>
      </c>
    </row>
    <row r="588" ht="22.5" customHeight="1">
      <c r="A588" s="5" t="s">
        <v>2245</v>
      </c>
      <c r="B588" s="12">
        <v>9.672354802E9</v>
      </c>
      <c r="C588" s="5" t="s">
        <v>5281</v>
      </c>
      <c r="D588" s="9">
        <v>46184.0</v>
      </c>
      <c r="E588" s="9">
        <v>46193.0</v>
      </c>
    </row>
    <row r="589" ht="22.5" customHeight="1">
      <c r="A589" s="5" t="s">
        <v>2249</v>
      </c>
      <c r="B589" s="12">
        <v>9.442517277E9</v>
      </c>
      <c r="C589" s="5" t="s">
        <v>4511</v>
      </c>
      <c r="D589" s="9">
        <v>46046.0</v>
      </c>
      <c r="E589" s="9">
        <v>46056.0</v>
      </c>
    </row>
    <row r="590" ht="22.5" customHeight="1">
      <c r="A590" s="5" t="s">
        <v>2253</v>
      </c>
      <c r="B590" s="12">
        <v>2.673982116E9</v>
      </c>
      <c r="C590" s="5" t="s">
        <v>5282</v>
      </c>
      <c r="D590" s="9">
        <v>45722.0</v>
      </c>
      <c r="E590" s="9">
        <v>45738.0</v>
      </c>
    </row>
    <row r="591" ht="22.5" customHeight="1">
      <c r="A591" s="5" t="s">
        <v>2255</v>
      </c>
      <c r="B591" s="12">
        <v>7.742322619E9</v>
      </c>
      <c r="C591" s="5" t="s">
        <v>5283</v>
      </c>
      <c r="D591" s="9">
        <v>45887.0</v>
      </c>
      <c r="E591" s="9">
        <v>45888.0</v>
      </c>
    </row>
    <row r="592" ht="22.5" customHeight="1">
      <c r="A592" s="5" t="s">
        <v>2257</v>
      </c>
      <c r="B592" s="12">
        <v>6.477323062E9</v>
      </c>
      <c r="C592" s="5" t="s">
        <v>4517</v>
      </c>
      <c r="D592" s="9">
        <v>46208.0</v>
      </c>
      <c r="E592" s="9">
        <v>46236.0</v>
      </c>
    </row>
    <row r="593" ht="22.5" customHeight="1">
      <c r="A593" s="5" t="s">
        <v>2261</v>
      </c>
      <c r="B593" s="12">
        <v>3.287174273E9</v>
      </c>
      <c r="C593" s="5" t="s">
        <v>4519</v>
      </c>
      <c r="D593" s="9">
        <v>46258.0</v>
      </c>
      <c r="E593" s="11"/>
    </row>
    <row r="594" ht="22.5" customHeight="1">
      <c r="A594" s="5" t="s">
        <v>2265</v>
      </c>
      <c r="B594" s="12">
        <v>6.612561294E9</v>
      </c>
      <c r="C594" s="5" t="s">
        <v>4522</v>
      </c>
      <c r="D594" s="9">
        <v>45959.0</v>
      </c>
      <c r="E594" s="9">
        <v>45972.0</v>
      </c>
    </row>
    <row r="595" ht="22.5" customHeight="1">
      <c r="A595" s="5" t="s">
        <v>2268</v>
      </c>
      <c r="B595" s="12">
        <v>6.132204464E9</v>
      </c>
      <c r="C595" s="5" t="s">
        <v>5284</v>
      </c>
      <c r="D595" s="9">
        <v>45944.0</v>
      </c>
      <c r="E595" s="11"/>
    </row>
    <row r="596" ht="22.5" customHeight="1">
      <c r="A596" s="5" t="s">
        <v>2272</v>
      </c>
      <c r="B596" s="12">
        <v>5.445495646E9</v>
      </c>
      <c r="C596" s="5" t="s">
        <v>4527</v>
      </c>
      <c r="D596" s="9">
        <v>46098.0</v>
      </c>
      <c r="E596" s="11"/>
    </row>
    <row r="597" ht="22.5" customHeight="1">
      <c r="A597" s="5" t="s">
        <v>2274</v>
      </c>
      <c r="B597" s="12">
        <v>7.109196582E9</v>
      </c>
      <c r="C597" s="5" t="s">
        <v>4529</v>
      </c>
      <c r="D597" s="9">
        <v>45990.0</v>
      </c>
      <c r="E597" s="9">
        <v>46017.0</v>
      </c>
    </row>
    <row r="598" ht="22.5" customHeight="1">
      <c r="A598" s="5" t="s">
        <v>2276</v>
      </c>
      <c r="B598" s="12">
        <v>5.883791148E9</v>
      </c>
      <c r="C598" s="5" t="s">
        <v>5285</v>
      </c>
      <c r="D598" s="9">
        <v>45967.0</v>
      </c>
      <c r="E598" s="11"/>
    </row>
    <row r="599" ht="22.5" customHeight="1">
      <c r="A599" s="5" t="s">
        <v>2280</v>
      </c>
      <c r="B599" s="12">
        <v>2.088692917E9</v>
      </c>
      <c r="C599" s="5" t="s">
        <v>4533</v>
      </c>
      <c r="D599" s="9">
        <v>45757.0</v>
      </c>
      <c r="E599" s="9">
        <v>45785.0</v>
      </c>
    </row>
    <row r="600" ht="22.5" customHeight="1">
      <c r="A600" s="5" t="s">
        <v>2284</v>
      </c>
      <c r="B600" s="12">
        <v>2.545697744E9</v>
      </c>
      <c r="C600" s="5" t="s">
        <v>4535</v>
      </c>
      <c r="D600" s="9">
        <v>46117.0</v>
      </c>
      <c r="E600" s="9">
        <v>46128.0</v>
      </c>
    </row>
    <row r="601" ht="22.5" customHeight="1">
      <c r="A601" s="5" t="s">
        <v>2288</v>
      </c>
      <c r="B601" s="12">
        <v>5.612025661E9</v>
      </c>
      <c r="C601" s="5" t="s">
        <v>3680</v>
      </c>
      <c r="D601" s="9">
        <v>46245.0</v>
      </c>
      <c r="E601" s="9">
        <v>46250.0</v>
      </c>
    </row>
    <row r="602" ht="22.5" customHeight="1">
      <c r="A602" s="5" t="s">
        <v>2290</v>
      </c>
      <c r="B602" s="12">
        <v>2.004376937E9</v>
      </c>
      <c r="C602" s="5" t="s">
        <v>4539</v>
      </c>
      <c r="D602" s="9">
        <v>45875.0</v>
      </c>
      <c r="E602" s="9">
        <v>45900.0</v>
      </c>
    </row>
    <row r="603" ht="22.5" customHeight="1">
      <c r="A603" s="5" t="s">
        <v>2295</v>
      </c>
      <c r="B603" s="12">
        <v>4.757282999E9</v>
      </c>
      <c r="C603" s="5" t="s">
        <v>5286</v>
      </c>
      <c r="D603" s="9">
        <v>46041.0</v>
      </c>
      <c r="E603" s="9">
        <v>46049.0</v>
      </c>
    </row>
    <row r="604" ht="22.5" customHeight="1">
      <c r="A604" s="5" t="s">
        <v>2298</v>
      </c>
      <c r="B604" s="12">
        <v>4.01927378E9</v>
      </c>
      <c r="C604" s="5" t="s">
        <v>4543</v>
      </c>
      <c r="D604" s="9">
        <v>45820.0</v>
      </c>
      <c r="E604" s="11"/>
    </row>
    <row r="605" ht="22.5" customHeight="1">
      <c r="A605" s="5" t="s">
        <v>2301</v>
      </c>
      <c r="B605" s="12">
        <v>9.127077079E9</v>
      </c>
      <c r="C605" s="5" t="s">
        <v>5287</v>
      </c>
      <c r="D605" s="9">
        <v>45747.0</v>
      </c>
      <c r="E605" s="9">
        <v>45747.0</v>
      </c>
    </row>
    <row r="606" ht="22.5" customHeight="1">
      <c r="A606" s="5" t="s">
        <v>2305</v>
      </c>
      <c r="B606" s="12">
        <v>8.968093302E9</v>
      </c>
      <c r="C606" s="5" t="s">
        <v>5288</v>
      </c>
      <c r="D606" s="9">
        <v>45964.0</v>
      </c>
      <c r="E606" s="9">
        <v>45968.0</v>
      </c>
    </row>
    <row r="607" ht="22.5" customHeight="1">
      <c r="A607" s="5" t="s">
        <v>2309</v>
      </c>
      <c r="B607" s="12">
        <v>7.314414599E9</v>
      </c>
      <c r="C607" s="5" t="s">
        <v>5289</v>
      </c>
      <c r="D607" s="9">
        <v>46192.0</v>
      </c>
      <c r="E607" s="9">
        <v>46195.0</v>
      </c>
    </row>
    <row r="608" ht="22.5" customHeight="1">
      <c r="A608" s="5" t="s">
        <v>2311</v>
      </c>
      <c r="B608" s="12">
        <v>8.978377852E9</v>
      </c>
      <c r="C608" s="5" t="s">
        <v>5290</v>
      </c>
      <c r="D608" s="9">
        <v>46066.0</v>
      </c>
      <c r="E608" s="9">
        <v>46073.0</v>
      </c>
    </row>
    <row r="609" ht="22.5" customHeight="1">
      <c r="A609" s="5" t="s">
        <v>2315</v>
      </c>
      <c r="B609" s="12">
        <v>4.313219249E9</v>
      </c>
      <c r="C609" s="5" t="s">
        <v>4553</v>
      </c>
      <c r="D609" s="9">
        <v>45878.0</v>
      </c>
      <c r="E609" s="9">
        <v>45884.0</v>
      </c>
    </row>
    <row r="610" ht="22.5" customHeight="1">
      <c r="A610" s="5" t="s">
        <v>2319</v>
      </c>
      <c r="B610" s="12">
        <v>8.403035313E9</v>
      </c>
      <c r="C610" s="5" t="s">
        <v>5291</v>
      </c>
      <c r="D610" s="9">
        <v>45741.0</v>
      </c>
      <c r="E610" s="9">
        <v>45745.0</v>
      </c>
    </row>
    <row r="611" ht="22.5" customHeight="1">
      <c r="A611" s="5" t="s">
        <v>2321</v>
      </c>
      <c r="B611" s="12">
        <v>6.087455242E9</v>
      </c>
      <c r="C611" s="5" t="s">
        <v>4557</v>
      </c>
      <c r="D611" s="9">
        <v>46210.0</v>
      </c>
      <c r="E611" s="9">
        <v>46235.0</v>
      </c>
    </row>
    <row r="612" ht="22.5" customHeight="1">
      <c r="A612" s="5" t="s">
        <v>2323</v>
      </c>
      <c r="B612" s="12">
        <v>5.695687354E9</v>
      </c>
      <c r="C612" s="5" t="s">
        <v>5292</v>
      </c>
      <c r="D612" s="9">
        <v>46063.0</v>
      </c>
      <c r="E612" s="9">
        <v>46080.0</v>
      </c>
    </row>
    <row r="613" ht="22.5" customHeight="1">
      <c r="A613" s="5" t="s">
        <v>2325</v>
      </c>
      <c r="B613" s="12">
        <v>8.613415561E9</v>
      </c>
      <c r="C613" s="5" t="s">
        <v>4562</v>
      </c>
      <c r="D613" s="9">
        <v>45747.0</v>
      </c>
      <c r="E613" s="9">
        <v>45770.0</v>
      </c>
    </row>
    <row r="614" ht="22.5" customHeight="1">
      <c r="A614" s="5" t="s">
        <v>2327</v>
      </c>
      <c r="B614" s="12">
        <v>5.003632628E9</v>
      </c>
      <c r="C614" s="5" t="s">
        <v>5293</v>
      </c>
      <c r="D614" s="9">
        <v>45943.0</v>
      </c>
      <c r="E614" s="11"/>
    </row>
    <row r="615" ht="22.5" customHeight="1">
      <c r="A615" s="5" t="s">
        <v>2329</v>
      </c>
      <c r="B615" s="13" t="s">
        <v>4964</v>
      </c>
      <c r="C615" s="5" t="s">
        <v>4565</v>
      </c>
      <c r="D615" s="9">
        <v>45990.0</v>
      </c>
      <c r="E615" s="9">
        <v>45994.0</v>
      </c>
    </row>
    <row r="616" ht="22.5" customHeight="1">
      <c r="A616" s="5" t="s">
        <v>2331</v>
      </c>
      <c r="B616" s="12">
        <v>6.998636357E9</v>
      </c>
      <c r="C616" s="5" t="s">
        <v>4567</v>
      </c>
      <c r="D616" s="9">
        <v>46149.0</v>
      </c>
      <c r="E616" s="11"/>
    </row>
    <row r="617" ht="22.5" customHeight="1">
      <c r="A617" s="5" t="s">
        <v>2335</v>
      </c>
      <c r="B617" s="12">
        <v>6.51997672E9</v>
      </c>
      <c r="C617" s="5" t="s">
        <v>5294</v>
      </c>
      <c r="D617" s="9">
        <v>46156.0</v>
      </c>
      <c r="E617" s="11"/>
    </row>
    <row r="618" ht="22.5" customHeight="1">
      <c r="A618" s="5" t="s">
        <v>2337</v>
      </c>
      <c r="B618" s="12">
        <v>5.35208222E9</v>
      </c>
      <c r="C618" s="5" t="s">
        <v>5295</v>
      </c>
      <c r="D618" s="11"/>
      <c r="E618" s="11"/>
    </row>
    <row r="619" ht="22.5" customHeight="1">
      <c r="A619" s="5" t="s">
        <v>2340</v>
      </c>
      <c r="B619" s="12">
        <v>5.415425E9</v>
      </c>
      <c r="C619" s="5" t="s">
        <v>4574</v>
      </c>
      <c r="D619" s="9">
        <v>46234.0</v>
      </c>
      <c r="E619" s="9">
        <v>46249.0</v>
      </c>
    </row>
    <row r="620" ht="22.5" customHeight="1">
      <c r="A620" s="5" t="s">
        <v>2344</v>
      </c>
      <c r="B620" s="13" t="s">
        <v>4964</v>
      </c>
      <c r="C620" s="5" t="s">
        <v>5296</v>
      </c>
      <c r="D620" s="9">
        <v>45794.0</v>
      </c>
      <c r="E620" s="11"/>
    </row>
    <row r="621" ht="22.5" customHeight="1">
      <c r="A621" s="5" t="s">
        <v>2346</v>
      </c>
      <c r="B621" s="12">
        <v>5.843111628E9</v>
      </c>
      <c r="C621" s="5" t="s">
        <v>5297</v>
      </c>
      <c r="D621" s="9">
        <v>46228.0</v>
      </c>
      <c r="E621" s="11"/>
    </row>
    <row r="622" ht="22.5" customHeight="1">
      <c r="A622" s="5" t="s">
        <v>2349</v>
      </c>
      <c r="B622" s="12">
        <v>6.285324351E9</v>
      </c>
      <c r="C622" s="5" t="s">
        <v>5298</v>
      </c>
      <c r="D622" s="9">
        <v>45955.0</v>
      </c>
      <c r="E622" s="9">
        <v>45978.0</v>
      </c>
    </row>
    <row r="623" ht="22.5" customHeight="1">
      <c r="A623" s="5" t="s">
        <v>2353</v>
      </c>
      <c r="B623" s="12">
        <v>9.817999715E9</v>
      </c>
      <c r="C623" s="5" t="s">
        <v>5299</v>
      </c>
      <c r="D623" s="9">
        <v>45875.0</v>
      </c>
      <c r="E623" s="11"/>
    </row>
    <row r="624" ht="22.5" customHeight="1">
      <c r="A624" s="5" t="s">
        <v>2356</v>
      </c>
      <c r="B624" s="12">
        <v>9.125911763E9</v>
      </c>
      <c r="C624" s="5" t="s">
        <v>5300</v>
      </c>
      <c r="D624" s="9">
        <v>45889.0</v>
      </c>
      <c r="E624" s="9">
        <v>45910.0</v>
      </c>
    </row>
    <row r="625" ht="22.5" customHeight="1">
      <c r="A625" s="5" t="s">
        <v>2360</v>
      </c>
      <c r="B625" s="12">
        <v>2.525527124E9</v>
      </c>
      <c r="C625" s="10" t="s">
        <v>4964</v>
      </c>
      <c r="D625" s="9">
        <v>45763.0</v>
      </c>
      <c r="E625" s="9">
        <v>45788.0</v>
      </c>
    </row>
    <row r="626" ht="22.5" customHeight="1">
      <c r="A626" s="5" t="s">
        <v>2362</v>
      </c>
      <c r="B626" s="12">
        <v>2.417305214E9</v>
      </c>
      <c r="C626" s="5" t="s">
        <v>4588</v>
      </c>
      <c r="D626" s="9">
        <v>45867.0</v>
      </c>
      <c r="E626" s="11"/>
    </row>
    <row r="627" ht="22.5" customHeight="1">
      <c r="A627" s="5" t="s">
        <v>2366</v>
      </c>
      <c r="B627" s="12">
        <v>4.382414815E9</v>
      </c>
      <c r="C627" s="5" t="s">
        <v>4590</v>
      </c>
      <c r="D627" s="9">
        <v>45959.0</v>
      </c>
      <c r="E627" s="9">
        <v>45972.0</v>
      </c>
    </row>
    <row r="628" ht="22.5" customHeight="1">
      <c r="A628" s="5" t="s">
        <v>2370</v>
      </c>
      <c r="B628" s="12">
        <v>6.298029527E9</v>
      </c>
      <c r="C628" s="5" t="s">
        <v>5301</v>
      </c>
      <c r="D628" s="11"/>
      <c r="E628" s="11"/>
    </row>
    <row r="629" ht="22.5" customHeight="1">
      <c r="A629" s="5" t="s">
        <v>2373</v>
      </c>
      <c r="B629" s="12">
        <v>9.666706187E9</v>
      </c>
      <c r="C629" s="5" t="s">
        <v>5302</v>
      </c>
      <c r="D629" s="9">
        <v>45979.0</v>
      </c>
      <c r="E629" s="9">
        <v>46001.0</v>
      </c>
    </row>
    <row r="630" ht="22.5" customHeight="1">
      <c r="A630" s="5" t="s">
        <v>2376</v>
      </c>
      <c r="B630" s="12">
        <v>6.209756389E9</v>
      </c>
      <c r="C630" s="5" t="s">
        <v>4596</v>
      </c>
      <c r="D630" s="9">
        <v>46187.0</v>
      </c>
      <c r="E630" s="11"/>
    </row>
    <row r="631" ht="22.5" customHeight="1">
      <c r="A631" s="5" t="s">
        <v>2379</v>
      </c>
      <c r="B631" s="12">
        <v>9.192992302E9</v>
      </c>
      <c r="C631" s="5" t="s">
        <v>5303</v>
      </c>
      <c r="D631" s="9">
        <v>46213.0</v>
      </c>
      <c r="E631" s="11"/>
    </row>
    <row r="632" ht="22.5" customHeight="1">
      <c r="A632" s="5" t="s">
        <v>2381</v>
      </c>
      <c r="B632" s="12">
        <v>6.064273632E9</v>
      </c>
      <c r="C632" s="5" t="s">
        <v>4600</v>
      </c>
      <c r="D632" s="9">
        <v>45741.0</v>
      </c>
      <c r="E632" s="11"/>
    </row>
    <row r="633" ht="22.5" customHeight="1">
      <c r="A633" s="5" t="s">
        <v>2383</v>
      </c>
      <c r="B633" s="12">
        <v>4.00314327E9</v>
      </c>
      <c r="C633" s="5" t="s">
        <v>5304</v>
      </c>
      <c r="D633" s="9">
        <v>46217.0</v>
      </c>
      <c r="E633" s="9">
        <v>46237.0</v>
      </c>
    </row>
    <row r="634" ht="22.5" customHeight="1">
      <c r="A634" s="5" t="s">
        <v>2385</v>
      </c>
      <c r="B634" s="12">
        <v>7.116288265E9</v>
      </c>
      <c r="C634" s="5" t="s">
        <v>5252</v>
      </c>
      <c r="D634" s="9">
        <v>46149.0</v>
      </c>
      <c r="E634" s="11"/>
    </row>
    <row r="635" ht="22.5" customHeight="1">
      <c r="A635" s="5" t="s">
        <v>2388</v>
      </c>
      <c r="B635" s="12">
        <v>8.145088617E9</v>
      </c>
      <c r="C635" s="5" t="s">
        <v>5305</v>
      </c>
      <c r="D635" s="9">
        <v>46229.0</v>
      </c>
      <c r="E635" s="11"/>
    </row>
    <row r="636" ht="22.5" customHeight="1">
      <c r="A636" s="5" t="s">
        <v>2389</v>
      </c>
      <c r="B636" s="12">
        <v>5.455432513E9</v>
      </c>
      <c r="C636" s="5" t="s">
        <v>5306</v>
      </c>
      <c r="D636" s="9">
        <v>45916.0</v>
      </c>
      <c r="E636" s="11"/>
    </row>
    <row r="637" ht="22.5" customHeight="1">
      <c r="A637" s="5" t="s">
        <v>2392</v>
      </c>
      <c r="B637" s="12">
        <v>7.744942723E9</v>
      </c>
      <c r="C637" s="5" t="s">
        <v>4611</v>
      </c>
      <c r="D637" s="9">
        <v>46109.0</v>
      </c>
      <c r="E637" s="11"/>
    </row>
    <row r="638" ht="22.5" customHeight="1">
      <c r="A638" s="5" t="s">
        <v>2396</v>
      </c>
      <c r="B638" s="12">
        <v>8.247182105E9</v>
      </c>
      <c r="C638" s="5" t="s">
        <v>5307</v>
      </c>
      <c r="D638" s="9">
        <v>46106.0</v>
      </c>
      <c r="E638" s="9">
        <v>46110.0</v>
      </c>
    </row>
    <row r="639" ht="22.5" customHeight="1">
      <c r="A639" s="5" t="s">
        <v>2399</v>
      </c>
      <c r="B639" s="12">
        <v>3.397351994E9</v>
      </c>
      <c r="C639" s="5" t="s">
        <v>5308</v>
      </c>
      <c r="D639" s="9">
        <v>46025.0</v>
      </c>
      <c r="E639" s="9">
        <v>46047.0</v>
      </c>
    </row>
    <row r="640" ht="22.5" customHeight="1">
      <c r="A640" s="5" t="s">
        <v>2402</v>
      </c>
      <c r="B640" s="12">
        <v>5.752157612E9</v>
      </c>
      <c r="C640" s="5" t="s">
        <v>5309</v>
      </c>
      <c r="D640" s="9">
        <v>46112.0</v>
      </c>
      <c r="E640" s="9">
        <v>46124.0</v>
      </c>
    </row>
    <row r="641" ht="22.5" customHeight="1">
      <c r="A641" s="5" t="s">
        <v>2404</v>
      </c>
      <c r="B641" s="12">
        <v>7.446649246E9</v>
      </c>
      <c r="C641" s="5" t="s">
        <v>5310</v>
      </c>
      <c r="D641" s="9">
        <v>46212.0</v>
      </c>
      <c r="E641" s="9">
        <v>46233.0</v>
      </c>
    </row>
    <row r="642" ht="22.5" customHeight="1">
      <c r="A642" s="5" t="s">
        <v>2406</v>
      </c>
      <c r="B642" s="12">
        <v>5.10362647E9</v>
      </c>
      <c r="C642" s="5" t="s">
        <v>4623</v>
      </c>
      <c r="D642" s="9">
        <v>45801.0</v>
      </c>
      <c r="E642" s="11"/>
    </row>
    <row r="643" ht="22.5" customHeight="1">
      <c r="A643" s="5" t="s">
        <v>2409</v>
      </c>
      <c r="B643" s="12">
        <v>9.252881086E9</v>
      </c>
      <c r="C643" s="5" t="s">
        <v>5311</v>
      </c>
      <c r="D643" s="9">
        <v>45907.0</v>
      </c>
      <c r="E643" s="9">
        <v>45912.0</v>
      </c>
    </row>
    <row r="644" ht="22.5" customHeight="1">
      <c r="A644" s="5" t="s">
        <v>2412</v>
      </c>
      <c r="B644" s="13" t="s">
        <v>4964</v>
      </c>
      <c r="C644" s="10" t="s">
        <v>4964</v>
      </c>
      <c r="D644" s="9">
        <v>45874.0</v>
      </c>
      <c r="E644" s="9">
        <v>45882.0</v>
      </c>
    </row>
    <row r="645" ht="22.5" customHeight="1">
      <c r="A645" s="5" t="s">
        <v>2414</v>
      </c>
      <c r="B645" s="12">
        <v>4.406529989E9</v>
      </c>
      <c r="C645" s="5" t="s">
        <v>4627</v>
      </c>
      <c r="D645" s="9">
        <v>45969.0</v>
      </c>
      <c r="E645" s="9">
        <v>45974.0</v>
      </c>
    </row>
    <row r="646" ht="22.5" customHeight="1">
      <c r="A646" s="5" t="s">
        <v>2418</v>
      </c>
      <c r="B646" s="12">
        <v>4.929641005E9</v>
      </c>
      <c r="C646" s="5" t="s">
        <v>5312</v>
      </c>
      <c r="D646" s="9">
        <v>45782.0</v>
      </c>
      <c r="E646" s="9">
        <v>45810.0</v>
      </c>
    </row>
    <row r="647" ht="22.5" customHeight="1">
      <c r="A647" s="5" t="s">
        <v>2421</v>
      </c>
      <c r="B647" s="12">
        <v>7.405925849E9</v>
      </c>
      <c r="C647" s="5" t="s">
        <v>5313</v>
      </c>
      <c r="D647" s="9">
        <v>45788.0</v>
      </c>
      <c r="E647" s="9">
        <v>45789.0</v>
      </c>
    </row>
    <row r="648" ht="22.5" customHeight="1">
      <c r="A648" s="5" t="s">
        <v>2423</v>
      </c>
      <c r="B648" s="12">
        <v>7.207579403E9</v>
      </c>
      <c r="C648" s="5" t="s">
        <v>5314</v>
      </c>
      <c r="D648" s="11"/>
      <c r="E648" s="11"/>
    </row>
    <row r="649" ht="22.5" customHeight="1">
      <c r="A649" s="5" t="s">
        <v>2427</v>
      </c>
      <c r="B649" s="12">
        <v>8.698812603E9</v>
      </c>
      <c r="C649" s="10" t="s">
        <v>4964</v>
      </c>
      <c r="D649" s="9">
        <v>45795.0</v>
      </c>
      <c r="E649" s="9">
        <v>45798.0</v>
      </c>
    </row>
    <row r="650" ht="22.5" customHeight="1">
      <c r="A650" s="5" t="s">
        <v>2431</v>
      </c>
      <c r="B650" s="12">
        <v>3.482554871E9</v>
      </c>
      <c r="C650" s="5" t="s">
        <v>5315</v>
      </c>
      <c r="D650" s="9">
        <v>46023.0</v>
      </c>
      <c r="E650" s="9">
        <v>46043.0</v>
      </c>
    </row>
    <row r="651" ht="22.5" customHeight="1">
      <c r="A651" s="5" t="s">
        <v>2434</v>
      </c>
      <c r="B651" s="12">
        <v>3.067232784E9</v>
      </c>
      <c r="C651" s="5" t="s">
        <v>4638</v>
      </c>
      <c r="D651" s="9">
        <v>45893.0</v>
      </c>
      <c r="E651" s="9">
        <v>45921.0</v>
      </c>
    </row>
    <row r="652" ht="22.5" customHeight="1">
      <c r="A652" s="5" t="s">
        <v>2438</v>
      </c>
      <c r="B652" s="12">
        <v>2.379486753E9</v>
      </c>
      <c r="C652" s="5" t="s">
        <v>5316</v>
      </c>
      <c r="D652" s="9">
        <v>46221.0</v>
      </c>
      <c r="E652" s="9">
        <v>46232.0</v>
      </c>
    </row>
    <row r="653" ht="22.5" customHeight="1">
      <c r="A653" s="5" t="s">
        <v>2441</v>
      </c>
      <c r="B653" s="12">
        <v>7.975425184E9</v>
      </c>
      <c r="C653" s="5" t="s">
        <v>4643</v>
      </c>
      <c r="D653" s="9">
        <v>45770.0</v>
      </c>
      <c r="E653" s="9">
        <v>45776.0</v>
      </c>
    </row>
    <row r="654" ht="22.5" customHeight="1">
      <c r="A654" s="5" t="s">
        <v>2444</v>
      </c>
      <c r="B654" s="12">
        <v>8.703067841E9</v>
      </c>
      <c r="C654" s="5" t="s">
        <v>5317</v>
      </c>
      <c r="D654" s="9">
        <v>46057.0</v>
      </c>
      <c r="E654" s="9">
        <v>46068.0</v>
      </c>
    </row>
    <row r="655" ht="22.5" customHeight="1">
      <c r="A655" s="5" t="s">
        <v>2446</v>
      </c>
      <c r="B655" s="12">
        <v>5.457547757E9</v>
      </c>
      <c r="C655" s="5" t="s">
        <v>5318</v>
      </c>
      <c r="D655" s="9">
        <v>45791.0</v>
      </c>
      <c r="E655" s="11"/>
    </row>
    <row r="656" ht="22.5" customHeight="1">
      <c r="A656" s="5" t="s">
        <v>2449</v>
      </c>
      <c r="B656" s="12">
        <v>6.55831138E9</v>
      </c>
      <c r="C656" s="5" t="s">
        <v>5319</v>
      </c>
      <c r="D656" s="9">
        <v>45967.0</v>
      </c>
      <c r="E656" s="11"/>
    </row>
    <row r="657" ht="22.5" customHeight="1">
      <c r="A657" s="5" t="s">
        <v>2452</v>
      </c>
      <c r="B657" s="12">
        <v>4.905402812E9</v>
      </c>
      <c r="C657" s="5" t="s">
        <v>5320</v>
      </c>
      <c r="D657" s="11"/>
      <c r="E657" s="11"/>
    </row>
    <row r="658" ht="22.5" customHeight="1">
      <c r="A658" s="5" t="s">
        <v>2454</v>
      </c>
      <c r="B658" s="12">
        <v>3.895396385E9</v>
      </c>
      <c r="C658" s="5" t="s">
        <v>4653</v>
      </c>
      <c r="D658" s="9">
        <v>45820.0</v>
      </c>
      <c r="E658" s="11"/>
    </row>
    <row r="659" ht="22.5" customHeight="1">
      <c r="A659" s="5" t="s">
        <v>2458</v>
      </c>
      <c r="B659" s="12">
        <v>6.155452238E9</v>
      </c>
      <c r="C659" s="10" t="s">
        <v>4964</v>
      </c>
      <c r="D659" s="9">
        <v>45947.0</v>
      </c>
      <c r="E659" s="9">
        <v>45949.0</v>
      </c>
    </row>
    <row r="660" ht="22.5" customHeight="1">
      <c r="A660" s="5" t="s">
        <v>2460</v>
      </c>
      <c r="B660" s="12">
        <v>2.564447202E9</v>
      </c>
      <c r="C660" s="10" t="s">
        <v>4964</v>
      </c>
      <c r="D660" s="9">
        <v>45812.0</v>
      </c>
      <c r="E660" s="9">
        <v>45823.0</v>
      </c>
    </row>
    <row r="661" ht="22.5" customHeight="1">
      <c r="A661" s="5" t="s">
        <v>2463</v>
      </c>
      <c r="B661" s="13" t="s">
        <v>4964</v>
      </c>
      <c r="C661" s="5" t="s">
        <v>5321</v>
      </c>
      <c r="D661" s="9">
        <v>45909.0</v>
      </c>
      <c r="E661" s="11"/>
    </row>
    <row r="662" ht="22.5" customHeight="1">
      <c r="A662" s="5" t="s">
        <v>2467</v>
      </c>
      <c r="B662" s="12">
        <v>3.242836662E9</v>
      </c>
      <c r="C662" s="5" t="s">
        <v>5322</v>
      </c>
      <c r="D662" s="9">
        <v>45727.0</v>
      </c>
      <c r="E662" s="11"/>
    </row>
    <row r="663" ht="22.5" customHeight="1">
      <c r="A663" s="5" t="s">
        <v>2470</v>
      </c>
      <c r="B663" s="12">
        <v>4.176557976E9</v>
      </c>
      <c r="C663" s="5" t="s">
        <v>4660</v>
      </c>
      <c r="D663" s="9">
        <v>46011.0</v>
      </c>
      <c r="E663" s="9">
        <v>46040.0</v>
      </c>
    </row>
    <row r="664" ht="22.5" customHeight="1">
      <c r="A664" s="5" t="s">
        <v>2474</v>
      </c>
      <c r="B664" s="12">
        <v>4.287232134E9</v>
      </c>
      <c r="C664" s="5" t="s">
        <v>5323</v>
      </c>
      <c r="D664" s="9">
        <v>46019.0</v>
      </c>
      <c r="E664" s="9">
        <v>46030.0</v>
      </c>
    </row>
    <row r="665" ht="22.5" customHeight="1">
      <c r="A665" s="5" t="s">
        <v>2477</v>
      </c>
      <c r="B665" s="12">
        <v>7.049683187E9</v>
      </c>
      <c r="C665" s="5" t="s">
        <v>5324</v>
      </c>
      <c r="D665" s="9">
        <v>45916.0</v>
      </c>
      <c r="E665" s="9">
        <v>45921.0</v>
      </c>
    </row>
    <row r="666" ht="22.5" customHeight="1">
      <c r="A666" s="5" t="s">
        <v>2481</v>
      </c>
      <c r="B666" s="12">
        <v>8.63869703E9</v>
      </c>
      <c r="C666" s="5" t="s">
        <v>4668</v>
      </c>
      <c r="D666" s="9">
        <v>45949.0</v>
      </c>
      <c r="E666" s="9">
        <v>45976.0</v>
      </c>
    </row>
    <row r="667" ht="22.5" customHeight="1">
      <c r="A667" s="5" t="s">
        <v>2483</v>
      </c>
      <c r="B667" s="12">
        <v>7.05311939E9</v>
      </c>
      <c r="C667" s="5" t="s">
        <v>5325</v>
      </c>
      <c r="D667" s="9">
        <v>46228.0</v>
      </c>
      <c r="E667" s="9">
        <v>46234.0</v>
      </c>
    </row>
    <row r="668" ht="22.5" customHeight="1">
      <c r="A668" s="5" t="s">
        <v>2485</v>
      </c>
      <c r="B668" s="12">
        <v>4.309254002E9</v>
      </c>
      <c r="C668" s="5" t="s">
        <v>5326</v>
      </c>
      <c r="D668" s="9">
        <v>46032.0</v>
      </c>
      <c r="E668" s="11"/>
    </row>
    <row r="669" ht="22.5" customHeight="1">
      <c r="A669" s="5" t="s">
        <v>2489</v>
      </c>
      <c r="B669" s="12">
        <v>7.392583829E9</v>
      </c>
      <c r="C669" s="5" t="s">
        <v>4675</v>
      </c>
      <c r="D669" s="9">
        <v>46091.0</v>
      </c>
      <c r="E669" s="11"/>
    </row>
    <row r="670" ht="22.5" customHeight="1">
      <c r="A670" s="5" t="s">
        <v>2491</v>
      </c>
      <c r="B670" s="12">
        <v>6.698831213E9</v>
      </c>
      <c r="C670" s="5" t="s">
        <v>5327</v>
      </c>
      <c r="D670" s="9">
        <v>45869.0</v>
      </c>
      <c r="E670" s="9">
        <v>45888.0</v>
      </c>
    </row>
    <row r="671" ht="22.5" customHeight="1">
      <c r="A671" s="5" t="s">
        <v>2495</v>
      </c>
      <c r="B671" s="12">
        <v>5.73939214E9</v>
      </c>
      <c r="C671" s="5" t="s">
        <v>5328</v>
      </c>
      <c r="D671" s="9">
        <v>45894.0</v>
      </c>
      <c r="E671" s="9">
        <v>45897.0</v>
      </c>
    </row>
    <row r="672" ht="22.5" customHeight="1">
      <c r="A672" s="5" t="s">
        <v>2497</v>
      </c>
      <c r="B672" s="12">
        <v>3.865696261E9</v>
      </c>
      <c r="C672" s="5" t="s">
        <v>4683</v>
      </c>
      <c r="D672" s="9">
        <v>46217.0</v>
      </c>
      <c r="E672" s="11"/>
    </row>
    <row r="673" ht="22.5" customHeight="1">
      <c r="A673" s="5" t="s">
        <v>2500</v>
      </c>
      <c r="B673" s="13" t="s">
        <v>4964</v>
      </c>
      <c r="C673" s="5" t="s">
        <v>5329</v>
      </c>
      <c r="D673" s="9">
        <v>45994.0</v>
      </c>
      <c r="E673" s="11"/>
    </row>
    <row r="674" ht="22.5" customHeight="1">
      <c r="A674" s="5" t="s">
        <v>2502</v>
      </c>
      <c r="B674" s="12">
        <v>9.589224685E9</v>
      </c>
      <c r="C674" s="5" t="s">
        <v>4686</v>
      </c>
      <c r="D674" s="9">
        <v>46203.0</v>
      </c>
      <c r="E674" s="11"/>
    </row>
    <row r="675" ht="22.5" customHeight="1">
      <c r="A675" s="5" t="s">
        <v>2505</v>
      </c>
      <c r="B675" s="12">
        <v>5.208985815E9</v>
      </c>
      <c r="C675" s="5" t="s">
        <v>5330</v>
      </c>
      <c r="D675" s="9">
        <v>46169.0</v>
      </c>
      <c r="E675" s="9">
        <v>46178.0</v>
      </c>
    </row>
    <row r="676" ht="22.5" customHeight="1">
      <c r="A676" s="5" t="s">
        <v>2506</v>
      </c>
      <c r="B676" s="12">
        <v>2.592161446E9</v>
      </c>
      <c r="C676" s="5" t="s">
        <v>5331</v>
      </c>
      <c r="D676" s="9">
        <v>45837.0</v>
      </c>
      <c r="E676" s="9">
        <v>45843.0</v>
      </c>
    </row>
    <row r="677" ht="22.5" customHeight="1">
      <c r="A677" s="5" t="s">
        <v>2511</v>
      </c>
      <c r="B677" s="12">
        <v>5.703092291E9</v>
      </c>
      <c r="C677" s="5" t="s">
        <v>4692</v>
      </c>
      <c r="D677" s="9">
        <v>46042.0</v>
      </c>
      <c r="E677" s="11"/>
    </row>
    <row r="678" ht="22.5" customHeight="1">
      <c r="A678" s="5" t="s">
        <v>2513</v>
      </c>
      <c r="B678" s="12">
        <v>6.719301946E9</v>
      </c>
      <c r="C678" s="5" t="s">
        <v>5332</v>
      </c>
      <c r="D678" s="9">
        <v>45873.0</v>
      </c>
      <c r="E678" s="9">
        <v>45874.0</v>
      </c>
    </row>
    <row r="679" ht="22.5" customHeight="1">
      <c r="A679" s="5" t="s">
        <v>2516</v>
      </c>
      <c r="B679" s="12">
        <v>7.335129616E9</v>
      </c>
      <c r="C679" s="5" t="s">
        <v>5333</v>
      </c>
      <c r="D679" s="9">
        <v>45830.0</v>
      </c>
      <c r="E679" s="9">
        <v>45850.0</v>
      </c>
    </row>
    <row r="680" ht="22.5" customHeight="1">
      <c r="A680" s="5" t="s">
        <v>2521</v>
      </c>
      <c r="B680" s="12">
        <v>2.944282313E9</v>
      </c>
      <c r="C680" s="10" t="s">
        <v>4964</v>
      </c>
      <c r="D680" s="9">
        <v>45977.0</v>
      </c>
      <c r="E680" s="9">
        <v>45993.0</v>
      </c>
    </row>
    <row r="681" ht="22.5" customHeight="1">
      <c r="A681" s="5" t="s">
        <v>2523</v>
      </c>
      <c r="B681" s="12">
        <v>2.639739302E9</v>
      </c>
      <c r="C681" s="5" t="s">
        <v>4699</v>
      </c>
      <c r="D681" s="9">
        <v>46138.0</v>
      </c>
      <c r="E681" s="11"/>
    </row>
    <row r="682" ht="22.5" customHeight="1">
      <c r="A682" s="5" t="s">
        <v>2526</v>
      </c>
      <c r="B682" s="12">
        <v>4.103569965E9</v>
      </c>
      <c r="C682" s="5" t="s">
        <v>5334</v>
      </c>
      <c r="D682" s="9">
        <v>46022.0</v>
      </c>
      <c r="E682" s="9">
        <v>46041.0</v>
      </c>
    </row>
    <row r="683" ht="22.5" customHeight="1">
      <c r="A683" s="5" t="s">
        <v>2527</v>
      </c>
      <c r="B683" s="12">
        <v>6.992099278E9</v>
      </c>
      <c r="C683" s="5" t="s">
        <v>4703</v>
      </c>
      <c r="D683" s="9">
        <v>46005.0</v>
      </c>
      <c r="E683" s="9">
        <v>46025.0</v>
      </c>
    </row>
    <row r="684" ht="22.5" customHeight="1">
      <c r="A684" s="5" t="s">
        <v>2531</v>
      </c>
      <c r="B684" s="12">
        <v>8.149616232E9</v>
      </c>
      <c r="C684" s="5" t="s">
        <v>5335</v>
      </c>
      <c r="D684" s="9">
        <v>45966.0</v>
      </c>
      <c r="E684" s="11"/>
    </row>
    <row r="685" ht="22.5" customHeight="1">
      <c r="A685" s="5" t="s">
        <v>2534</v>
      </c>
      <c r="B685" s="12">
        <v>8.815396242E9</v>
      </c>
      <c r="C685" s="5" t="s">
        <v>5336</v>
      </c>
      <c r="D685" s="9">
        <v>46065.0</v>
      </c>
      <c r="E685" s="9">
        <v>46066.0</v>
      </c>
    </row>
    <row r="686" ht="22.5" customHeight="1">
      <c r="A686" s="5" t="s">
        <v>2536</v>
      </c>
      <c r="B686" s="12">
        <v>9.243232053E9</v>
      </c>
      <c r="C686" s="5" t="s">
        <v>5337</v>
      </c>
      <c r="D686" s="11"/>
      <c r="E686" s="11"/>
    </row>
    <row r="687" ht="22.5" customHeight="1">
      <c r="A687" s="5" t="s">
        <v>2538</v>
      </c>
      <c r="B687" s="12">
        <v>2.138258785E9</v>
      </c>
      <c r="C687" s="5" t="s">
        <v>4711</v>
      </c>
      <c r="D687" s="9">
        <v>46120.0</v>
      </c>
      <c r="E687" s="9">
        <v>46142.0</v>
      </c>
    </row>
    <row r="688" ht="22.5" customHeight="1">
      <c r="A688" s="5" t="s">
        <v>2541</v>
      </c>
      <c r="B688" s="12">
        <v>3.707602201E9</v>
      </c>
      <c r="C688" s="5" t="s">
        <v>4714</v>
      </c>
      <c r="D688" s="9">
        <v>45921.0</v>
      </c>
      <c r="E688" s="9">
        <v>45936.0</v>
      </c>
    </row>
    <row r="689" ht="22.5" customHeight="1">
      <c r="A689" s="5" t="s">
        <v>2543</v>
      </c>
      <c r="B689" s="12">
        <v>8.649693614E9</v>
      </c>
      <c r="C689" s="5" t="s">
        <v>4716</v>
      </c>
      <c r="D689" s="9">
        <v>46024.0</v>
      </c>
      <c r="E689" s="11"/>
    </row>
    <row r="690" ht="22.5" customHeight="1">
      <c r="A690" s="5" t="s">
        <v>2547</v>
      </c>
      <c r="B690" s="12">
        <v>4.824834001E9</v>
      </c>
      <c r="C690" s="5" t="s">
        <v>4718</v>
      </c>
      <c r="D690" s="9">
        <v>46262.0</v>
      </c>
      <c r="E690" s="11"/>
    </row>
    <row r="691" ht="22.5" customHeight="1">
      <c r="A691" s="5" t="s">
        <v>2549</v>
      </c>
      <c r="B691" s="12">
        <v>6.42753299E9</v>
      </c>
      <c r="C691" s="5" t="s">
        <v>5338</v>
      </c>
      <c r="D691" s="11"/>
      <c r="E691" s="11"/>
    </row>
    <row r="692" ht="22.5" customHeight="1">
      <c r="A692" s="5" t="s">
        <v>2551</v>
      </c>
      <c r="B692" s="12">
        <v>7.566067414E9</v>
      </c>
      <c r="C692" s="5" t="s">
        <v>4723</v>
      </c>
      <c r="D692" s="9">
        <v>45832.0</v>
      </c>
      <c r="E692" s="9">
        <v>45849.0</v>
      </c>
    </row>
    <row r="693" ht="22.5" customHeight="1">
      <c r="A693" s="5" t="s">
        <v>2554</v>
      </c>
      <c r="B693" s="12">
        <v>2.384882254E9</v>
      </c>
      <c r="C693" s="5" t="s">
        <v>4725</v>
      </c>
      <c r="D693" s="9">
        <v>45735.0</v>
      </c>
      <c r="E693" s="9">
        <v>45756.0</v>
      </c>
    </row>
    <row r="694" ht="22.5" customHeight="1">
      <c r="A694" s="5" t="s">
        <v>2558</v>
      </c>
      <c r="B694" s="12">
        <v>9.93975111E9</v>
      </c>
      <c r="C694" s="5" t="s">
        <v>5339</v>
      </c>
      <c r="D694" s="9">
        <v>46197.0</v>
      </c>
      <c r="E694" s="9">
        <v>46200.0</v>
      </c>
    </row>
    <row r="695" ht="22.5" customHeight="1">
      <c r="A695" s="5" t="s">
        <v>2560</v>
      </c>
      <c r="B695" s="12">
        <v>4.944212905E9</v>
      </c>
      <c r="C695" s="5" t="s">
        <v>4729</v>
      </c>
      <c r="D695" s="9">
        <v>45933.0</v>
      </c>
      <c r="E695" s="9">
        <v>45959.0</v>
      </c>
    </row>
    <row r="696" ht="22.5" customHeight="1">
      <c r="A696" s="5" t="s">
        <v>2563</v>
      </c>
      <c r="B696" s="12">
        <v>8.082735899E9</v>
      </c>
      <c r="C696" s="5" t="s">
        <v>5340</v>
      </c>
      <c r="D696" s="9">
        <v>45865.0</v>
      </c>
      <c r="E696" s="9">
        <v>45866.0</v>
      </c>
    </row>
    <row r="697" ht="22.5" customHeight="1">
      <c r="A697" s="5" t="s">
        <v>2567</v>
      </c>
      <c r="B697" s="12">
        <v>3.067162088E9</v>
      </c>
      <c r="C697" s="5" t="s">
        <v>5341</v>
      </c>
      <c r="D697" s="9">
        <v>46244.0</v>
      </c>
      <c r="E697" s="9">
        <v>46254.0</v>
      </c>
    </row>
    <row r="698" ht="22.5" customHeight="1">
      <c r="A698" s="5" t="s">
        <v>2569</v>
      </c>
      <c r="B698" s="12">
        <v>9.344384196E9</v>
      </c>
      <c r="C698" s="5" t="s">
        <v>5342</v>
      </c>
      <c r="D698" s="9">
        <v>45887.0</v>
      </c>
      <c r="E698" s="9">
        <v>45908.0</v>
      </c>
    </row>
    <row r="699" ht="22.5" customHeight="1">
      <c r="A699" s="5" t="s">
        <v>2571</v>
      </c>
      <c r="B699" s="12">
        <v>5.016708093E9</v>
      </c>
      <c r="C699" s="5" t="s">
        <v>5343</v>
      </c>
      <c r="D699" s="9">
        <v>45990.0</v>
      </c>
      <c r="E699" s="9">
        <v>45998.0</v>
      </c>
    </row>
    <row r="700" ht="22.5" customHeight="1">
      <c r="A700" s="5" t="s">
        <v>2575</v>
      </c>
      <c r="B700" s="12">
        <v>5.396535579E9</v>
      </c>
      <c r="C700" s="5" t="s">
        <v>4740</v>
      </c>
      <c r="D700" s="9">
        <v>46192.0</v>
      </c>
      <c r="E700" s="9">
        <v>46204.0</v>
      </c>
    </row>
    <row r="701" ht="22.5" customHeight="1">
      <c r="A701" s="5" t="s">
        <v>2578</v>
      </c>
      <c r="B701" s="12">
        <v>7.168008948E9</v>
      </c>
      <c r="C701" s="5" t="s">
        <v>5344</v>
      </c>
      <c r="D701" s="9">
        <v>46127.0</v>
      </c>
      <c r="E701" s="9">
        <v>46155.0</v>
      </c>
    </row>
    <row r="702" ht="22.5" customHeight="1">
      <c r="A702" s="5" t="s">
        <v>2579</v>
      </c>
      <c r="B702" s="12">
        <v>9.51927626E9</v>
      </c>
      <c r="C702" s="5" t="s">
        <v>5345</v>
      </c>
      <c r="D702" s="9">
        <v>46012.0</v>
      </c>
      <c r="E702" s="9">
        <v>46021.0</v>
      </c>
    </row>
    <row r="703" ht="22.5" customHeight="1">
      <c r="A703" s="5" t="s">
        <v>2582</v>
      </c>
      <c r="B703" s="12">
        <v>9.545549368E9</v>
      </c>
      <c r="C703" s="5" t="s">
        <v>5346</v>
      </c>
      <c r="D703" s="9">
        <v>46130.0</v>
      </c>
      <c r="E703" s="9">
        <v>46142.0</v>
      </c>
    </row>
    <row r="704" ht="22.5" customHeight="1">
      <c r="A704" s="5" t="s">
        <v>2584</v>
      </c>
      <c r="B704" s="12">
        <v>4.41963698E9</v>
      </c>
      <c r="C704" s="5" t="s">
        <v>5347</v>
      </c>
      <c r="D704" s="9">
        <v>45797.0</v>
      </c>
      <c r="E704" s="11"/>
    </row>
    <row r="705" ht="22.5" customHeight="1">
      <c r="A705" s="5" t="s">
        <v>2588</v>
      </c>
      <c r="B705" s="12">
        <v>2.463179033E9</v>
      </c>
      <c r="C705" s="5" t="s">
        <v>4752</v>
      </c>
      <c r="D705" s="9">
        <v>46210.0</v>
      </c>
      <c r="E705" s="9">
        <v>46211.0</v>
      </c>
    </row>
    <row r="706" ht="22.5" customHeight="1">
      <c r="A706" s="5" t="s">
        <v>2592</v>
      </c>
      <c r="B706" s="12">
        <v>2.932152729E9</v>
      </c>
      <c r="C706" s="5" t="s">
        <v>5348</v>
      </c>
      <c r="D706" s="9">
        <v>45858.0</v>
      </c>
      <c r="E706" s="11"/>
    </row>
    <row r="707" ht="22.5" customHeight="1">
      <c r="A707" s="5" t="s">
        <v>2594</v>
      </c>
      <c r="B707" s="12">
        <v>5.698359987E9</v>
      </c>
      <c r="C707" s="5" t="s">
        <v>5349</v>
      </c>
      <c r="D707" s="9">
        <v>45878.0</v>
      </c>
      <c r="E707" s="9">
        <v>45888.0</v>
      </c>
    </row>
    <row r="708" ht="22.5" customHeight="1">
      <c r="A708" s="5" t="s">
        <v>2598</v>
      </c>
      <c r="B708" s="12">
        <v>6.47865685E9</v>
      </c>
      <c r="C708" s="10" t="s">
        <v>4964</v>
      </c>
      <c r="D708" s="9">
        <v>46205.0</v>
      </c>
      <c r="E708" s="9">
        <v>46222.0</v>
      </c>
    </row>
    <row r="709" ht="22.5" customHeight="1">
      <c r="A709" s="5" t="s">
        <v>2601</v>
      </c>
      <c r="B709" s="12">
        <v>3.229501913E9</v>
      </c>
      <c r="C709" s="5" t="s">
        <v>5350</v>
      </c>
      <c r="D709" s="9">
        <v>45914.0</v>
      </c>
      <c r="E709" s="9">
        <v>45932.0</v>
      </c>
    </row>
    <row r="710" ht="22.5" customHeight="1">
      <c r="A710" s="5" t="s">
        <v>2602</v>
      </c>
      <c r="B710" s="12">
        <v>7.124522161E9</v>
      </c>
      <c r="C710" s="5" t="s">
        <v>5351</v>
      </c>
      <c r="D710" s="9">
        <v>46041.0</v>
      </c>
      <c r="E710" s="9">
        <v>46063.0</v>
      </c>
    </row>
    <row r="711" ht="22.5" customHeight="1">
      <c r="A711" s="5" t="s">
        <v>2603</v>
      </c>
      <c r="B711" s="12">
        <v>2.317911751E9</v>
      </c>
      <c r="C711" s="5" t="s">
        <v>4764</v>
      </c>
      <c r="D711" s="11"/>
      <c r="E711" s="11"/>
    </row>
    <row r="712" ht="22.5" customHeight="1">
      <c r="A712" s="5" t="s">
        <v>2605</v>
      </c>
      <c r="B712" s="12">
        <v>8.245931027E9</v>
      </c>
      <c r="C712" s="5" t="s">
        <v>5352</v>
      </c>
      <c r="D712" s="9">
        <v>45783.0</v>
      </c>
      <c r="E712" s="11"/>
    </row>
    <row r="713" ht="22.5" customHeight="1">
      <c r="A713" s="5" t="s">
        <v>2607</v>
      </c>
      <c r="B713" s="12">
        <v>6.184801602E9</v>
      </c>
      <c r="C713" s="10" t="s">
        <v>4964</v>
      </c>
      <c r="D713" s="9">
        <v>45882.0</v>
      </c>
      <c r="E713" s="9">
        <v>45903.0</v>
      </c>
    </row>
    <row r="714" ht="22.5" customHeight="1">
      <c r="A714" s="5" t="s">
        <v>2611</v>
      </c>
      <c r="B714" s="12">
        <v>9.878384572E9</v>
      </c>
      <c r="C714" s="5" t="s">
        <v>5353</v>
      </c>
      <c r="D714" s="9">
        <v>45943.0</v>
      </c>
      <c r="E714" s="9">
        <v>45949.0</v>
      </c>
    </row>
    <row r="715" ht="22.5" customHeight="1">
      <c r="A715" s="5" t="s">
        <v>2613</v>
      </c>
      <c r="B715" s="13" t="s">
        <v>4964</v>
      </c>
      <c r="C715" s="5" t="s">
        <v>4729</v>
      </c>
      <c r="D715" s="9">
        <v>46093.0</v>
      </c>
      <c r="E715" s="9">
        <v>46116.0</v>
      </c>
    </row>
    <row r="716" ht="22.5" customHeight="1">
      <c r="A716" s="5" t="s">
        <v>2616</v>
      </c>
      <c r="B716" s="12">
        <v>7.657059851E9</v>
      </c>
      <c r="C716" s="5" t="s">
        <v>5354</v>
      </c>
      <c r="D716" s="9">
        <v>46109.0</v>
      </c>
      <c r="E716" s="9">
        <v>46113.0</v>
      </c>
    </row>
    <row r="717" ht="22.5" customHeight="1">
      <c r="A717" s="5" t="s">
        <v>2617</v>
      </c>
      <c r="B717" s="12">
        <v>7.15252194E9</v>
      </c>
      <c r="C717" s="5" t="s">
        <v>4774</v>
      </c>
      <c r="D717" s="9">
        <v>46133.0</v>
      </c>
      <c r="E717" s="9">
        <v>46143.0</v>
      </c>
    </row>
    <row r="718" ht="22.5" customHeight="1">
      <c r="A718" s="5" t="s">
        <v>2620</v>
      </c>
      <c r="B718" s="12">
        <v>8.927917649E9</v>
      </c>
      <c r="C718" s="5" t="s">
        <v>5355</v>
      </c>
      <c r="D718" s="9">
        <v>46223.0</v>
      </c>
      <c r="E718" s="11"/>
    </row>
    <row r="719" ht="22.5" customHeight="1">
      <c r="A719" s="5" t="s">
        <v>2623</v>
      </c>
      <c r="B719" s="12">
        <v>6.707521256E9</v>
      </c>
      <c r="C719" s="5" t="s">
        <v>5356</v>
      </c>
      <c r="D719" s="9">
        <v>46015.0</v>
      </c>
      <c r="E719" s="11"/>
    </row>
    <row r="720" ht="22.5" customHeight="1">
      <c r="A720" s="5" t="s">
        <v>2626</v>
      </c>
      <c r="B720" s="12">
        <v>5.8055717E9</v>
      </c>
      <c r="C720" s="5" t="s">
        <v>5357</v>
      </c>
      <c r="D720" s="9">
        <v>45735.0</v>
      </c>
      <c r="E720" s="9">
        <v>45735.0</v>
      </c>
    </row>
    <row r="721" ht="22.5" customHeight="1">
      <c r="A721" s="5" t="s">
        <v>2630</v>
      </c>
      <c r="B721" s="12">
        <v>6.048399204E9</v>
      </c>
      <c r="C721" s="5" t="s">
        <v>4782</v>
      </c>
      <c r="D721" s="9">
        <v>45803.0</v>
      </c>
      <c r="E721" s="9">
        <v>45804.0</v>
      </c>
    </row>
    <row r="722" ht="22.5" customHeight="1">
      <c r="A722" s="5" t="s">
        <v>2632</v>
      </c>
      <c r="B722" s="12">
        <v>6.877592399E9</v>
      </c>
      <c r="C722" s="5" t="s">
        <v>5358</v>
      </c>
      <c r="D722" s="11"/>
      <c r="E722" s="11"/>
    </row>
    <row r="723" ht="22.5" customHeight="1">
      <c r="A723" s="5" t="s">
        <v>2634</v>
      </c>
      <c r="B723" s="12">
        <v>2.215147761E9</v>
      </c>
      <c r="C723" s="5" t="s">
        <v>4786</v>
      </c>
      <c r="D723" s="9">
        <v>46199.0</v>
      </c>
      <c r="E723" s="11"/>
    </row>
    <row r="724" ht="22.5" customHeight="1">
      <c r="A724" s="5" t="s">
        <v>2637</v>
      </c>
      <c r="B724" s="12">
        <v>8.443316458E9</v>
      </c>
      <c r="C724" s="5" t="s">
        <v>4788</v>
      </c>
      <c r="D724" s="9">
        <v>46239.0</v>
      </c>
      <c r="E724" s="9">
        <v>46242.0</v>
      </c>
    </row>
    <row r="725" ht="22.5" customHeight="1">
      <c r="A725" s="5" t="s">
        <v>2639</v>
      </c>
      <c r="B725" s="12">
        <v>9.194382705E9</v>
      </c>
      <c r="C725" s="5" t="s">
        <v>5359</v>
      </c>
      <c r="D725" s="9">
        <v>46203.0</v>
      </c>
      <c r="E725" s="9">
        <v>46212.0</v>
      </c>
    </row>
    <row r="726" ht="22.5" customHeight="1">
      <c r="A726" s="5" t="s">
        <v>2643</v>
      </c>
      <c r="B726" s="12">
        <v>4.242732615E9</v>
      </c>
      <c r="C726" s="5" t="s">
        <v>5360</v>
      </c>
      <c r="D726" s="9">
        <v>46140.0</v>
      </c>
      <c r="E726" s="9">
        <v>46166.0</v>
      </c>
    </row>
    <row r="727" ht="22.5" customHeight="1">
      <c r="A727" s="5" t="s">
        <v>2646</v>
      </c>
      <c r="B727" s="12">
        <v>2.6483324E9</v>
      </c>
      <c r="C727" s="5" t="s">
        <v>4794</v>
      </c>
      <c r="D727" s="9">
        <v>45941.0</v>
      </c>
      <c r="E727" s="11"/>
    </row>
    <row r="728" ht="22.5" customHeight="1">
      <c r="A728" s="5" t="s">
        <v>2649</v>
      </c>
      <c r="B728" s="12">
        <v>6.14609338E9</v>
      </c>
      <c r="C728" s="5" t="s">
        <v>4796</v>
      </c>
      <c r="D728" s="9">
        <v>46049.0</v>
      </c>
      <c r="E728" s="11"/>
    </row>
    <row r="729" ht="22.5" customHeight="1">
      <c r="A729" s="5" t="s">
        <v>2651</v>
      </c>
      <c r="B729" s="12">
        <v>9.964732429E9</v>
      </c>
      <c r="C729" s="5" t="s">
        <v>4798</v>
      </c>
      <c r="D729" s="9">
        <v>45918.0</v>
      </c>
      <c r="E729" s="11"/>
    </row>
    <row r="730" ht="22.5" customHeight="1">
      <c r="A730" s="5" t="s">
        <v>2654</v>
      </c>
      <c r="B730" s="12">
        <v>7.153863935E9</v>
      </c>
      <c r="C730" s="5" t="s">
        <v>5361</v>
      </c>
      <c r="D730" s="9">
        <v>45725.0</v>
      </c>
      <c r="E730" s="9">
        <v>45745.0</v>
      </c>
    </row>
    <row r="731" ht="22.5" customHeight="1">
      <c r="A731" s="5" t="s">
        <v>2659</v>
      </c>
      <c r="B731" s="12">
        <v>3.766088588E9</v>
      </c>
      <c r="C731" s="5" t="s">
        <v>5362</v>
      </c>
      <c r="D731" s="9">
        <v>45750.0</v>
      </c>
      <c r="E731" s="9">
        <v>45770.0</v>
      </c>
    </row>
    <row r="732" ht="22.5" customHeight="1">
      <c r="A732" s="5" t="s">
        <v>2661</v>
      </c>
      <c r="B732" s="12">
        <v>2.786733781E9</v>
      </c>
      <c r="C732" s="5" t="s">
        <v>5363</v>
      </c>
      <c r="D732" s="9">
        <v>46229.0</v>
      </c>
      <c r="E732" s="9">
        <v>46255.0</v>
      </c>
    </row>
    <row r="733" ht="22.5" customHeight="1">
      <c r="A733" s="5" t="s">
        <v>2664</v>
      </c>
      <c r="B733" s="12">
        <v>9.259954522E9</v>
      </c>
      <c r="C733" s="5" t="s">
        <v>4807</v>
      </c>
      <c r="D733" s="9">
        <v>46120.0</v>
      </c>
      <c r="E733" s="9">
        <v>46129.0</v>
      </c>
    </row>
    <row r="734" ht="22.5" customHeight="1">
      <c r="A734" s="5" t="s">
        <v>2666</v>
      </c>
      <c r="B734" s="12">
        <v>5.20858751E9</v>
      </c>
      <c r="C734" s="5" t="s">
        <v>5364</v>
      </c>
      <c r="D734" s="9">
        <v>46112.0</v>
      </c>
      <c r="E734" s="11"/>
    </row>
    <row r="735" ht="22.5" customHeight="1">
      <c r="A735" s="5" t="s">
        <v>2669</v>
      </c>
      <c r="B735" s="12">
        <v>6.624973474E9</v>
      </c>
      <c r="C735" s="5" t="s">
        <v>5365</v>
      </c>
      <c r="D735" s="9">
        <v>45977.0</v>
      </c>
      <c r="E735" s="11"/>
    </row>
    <row r="736" ht="22.5" customHeight="1">
      <c r="A736" s="5" t="s">
        <v>2672</v>
      </c>
      <c r="B736" s="12">
        <v>8.327043167E9</v>
      </c>
      <c r="C736" s="5" t="s">
        <v>4813</v>
      </c>
      <c r="D736" s="9">
        <v>46159.0</v>
      </c>
      <c r="E736" s="9">
        <v>46159.0</v>
      </c>
    </row>
    <row r="737" ht="22.5" customHeight="1">
      <c r="A737" s="5" t="s">
        <v>2675</v>
      </c>
      <c r="B737" s="12">
        <v>3.278554672E9</v>
      </c>
      <c r="C737" s="5" t="s">
        <v>5366</v>
      </c>
      <c r="D737" s="9">
        <v>46188.0</v>
      </c>
      <c r="E737" s="9">
        <v>46195.0</v>
      </c>
    </row>
    <row r="738" ht="22.5" customHeight="1">
      <c r="A738" s="5" t="s">
        <v>2677</v>
      </c>
      <c r="B738" s="12">
        <v>8.859364008E9</v>
      </c>
      <c r="C738" s="5" t="s">
        <v>4817</v>
      </c>
      <c r="D738" s="9">
        <v>46055.0</v>
      </c>
      <c r="E738" s="11"/>
    </row>
    <row r="739" ht="22.5" customHeight="1">
      <c r="A739" s="5" t="s">
        <v>2680</v>
      </c>
      <c r="B739" s="12">
        <v>9.412298691E9</v>
      </c>
      <c r="C739" s="5" t="s">
        <v>5367</v>
      </c>
      <c r="D739" s="9">
        <v>45848.0</v>
      </c>
      <c r="E739" s="9">
        <v>45863.0</v>
      </c>
    </row>
    <row r="740" ht="22.5" customHeight="1">
      <c r="A740" s="5" t="s">
        <v>2683</v>
      </c>
      <c r="B740" s="12">
        <v>4.628436684E9</v>
      </c>
      <c r="C740" s="5" t="s">
        <v>5368</v>
      </c>
      <c r="D740" s="9">
        <v>46030.0</v>
      </c>
      <c r="E740" s="11"/>
    </row>
    <row r="741" ht="22.5" customHeight="1">
      <c r="A741" s="5" t="s">
        <v>2687</v>
      </c>
      <c r="B741" s="12">
        <v>9.189559679E9</v>
      </c>
      <c r="C741" s="5" t="s">
        <v>5369</v>
      </c>
      <c r="D741" s="9">
        <v>45800.0</v>
      </c>
      <c r="E741" s="9">
        <v>45808.0</v>
      </c>
    </row>
    <row r="742" ht="22.5" customHeight="1">
      <c r="A742" s="5" t="s">
        <v>2689</v>
      </c>
      <c r="B742" s="12">
        <v>2.877673752E9</v>
      </c>
      <c r="C742" s="5" t="s">
        <v>4825</v>
      </c>
      <c r="D742" s="9">
        <v>45966.0</v>
      </c>
      <c r="E742" s="9">
        <v>45982.0</v>
      </c>
    </row>
    <row r="743" ht="22.5" customHeight="1">
      <c r="A743" s="5" t="s">
        <v>2692</v>
      </c>
      <c r="B743" s="13" t="s">
        <v>4964</v>
      </c>
      <c r="C743" s="5" t="s">
        <v>5370</v>
      </c>
      <c r="D743" s="11"/>
      <c r="E743" s="11"/>
    </row>
    <row r="744" ht="22.5" customHeight="1">
      <c r="A744" s="5" t="s">
        <v>2694</v>
      </c>
      <c r="B744" s="12">
        <v>5.40739958E9</v>
      </c>
      <c r="C744" s="5" t="s">
        <v>5371</v>
      </c>
      <c r="D744" s="11"/>
      <c r="E744" s="11"/>
    </row>
    <row r="745" ht="22.5" customHeight="1">
      <c r="A745" s="5" t="s">
        <v>2695</v>
      </c>
      <c r="B745" s="12">
        <v>2.965486247E9</v>
      </c>
      <c r="C745" s="5" t="s">
        <v>5372</v>
      </c>
      <c r="D745" s="9">
        <v>45921.0</v>
      </c>
      <c r="E745" s="9">
        <v>45933.0</v>
      </c>
    </row>
    <row r="746" ht="22.5" customHeight="1">
      <c r="A746" s="5" t="s">
        <v>2697</v>
      </c>
      <c r="B746" s="12">
        <v>3.762741471E9</v>
      </c>
      <c r="C746" s="5" t="s">
        <v>5373</v>
      </c>
      <c r="D746" s="9">
        <v>46184.0</v>
      </c>
      <c r="E746" s="9">
        <v>46202.0</v>
      </c>
    </row>
    <row r="747" ht="22.5" customHeight="1">
      <c r="A747" s="5" t="s">
        <v>2698</v>
      </c>
      <c r="B747" s="12">
        <v>8.11658125E9</v>
      </c>
      <c r="C747" s="5" t="s">
        <v>5374</v>
      </c>
      <c r="D747" s="9">
        <v>45756.0</v>
      </c>
      <c r="E747" s="9">
        <v>45771.0</v>
      </c>
    </row>
    <row r="748" ht="22.5" customHeight="1">
      <c r="A748" s="5" t="s">
        <v>2700</v>
      </c>
      <c r="B748" s="12">
        <v>5.286293564E9</v>
      </c>
      <c r="C748" s="5" t="s">
        <v>5375</v>
      </c>
      <c r="D748" s="9">
        <v>46186.0</v>
      </c>
      <c r="E748" s="9">
        <v>46213.0</v>
      </c>
    </row>
    <row r="749" ht="22.5" customHeight="1">
      <c r="A749" s="5" t="s">
        <v>2703</v>
      </c>
      <c r="B749" s="12">
        <v>2.109244413E9</v>
      </c>
      <c r="C749" s="5" t="s">
        <v>5376</v>
      </c>
      <c r="D749" s="9">
        <v>46027.0</v>
      </c>
      <c r="E749" s="9">
        <v>46028.0</v>
      </c>
    </row>
    <row r="750" ht="22.5" customHeight="1">
      <c r="A750" s="5" t="s">
        <v>2705</v>
      </c>
      <c r="B750" s="12">
        <v>7.21267798E9</v>
      </c>
      <c r="C750" s="5" t="s">
        <v>5377</v>
      </c>
      <c r="D750" s="9">
        <v>46180.0</v>
      </c>
      <c r="E750" s="11"/>
    </row>
    <row r="751" ht="22.5" customHeight="1">
      <c r="A751" s="5" t="s">
        <v>2707</v>
      </c>
      <c r="B751" s="12">
        <v>4.095406325E9</v>
      </c>
      <c r="C751" s="5" t="s">
        <v>5378</v>
      </c>
      <c r="D751" s="9">
        <v>46050.0</v>
      </c>
      <c r="E751" s="9">
        <v>46065.0</v>
      </c>
    </row>
    <row r="752" ht="22.5" customHeight="1">
      <c r="A752" s="5" t="s">
        <v>2708</v>
      </c>
      <c r="B752" s="12">
        <v>6.226987198E9</v>
      </c>
      <c r="C752" s="5" t="s">
        <v>5379</v>
      </c>
      <c r="D752" s="9">
        <v>46227.0</v>
      </c>
      <c r="E752" s="9">
        <v>46237.0</v>
      </c>
    </row>
    <row r="753" ht="22.5" customHeight="1">
      <c r="A753" s="5" t="s">
        <v>2710</v>
      </c>
      <c r="B753" s="12">
        <v>9.54812423E9</v>
      </c>
      <c r="C753" s="5" t="s">
        <v>5380</v>
      </c>
      <c r="D753" s="9">
        <v>46232.0</v>
      </c>
      <c r="E753" s="9">
        <v>46241.0</v>
      </c>
    </row>
    <row r="754" ht="22.5" customHeight="1">
      <c r="A754" s="5" t="s">
        <v>2712</v>
      </c>
      <c r="B754" s="12">
        <v>9.575987584E9</v>
      </c>
      <c r="C754" s="5" t="s">
        <v>5381</v>
      </c>
      <c r="D754" s="9">
        <v>45878.0</v>
      </c>
      <c r="E754" s="9">
        <v>45888.0</v>
      </c>
    </row>
    <row r="755" ht="22.5" customHeight="1">
      <c r="A755" s="5" t="s">
        <v>2715</v>
      </c>
      <c r="B755" s="12">
        <v>4.985783881E9</v>
      </c>
      <c r="C755" s="5" t="s">
        <v>5382</v>
      </c>
      <c r="D755" s="9">
        <v>45988.0</v>
      </c>
      <c r="E755" s="9">
        <v>46017.0</v>
      </c>
    </row>
    <row r="756" ht="22.5" customHeight="1">
      <c r="A756" s="5" t="s">
        <v>2717</v>
      </c>
      <c r="B756" s="12">
        <v>8.377788745E9</v>
      </c>
      <c r="C756" s="5" t="s">
        <v>5383</v>
      </c>
      <c r="D756" s="9">
        <v>45968.0</v>
      </c>
      <c r="E756" s="9">
        <v>45997.0</v>
      </c>
    </row>
    <row r="757" ht="22.5" customHeight="1">
      <c r="A757" s="5" t="s">
        <v>2720</v>
      </c>
      <c r="B757" s="12">
        <v>6.764998073E9</v>
      </c>
      <c r="C757" s="5" t="s">
        <v>5384</v>
      </c>
      <c r="D757" s="9">
        <v>45913.0</v>
      </c>
      <c r="E757" s="11"/>
    </row>
    <row r="758" ht="22.5" customHeight="1">
      <c r="A758" s="5" t="s">
        <v>2724</v>
      </c>
      <c r="B758" s="12">
        <v>5.91587891E9</v>
      </c>
      <c r="C758" s="5" t="s">
        <v>4857</v>
      </c>
      <c r="D758" s="9">
        <v>46066.0</v>
      </c>
      <c r="E758" s="11"/>
    </row>
    <row r="759" ht="22.5" customHeight="1">
      <c r="A759" s="5" t="s">
        <v>2726</v>
      </c>
      <c r="B759" s="12">
        <v>7.937808338E9</v>
      </c>
      <c r="C759" s="5" t="s">
        <v>4859</v>
      </c>
      <c r="D759" s="9">
        <v>46049.0</v>
      </c>
      <c r="E759" s="9">
        <v>46062.0</v>
      </c>
    </row>
    <row r="760" ht="22.5" customHeight="1">
      <c r="A760" s="5" t="s">
        <v>2729</v>
      </c>
      <c r="B760" s="12">
        <v>7.753599758E9</v>
      </c>
      <c r="C760" s="5" t="s">
        <v>4861</v>
      </c>
      <c r="D760" s="9">
        <v>45832.0</v>
      </c>
      <c r="E760" s="9">
        <v>45861.0</v>
      </c>
    </row>
    <row r="761" ht="22.5" customHeight="1">
      <c r="A761" s="5" t="s">
        <v>2731</v>
      </c>
      <c r="B761" s="13" t="s">
        <v>4964</v>
      </c>
      <c r="C761" s="5" t="s">
        <v>4862</v>
      </c>
      <c r="D761" s="9">
        <v>46258.0</v>
      </c>
      <c r="E761" s="9">
        <v>46266.0</v>
      </c>
    </row>
    <row r="762" ht="22.5" customHeight="1">
      <c r="A762" s="5" t="s">
        <v>2734</v>
      </c>
      <c r="B762" s="12">
        <v>6.935537226E9</v>
      </c>
      <c r="C762" s="5" t="s">
        <v>5385</v>
      </c>
      <c r="D762" s="9">
        <v>45727.0</v>
      </c>
      <c r="E762" s="9">
        <v>45746.0</v>
      </c>
    </row>
    <row r="763" ht="22.5" customHeight="1">
      <c r="A763" s="5" t="s">
        <v>2736</v>
      </c>
      <c r="B763" s="12">
        <v>7.129326465E9</v>
      </c>
      <c r="C763" s="5" t="s">
        <v>5386</v>
      </c>
      <c r="D763" s="9">
        <v>45825.0</v>
      </c>
      <c r="E763" s="9">
        <v>45850.0</v>
      </c>
    </row>
    <row r="764" ht="22.5" customHeight="1">
      <c r="A764" s="5" t="s">
        <v>2739</v>
      </c>
      <c r="B764" s="13" t="s">
        <v>4964</v>
      </c>
      <c r="C764" s="10" t="s">
        <v>4964</v>
      </c>
      <c r="D764" s="9">
        <v>45734.0</v>
      </c>
      <c r="E764" s="9">
        <v>45752.0</v>
      </c>
    </row>
    <row r="765" ht="22.5" customHeight="1">
      <c r="A765" s="5" t="s">
        <v>2743</v>
      </c>
      <c r="B765" s="12">
        <v>2.57849359E9</v>
      </c>
      <c r="C765" s="5" t="s">
        <v>4869</v>
      </c>
      <c r="D765" s="9">
        <v>46263.0</v>
      </c>
      <c r="E765" s="9">
        <v>46266.0</v>
      </c>
    </row>
    <row r="766" ht="22.5" customHeight="1">
      <c r="A766" s="5" t="s">
        <v>2746</v>
      </c>
      <c r="B766" s="12">
        <v>3.363923101E9</v>
      </c>
      <c r="C766" s="5" t="s">
        <v>4871</v>
      </c>
      <c r="D766" s="9">
        <v>45803.0</v>
      </c>
      <c r="E766" s="9">
        <v>45829.0</v>
      </c>
    </row>
    <row r="767" ht="22.5" customHeight="1">
      <c r="A767" s="5" t="s">
        <v>2747</v>
      </c>
      <c r="B767" s="12">
        <v>4.447769499E9</v>
      </c>
      <c r="C767" s="5" t="s">
        <v>5387</v>
      </c>
      <c r="D767" s="9">
        <v>46079.0</v>
      </c>
      <c r="E767" s="9">
        <v>46108.0</v>
      </c>
    </row>
    <row r="768" ht="22.5" customHeight="1">
      <c r="A768" s="5" t="s">
        <v>2750</v>
      </c>
      <c r="B768" s="12">
        <v>4.715057557E9</v>
      </c>
      <c r="C768" s="5" t="s">
        <v>4875</v>
      </c>
      <c r="D768" s="9">
        <v>46132.0</v>
      </c>
      <c r="E768" s="11"/>
    </row>
    <row r="769" ht="22.5" customHeight="1">
      <c r="A769" s="5" t="s">
        <v>2752</v>
      </c>
      <c r="B769" s="12">
        <v>2.835816061E9</v>
      </c>
      <c r="C769" s="5" t="s">
        <v>5388</v>
      </c>
      <c r="D769" s="9">
        <v>45988.0</v>
      </c>
      <c r="E769" s="9">
        <v>45996.0</v>
      </c>
    </row>
    <row r="770" ht="22.5" customHeight="1">
      <c r="A770" s="5" t="s">
        <v>2755</v>
      </c>
      <c r="B770" s="12">
        <v>6.546699048E9</v>
      </c>
      <c r="C770" s="5" t="s">
        <v>4543</v>
      </c>
      <c r="D770" s="9">
        <v>46133.0</v>
      </c>
      <c r="E770" s="11"/>
    </row>
    <row r="771" ht="22.5" customHeight="1">
      <c r="A771" s="5" t="s">
        <v>2757</v>
      </c>
      <c r="B771" s="12">
        <v>5.677446272E9</v>
      </c>
      <c r="C771" s="5" t="s">
        <v>5389</v>
      </c>
      <c r="D771" s="9">
        <v>45954.0</v>
      </c>
      <c r="E771" s="9">
        <v>45983.0</v>
      </c>
    </row>
    <row r="772" ht="22.5" customHeight="1">
      <c r="A772" s="5" t="s">
        <v>2760</v>
      </c>
      <c r="B772" s="12">
        <v>7.265823554E9</v>
      </c>
      <c r="C772" s="5" t="s">
        <v>5390</v>
      </c>
      <c r="D772" s="9">
        <v>46027.0</v>
      </c>
      <c r="E772" s="9">
        <v>46035.0</v>
      </c>
    </row>
    <row r="773" ht="22.5" customHeight="1">
      <c r="A773" s="5" t="s">
        <v>2763</v>
      </c>
      <c r="B773" s="12">
        <v>8.165262454E9</v>
      </c>
      <c r="C773" s="5" t="s">
        <v>5391</v>
      </c>
      <c r="D773" s="9">
        <v>45803.0</v>
      </c>
      <c r="E773" s="9">
        <v>45807.0</v>
      </c>
    </row>
    <row r="774" ht="22.5" customHeight="1">
      <c r="A774" s="5" t="s">
        <v>2766</v>
      </c>
      <c r="B774" s="12">
        <v>2.196329912E9</v>
      </c>
      <c r="C774" s="5" t="s">
        <v>4889</v>
      </c>
      <c r="D774" s="9">
        <v>45771.0</v>
      </c>
      <c r="E774" s="9">
        <v>45800.0</v>
      </c>
    </row>
    <row r="775" ht="22.5" customHeight="1">
      <c r="A775" s="5" t="s">
        <v>2769</v>
      </c>
      <c r="B775" s="12">
        <v>2.349904878E9</v>
      </c>
      <c r="C775" s="5" t="s">
        <v>5392</v>
      </c>
      <c r="D775" s="9">
        <v>45991.0</v>
      </c>
      <c r="E775" s="9">
        <v>46002.0</v>
      </c>
    </row>
    <row r="776" ht="22.5" customHeight="1">
      <c r="A776" s="5" t="s">
        <v>2771</v>
      </c>
      <c r="B776" s="12">
        <v>3.367993134E9</v>
      </c>
      <c r="C776" s="5" t="s">
        <v>5393</v>
      </c>
      <c r="D776" s="11"/>
      <c r="E776" s="11"/>
    </row>
    <row r="777" ht="22.5" customHeight="1">
      <c r="A777" s="5" t="s">
        <v>2774</v>
      </c>
      <c r="B777" s="12">
        <v>2.05513653E9</v>
      </c>
      <c r="C777" s="5" t="s">
        <v>4895</v>
      </c>
      <c r="D777" s="9">
        <v>46246.0</v>
      </c>
      <c r="E777" s="11"/>
    </row>
    <row r="778" ht="22.5" customHeight="1">
      <c r="A778" s="5" t="s">
        <v>2776</v>
      </c>
      <c r="B778" s="12">
        <v>2.726793641E9</v>
      </c>
      <c r="C778" s="5" t="s">
        <v>5394</v>
      </c>
      <c r="D778" s="9">
        <v>45859.0</v>
      </c>
      <c r="E778" s="9">
        <v>45884.0</v>
      </c>
    </row>
    <row r="779" ht="22.5" customHeight="1">
      <c r="A779" s="5" t="s">
        <v>2777</v>
      </c>
      <c r="B779" s="12">
        <v>8.406743322E9</v>
      </c>
      <c r="C779" s="5" t="s">
        <v>4899</v>
      </c>
      <c r="D779" s="9">
        <v>46047.0</v>
      </c>
      <c r="E779" s="11"/>
    </row>
    <row r="780" ht="22.5" customHeight="1">
      <c r="A780" s="5" t="s">
        <v>2779</v>
      </c>
      <c r="B780" s="13" t="s">
        <v>4964</v>
      </c>
      <c r="C780" s="5" t="s">
        <v>5395</v>
      </c>
      <c r="D780" s="9">
        <v>46017.0</v>
      </c>
      <c r="E780" s="9">
        <v>46038.0</v>
      </c>
    </row>
    <row r="781" ht="22.5" customHeight="1">
      <c r="A781" s="5" t="s">
        <v>2783</v>
      </c>
      <c r="B781" s="12">
        <v>3.179066148E9</v>
      </c>
      <c r="C781" s="5" t="s">
        <v>4903</v>
      </c>
      <c r="D781" s="9">
        <v>46111.0</v>
      </c>
      <c r="E781" s="9">
        <v>46136.0</v>
      </c>
    </row>
    <row r="782" ht="22.5" customHeight="1">
      <c r="A782" s="5" t="s">
        <v>2785</v>
      </c>
      <c r="B782" s="12">
        <v>7.802727591E9</v>
      </c>
      <c r="C782" s="5" t="s">
        <v>5396</v>
      </c>
      <c r="D782" s="9">
        <v>46222.0</v>
      </c>
      <c r="E782" s="9">
        <v>46234.0</v>
      </c>
    </row>
    <row r="783" ht="22.5" customHeight="1">
      <c r="A783" s="5" t="s">
        <v>2787</v>
      </c>
      <c r="B783" s="12">
        <v>4.016104037E9</v>
      </c>
      <c r="C783" s="5" t="s">
        <v>4907</v>
      </c>
      <c r="D783" s="9">
        <v>46180.0</v>
      </c>
      <c r="E783" s="9">
        <v>46188.0</v>
      </c>
    </row>
    <row r="784" ht="22.5" customHeight="1">
      <c r="A784" s="5" t="s">
        <v>2789</v>
      </c>
      <c r="B784" s="12">
        <v>2.354512877E9</v>
      </c>
      <c r="C784" s="10" t="s">
        <v>4964</v>
      </c>
      <c r="D784" s="9">
        <v>46175.0</v>
      </c>
      <c r="E784" s="9">
        <v>46185.0</v>
      </c>
    </row>
    <row r="785" ht="22.5" customHeight="1">
      <c r="A785" s="5" t="s">
        <v>2792</v>
      </c>
      <c r="B785" s="12">
        <v>4.022494149E9</v>
      </c>
      <c r="C785" s="5" t="s">
        <v>5397</v>
      </c>
      <c r="D785" s="9">
        <v>46116.0</v>
      </c>
      <c r="E785" s="11"/>
    </row>
    <row r="786" ht="22.5" customHeight="1">
      <c r="A786" s="5" t="s">
        <v>2795</v>
      </c>
      <c r="B786" s="12">
        <v>4.889921617E9</v>
      </c>
      <c r="C786" s="5" t="s">
        <v>4912</v>
      </c>
      <c r="D786" s="9">
        <v>46180.0</v>
      </c>
      <c r="E786" s="11"/>
    </row>
    <row r="787" ht="22.5" customHeight="1">
      <c r="A787" s="5" t="s">
        <v>2797</v>
      </c>
      <c r="B787" s="12">
        <v>4.454502077E9</v>
      </c>
      <c r="C787" s="5" t="s">
        <v>5398</v>
      </c>
      <c r="D787" s="9">
        <v>45741.0</v>
      </c>
      <c r="E787" s="11"/>
    </row>
    <row r="788" ht="22.5" customHeight="1">
      <c r="A788" s="5" t="s">
        <v>2800</v>
      </c>
      <c r="B788" s="12">
        <v>9.466173055E9</v>
      </c>
      <c r="C788" s="5" t="s">
        <v>4916</v>
      </c>
      <c r="D788" s="9">
        <v>45895.0</v>
      </c>
      <c r="E788" s="11"/>
    </row>
    <row r="789" ht="22.5" customHeight="1">
      <c r="A789" s="5" t="s">
        <v>2801</v>
      </c>
      <c r="B789" s="12">
        <v>7.368038153E9</v>
      </c>
      <c r="C789" s="5" t="s">
        <v>5399</v>
      </c>
      <c r="D789" s="9">
        <v>46147.0</v>
      </c>
      <c r="E789" s="11"/>
    </row>
    <row r="790" ht="22.5" customHeight="1">
      <c r="A790" s="5" t="s">
        <v>2803</v>
      </c>
      <c r="B790" s="12">
        <v>3.993463591E9</v>
      </c>
      <c r="C790" s="5" t="s">
        <v>5400</v>
      </c>
      <c r="D790" s="9">
        <v>45771.0</v>
      </c>
      <c r="E790" s="11"/>
    </row>
    <row r="791" ht="22.5" customHeight="1">
      <c r="A791" s="5" t="s">
        <v>2806</v>
      </c>
      <c r="B791" s="12">
        <v>7.193377534E9</v>
      </c>
      <c r="C791" s="5" t="s">
        <v>4922</v>
      </c>
      <c r="D791" s="9">
        <v>46260.0</v>
      </c>
      <c r="E791" s="9">
        <v>46266.0</v>
      </c>
    </row>
    <row r="792" ht="22.5" customHeight="1">
      <c r="A792" s="5" t="s">
        <v>2809</v>
      </c>
      <c r="B792" s="12">
        <v>3.279365943E9</v>
      </c>
      <c r="C792" s="5" t="s">
        <v>5401</v>
      </c>
      <c r="D792" s="9">
        <v>46165.0</v>
      </c>
      <c r="E792" s="9">
        <v>46169.0</v>
      </c>
    </row>
    <row r="793" ht="22.5" customHeight="1">
      <c r="A793" s="5" t="s">
        <v>2811</v>
      </c>
      <c r="B793" s="12">
        <v>2.424653131E9</v>
      </c>
      <c r="C793" s="5" t="s">
        <v>4927</v>
      </c>
      <c r="D793" s="9">
        <v>46220.0</v>
      </c>
      <c r="E793" s="11"/>
    </row>
    <row r="794" ht="22.5" customHeight="1">
      <c r="A794" s="5" t="s">
        <v>2814</v>
      </c>
      <c r="B794" s="13" t="s">
        <v>4964</v>
      </c>
      <c r="C794" s="5" t="s">
        <v>5402</v>
      </c>
      <c r="D794" s="9">
        <v>45854.0</v>
      </c>
      <c r="E794" s="9">
        <v>45866.0</v>
      </c>
    </row>
    <row r="795" ht="22.5" customHeight="1">
      <c r="A795" s="5" t="s">
        <v>2817</v>
      </c>
      <c r="B795" s="12">
        <v>5.106869411E9</v>
      </c>
      <c r="C795" s="5" t="s">
        <v>5403</v>
      </c>
      <c r="D795" s="9">
        <v>46052.0</v>
      </c>
      <c r="E795" s="9">
        <v>46079.0</v>
      </c>
    </row>
    <row r="796" ht="22.5" customHeight="1">
      <c r="A796" s="5" t="s">
        <v>2819</v>
      </c>
      <c r="B796" s="12">
        <v>8.074634663E9</v>
      </c>
      <c r="C796" s="5" t="s">
        <v>4932</v>
      </c>
      <c r="D796" s="11"/>
      <c r="E796" s="11"/>
    </row>
    <row r="797" ht="22.5" customHeight="1">
      <c r="A797" s="5" t="s">
        <v>2822</v>
      </c>
      <c r="B797" s="12">
        <v>4.982971898E9</v>
      </c>
      <c r="C797" s="5" t="s">
        <v>5404</v>
      </c>
      <c r="D797" s="9">
        <v>45825.0</v>
      </c>
      <c r="E797" s="11"/>
    </row>
    <row r="798" ht="22.5" customHeight="1">
      <c r="A798" s="5" t="s">
        <v>2823</v>
      </c>
      <c r="B798" s="12">
        <v>6.229664322E9</v>
      </c>
      <c r="C798" s="5" t="s">
        <v>4936</v>
      </c>
      <c r="D798" s="9">
        <v>45837.0</v>
      </c>
      <c r="E798" s="9">
        <v>45855.0</v>
      </c>
    </row>
    <row r="799" ht="22.5" customHeight="1">
      <c r="A799" s="5" t="s">
        <v>2826</v>
      </c>
      <c r="B799" s="12">
        <v>5.777065853E9</v>
      </c>
      <c r="C799" s="5" t="s">
        <v>4939</v>
      </c>
      <c r="D799" s="9">
        <v>46240.0</v>
      </c>
      <c r="E799" s="9">
        <v>46255.0</v>
      </c>
    </row>
    <row r="800" ht="22.5" customHeight="1">
      <c r="A800" s="5" t="s">
        <v>2829</v>
      </c>
      <c r="B800" s="12">
        <v>6.68755471E9</v>
      </c>
      <c r="C800" s="5" t="s">
        <v>5405</v>
      </c>
      <c r="D800" s="9">
        <v>46006.0</v>
      </c>
      <c r="E800" s="11"/>
    </row>
    <row r="801" ht="22.5" customHeight="1">
      <c r="A801" s="5" t="s">
        <v>2831</v>
      </c>
      <c r="B801" s="12">
        <v>4.658287685E9</v>
      </c>
      <c r="C801" s="5" t="s">
        <v>4943</v>
      </c>
      <c r="D801" s="9">
        <v>46239.0</v>
      </c>
      <c r="E801" s="11"/>
    </row>
    <row r="802" ht="22.5" customHeight="1">
      <c r="A802" s="5" t="s">
        <v>2833</v>
      </c>
      <c r="B802" s="12">
        <v>5.368722624E9</v>
      </c>
      <c r="C802" s="5" t="s">
        <v>4945</v>
      </c>
      <c r="D802" s="9">
        <v>45897.0</v>
      </c>
      <c r="E802" s="11"/>
    </row>
    <row r="803" ht="22.5" customHeight="1">
      <c r="A803" s="5" t="s">
        <v>2835</v>
      </c>
      <c r="B803" s="12">
        <v>8.1870883E9</v>
      </c>
      <c r="C803" s="5" t="s">
        <v>4947</v>
      </c>
      <c r="D803" s="9">
        <v>45745.0</v>
      </c>
      <c r="E803" s="11"/>
    </row>
    <row r="804" ht="22.5" customHeight="1">
      <c r="A804" s="5" t="s">
        <v>2837</v>
      </c>
      <c r="B804" s="12">
        <v>4.075067302E9</v>
      </c>
      <c r="C804" s="5" t="s">
        <v>4949</v>
      </c>
      <c r="D804" s="9">
        <v>46014.0</v>
      </c>
      <c r="E804" s="9">
        <v>46032.0</v>
      </c>
    </row>
    <row r="805" ht="22.5" customHeight="1">
      <c r="A805" s="5" t="s">
        <v>2838</v>
      </c>
      <c r="B805" s="12">
        <v>9.14241931E9</v>
      </c>
      <c r="C805" s="5" t="s">
        <v>5406</v>
      </c>
      <c r="D805" s="9">
        <v>46190.0</v>
      </c>
      <c r="E805" s="9">
        <v>46202.0</v>
      </c>
    </row>
    <row r="806" ht="22.5" customHeight="1">
      <c r="A806" s="5" t="s">
        <v>2840</v>
      </c>
      <c r="B806" s="12">
        <v>4.012293099E9</v>
      </c>
      <c r="C806" s="5" t="s">
        <v>5407</v>
      </c>
      <c r="D806" s="9">
        <v>46200.0</v>
      </c>
      <c r="E806" s="9">
        <v>46212.0</v>
      </c>
    </row>
  </sheetData>
  <dataValidations>
    <dataValidation type="custom" allowBlank="1" showDropDown="1" sqref="D2:E806">
      <formula1>OR(NOT(ISERROR(DATEVALUE(D2))), AND(ISNUMBER(D2), LEFT(CELL("format", D2))="D"))</formula1>
    </dataValidation>
  </dataValidations>
  <drawing r:id="rId1"/>
  <tableParts count="1">
    <tablePart r:id="rId3"/>
  </tableParts>
</worksheet>
</file>